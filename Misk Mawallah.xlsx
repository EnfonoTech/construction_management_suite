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Projects\1. Misk Almwallah - Plot 59\BOQ\"/>
    </mc:Choice>
  </mc:AlternateContent>
  <bookViews>
    <workbookView xWindow="0" yWindow="0" windowWidth="23040" windowHeight="9072"/>
  </bookViews>
  <sheets>
    <sheet name="Misk Format" sheetId="26" r:id="rId1"/>
    <sheet name="GS" sheetId="1" r:id="rId2"/>
    <sheet name="C_Bill No. 3 Main bld (2)" sheetId="25" r:id="rId3"/>
    <sheet name="Finishesh" sheetId="14" r:id="rId4"/>
    <sheet name="M.S" sheetId="3" r:id="rId5"/>
    <sheet name="Bill No. 4 Ancillary" sheetId="4" r:id="rId6"/>
    <sheet name="Bill No.5 Electrical &amp; ELV" sheetId="5" r:id="rId7"/>
    <sheet name="Bill No.6 Plumbing" sheetId="6" r:id="rId8"/>
    <sheet name="BILL NO.9 PROVISIONAL" sheetId="9" r:id="rId9"/>
    <sheet name="BW" sheetId="13" r:id="rId10"/>
    <sheet name="D&amp;W" sheetId="15" r:id="rId11"/>
    <sheet name="Sheet1" sheetId="24" r:id="rId12"/>
  </sheets>
  <definedNames>
    <definedName name="____________________a65537" localSheetId="0">#REF!</definedName>
    <definedName name="____________________a65537">#REF!</definedName>
    <definedName name="____________________A65555" localSheetId="0">#REF!</definedName>
    <definedName name="____________________A65555">#REF!</definedName>
    <definedName name="____________________A65658" localSheetId="0">#REF!</definedName>
    <definedName name="____________________A65658">#REF!</definedName>
    <definedName name="___________________a65537" localSheetId="0">#REF!</definedName>
    <definedName name="___________________a65537">#REF!</definedName>
    <definedName name="___________________A65555" localSheetId="0">#REF!</definedName>
    <definedName name="___________________A65555">#REF!</definedName>
    <definedName name="___________________A65658" localSheetId="0">#REF!</definedName>
    <definedName name="___________________A65658">#REF!</definedName>
    <definedName name="__________________a65537" localSheetId="0">#REF!</definedName>
    <definedName name="__________________a65537">#REF!</definedName>
    <definedName name="__________________A65555" localSheetId="0">#REF!</definedName>
    <definedName name="__________________A65555">#REF!</definedName>
    <definedName name="__________________A65658" localSheetId="0">#REF!</definedName>
    <definedName name="__________________A65658">#REF!</definedName>
    <definedName name="__________________bol1" localSheetId="0">#REF!</definedName>
    <definedName name="__________________bol1">#REF!</definedName>
    <definedName name="__________________lb1" localSheetId="0">#REF!</definedName>
    <definedName name="__________________lb1">#REF!</definedName>
    <definedName name="__________________lb2" localSheetId="0">#REF!</definedName>
    <definedName name="__________________lb2">#REF!</definedName>
    <definedName name="__________________mm1" localSheetId="0">#REF!</definedName>
    <definedName name="__________________mm1">#REF!</definedName>
    <definedName name="__________________mm2" localSheetId="0">#REF!</definedName>
    <definedName name="__________________mm2">#REF!</definedName>
    <definedName name="__________________mm3" localSheetId="0">#REF!</definedName>
    <definedName name="__________________mm3">#REF!</definedName>
    <definedName name="_________________a65537" localSheetId="0">#REF!</definedName>
    <definedName name="_________________a65537">#REF!</definedName>
    <definedName name="_________________A65555" localSheetId="0">#REF!</definedName>
    <definedName name="_________________A65555">#REF!</definedName>
    <definedName name="_________________A65658" localSheetId="0">#REF!</definedName>
    <definedName name="_________________A65658">#REF!</definedName>
    <definedName name="_________________bol1" localSheetId="0">#REF!</definedName>
    <definedName name="_________________bol1">#REF!</definedName>
    <definedName name="_________________lb1" localSheetId="0">#REF!</definedName>
    <definedName name="_________________lb1">#REF!</definedName>
    <definedName name="_________________lb2" localSheetId="0">#REF!</definedName>
    <definedName name="_________________lb2">#REF!</definedName>
    <definedName name="_________________mm1" localSheetId="0">#REF!</definedName>
    <definedName name="_________________mm1">#REF!</definedName>
    <definedName name="_________________mm2" localSheetId="0">#REF!</definedName>
    <definedName name="_________________mm2">#REF!</definedName>
    <definedName name="_________________mm3" localSheetId="0">#REF!</definedName>
    <definedName name="_________________mm3">#REF!</definedName>
    <definedName name="________________a65537" localSheetId="0">#REF!</definedName>
    <definedName name="________________a65537">#REF!</definedName>
    <definedName name="________________A65555" localSheetId="0">#REF!</definedName>
    <definedName name="________________A65555">#REF!</definedName>
    <definedName name="________________A65658" localSheetId="0">#REF!</definedName>
    <definedName name="________________A65658">#REF!</definedName>
    <definedName name="________________bol1" localSheetId="0">#REF!</definedName>
    <definedName name="________________bol1">#REF!</definedName>
    <definedName name="________________lb1" localSheetId="0">#REF!</definedName>
    <definedName name="________________lb1">#REF!</definedName>
    <definedName name="________________lb2" localSheetId="0">#REF!</definedName>
    <definedName name="________________lb2">#REF!</definedName>
    <definedName name="________________mm1" localSheetId="0">#REF!</definedName>
    <definedName name="________________mm1">#REF!</definedName>
    <definedName name="________________mm2" localSheetId="0">#REF!</definedName>
    <definedName name="________________mm2">#REF!</definedName>
    <definedName name="________________mm3" localSheetId="0">#REF!</definedName>
    <definedName name="________________mm3">#REF!</definedName>
    <definedName name="_______________a65537" localSheetId="0">#REF!</definedName>
    <definedName name="_______________a65537">#REF!</definedName>
    <definedName name="_______________A65555" localSheetId="0">#REF!</definedName>
    <definedName name="_______________A65555">#REF!</definedName>
    <definedName name="_______________A65658" localSheetId="0">#REF!</definedName>
    <definedName name="_______________A65658">#REF!</definedName>
    <definedName name="_______________bol1" localSheetId="0">#REF!</definedName>
    <definedName name="_______________bol1">#REF!</definedName>
    <definedName name="_______________lb1" localSheetId="0">#REF!</definedName>
    <definedName name="_______________lb1">#REF!</definedName>
    <definedName name="_______________lb2" localSheetId="0">#REF!</definedName>
    <definedName name="_______________lb2">#REF!</definedName>
    <definedName name="_______________mm1" localSheetId="0">#REF!</definedName>
    <definedName name="_______________mm1">#REF!</definedName>
    <definedName name="_______________mm2" localSheetId="0">#REF!</definedName>
    <definedName name="_______________mm2">#REF!</definedName>
    <definedName name="_______________mm3" localSheetId="0">#REF!</definedName>
    <definedName name="_______________mm3">#REF!</definedName>
    <definedName name="______________a65537" localSheetId="0">#REF!</definedName>
    <definedName name="______________a65537">#REF!</definedName>
    <definedName name="______________A65555" localSheetId="0">#REF!</definedName>
    <definedName name="______________A65555">#REF!</definedName>
    <definedName name="______________A65658" localSheetId="0">#REF!</definedName>
    <definedName name="______________A65658">#REF!</definedName>
    <definedName name="______________bol1" localSheetId="0">#REF!</definedName>
    <definedName name="______________bol1">#REF!</definedName>
    <definedName name="______________lb1" localSheetId="0">#REF!</definedName>
    <definedName name="______________lb1">#REF!</definedName>
    <definedName name="______________lb2" localSheetId="0">#REF!</definedName>
    <definedName name="______________lb2">#REF!</definedName>
    <definedName name="______________mm1" localSheetId="0">#REF!</definedName>
    <definedName name="______________mm1">#REF!</definedName>
    <definedName name="______________mm2" localSheetId="0">#REF!</definedName>
    <definedName name="______________mm2">#REF!</definedName>
    <definedName name="______________mm3" localSheetId="0">#REF!</definedName>
    <definedName name="______________mm3">#REF!</definedName>
    <definedName name="_____________a65537" localSheetId="0">#REF!</definedName>
    <definedName name="_____________a65537">#REF!</definedName>
    <definedName name="_____________A65555" localSheetId="0">#REF!</definedName>
    <definedName name="_____________A65555">#REF!</definedName>
    <definedName name="_____________A65658" localSheetId="0">#REF!</definedName>
    <definedName name="_____________A65658">#REF!</definedName>
    <definedName name="_____________aaa5" localSheetId="0">#REF!</definedName>
    <definedName name="_____________aaa5">#REF!</definedName>
    <definedName name="_____________bol1" localSheetId="0">#REF!</definedName>
    <definedName name="_____________bol1">#REF!</definedName>
    <definedName name="_____________lb1" localSheetId="0">#REF!</definedName>
    <definedName name="_____________lb1">#REF!</definedName>
    <definedName name="_____________lb2" localSheetId="0">#REF!</definedName>
    <definedName name="_____________lb2">#REF!</definedName>
    <definedName name="_____________mm1" localSheetId="0">#REF!</definedName>
    <definedName name="_____________mm1">#REF!</definedName>
    <definedName name="_____________mm2" localSheetId="0">#REF!</definedName>
    <definedName name="_____________mm2">#REF!</definedName>
    <definedName name="_____________mm3" localSheetId="0">#REF!</definedName>
    <definedName name="_____________mm3">#REF!</definedName>
    <definedName name="____________a65537" localSheetId="0">#REF!</definedName>
    <definedName name="____________a65537">#REF!</definedName>
    <definedName name="____________A65555" localSheetId="0">#REF!</definedName>
    <definedName name="____________A65555">#REF!</definedName>
    <definedName name="____________A65658" localSheetId="0">#REF!</definedName>
    <definedName name="____________A65658">#REF!</definedName>
    <definedName name="____________aaa5" localSheetId="0">#REF!</definedName>
    <definedName name="____________aaa5">#REF!</definedName>
    <definedName name="____________bol1" localSheetId="0">#REF!</definedName>
    <definedName name="____________bol1">#REF!</definedName>
    <definedName name="____________lb1" localSheetId="0">#REF!</definedName>
    <definedName name="____________lb1">#REF!</definedName>
    <definedName name="____________lb2" localSheetId="0">#REF!</definedName>
    <definedName name="____________lb2">#REF!</definedName>
    <definedName name="____________mm1" localSheetId="0">#REF!</definedName>
    <definedName name="____________mm1">#REF!</definedName>
    <definedName name="____________mm2" localSheetId="0">#REF!</definedName>
    <definedName name="____________mm2">#REF!</definedName>
    <definedName name="____________mm3" localSheetId="0">#REF!</definedName>
    <definedName name="____________mm3">#REF!</definedName>
    <definedName name="___________a65537" localSheetId="0">#REF!</definedName>
    <definedName name="___________a65537">#REF!</definedName>
    <definedName name="___________A65555" localSheetId="0">#REF!</definedName>
    <definedName name="___________A65555">#REF!</definedName>
    <definedName name="___________A65658" localSheetId="0">#REF!</definedName>
    <definedName name="___________A65658">#REF!</definedName>
    <definedName name="___________aaa5" localSheetId="0">#REF!</definedName>
    <definedName name="___________aaa5">#REF!</definedName>
    <definedName name="___________bol1" localSheetId="0">#REF!</definedName>
    <definedName name="___________bol1">#REF!</definedName>
    <definedName name="___________lb1" localSheetId="0">#REF!</definedName>
    <definedName name="___________lb1">#REF!</definedName>
    <definedName name="___________lb2" localSheetId="0">#REF!</definedName>
    <definedName name="___________lb2">#REF!</definedName>
    <definedName name="___________mm1" localSheetId="0">#REF!</definedName>
    <definedName name="___________mm1">#REF!</definedName>
    <definedName name="___________mm2" localSheetId="0">#REF!</definedName>
    <definedName name="___________mm2">#REF!</definedName>
    <definedName name="___________mm3" localSheetId="0">#REF!</definedName>
    <definedName name="___________mm3">#REF!</definedName>
    <definedName name="__________a65537" localSheetId="0">#REF!</definedName>
    <definedName name="__________a65537">#REF!</definedName>
    <definedName name="__________A65555" localSheetId="0">#REF!</definedName>
    <definedName name="__________A65555">#REF!</definedName>
    <definedName name="__________A65658" localSheetId="0">#REF!</definedName>
    <definedName name="__________A65658">#REF!</definedName>
    <definedName name="__________aaa5" localSheetId="0">#REF!</definedName>
    <definedName name="__________aaa5">#REF!</definedName>
    <definedName name="__________B19000" localSheetId="0">#REF!</definedName>
    <definedName name="__________B19000">#REF!</definedName>
    <definedName name="__________B19999" localSheetId="0">#REF!</definedName>
    <definedName name="__________B19999">#REF!</definedName>
    <definedName name="__________B20000" localSheetId="0">#REF!</definedName>
    <definedName name="__________B20000">#REF!</definedName>
    <definedName name="__________bol1" localSheetId="0">#REF!</definedName>
    <definedName name="__________bol1">#REF!</definedName>
    <definedName name="__________e20000" localSheetId="0">#REF!</definedName>
    <definedName name="__________e20000">#REF!</definedName>
    <definedName name="__________e99991" localSheetId="0">#REF!</definedName>
    <definedName name="__________e99991">#REF!</definedName>
    <definedName name="__________lb1" localSheetId="0">#REF!</definedName>
    <definedName name="__________lb1">#REF!</definedName>
    <definedName name="__________lb2" localSheetId="0">#REF!</definedName>
    <definedName name="__________lb2">#REF!</definedName>
    <definedName name="__________mm1" localSheetId="0">#REF!</definedName>
    <definedName name="__________mm1">#REF!</definedName>
    <definedName name="__________mm2" localSheetId="0">#REF!</definedName>
    <definedName name="__________mm2">#REF!</definedName>
    <definedName name="__________mm3" localSheetId="0">#REF!</definedName>
    <definedName name="__________mm3">#REF!</definedName>
    <definedName name="_________a65537" localSheetId="0">#REF!</definedName>
    <definedName name="_________a65537">#REF!</definedName>
    <definedName name="_________A65555" localSheetId="0">#REF!</definedName>
    <definedName name="_________A65555">#REF!</definedName>
    <definedName name="_________A65658" localSheetId="0">#REF!</definedName>
    <definedName name="_________A65658">#REF!</definedName>
    <definedName name="_________aaa5" localSheetId="0">#REF!</definedName>
    <definedName name="_________aaa5">#REF!</definedName>
    <definedName name="_________B19000" localSheetId="0">#REF!</definedName>
    <definedName name="_________B19000">#REF!</definedName>
    <definedName name="_________B19999" localSheetId="0">#REF!</definedName>
    <definedName name="_________B19999">#REF!</definedName>
    <definedName name="_________B20000" localSheetId="0">#REF!</definedName>
    <definedName name="_________B20000">#REF!</definedName>
    <definedName name="_________bol1" localSheetId="0">#REF!</definedName>
    <definedName name="_________bol1">#REF!</definedName>
    <definedName name="_________e20000" localSheetId="0">#REF!</definedName>
    <definedName name="_________e20000">#REF!</definedName>
    <definedName name="_________e99991" localSheetId="0">#REF!</definedName>
    <definedName name="_________e99991">#REF!</definedName>
    <definedName name="_________KC139" localSheetId="0">#REF!</definedName>
    <definedName name="_________KC139">#REF!</definedName>
    <definedName name="_________lb1" localSheetId="0">#REF!</definedName>
    <definedName name="_________lb1">#REF!</definedName>
    <definedName name="_________lb2" localSheetId="0">#REF!</definedName>
    <definedName name="_________lb2">#REF!</definedName>
    <definedName name="_________mm1" localSheetId="0">#REF!</definedName>
    <definedName name="_________mm1">#REF!</definedName>
    <definedName name="_________mm2" localSheetId="0">#REF!</definedName>
    <definedName name="_________mm2">#REF!</definedName>
    <definedName name="_________mm3" localSheetId="0">#REF!</definedName>
    <definedName name="_________mm3">#REF!</definedName>
    <definedName name="________a65537" localSheetId="0">#REF!</definedName>
    <definedName name="________a65537">#REF!</definedName>
    <definedName name="________A65555" localSheetId="0">#REF!</definedName>
    <definedName name="________A65555">#REF!</definedName>
    <definedName name="________A65658" localSheetId="0">#REF!</definedName>
    <definedName name="________A65658">#REF!</definedName>
    <definedName name="________aaa10" localSheetId="0">#REF!</definedName>
    <definedName name="________aaa10">#REF!</definedName>
    <definedName name="________aaa5" localSheetId="0">#REF!</definedName>
    <definedName name="________aaa5">#REF!</definedName>
    <definedName name="________aaa55" localSheetId="0">#REF!</definedName>
    <definedName name="________aaa55">#REF!</definedName>
    <definedName name="________aad55" localSheetId="0">#REF!</definedName>
    <definedName name="________aad55">#REF!</definedName>
    <definedName name="________B19000" localSheetId="0">#REF!</definedName>
    <definedName name="________B19000">#REF!</definedName>
    <definedName name="________B19999" localSheetId="0">#REF!</definedName>
    <definedName name="________B19999">#REF!</definedName>
    <definedName name="________B20000" localSheetId="0">#REF!</definedName>
    <definedName name="________B20000">#REF!</definedName>
    <definedName name="________bol1" localSheetId="0">#REF!</definedName>
    <definedName name="________bol1">#REF!</definedName>
    <definedName name="________e20000" localSheetId="0">#REF!</definedName>
    <definedName name="________e20000">#REF!</definedName>
    <definedName name="________e99991" localSheetId="0">#REF!</definedName>
    <definedName name="________e99991">#REF!</definedName>
    <definedName name="________exc1" localSheetId="0">#REF!</definedName>
    <definedName name="________exc1">#REF!</definedName>
    <definedName name="________exc11" localSheetId="0">#REF!</definedName>
    <definedName name="________exc11">#REF!</definedName>
    <definedName name="________exc2" localSheetId="0">#REF!</definedName>
    <definedName name="________exc2">#REF!</definedName>
    <definedName name="________EXC3" localSheetId="0">#REF!</definedName>
    <definedName name="________EXC3">#REF!</definedName>
    <definedName name="________EXC4" localSheetId="0">#REF!</definedName>
    <definedName name="________EXC4">#REF!</definedName>
    <definedName name="________foo1" localSheetId="0">#REF!</definedName>
    <definedName name="________foo1">#REF!</definedName>
    <definedName name="________foo2" localSheetId="0">#REF!</definedName>
    <definedName name="________foo2">#REF!</definedName>
    <definedName name="________foo3" localSheetId="0">#REF!</definedName>
    <definedName name="________foo3">#REF!</definedName>
    <definedName name="________FOO4" localSheetId="0">#REF!</definedName>
    <definedName name="________FOO4">#REF!</definedName>
    <definedName name="________KC139" localSheetId="0">#REF!</definedName>
    <definedName name="________KC139">#REF!</definedName>
    <definedName name="________lb1" localSheetId="0">#REF!</definedName>
    <definedName name="________lb1">#REF!</definedName>
    <definedName name="________lb2" localSheetId="0">#REF!</definedName>
    <definedName name="________lb2">#REF!</definedName>
    <definedName name="________mm1" localSheetId="0">#REF!</definedName>
    <definedName name="________mm1">#REF!</definedName>
    <definedName name="________mm2" localSheetId="0">#REF!</definedName>
    <definedName name="________mm2">#REF!</definedName>
    <definedName name="________mm3" localSheetId="0">#REF!</definedName>
    <definedName name="________mm3">#REF!</definedName>
    <definedName name="________pcc1" localSheetId="0">#REF!</definedName>
    <definedName name="________pcc1">#REF!</definedName>
    <definedName name="________pcc2" localSheetId="0">#REF!</definedName>
    <definedName name="________pcc2">#REF!</definedName>
    <definedName name="________pcc3" localSheetId="0">#REF!</definedName>
    <definedName name="________pcc3">#REF!</definedName>
    <definedName name="________PCC4" localSheetId="0">#REF!</definedName>
    <definedName name="________PCC4">#REF!</definedName>
    <definedName name="________plb1" localSheetId="0">#REF!</definedName>
    <definedName name="________plb1">#REF!</definedName>
    <definedName name="________plb2" localSheetId="0">#REF!</definedName>
    <definedName name="________plb2">#REF!</definedName>
    <definedName name="________plb3" localSheetId="0">#REF!</definedName>
    <definedName name="________plb3">#REF!</definedName>
    <definedName name="________plb4" localSheetId="0">#REF!</definedName>
    <definedName name="________plb4">#REF!</definedName>
    <definedName name="________sec1" localSheetId="0">#REF!</definedName>
    <definedName name="________sec1">#REF!</definedName>
    <definedName name="________Sec2" localSheetId="0">#REF!</definedName>
    <definedName name="________Sec2">#REF!</definedName>
    <definedName name="________sec3" localSheetId="0">#REF!</definedName>
    <definedName name="________sec3">#REF!</definedName>
    <definedName name="________Sec4" localSheetId="0">#REF!</definedName>
    <definedName name="________Sec4">#REF!</definedName>
    <definedName name="________sec5" localSheetId="0">#REF!</definedName>
    <definedName name="________sec5">#REF!</definedName>
    <definedName name="________sec6" localSheetId="0">#REF!</definedName>
    <definedName name="________sec6">#REF!</definedName>
    <definedName name="________sec7" localSheetId="0">#REF!</definedName>
    <definedName name="________sec7">#REF!</definedName>
    <definedName name="________sec71" localSheetId="0">#REF!</definedName>
    <definedName name="________sec71">#REF!</definedName>
    <definedName name="________SEC77" localSheetId="0">#REF!</definedName>
    <definedName name="________SEC77">#REF!</definedName>
    <definedName name="________sec8" localSheetId="0">#REF!</definedName>
    <definedName name="________sec8">#REF!</definedName>
    <definedName name="________sec81" localSheetId="0">#REF!</definedName>
    <definedName name="________sec81">#REF!</definedName>
    <definedName name="________SEC88" localSheetId="0">#REF!</definedName>
    <definedName name="________SEC88">#REF!</definedName>
    <definedName name="________SEC9" localSheetId="0">#REF!</definedName>
    <definedName name="________SEC9">#REF!</definedName>
    <definedName name="_______a65537" localSheetId="0">#REF!</definedName>
    <definedName name="_______a65537">#REF!</definedName>
    <definedName name="_______A65555" localSheetId="0">#REF!</definedName>
    <definedName name="_______A65555">#REF!</definedName>
    <definedName name="_______A65658" localSheetId="0">#REF!</definedName>
    <definedName name="_______A65658">#REF!</definedName>
    <definedName name="_______aaa10" localSheetId="0">#REF!</definedName>
    <definedName name="_______aaa10">#REF!</definedName>
    <definedName name="_______aaa5" localSheetId="0">#REF!</definedName>
    <definedName name="_______aaa5">#REF!</definedName>
    <definedName name="_______AAA51" localSheetId="0">#REF!</definedName>
    <definedName name="_______AAA51">#REF!</definedName>
    <definedName name="_______aaa55" localSheetId="0">#REF!</definedName>
    <definedName name="_______aaa55">#REF!</definedName>
    <definedName name="_______AAA6" localSheetId="0">#REF!</definedName>
    <definedName name="_______AAA6">#REF!</definedName>
    <definedName name="_______AAA7" localSheetId="0">#REF!</definedName>
    <definedName name="_______AAA7">#REF!</definedName>
    <definedName name="_______AAD5" localSheetId="0">#REF!</definedName>
    <definedName name="_______AAD5">#REF!</definedName>
    <definedName name="_______aad55" localSheetId="0">#REF!</definedName>
    <definedName name="_______aad55">#REF!</definedName>
    <definedName name="_______b111121" localSheetId="0">#REF!</definedName>
    <definedName name="_______b111121">#REF!</definedName>
    <definedName name="_______B19000" localSheetId="0">#REF!</definedName>
    <definedName name="_______B19000">#REF!</definedName>
    <definedName name="_______B19999" localSheetId="0">#REF!</definedName>
    <definedName name="_______B19999">#REF!</definedName>
    <definedName name="_______B20000" localSheetId="0">#REF!</definedName>
    <definedName name="_______B20000">#REF!</definedName>
    <definedName name="_______bol1" localSheetId="0">#REF!</definedName>
    <definedName name="_______bol1">#REF!</definedName>
    <definedName name="_______Ctr10" localSheetId="0">#REF!</definedName>
    <definedName name="_______Ctr10">#REF!</definedName>
    <definedName name="_______e20000" localSheetId="0">#REF!</definedName>
    <definedName name="_______e20000">#REF!</definedName>
    <definedName name="_______e99991" localSheetId="0">#REF!</definedName>
    <definedName name="_______e99991">#REF!</definedName>
    <definedName name="_______exc1" localSheetId="0">#REF!</definedName>
    <definedName name="_______exc1">#REF!</definedName>
    <definedName name="_______exc11" localSheetId="0">#REF!</definedName>
    <definedName name="_______exc11">#REF!</definedName>
    <definedName name="_______exc2" localSheetId="0">#REF!</definedName>
    <definedName name="_______exc2">#REF!</definedName>
    <definedName name="_______EXC3" localSheetId="0">#REF!</definedName>
    <definedName name="_______EXC3">#REF!</definedName>
    <definedName name="_______EXC4" localSheetId="0">#REF!</definedName>
    <definedName name="_______EXC4">#REF!</definedName>
    <definedName name="_______flx200" localSheetId="0">#REF!</definedName>
    <definedName name="_______flx200">#REF!</definedName>
    <definedName name="_______flx250" localSheetId="0">#REF!</definedName>
    <definedName name="_______flx250">#REF!</definedName>
    <definedName name="_______flx300" localSheetId="0">#REF!</definedName>
    <definedName name="_______flx300">#REF!</definedName>
    <definedName name="_______foo1" localSheetId="0">#REF!</definedName>
    <definedName name="_______foo1">#REF!</definedName>
    <definedName name="_______foo2" localSheetId="0">#REF!</definedName>
    <definedName name="_______foo2">#REF!</definedName>
    <definedName name="_______foo3" localSheetId="0">#REF!</definedName>
    <definedName name="_______foo3">#REF!</definedName>
    <definedName name="_______FOO4" localSheetId="0">#REF!</definedName>
    <definedName name="_______FOO4">#REF!</definedName>
    <definedName name="_______KC139" localSheetId="0">#REF!</definedName>
    <definedName name="_______KC139">#REF!</definedName>
    <definedName name="_______Ki1" localSheetId="0">#REF!</definedName>
    <definedName name="_______Ki1">#REF!</definedName>
    <definedName name="_______Ki2" localSheetId="0">#REF!</definedName>
    <definedName name="_______Ki2">#REF!</definedName>
    <definedName name="_______lb1" localSheetId="0">#REF!</definedName>
    <definedName name="_______lb1">#REF!</definedName>
    <definedName name="_______lb2" localSheetId="0">#REF!</definedName>
    <definedName name="_______lb2">#REF!</definedName>
    <definedName name="_______MAN1" localSheetId="0">#REF!</definedName>
    <definedName name="_______MAN1">#REF!</definedName>
    <definedName name="_______mm1" localSheetId="0">#REF!</definedName>
    <definedName name="_______mm1">#REF!</definedName>
    <definedName name="_______mm2" localSheetId="0">#REF!</definedName>
    <definedName name="_______mm2">#REF!</definedName>
    <definedName name="_______mm3" localSheetId="0">#REF!</definedName>
    <definedName name="_______mm3">#REF!</definedName>
    <definedName name="_______new10" localSheetId="0">#REF!</definedName>
    <definedName name="_______new10">#REF!</definedName>
    <definedName name="_______new11" localSheetId="0">#REF!</definedName>
    <definedName name="_______new11">#REF!</definedName>
    <definedName name="_______new12" localSheetId="0">#REF!</definedName>
    <definedName name="_______new12">#REF!</definedName>
    <definedName name="_______new13" localSheetId="0">#REF!</definedName>
    <definedName name="_______new13">#REF!</definedName>
    <definedName name="_______new14" localSheetId="0">#REF!</definedName>
    <definedName name="_______new14">#REF!</definedName>
    <definedName name="_______new15" localSheetId="0">#REF!</definedName>
    <definedName name="_______new15">#REF!</definedName>
    <definedName name="_______new16" localSheetId="0">#REF!</definedName>
    <definedName name="_______new16">#REF!</definedName>
    <definedName name="_______new17" localSheetId="0">#REF!</definedName>
    <definedName name="_______new17">#REF!</definedName>
    <definedName name="_______new2" localSheetId="0">#REF!</definedName>
    <definedName name="_______new2">#REF!</definedName>
    <definedName name="_______new3" localSheetId="0">#REF!</definedName>
    <definedName name="_______new3">#REF!</definedName>
    <definedName name="_______new4" localSheetId="0">#REF!</definedName>
    <definedName name="_______new4">#REF!</definedName>
    <definedName name="_______new5" localSheetId="0">#REF!</definedName>
    <definedName name="_______new5">#REF!</definedName>
    <definedName name="_______new6" localSheetId="0">#REF!</definedName>
    <definedName name="_______new6">#REF!</definedName>
    <definedName name="_______new7" localSheetId="0">#REF!</definedName>
    <definedName name="_______new7">#REF!</definedName>
    <definedName name="_______new9" localSheetId="0">#REF!</definedName>
    <definedName name="_______new9">#REF!</definedName>
    <definedName name="_______PB1" localSheetId="0">#REF!</definedName>
    <definedName name="_______PB1">#REF!</definedName>
    <definedName name="_______pcc1" localSheetId="0">#REF!</definedName>
    <definedName name="_______pcc1">#REF!</definedName>
    <definedName name="_______pcc2" localSheetId="0">#REF!</definedName>
    <definedName name="_______pcc2">#REF!</definedName>
    <definedName name="_______pcc3" localSheetId="0">#REF!</definedName>
    <definedName name="_______pcc3">#REF!</definedName>
    <definedName name="_______PCC4" localSheetId="0">#REF!</definedName>
    <definedName name="_______PCC4">#REF!</definedName>
    <definedName name="_______plb1" localSheetId="0">#REF!</definedName>
    <definedName name="_______plb1">#REF!</definedName>
    <definedName name="_______plb2" localSheetId="0">#REF!</definedName>
    <definedName name="_______plb2">#REF!</definedName>
    <definedName name="_______plb3" localSheetId="0">#REF!</definedName>
    <definedName name="_______plb3">#REF!</definedName>
    <definedName name="_______plb4" localSheetId="0">#REF!</definedName>
    <definedName name="_______plb4">#REF!</definedName>
    <definedName name="_______sec1" localSheetId="0">#REF!</definedName>
    <definedName name="_______sec1">#REF!</definedName>
    <definedName name="_______Sec2" localSheetId="0">#REF!</definedName>
    <definedName name="_______Sec2">#REF!</definedName>
    <definedName name="_______sec3" localSheetId="0">#REF!</definedName>
    <definedName name="_______sec3">#REF!</definedName>
    <definedName name="_______Sec4" localSheetId="0">#REF!</definedName>
    <definedName name="_______Sec4">#REF!</definedName>
    <definedName name="_______sec5" localSheetId="0">#REF!</definedName>
    <definedName name="_______sec5">#REF!</definedName>
    <definedName name="_______sec6" localSheetId="0">#REF!</definedName>
    <definedName name="_______sec6">#REF!</definedName>
    <definedName name="_______sec7" localSheetId="0">#REF!</definedName>
    <definedName name="_______sec7">#REF!</definedName>
    <definedName name="_______sec71" localSheetId="0">#REF!</definedName>
    <definedName name="_______sec71">#REF!</definedName>
    <definedName name="_______SEC77" localSheetId="0">#REF!</definedName>
    <definedName name="_______SEC77">#REF!</definedName>
    <definedName name="_______sec8" localSheetId="0">#REF!</definedName>
    <definedName name="_______sec8">#REF!</definedName>
    <definedName name="_______sec81" localSheetId="0">#REF!</definedName>
    <definedName name="_______sec81">#REF!</definedName>
    <definedName name="_______SEC88" localSheetId="0">#REF!</definedName>
    <definedName name="_______SEC88">#REF!</definedName>
    <definedName name="_______SEC9" localSheetId="0">#REF!</definedName>
    <definedName name="_______SEC9">#REF!</definedName>
    <definedName name="_______SH1" localSheetId="0">#REF!</definedName>
    <definedName name="_______SH1">#REF!</definedName>
    <definedName name="_______SH2" localSheetId="0">#REF!</definedName>
    <definedName name="_______SH2">#REF!</definedName>
    <definedName name="_______SH3" localSheetId="0">#REF!</definedName>
    <definedName name="_______SH3">#REF!</definedName>
    <definedName name="_______SH4" localSheetId="0">#REF!</definedName>
    <definedName name="_______SH4">#REF!</definedName>
    <definedName name="_______SH5" localSheetId="0">#REF!</definedName>
    <definedName name="_______SH5">#REF!</definedName>
    <definedName name="_______tk1" localSheetId="0">#REF!</definedName>
    <definedName name="_______tk1">#REF!</definedName>
    <definedName name="______a65537" localSheetId="0">#REF!</definedName>
    <definedName name="______a65537">#REF!</definedName>
    <definedName name="______A65555" localSheetId="0">#REF!</definedName>
    <definedName name="______A65555">#REF!</definedName>
    <definedName name="______A655600" localSheetId="0">#REF!</definedName>
    <definedName name="______A655600">#REF!</definedName>
    <definedName name="______A65658" localSheetId="0">#REF!</definedName>
    <definedName name="______A65658">#REF!</definedName>
    <definedName name="______aaa10" localSheetId="0">#REF!</definedName>
    <definedName name="______aaa10">#REF!</definedName>
    <definedName name="______aaa5" localSheetId="0">#REF!</definedName>
    <definedName name="______aaa5">#REF!</definedName>
    <definedName name="______AAA51" localSheetId="0">#REF!</definedName>
    <definedName name="______AAA51">#REF!</definedName>
    <definedName name="______aaa55" localSheetId="0">#REF!</definedName>
    <definedName name="______aaa55">#REF!</definedName>
    <definedName name="______AAA6" localSheetId="0">#REF!</definedName>
    <definedName name="______AAA6">#REF!</definedName>
    <definedName name="______AAA7" localSheetId="0">#REF!</definedName>
    <definedName name="______AAA7">#REF!</definedName>
    <definedName name="______AAD5" localSheetId="0">#REF!</definedName>
    <definedName name="______AAD5">#REF!</definedName>
    <definedName name="______aad55" localSheetId="0">#REF!</definedName>
    <definedName name="______aad55">#REF!</definedName>
    <definedName name="______alt1" localSheetId="0">#REF!</definedName>
    <definedName name="______alt1">#REF!</definedName>
    <definedName name="______ALT2" localSheetId="0">#REF!</definedName>
    <definedName name="______ALT2">#REF!</definedName>
    <definedName name="______ALT3" localSheetId="0">#REF!</definedName>
    <definedName name="______ALT3">#REF!</definedName>
    <definedName name="______ALT4" localSheetId="0">#REF!</definedName>
    <definedName name="______ALT4">#REF!</definedName>
    <definedName name="______b111121" localSheetId="0">#REF!</definedName>
    <definedName name="______b111121">#REF!</definedName>
    <definedName name="______B19000" localSheetId="0">#REF!</definedName>
    <definedName name="______B19000">#REF!</definedName>
    <definedName name="______B19999" localSheetId="0">#REF!</definedName>
    <definedName name="______B19999">#REF!</definedName>
    <definedName name="______B20000" localSheetId="0">#REF!</definedName>
    <definedName name="______B20000">#REF!</definedName>
    <definedName name="______bol1" localSheetId="0">#REF!</definedName>
    <definedName name="______bol1">#REF!</definedName>
    <definedName name="______Ctr10" localSheetId="0">#REF!</definedName>
    <definedName name="______Ctr10">#REF!</definedName>
    <definedName name="______e20000" localSheetId="0">#REF!</definedName>
    <definedName name="______e20000">#REF!</definedName>
    <definedName name="______e99991" localSheetId="0">#REF!</definedName>
    <definedName name="______e99991">#REF!</definedName>
    <definedName name="______exc1" localSheetId="0">#REF!</definedName>
    <definedName name="______exc1">#REF!</definedName>
    <definedName name="______exc11" localSheetId="0">#REF!</definedName>
    <definedName name="______exc11">#REF!</definedName>
    <definedName name="______exc2" localSheetId="0">#REF!</definedName>
    <definedName name="______exc2">#REF!</definedName>
    <definedName name="______EXC3" localSheetId="0">#REF!</definedName>
    <definedName name="______EXC3">#REF!</definedName>
    <definedName name="______EXC4" localSheetId="0">#REF!</definedName>
    <definedName name="______EXC4">#REF!</definedName>
    <definedName name="______flx200" localSheetId="0">#REF!</definedName>
    <definedName name="______flx200">#REF!</definedName>
    <definedName name="______flx250" localSheetId="0">#REF!</definedName>
    <definedName name="______flx250">#REF!</definedName>
    <definedName name="______flx300" localSheetId="0">#REF!</definedName>
    <definedName name="______flx300">#REF!</definedName>
    <definedName name="______foo1" localSheetId="0">#REF!</definedName>
    <definedName name="______foo1">#REF!</definedName>
    <definedName name="______foo2" localSheetId="0">#REF!</definedName>
    <definedName name="______foo2">#REF!</definedName>
    <definedName name="______foo3" localSheetId="0">#REF!</definedName>
    <definedName name="______foo3">#REF!</definedName>
    <definedName name="______FOO4" localSheetId="0">#REF!</definedName>
    <definedName name="______FOO4">#REF!</definedName>
    <definedName name="______KC139" localSheetId="0">#REF!</definedName>
    <definedName name="______KC139">#REF!</definedName>
    <definedName name="______Ki1" localSheetId="0">#REF!</definedName>
    <definedName name="______Ki1">#REF!</definedName>
    <definedName name="______Ki2" localSheetId="0">#REF!</definedName>
    <definedName name="______Ki2">#REF!</definedName>
    <definedName name="______lb1" localSheetId="0">#REF!</definedName>
    <definedName name="______lb1">#REF!</definedName>
    <definedName name="______lb2" localSheetId="0">#REF!</definedName>
    <definedName name="______lb2">#REF!</definedName>
    <definedName name="______MAN1" localSheetId="0">#REF!</definedName>
    <definedName name="______MAN1">#REF!</definedName>
    <definedName name="______mm1" localSheetId="0">#REF!</definedName>
    <definedName name="______mm1">#REF!</definedName>
    <definedName name="______mm2" localSheetId="0">#REF!</definedName>
    <definedName name="______mm2">#REF!</definedName>
    <definedName name="______mm3" localSheetId="0">#REF!</definedName>
    <definedName name="______mm3">#REF!</definedName>
    <definedName name="______MN1" localSheetId="0">#REF!</definedName>
    <definedName name="______MN1">#REF!</definedName>
    <definedName name="______PB1" localSheetId="0">#REF!</definedName>
    <definedName name="______PB1">#REF!</definedName>
    <definedName name="______pcc1" localSheetId="0">#REF!</definedName>
    <definedName name="______pcc1">#REF!</definedName>
    <definedName name="______pcc2" localSheetId="0">#REF!</definedName>
    <definedName name="______pcc2">#REF!</definedName>
    <definedName name="______pcc3" localSheetId="0">#REF!</definedName>
    <definedName name="______pcc3">#REF!</definedName>
    <definedName name="______PCC4" localSheetId="0">#REF!</definedName>
    <definedName name="______PCC4">#REF!</definedName>
    <definedName name="______plb1" localSheetId="0">#REF!</definedName>
    <definedName name="______plb1">#REF!</definedName>
    <definedName name="______plb2" localSheetId="0">#REF!</definedName>
    <definedName name="______plb2">#REF!</definedName>
    <definedName name="______plb3" localSheetId="0">#REF!</definedName>
    <definedName name="______plb3">#REF!</definedName>
    <definedName name="______plb4" localSheetId="0">#REF!</definedName>
    <definedName name="______plb4">#REF!</definedName>
    <definedName name="______sec1" localSheetId="0">#REF!</definedName>
    <definedName name="______sec1">#REF!</definedName>
    <definedName name="______Sec2" localSheetId="0">#REF!</definedName>
    <definedName name="______Sec2">#REF!</definedName>
    <definedName name="______sec3" localSheetId="0">#REF!</definedName>
    <definedName name="______sec3">#REF!</definedName>
    <definedName name="______Sec4" localSheetId="0">#REF!</definedName>
    <definedName name="______Sec4">#REF!</definedName>
    <definedName name="______sec5" localSheetId="0">#REF!</definedName>
    <definedName name="______sec5">#REF!</definedName>
    <definedName name="______sec6" localSheetId="0">#REF!</definedName>
    <definedName name="______sec6">#REF!</definedName>
    <definedName name="______sec7" localSheetId="0">#REF!</definedName>
    <definedName name="______sec7">#REF!</definedName>
    <definedName name="______sec71" localSheetId="0">#REF!</definedName>
    <definedName name="______sec71">#REF!</definedName>
    <definedName name="______SEC77" localSheetId="0">#REF!</definedName>
    <definedName name="______SEC77">#REF!</definedName>
    <definedName name="______sec8" localSheetId="0">#REF!</definedName>
    <definedName name="______sec8">#REF!</definedName>
    <definedName name="______sec81" localSheetId="0">#REF!</definedName>
    <definedName name="______sec81">#REF!</definedName>
    <definedName name="______SEC88" localSheetId="0">#REF!</definedName>
    <definedName name="______SEC88">#REF!</definedName>
    <definedName name="______SEC9" localSheetId="0">#REF!</definedName>
    <definedName name="______SEC9">#REF!</definedName>
    <definedName name="______SH1" localSheetId="0">#REF!</definedName>
    <definedName name="______SH1">#REF!</definedName>
    <definedName name="______SH2" localSheetId="0">#REF!</definedName>
    <definedName name="______SH2">#REF!</definedName>
    <definedName name="______SH3" localSheetId="0">#REF!</definedName>
    <definedName name="______SH3">#REF!</definedName>
    <definedName name="______SH4" localSheetId="0">#REF!</definedName>
    <definedName name="______SH4">#REF!</definedName>
    <definedName name="______SH5" localSheetId="0">#REF!</definedName>
    <definedName name="______SH5">#REF!</definedName>
    <definedName name="______tk1" localSheetId="0">#REF!</definedName>
    <definedName name="______tk1">#REF!</definedName>
    <definedName name="______TTL1" localSheetId="0">#REF!</definedName>
    <definedName name="______TTL1">#REF!</definedName>
    <definedName name="______TTL2" localSheetId="0">#REF!</definedName>
    <definedName name="______TTL2">#REF!</definedName>
    <definedName name="______TTL3" localSheetId="0">#REF!</definedName>
    <definedName name="______TTL3">#REF!</definedName>
    <definedName name="______TTL4" localSheetId="0">#REF!</definedName>
    <definedName name="______TTL4">#REF!</definedName>
    <definedName name="______TTL5" localSheetId="0">#REF!</definedName>
    <definedName name="______TTL5">#REF!</definedName>
    <definedName name="______TTL6" localSheetId="0">#REF!</definedName>
    <definedName name="______TTL6">#REF!</definedName>
    <definedName name="______U14" localSheetId="0">#REF!</definedName>
    <definedName name="______U14">#REF!</definedName>
    <definedName name="______U60" localSheetId="0">#REF!</definedName>
    <definedName name="______U60">#REF!</definedName>
    <definedName name="_____a65537" localSheetId="0">#REF!</definedName>
    <definedName name="_____a65537">#REF!</definedName>
    <definedName name="_____A65555" localSheetId="0">#REF!</definedName>
    <definedName name="_____A65555">#REF!</definedName>
    <definedName name="_____A655600" localSheetId="0">#REF!</definedName>
    <definedName name="_____A655600">#REF!</definedName>
    <definedName name="_____A65658" localSheetId="0">#REF!</definedName>
    <definedName name="_____A65658">#REF!</definedName>
    <definedName name="_____aaa10" localSheetId="0">#REF!</definedName>
    <definedName name="_____aaa10">#REF!</definedName>
    <definedName name="_____aaa11" localSheetId="0">#REF!</definedName>
    <definedName name="_____aaa11">#REF!</definedName>
    <definedName name="_____AAA12" localSheetId="0">#REF!</definedName>
    <definedName name="_____AAA12">#REF!</definedName>
    <definedName name="_____AAA21" localSheetId="0">#REF!</definedName>
    <definedName name="_____AAA21">#REF!</definedName>
    <definedName name="_____aaa23" localSheetId="0">#REF!</definedName>
    <definedName name="_____aaa23">#REF!</definedName>
    <definedName name="_____aaa5" localSheetId="0">#REF!</definedName>
    <definedName name="_____aaa5">#REF!</definedName>
    <definedName name="_____AAA51" localSheetId="0">#REF!</definedName>
    <definedName name="_____AAA51">#REF!</definedName>
    <definedName name="_____AAA53" localSheetId="0">#REF!</definedName>
    <definedName name="_____AAA53">#REF!</definedName>
    <definedName name="_____aaa54" localSheetId="0">#REF!</definedName>
    <definedName name="_____aaa54">#REF!</definedName>
    <definedName name="_____aaa545" localSheetId="0">#REF!</definedName>
    <definedName name="_____aaa545">#REF!</definedName>
    <definedName name="_____aaa55" localSheetId="0">#REF!</definedName>
    <definedName name="_____aaa55">#REF!</definedName>
    <definedName name="_____aaa56" localSheetId="0">#REF!</definedName>
    <definedName name="_____aaa56">#REF!</definedName>
    <definedName name="_____AAA57" localSheetId="0">#REF!</definedName>
    <definedName name="_____AAA57">#REF!</definedName>
    <definedName name="_____aaa59" localSheetId="0">#REF!</definedName>
    <definedName name="_____aaa59">#REF!</definedName>
    <definedName name="_____AAA6" localSheetId="0">#REF!</definedName>
    <definedName name="_____AAA6">#REF!</definedName>
    <definedName name="_____AAA66" localSheetId="0">#REF!</definedName>
    <definedName name="_____AAA66">#REF!</definedName>
    <definedName name="_____AAA7" localSheetId="0">#REF!</definedName>
    <definedName name="_____AAA7">#REF!</definedName>
    <definedName name="_____AAD5" localSheetId="0">#REF!</definedName>
    <definedName name="_____AAD5">#REF!</definedName>
    <definedName name="_____aad55" localSheetId="0">#REF!</definedName>
    <definedName name="_____aad55">#REF!</definedName>
    <definedName name="_____AAD56" localSheetId="0">#REF!</definedName>
    <definedName name="_____AAD56">#REF!</definedName>
    <definedName name="_____AAD57" localSheetId="0">#REF!</definedName>
    <definedName name="_____AAD57">#REF!</definedName>
    <definedName name="_____alt1" localSheetId="0">#REF!</definedName>
    <definedName name="_____alt1">#REF!</definedName>
    <definedName name="_____ALT2" localSheetId="0">#REF!</definedName>
    <definedName name="_____ALT2">#REF!</definedName>
    <definedName name="_____ALT3" localSheetId="0">#REF!</definedName>
    <definedName name="_____ALT3">#REF!</definedName>
    <definedName name="_____ALT4" localSheetId="0">#REF!</definedName>
    <definedName name="_____ALT4">#REF!</definedName>
    <definedName name="_____b111121" localSheetId="0">#REF!</definedName>
    <definedName name="_____b111121">#REF!</definedName>
    <definedName name="_____B19000" localSheetId="0">#REF!</definedName>
    <definedName name="_____B19000">#REF!</definedName>
    <definedName name="_____B19999" localSheetId="0">#REF!</definedName>
    <definedName name="_____B19999">#REF!</definedName>
    <definedName name="_____B20000" localSheetId="0">#REF!</definedName>
    <definedName name="_____B20000">#REF!</definedName>
    <definedName name="_____bol1" localSheetId="0">#REF!</definedName>
    <definedName name="_____bol1">#REF!</definedName>
    <definedName name="_____COL14" localSheetId="0">#REF!</definedName>
    <definedName name="_____COL14">#REF!</definedName>
    <definedName name="_____COL15" localSheetId="0">#REF!</definedName>
    <definedName name="_____COL15">#REF!</definedName>
    <definedName name="_____COL16" localSheetId="0">#REF!</definedName>
    <definedName name="_____COL16">#REF!</definedName>
    <definedName name="_____Ctr10" localSheetId="0">#REF!</definedName>
    <definedName name="_____Ctr10">#REF!</definedName>
    <definedName name="_____doc1" localSheetId="0">#REF!</definedName>
    <definedName name="_____doc1">#REF!</definedName>
    <definedName name="_____e20000" localSheetId="0">#REF!</definedName>
    <definedName name="_____e20000">#REF!</definedName>
    <definedName name="_____e99991" localSheetId="0">#REF!</definedName>
    <definedName name="_____e99991">#REF!</definedName>
    <definedName name="_____exc1" localSheetId="0">#REF!</definedName>
    <definedName name="_____exc1">#REF!</definedName>
    <definedName name="_____exc11" localSheetId="0">#REF!</definedName>
    <definedName name="_____exc11">#REF!</definedName>
    <definedName name="_____exc2" localSheetId="0">#REF!</definedName>
    <definedName name="_____exc2">#REF!</definedName>
    <definedName name="_____EXC3" localSheetId="0">#REF!</definedName>
    <definedName name="_____EXC3">#REF!</definedName>
    <definedName name="_____EXC4" localSheetId="0">#REF!</definedName>
    <definedName name="_____EXC4">#REF!</definedName>
    <definedName name="_____flx200" localSheetId="0">#REF!</definedName>
    <definedName name="_____flx200">#REF!</definedName>
    <definedName name="_____flx250" localSheetId="0">#REF!</definedName>
    <definedName name="_____flx250">#REF!</definedName>
    <definedName name="_____flx300" localSheetId="0">#REF!</definedName>
    <definedName name="_____flx300">#REF!</definedName>
    <definedName name="_____foo1" localSheetId="0">#REF!</definedName>
    <definedName name="_____foo1">#REF!</definedName>
    <definedName name="_____foo2" localSheetId="0">#REF!</definedName>
    <definedName name="_____foo2">#REF!</definedName>
    <definedName name="_____foo3" localSheetId="0">#REF!</definedName>
    <definedName name="_____foo3">#REF!</definedName>
    <definedName name="_____FOO4" localSheetId="0">#REF!</definedName>
    <definedName name="_____FOO4">#REF!</definedName>
    <definedName name="_____ind1" localSheetId="0">#REF!</definedName>
    <definedName name="_____ind1">#REF!</definedName>
    <definedName name="_____IND11" localSheetId="0">#REF!</definedName>
    <definedName name="_____IND11">#REF!</definedName>
    <definedName name="_____IND31" localSheetId="0">#REF!</definedName>
    <definedName name="_____IND31">#REF!</definedName>
    <definedName name="_____KC139" localSheetId="0">#REF!</definedName>
    <definedName name="_____KC139">#REF!</definedName>
    <definedName name="_____Ki1" localSheetId="0">#REF!</definedName>
    <definedName name="_____Ki1">#REF!</definedName>
    <definedName name="_____Ki2" localSheetId="0">#REF!</definedName>
    <definedName name="_____Ki2">#REF!</definedName>
    <definedName name="_____lb1" localSheetId="0">#REF!</definedName>
    <definedName name="_____lb1">#REF!</definedName>
    <definedName name="_____lb2" localSheetId="0">#REF!</definedName>
    <definedName name="_____lb2">#REF!</definedName>
    <definedName name="_____lsc44" localSheetId="0">#REF!</definedName>
    <definedName name="_____lsc44">#REF!</definedName>
    <definedName name="_____MAN1" localSheetId="0">#REF!</definedName>
    <definedName name="_____MAN1">#REF!</definedName>
    <definedName name="_____mm1" localSheetId="0">#REF!</definedName>
    <definedName name="_____mm1">#REF!</definedName>
    <definedName name="_____mm2" localSheetId="0">#REF!</definedName>
    <definedName name="_____mm2">#REF!</definedName>
    <definedName name="_____mm3" localSheetId="0">#REF!</definedName>
    <definedName name="_____mm3">#REF!</definedName>
    <definedName name="_____MN1" localSheetId="0">#REF!</definedName>
    <definedName name="_____MN1">#REF!</definedName>
    <definedName name="_____new10" localSheetId="0">#REF!</definedName>
    <definedName name="_____new10">#REF!</definedName>
    <definedName name="_____new11" localSheetId="0">#REF!</definedName>
    <definedName name="_____new11">#REF!</definedName>
    <definedName name="_____new12" localSheetId="0">#REF!</definedName>
    <definedName name="_____new12">#REF!</definedName>
    <definedName name="_____new13" localSheetId="0">#REF!</definedName>
    <definedName name="_____new13">#REF!</definedName>
    <definedName name="_____new14" localSheetId="0">#REF!</definedName>
    <definedName name="_____new14">#REF!</definedName>
    <definedName name="_____new15" localSheetId="0">#REF!</definedName>
    <definedName name="_____new15">#REF!</definedName>
    <definedName name="_____new16" localSheetId="0">#REF!</definedName>
    <definedName name="_____new16">#REF!</definedName>
    <definedName name="_____new17" localSheetId="0">#REF!</definedName>
    <definedName name="_____new17">#REF!</definedName>
    <definedName name="_____new2" localSheetId="0">#REF!</definedName>
    <definedName name="_____new2">#REF!</definedName>
    <definedName name="_____new3" localSheetId="0">#REF!</definedName>
    <definedName name="_____new3">#REF!</definedName>
    <definedName name="_____new4" localSheetId="0">#REF!</definedName>
    <definedName name="_____new4">#REF!</definedName>
    <definedName name="_____new5" localSheetId="0">#REF!</definedName>
    <definedName name="_____new5">#REF!</definedName>
    <definedName name="_____new6" localSheetId="0">#REF!</definedName>
    <definedName name="_____new6">#REF!</definedName>
    <definedName name="_____new7" localSheetId="0">#REF!</definedName>
    <definedName name="_____new7">#REF!</definedName>
    <definedName name="_____new9" localSheetId="0">#REF!</definedName>
    <definedName name="_____new9">#REF!</definedName>
    <definedName name="_____NN1" localSheetId="0">#REF!</definedName>
    <definedName name="_____NN1">#REF!</definedName>
    <definedName name="_____PB1" localSheetId="0">#REF!</definedName>
    <definedName name="_____PB1">#REF!</definedName>
    <definedName name="_____pcc1" localSheetId="0">#REF!</definedName>
    <definedName name="_____pcc1">#REF!</definedName>
    <definedName name="_____pcc2" localSheetId="0">#REF!</definedName>
    <definedName name="_____pcc2">#REF!</definedName>
    <definedName name="_____pcc3" localSheetId="0">#REF!</definedName>
    <definedName name="_____pcc3">#REF!</definedName>
    <definedName name="_____PCC4" localSheetId="0">#REF!</definedName>
    <definedName name="_____PCC4">#REF!</definedName>
    <definedName name="_____plb1" localSheetId="0">#REF!</definedName>
    <definedName name="_____plb1">#REF!</definedName>
    <definedName name="_____plb2" localSheetId="0">#REF!</definedName>
    <definedName name="_____plb2">#REF!</definedName>
    <definedName name="_____plb3" localSheetId="0">#REF!</definedName>
    <definedName name="_____plb3">#REF!</definedName>
    <definedName name="_____plb4" localSheetId="0">#REF!</definedName>
    <definedName name="_____plb4">#REF!</definedName>
    <definedName name="_____sec1" localSheetId="0">#REF!</definedName>
    <definedName name="_____sec1">#REF!</definedName>
    <definedName name="_____sec111" localSheetId="0">#REF!</definedName>
    <definedName name="_____sec111">#REF!</definedName>
    <definedName name="_____SEC15" localSheetId="0">#REF!</definedName>
    <definedName name="_____SEC15">#REF!</definedName>
    <definedName name="_____Sec2" localSheetId="0">#REF!</definedName>
    <definedName name="_____Sec2">#REF!</definedName>
    <definedName name="_____sec22" localSheetId="0">#REF!</definedName>
    <definedName name="_____sec22">#REF!</definedName>
    <definedName name="_____SEC23" localSheetId="0">#REF!</definedName>
    <definedName name="_____SEC23">#REF!</definedName>
    <definedName name="_____SEC24" localSheetId="0">#REF!</definedName>
    <definedName name="_____SEC24">#REF!</definedName>
    <definedName name="_____sec3" localSheetId="0">#REF!</definedName>
    <definedName name="_____sec3">#REF!</definedName>
    <definedName name="_____SEC32" localSheetId="0">#REF!</definedName>
    <definedName name="_____SEC32">#REF!</definedName>
    <definedName name="_____sec33" localSheetId="0">#REF!</definedName>
    <definedName name="_____sec33">#REF!</definedName>
    <definedName name="_____Sec4" localSheetId="0">#REF!</definedName>
    <definedName name="_____Sec4">#REF!</definedName>
    <definedName name="_____sec45" localSheetId="0">#REF!</definedName>
    <definedName name="_____sec45">#REF!</definedName>
    <definedName name="_____SEC46" localSheetId="0">#REF!</definedName>
    <definedName name="_____SEC46">#REF!</definedName>
    <definedName name="_____sec5" localSheetId="0">#REF!</definedName>
    <definedName name="_____sec5">#REF!</definedName>
    <definedName name="_____sec55" localSheetId="0">#REF!</definedName>
    <definedName name="_____sec55">#REF!</definedName>
    <definedName name="_____SEC56" localSheetId="0">#REF!</definedName>
    <definedName name="_____SEC56">#REF!</definedName>
    <definedName name="_____sec6" localSheetId="0">#REF!</definedName>
    <definedName name="_____sec6">#REF!</definedName>
    <definedName name="_____sec66" localSheetId="0">#REF!</definedName>
    <definedName name="_____sec66">#REF!</definedName>
    <definedName name="_____SEC67" localSheetId="0">#REF!</definedName>
    <definedName name="_____SEC67">#REF!</definedName>
    <definedName name="_____sec7" localSheetId="0">#REF!</definedName>
    <definedName name="_____sec7">#REF!</definedName>
    <definedName name="_____sec71" localSheetId="0">#REF!</definedName>
    <definedName name="_____sec71">#REF!</definedName>
    <definedName name="_____SEC72" localSheetId="0">#REF!</definedName>
    <definedName name="_____SEC72">#REF!</definedName>
    <definedName name="_____SEC74" localSheetId="0">#REF!</definedName>
    <definedName name="_____SEC74">#REF!</definedName>
    <definedName name="_____SEC75" localSheetId="0">#REF!</definedName>
    <definedName name="_____SEC75">#REF!</definedName>
    <definedName name="_____SEC77" localSheetId="0">#REF!</definedName>
    <definedName name="_____SEC77">#REF!</definedName>
    <definedName name="_____sec777" localSheetId="0">#REF!</definedName>
    <definedName name="_____sec777">#REF!</definedName>
    <definedName name="_____sec78" localSheetId="0">#REF!</definedName>
    <definedName name="_____sec78">#REF!</definedName>
    <definedName name="_____sec79" localSheetId="0">#REF!</definedName>
    <definedName name="_____sec79">#REF!</definedName>
    <definedName name="_____sec8" localSheetId="0">#REF!</definedName>
    <definedName name="_____sec8">#REF!</definedName>
    <definedName name="_____sec81" localSheetId="0">#REF!</definedName>
    <definedName name="_____sec81">#REF!</definedName>
    <definedName name="_____SEC82" localSheetId="0">#REF!</definedName>
    <definedName name="_____SEC82">#REF!</definedName>
    <definedName name="_____SEC83" localSheetId="0">#REF!</definedName>
    <definedName name="_____SEC83">#REF!</definedName>
    <definedName name="_____SEC87" localSheetId="0">#REF!</definedName>
    <definedName name="_____SEC87">#REF!</definedName>
    <definedName name="_____SEC88" localSheetId="0">#REF!</definedName>
    <definedName name="_____SEC88">#REF!</definedName>
    <definedName name="_____sec888" localSheetId="0">#REF!</definedName>
    <definedName name="_____sec888">#REF!</definedName>
    <definedName name="_____sec89" localSheetId="0">#REF!</definedName>
    <definedName name="_____sec89">#REF!</definedName>
    <definedName name="_____sec899" localSheetId="0">#REF!</definedName>
    <definedName name="_____sec899">#REF!</definedName>
    <definedName name="_____SEC9" localSheetId="0">#REF!</definedName>
    <definedName name="_____SEC9">#REF!</definedName>
    <definedName name="_____SEC91" localSheetId="0">#REF!</definedName>
    <definedName name="_____SEC91">#REF!</definedName>
    <definedName name="_____SH1" localSheetId="0">#REF!</definedName>
    <definedName name="_____SH1">#REF!</definedName>
    <definedName name="_____SH2" localSheetId="0">#REF!</definedName>
    <definedName name="_____SH2">#REF!</definedName>
    <definedName name="_____SH3" localSheetId="0">#REF!</definedName>
    <definedName name="_____SH3">#REF!</definedName>
    <definedName name="_____SH4" localSheetId="0">#REF!</definedName>
    <definedName name="_____SH4">#REF!</definedName>
    <definedName name="_____SH5" localSheetId="0">#REF!</definedName>
    <definedName name="_____SH5">#REF!</definedName>
    <definedName name="_____SS2" localSheetId="0">#REF!</definedName>
    <definedName name="_____SS2">#REF!</definedName>
    <definedName name="_____tk1" localSheetId="0">#REF!</definedName>
    <definedName name="_____tk1">#REF!</definedName>
    <definedName name="_____TTL1" localSheetId="0">#REF!</definedName>
    <definedName name="_____TTL1">#REF!</definedName>
    <definedName name="_____TTL2" localSheetId="0">#REF!</definedName>
    <definedName name="_____TTL2">#REF!</definedName>
    <definedName name="_____TTL3" localSheetId="0">#REF!</definedName>
    <definedName name="_____TTL3">#REF!</definedName>
    <definedName name="_____TTL4" localSheetId="0">#REF!</definedName>
    <definedName name="_____TTL4">#REF!</definedName>
    <definedName name="_____TTL5" localSheetId="0">#REF!</definedName>
    <definedName name="_____TTL5">#REF!</definedName>
    <definedName name="_____TTL6" localSheetId="0">#REF!</definedName>
    <definedName name="_____TTL6">#REF!</definedName>
    <definedName name="_____U14" localSheetId="0">#REF!</definedName>
    <definedName name="_____U14">#REF!</definedName>
    <definedName name="_____U60" localSheetId="0">#REF!</definedName>
    <definedName name="_____U60">#REF!</definedName>
    <definedName name="____a65537" localSheetId="0">#REF!</definedName>
    <definedName name="____a65537">#REF!</definedName>
    <definedName name="____A65555" localSheetId="0">#REF!</definedName>
    <definedName name="____A65555">#REF!</definedName>
    <definedName name="____A655600" localSheetId="0">#REF!</definedName>
    <definedName name="____A655600">#REF!</definedName>
    <definedName name="____A65658" localSheetId="0">#REF!</definedName>
    <definedName name="____A65658">#REF!</definedName>
    <definedName name="____A66000" localSheetId="0">#REF!</definedName>
    <definedName name="____A66000">#REF!</definedName>
    <definedName name="____A99999" localSheetId="0">#REF!</definedName>
    <definedName name="____A99999">#REF!</definedName>
    <definedName name="____aaa10" localSheetId="0">#REF!</definedName>
    <definedName name="____aaa10">#REF!</definedName>
    <definedName name="____aaa11" localSheetId="0">#REF!</definedName>
    <definedName name="____aaa11">#REF!</definedName>
    <definedName name="____AAA12" localSheetId="0">#REF!</definedName>
    <definedName name="____AAA12">#REF!</definedName>
    <definedName name="____AAA21" localSheetId="0">#REF!</definedName>
    <definedName name="____AAA21">#REF!</definedName>
    <definedName name="____aaa23" localSheetId="0">#REF!</definedName>
    <definedName name="____aaa23">#REF!</definedName>
    <definedName name="____aaa34" localSheetId="0">#REF!</definedName>
    <definedName name="____aaa34">#REF!</definedName>
    <definedName name="____aaa5" localSheetId="0">#REF!</definedName>
    <definedName name="____aaa5">#REF!</definedName>
    <definedName name="____AAA53" localSheetId="0">#REF!</definedName>
    <definedName name="____AAA53">#REF!</definedName>
    <definedName name="____aaa54" localSheetId="0">#REF!</definedName>
    <definedName name="____aaa54">#REF!</definedName>
    <definedName name="____aaa545" localSheetId="0">#REF!</definedName>
    <definedName name="____aaa545">#REF!</definedName>
    <definedName name="____aaa55" localSheetId="0">#REF!</definedName>
    <definedName name="____aaa55">#REF!</definedName>
    <definedName name="____aaa56" localSheetId="0">#REF!</definedName>
    <definedName name="____aaa56">#REF!</definedName>
    <definedName name="____AAA57" localSheetId="0">#REF!</definedName>
    <definedName name="____AAA57">#REF!</definedName>
    <definedName name="____aaa59" localSheetId="0">#REF!</definedName>
    <definedName name="____aaa59">#REF!</definedName>
    <definedName name="____AAA66" localSheetId="0">#REF!</definedName>
    <definedName name="____AAA66">#REF!</definedName>
    <definedName name="____AAA69" localSheetId="0">#REF!</definedName>
    <definedName name="____AAA69">#REF!</definedName>
    <definedName name="____aad55" localSheetId="0">#REF!</definedName>
    <definedName name="____aad55">#REF!</definedName>
    <definedName name="____AAD56" localSheetId="0">#REF!</definedName>
    <definedName name="____AAD56">#REF!</definedName>
    <definedName name="____AAD57" localSheetId="0">#REF!</definedName>
    <definedName name="____AAD57">#REF!</definedName>
    <definedName name="____alt1" localSheetId="0">#REF!</definedName>
    <definedName name="____alt1">#REF!</definedName>
    <definedName name="____ALT2" localSheetId="0">#REF!</definedName>
    <definedName name="____ALT2">#REF!</definedName>
    <definedName name="____ALT3" localSheetId="0">#REF!</definedName>
    <definedName name="____ALT3">#REF!</definedName>
    <definedName name="____ALT4" localSheetId="0">#REF!</definedName>
    <definedName name="____ALT4">#REF!</definedName>
    <definedName name="____b111121" localSheetId="0">#REF!</definedName>
    <definedName name="____b111121">#REF!</definedName>
    <definedName name="____B19000" localSheetId="0">#REF!</definedName>
    <definedName name="____B19000">#REF!</definedName>
    <definedName name="____B19999" localSheetId="0">#REF!</definedName>
    <definedName name="____B19999">#REF!</definedName>
    <definedName name="____B20000" localSheetId="0">#REF!</definedName>
    <definedName name="____B20000">#REF!</definedName>
    <definedName name="____bol1" localSheetId="0">#REF!</definedName>
    <definedName name="____bol1">#REF!</definedName>
    <definedName name="____cdr1" localSheetId="0">#REF!</definedName>
    <definedName name="____cdr1">#REF!</definedName>
    <definedName name="____COL14" localSheetId="0">#REF!</definedName>
    <definedName name="____COL14">#REF!</definedName>
    <definedName name="____COL15" localSheetId="0">#REF!</definedName>
    <definedName name="____COL15">#REF!</definedName>
    <definedName name="____COL16" localSheetId="0">#REF!</definedName>
    <definedName name="____COL16">#REF!</definedName>
    <definedName name="____Ctr10" localSheetId="0">#REF!</definedName>
    <definedName name="____Ctr10">#REF!</definedName>
    <definedName name="____doc1" localSheetId="0">#REF!</definedName>
    <definedName name="____doc1">#REF!</definedName>
    <definedName name="____e20000" localSheetId="0">#REF!</definedName>
    <definedName name="____e20000">#REF!</definedName>
    <definedName name="____e99991" localSheetId="0">#REF!</definedName>
    <definedName name="____e99991">#REF!</definedName>
    <definedName name="____esc1" localSheetId="0">#REF!</definedName>
    <definedName name="____esc1">#REF!</definedName>
    <definedName name="____exc1" localSheetId="0">#REF!</definedName>
    <definedName name="____exc1">#REF!</definedName>
    <definedName name="____exc11" localSheetId="0">#REF!</definedName>
    <definedName name="____exc11">#REF!</definedName>
    <definedName name="____exc2" localSheetId="0">#REF!</definedName>
    <definedName name="____exc2">#REF!</definedName>
    <definedName name="____EXC3" localSheetId="0">#REF!</definedName>
    <definedName name="____EXC3">#REF!</definedName>
    <definedName name="____EXC4" localSheetId="0">#REF!</definedName>
    <definedName name="____EXC4">#REF!</definedName>
    <definedName name="____flx200" localSheetId="0">#REF!</definedName>
    <definedName name="____flx200">#REF!</definedName>
    <definedName name="____flx250" localSheetId="0">#REF!</definedName>
    <definedName name="____flx250">#REF!</definedName>
    <definedName name="____flx300" localSheetId="0">#REF!</definedName>
    <definedName name="____flx300">#REF!</definedName>
    <definedName name="____foo1" localSheetId="0">#REF!</definedName>
    <definedName name="____foo1">#REF!</definedName>
    <definedName name="____foo2" localSheetId="0">#REF!</definedName>
    <definedName name="____foo2">#REF!</definedName>
    <definedName name="____foo3" localSheetId="0">#REF!</definedName>
    <definedName name="____foo3">#REF!</definedName>
    <definedName name="____FOO4" localSheetId="0">#REF!</definedName>
    <definedName name="____FOO4">#REF!</definedName>
    <definedName name="____ind1" localSheetId="0">#REF!</definedName>
    <definedName name="____ind1">#REF!</definedName>
    <definedName name="____IND11" localSheetId="0">#REF!</definedName>
    <definedName name="____IND11">#REF!</definedName>
    <definedName name="____IND31" localSheetId="0">#REF!</definedName>
    <definedName name="____IND31">#REF!</definedName>
    <definedName name="____iv66666" localSheetId="0">#REF!</definedName>
    <definedName name="____iv66666">#REF!</definedName>
    <definedName name="____KC139" localSheetId="0">#REF!</definedName>
    <definedName name="____KC139">#REF!</definedName>
    <definedName name="____Ki1" localSheetId="0">#REF!</definedName>
    <definedName name="____Ki1">#REF!</definedName>
    <definedName name="____Ki2" localSheetId="0">#REF!</definedName>
    <definedName name="____Ki2">#REF!</definedName>
    <definedName name="____lb1" localSheetId="0">#REF!</definedName>
    <definedName name="____lb1">#REF!</definedName>
    <definedName name="____lb2" localSheetId="0">#REF!</definedName>
    <definedName name="____lb2">#REF!</definedName>
    <definedName name="____lsc44" localSheetId="0">#REF!</definedName>
    <definedName name="____lsc44">#REF!</definedName>
    <definedName name="____MAN1" localSheetId="0">#REF!</definedName>
    <definedName name="____MAN1">#REF!</definedName>
    <definedName name="____mm1" localSheetId="0">#REF!</definedName>
    <definedName name="____mm1">#REF!</definedName>
    <definedName name="____mm2" localSheetId="0">#REF!</definedName>
    <definedName name="____mm2">#REF!</definedName>
    <definedName name="____mm3" localSheetId="0">#REF!</definedName>
    <definedName name="____mm3">#REF!</definedName>
    <definedName name="____new10" localSheetId="0">#REF!</definedName>
    <definedName name="____new10">#REF!</definedName>
    <definedName name="____new11" localSheetId="0">#REF!</definedName>
    <definedName name="____new11">#REF!</definedName>
    <definedName name="____new12" localSheetId="0">#REF!</definedName>
    <definedName name="____new12">#REF!</definedName>
    <definedName name="____new13" localSheetId="0">#REF!</definedName>
    <definedName name="____new13">#REF!</definedName>
    <definedName name="____new14" localSheetId="0">#REF!</definedName>
    <definedName name="____new14">#REF!</definedName>
    <definedName name="____new15" localSheetId="0">#REF!</definedName>
    <definedName name="____new15">#REF!</definedName>
    <definedName name="____new16" localSheetId="0">#REF!</definedName>
    <definedName name="____new16">#REF!</definedName>
    <definedName name="____new17" localSheetId="0">#REF!</definedName>
    <definedName name="____new17">#REF!</definedName>
    <definedName name="____new2" localSheetId="0">#REF!</definedName>
    <definedName name="____new2">#REF!</definedName>
    <definedName name="____new3" localSheetId="0">#REF!</definedName>
    <definedName name="____new3">#REF!</definedName>
    <definedName name="____new4" localSheetId="0">#REF!</definedName>
    <definedName name="____new4">#REF!</definedName>
    <definedName name="____new5" localSheetId="0">#REF!</definedName>
    <definedName name="____new5">#REF!</definedName>
    <definedName name="____new6" localSheetId="0">#REF!</definedName>
    <definedName name="____new6">#REF!</definedName>
    <definedName name="____new7" localSheetId="0">#REF!</definedName>
    <definedName name="____new7">#REF!</definedName>
    <definedName name="____new9" localSheetId="0">#REF!</definedName>
    <definedName name="____new9">#REF!</definedName>
    <definedName name="____NN1" localSheetId="0">#REF!</definedName>
    <definedName name="____NN1">#REF!</definedName>
    <definedName name="____PB1" localSheetId="0">#REF!</definedName>
    <definedName name="____PB1">#REF!</definedName>
    <definedName name="____pcc1" localSheetId="0">#REF!</definedName>
    <definedName name="____pcc1">#REF!</definedName>
    <definedName name="____pcc2" localSheetId="0">#REF!</definedName>
    <definedName name="____pcc2">#REF!</definedName>
    <definedName name="____pcc3" localSheetId="0">#REF!</definedName>
    <definedName name="____pcc3">#REF!</definedName>
    <definedName name="____PCC4" localSheetId="0">#REF!</definedName>
    <definedName name="____PCC4">#REF!</definedName>
    <definedName name="____plb1" localSheetId="0">#REF!</definedName>
    <definedName name="____plb1">#REF!</definedName>
    <definedName name="____plb2" localSheetId="0">#REF!</definedName>
    <definedName name="____plb2">#REF!</definedName>
    <definedName name="____plb3" localSheetId="0">#REF!</definedName>
    <definedName name="____plb3">#REF!</definedName>
    <definedName name="____plb4" localSheetId="0">#REF!</definedName>
    <definedName name="____plb4">#REF!</definedName>
    <definedName name="____pqr1" localSheetId="0">#REF!</definedName>
    <definedName name="____pqr1">#REF!</definedName>
    <definedName name="____pqr2" localSheetId="0">#REF!</definedName>
    <definedName name="____pqr2">#REF!</definedName>
    <definedName name="____Sa1" localSheetId="0">#REF!</definedName>
    <definedName name="____Sa1">#REF!</definedName>
    <definedName name="____sd1" localSheetId="0">#REF!</definedName>
    <definedName name="____sd1">#REF!</definedName>
    <definedName name="____sec1" localSheetId="0">#REF!</definedName>
    <definedName name="____sec1">#REF!</definedName>
    <definedName name="____sec111" localSheetId="0">#REF!</definedName>
    <definedName name="____sec111">#REF!</definedName>
    <definedName name="____SEC15" localSheetId="0">#REF!</definedName>
    <definedName name="____SEC15">#REF!</definedName>
    <definedName name="____Sec2" localSheetId="0">#REF!</definedName>
    <definedName name="____Sec2">#REF!</definedName>
    <definedName name="____sec22" localSheetId="0">#REF!</definedName>
    <definedName name="____sec22">#REF!</definedName>
    <definedName name="____SEC23" localSheetId="0">#REF!</definedName>
    <definedName name="____SEC23">#REF!</definedName>
    <definedName name="____SEC24" localSheetId="0">#REF!</definedName>
    <definedName name="____SEC24">#REF!</definedName>
    <definedName name="____sec3" localSheetId="0">#REF!</definedName>
    <definedName name="____sec3">#REF!</definedName>
    <definedName name="____SEC32" localSheetId="0">#REF!</definedName>
    <definedName name="____SEC32">#REF!</definedName>
    <definedName name="____sec33" localSheetId="0">#REF!</definedName>
    <definedName name="____sec33">#REF!</definedName>
    <definedName name="____Sec4" localSheetId="0">#REF!</definedName>
    <definedName name="____Sec4">#REF!</definedName>
    <definedName name="____sec45" localSheetId="0">#REF!</definedName>
    <definedName name="____sec45">#REF!</definedName>
    <definedName name="____SEC46" localSheetId="0">#REF!</definedName>
    <definedName name="____SEC46">#REF!</definedName>
    <definedName name="____sec5" localSheetId="0">#REF!</definedName>
    <definedName name="____sec5">#REF!</definedName>
    <definedName name="____sec55" localSheetId="0">#REF!</definedName>
    <definedName name="____sec55">#REF!</definedName>
    <definedName name="____SEC56" localSheetId="0">#REF!</definedName>
    <definedName name="____SEC56">#REF!</definedName>
    <definedName name="____sec6" localSheetId="0">#REF!</definedName>
    <definedName name="____sec6">#REF!</definedName>
    <definedName name="____sec66" localSheetId="0">#REF!</definedName>
    <definedName name="____sec66">#REF!</definedName>
    <definedName name="____SEC67" localSheetId="0">#REF!</definedName>
    <definedName name="____SEC67">#REF!</definedName>
    <definedName name="____sec7" localSheetId="0">#REF!</definedName>
    <definedName name="____sec7">#REF!</definedName>
    <definedName name="____sec71" localSheetId="0">#REF!</definedName>
    <definedName name="____sec71">#REF!</definedName>
    <definedName name="____SEC72" localSheetId="0">#REF!</definedName>
    <definedName name="____SEC72">#REF!</definedName>
    <definedName name="____SEC74" localSheetId="0">#REF!</definedName>
    <definedName name="____SEC74">#REF!</definedName>
    <definedName name="____SEC75" localSheetId="0">#REF!</definedName>
    <definedName name="____SEC75">#REF!</definedName>
    <definedName name="____SEC77" localSheetId="0">#REF!</definedName>
    <definedName name="____SEC77">#REF!</definedName>
    <definedName name="____sec777" localSheetId="0">#REF!</definedName>
    <definedName name="____sec777">#REF!</definedName>
    <definedName name="____sec78" localSheetId="0">#REF!</definedName>
    <definedName name="____sec78">#REF!</definedName>
    <definedName name="____sec79" localSheetId="0">#REF!</definedName>
    <definedName name="____sec79">#REF!</definedName>
    <definedName name="____sec8" localSheetId="0">#REF!</definedName>
    <definedName name="____sec8">#REF!</definedName>
    <definedName name="____sec81" localSheetId="0">#REF!</definedName>
    <definedName name="____sec81">#REF!</definedName>
    <definedName name="____SEC82" localSheetId="0">#REF!</definedName>
    <definedName name="____SEC82">#REF!</definedName>
    <definedName name="____SEC83" localSheetId="0">#REF!</definedName>
    <definedName name="____SEC83">#REF!</definedName>
    <definedName name="____SEC87" localSheetId="0">#REF!</definedName>
    <definedName name="____SEC87">#REF!</definedName>
    <definedName name="____SEC88" localSheetId="0">#REF!</definedName>
    <definedName name="____SEC88">#REF!</definedName>
    <definedName name="____sec888" localSheetId="0">#REF!</definedName>
    <definedName name="____sec888">#REF!</definedName>
    <definedName name="____sec89" localSheetId="0">#REF!</definedName>
    <definedName name="____sec89">#REF!</definedName>
    <definedName name="____sec899" localSheetId="0">#REF!</definedName>
    <definedName name="____sec899">#REF!</definedName>
    <definedName name="____SEC9" localSheetId="0">#REF!</definedName>
    <definedName name="____SEC9">#REF!</definedName>
    <definedName name="____SEC91" localSheetId="0">#REF!</definedName>
    <definedName name="____SEC91">#REF!</definedName>
    <definedName name="____SH1" localSheetId="0">#REF!</definedName>
    <definedName name="____SH1">#REF!</definedName>
    <definedName name="____SH2" localSheetId="0">#REF!</definedName>
    <definedName name="____SH2">#REF!</definedName>
    <definedName name="____SH3" localSheetId="0">#REF!</definedName>
    <definedName name="____SH3">#REF!</definedName>
    <definedName name="____SH4" localSheetId="0">#REF!</definedName>
    <definedName name="____SH4">#REF!</definedName>
    <definedName name="____SH5" localSheetId="0">#REF!</definedName>
    <definedName name="____SH5">#REF!</definedName>
    <definedName name="____Sp1" localSheetId="0">#REF!</definedName>
    <definedName name="____Sp1">#REF!</definedName>
    <definedName name="____Ss1" localSheetId="0">#REF!</definedName>
    <definedName name="____Ss1">#REF!</definedName>
    <definedName name="____SS2" localSheetId="0">#REF!</definedName>
    <definedName name="____SS2">#REF!</definedName>
    <definedName name="____t1" localSheetId="0">#REF!</definedName>
    <definedName name="____t1">#REF!</definedName>
    <definedName name="____tk1" localSheetId="0">#REF!</definedName>
    <definedName name="____tk1">#REF!</definedName>
    <definedName name="____TTL1" localSheetId="0">#REF!</definedName>
    <definedName name="____TTL1">#REF!</definedName>
    <definedName name="____TTL2" localSheetId="0">#REF!</definedName>
    <definedName name="____TTL2">#REF!</definedName>
    <definedName name="____TTL3" localSheetId="0">#REF!</definedName>
    <definedName name="____TTL3">#REF!</definedName>
    <definedName name="____TTL4" localSheetId="0">#REF!</definedName>
    <definedName name="____TTL4">#REF!</definedName>
    <definedName name="____TTL5" localSheetId="0">#REF!</definedName>
    <definedName name="____TTL5">#REF!</definedName>
    <definedName name="____TTL6" localSheetId="0">#REF!</definedName>
    <definedName name="____TTL6">#REF!</definedName>
    <definedName name="____U14" localSheetId="0">#REF!</definedName>
    <definedName name="____U14">#REF!</definedName>
    <definedName name="____U60" localSheetId="0">#REF!</definedName>
    <definedName name="____U60">#REF!</definedName>
    <definedName name="____vb1" localSheetId="0">#REF!</definedName>
    <definedName name="____vb1">#REF!</definedName>
    <definedName name="____Vs1" localSheetId="0">#REF!</definedName>
    <definedName name="____Vs1">#REF!</definedName>
    <definedName name="___a65537" localSheetId="0">#REF!</definedName>
    <definedName name="___a65537">#REF!</definedName>
    <definedName name="___A65555" localSheetId="0">#REF!</definedName>
    <definedName name="___A65555">#REF!</definedName>
    <definedName name="___A655600" localSheetId="0">#REF!</definedName>
    <definedName name="___A655600">#REF!</definedName>
    <definedName name="___A65658" localSheetId="0">#REF!</definedName>
    <definedName name="___A65658">#REF!</definedName>
    <definedName name="___A66000" localSheetId="0">#REF!</definedName>
    <definedName name="___A66000">#REF!</definedName>
    <definedName name="___A99999" localSheetId="0">#REF!</definedName>
    <definedName name="___A99999">#REF!</definedName>
    <definedName name="___aaa10" localSheetId="0">#REF!</definedName>
    <definedName name="___aaa10">#REF!</definedName>
    <definedName name="___aaa11" localSheetId="0">#REF!</definedName>
    <definedName name="___aaa11">#REF!</definedName>
    <definedName name="___AAA12" localSheetId="0">#REF!</definedName>
    <definedName name="___AAA12">#REF!</definedName>
    <definedName name="___AAA21" localSheetId="0">#REF!</definedName>
    <definedName name="___AAA21">#REF!</definedName>
    <definedName name="___aaa23" localSheetId="0">#REF!</definedName>
    <definedName name="___aaa23">#REF!</definedName>
    <definedName name="___aaa34" localSheetId="0">#REF!</definedName>
    <definedName name="___aaa34">#REF!</definedName>
    <definedName name="___aaa5" localSheetId="0">#REF!</definedName>
    <definedName name="___aaa5">#REF!</definedName>
    <definedName name="___AAA53" localSheetId="0">#REF!</definedName>
    <definedName name="___AAA53">#REF!</definedName>
    <definedName name="___aaa54" localSheetId="0">#REF!</definedName>
    <definedName name="___aaa54">#REF!</definedName>
    <definedName name="___aaa545" localSheetId="0">#REF!</definedName>
    <definedName name="___aaa545">#REF!</definedName>
    <definedName name="___aaa55" localSheetId="0">#REF!</definedName>
    <definedName name="___aaa55">#REF!</definedName>
    <definedName name="___aaa56" localSheetId="0">#REF!</definedName>
    <definedName name="___aaa56">#REF!</definedName>
    <definedName name="___AAA57" localSheetId="0">#REF!</definedName>
    <definedName name="___AAA57">#REF!</definedName>
    <definedName name="___aaa59" localSheetId="0">#REF!</definedName>
    <definedName name="___aaa59">#REF!</definedName>
    <definedName name="___AAA66" localSheetId="0">#REF!</definedName>
    <definedName name="___AAA66">#REF!</definedName>
    <definedName name="___AAA69" localSheetId="0">#REF!</definedName>
    <definedName name="___AAA69">#REF!</definedName>
    <definedName name="___aad55" localSheetId="0">#REF!</definedName>
    <definedName name="___aad55">#REF!</definedName>
    <definedName name="___AAD56" localSheetId="0">#REF!</definedName>
    <definedName name="___AAD56">#REF!</definedName>
    <definedName name="___AAD57" localSheetId="0">#REF!</definedName>
    <definedName name="___AAD57">#REF!</definedName>
    <definedName name="___AB2222" localSheetId="0">#REF!</definedName>
    <definedName name="___AB2222">#REF!</definedName>
    <definedName name="___AB9013" localSheetId="0">#REF!</definedName>
    <definedName name="___AB9013">#REF!</definedName>
    <definedName name="___alt1" localSheetId="0">#REF!</definedName>
    <definedName name="___alt1">#REF!</definedName>
    <definedName name="___ALT2" localSheetId="0">#REF!</definedName>
    <definedName name="___ALT2">#REF!</definedName>
    <definedName name="___ALT3" localSheetId="0">#REF!</definedName>
    <definedName name="___ALT3">#REF!</definedName>
    <definedName name="___ALT4" localSheetId="0">#REF!</definedName>
    <definedName name="___ALT4">#REF!</definedName>
    <definedName name="___b111121" localSheetId="0">#REF!</definedName>
    <definedName name="___b111121">#REF!</definedName>
    <definedName name="___B19000" localSheetId="0">#REF!</definedName>
    <definedName name="___B19000">#REF!</definedName>
    <definedName name="___B19999" localSheetId="0">#REF!</definedName>
    <definedName name="___B19999">#REF!</definedName>
    <definedName name="___B20000" localSheetId="0">#REF!</definedName>
    <definedName name="___B20000">#REF!</definedName>
    <definedName name="___BDR1" localSheetId="0">#REF!</definedName>
    <definedName name="___BDR1">#REF!</definedName>
    <definedName name="___BDR2" localSheetId="0">#REF!</definedName>
    <definedName name="___BDR2">#REF!</definedName>
    <definedName name="___bol1" localSheetId="0">#REF!</definedName>
    <definedName name="___bol1">#REF!</definedName>
    <definedName name="___cdr1" localSheetId="0">#REF!</definedName>
    <definedName name="___cdr1">#REF!</definedName>
    <definedName name="___COL14" localSheetId="0">#REF!</definedName>
    <definedName name="___COL14">#REF!</definedName>
    <definedName name="___COL15" localSheetId="0">#REF!</definedName>
    <definedName name="___COL15">#REF!</definedName>
    <definedName name="___COL16" localSheetId="0">#REF!</definedName>
    <definedName name="___COL16">#REF!</definedName>
    <definedName name="___Ctr10" localSheetId="0">#REF!</definedName>
    <definedName name="___Ctr10">#REF!</definedName>
    <definedName name="___doc1" localSheetId="0">#REF!</definedName>
    <definedName name="___doc1">#REF!</definedName>
    <definedName name="___e20000" localSheetId="0">#REF!</definedName>
    <definedName name="___e20000">#REF!</definedName>
    <definedName name="___e99991" localSheetId="0">#REF!</definedName>
    <definedName name="___e99991">#REF!</definedName>
    <definedName name="___esc1" localSheetId="0">#REF!</definedName>
    <definedName name="___esc1">#REF!</definedName>
    <definedName name="___exc1" localSheetId="0">#REF!</definedName>
    <definedName name="___exc1">#REF!</definedName>
    <definedName name="___exc11" localSheetId="0">#REF!</definedName>
    <definedName name="___exc11">#REF!</definedName>
    <definedName name="___exc2" localSheetId="0">#REF!</definedName>
    <definedName name="___exc2">#REF!</definedName>
    <definedName name="___EXC3" localSheetId="0">#REF!</definedName>
    <definedName name="___EXC3">#REF!</definedName>
    <definedName name="___EXC4" localSheetId="0">#REF!</definedName>
    <definedName name="___EXC4">#REF!</definedName>
    <definedName name="___flx200" localSheetId="0">#REF!</definedName>
    <definedName name="___flx200">#REF!</definedName>
    <definedName name="___flx250" localSheetId="0">#REF!</definedName>
    <definedName name="___flx250">#REF!</definedName>
    <definedName name="___flx300" localSheetId="0">#REF!</definedName>
    <definedName name="___flx300">#REF!</definedName>
    <definedName name="___foo1" localSheetId="0">#REF!</definedName>
    <definedName name="___foo1">#REF!</definedName>
    <definedName name="___foo2" localSheetId="0">#REF!</definedName>
    <definedName name="___foo2">#REF!</definedName>
    <definedName name="___foo3" localSheetId="0">#REF!</definedName>
    <definedName name="___foo3">#REF!</definedName>
    <definedName name="___FOO4" localSheetId="0">#REF!</definedName>
    <definedName name="___FOO4">#REF!</definedName>
    <definedName name="___ind1" localSheetId="0">#REF!</definedName>
    <definedName name="___ind1">#REF!</definedName>
    <definedName name="___IND11" localSheetId="0">#REF!</definedName>
    <definedName name="___IND11">#REF!</definedName>
    <definedName name="___IND31" localSheetId="0">#REF!</definedName>
    <definedName name="___IND31">#REF!</definedName>
    <definedName name="___INDEX_SHEET___ASAP_Utilities" localSheetId="0">#REF!</definedName>
    <definedName name="___INDEX_SHEET___ASAP_Utilities">#REF!</definedName>
    <definedName name="___KC139" localSheetId="0">#REF!</definedName>
    <definedName name="___KC139">#REF!</definedName>
    <definedName name="___Ki1" localSheetId="0">#REF!</definedName>
    <definedName name="___Ki1">#REF!</definedName>
    <definedName name="___Ki2" localSheetId="0">#REF!</definedName>
    <definedName name="___Ki2">#REF!</definedName>
    <definedName name="___lb1" localSheetId="0">#REF!</definedName>
    <definedName name="___lb1">#REF!</definedName>
    <definedName name="___lb2" localSheetId="0">#REF!</definedName>
    <definedName name="___lb2">#REF!</definedName>
    <definedName name="___lsc44" localSheetId="0">#REF!</definedName>
    <definedName name="___lsc44">#REF!</definedName>
    <definedName name="___MAN1" localSheetId="0">#REF!</definedName>
    <definedName name="___MAN1">#REF!</definedName>
    <definedName name="___mm1" localSheetId="0">#REF!</definedName>
    <definedName name="___mm1">#REF!</definedName>
    <definedName name="___mm2" localSheetId="0">#REF!</definedName>
    <definedName name="___mm2">#REF!</definedName>
    <definedName name="___mm3" localSheetId="0">#REF!</definedName>
    <definedName name="___mm3">#REF!</definedName>
    <definedName name="___MN1" localSheetId="0">#REF!</definedName>
    <definedName name="___MN1">#REF!</definedName>
    <definedName name="___new10" localSheetId="0">#REF!</definedName>
    <definedName name="___new10">#REF!</definedName>
    <definedName name="___new11" localSheetId="0">#REF!</definedName>
    <definedName name="___new11">#REF!</definedName>
    <definedName name="___new12" localSheetId="0">#REF!</definedName>
    <definedName name="___new12">#REF!</definedName>
    <definedName name="___new13" localSheetId="0">#REF!</definedName>
    <definedName name="___new13">#REF!</definedName>
    <definedName name="___new14" localSheetId="0">#REF!</definedName>
    <definedName name="___new14">#REF!</definedName>
    <definedName name="___new15" localSheetId="0">#REF!</definedName>
    <definedName name="___new15">#REF!</definedName>
    <definedName name="___new16" localSheetId="0">#REF!</definedName>
    <definedName name="___new16">#REF!</definedName>
    <definedName name="___new17" localSheetId="0">#REF!</definedName>
    <definedName name="___new17">#REF!</definedName>
    <definedName name="___new2" localSheetId="0">#REF!</definedName>
    <definedName name="___new2">#REF!</definedName>
    <definedName name="___new3" localSheetId="0">#REF!</definedName>
    <definedName name="___new3">#REF!</definedName>
    <definedName name="___new4" localSheetId="0">#REF!</definedName>
    <definedName name="___new4">#REF!</definedName>
    <definedName name="___new5" localSheetId="0">#REF!</definedName>
    <definedName name="___new5">#REF!</definedName>
    <definedName name="___new6" localSheetId="0">#REF!</definedName>
    <definedName name="___new6">#REF!</definedName>
    <definedName name="___new7" localSheetId="0">#REF!</definedName>
    <definedName name="___new7">#REF!</definedName>
    <definedName name="___new9" localSheetId="0">#REF!</definedName>
    <definedName name="___new9">#REF!</definedName>
    <definedName name="___NN1" localSheetId="0">#REF!</definedName>
    <definedName name="___NN1">#REF!</definedName>
    <definedName name="___oz1" localSheetId="0">#REF!</definedName>
    <definedName name="___oz1">#REF!</definedName>
    <definedName name="___PB1" localSheetId="0">#REF!</definedName>
    <definedName name="___PB1">#REF!</definedName>
    <definedName name="___pcc1" localSheetId="0">#REF!</definedName>
    <definedName name="___pcc1">#REF!</definedName>
    <definedName name="___pcc2" localSheetId="0">#REF!</definedName>
    <definedName name="___pcc2">#REF!</definedName>
    <definedName name="___pcc3" localSheetId="0">#REF!</definedName>
    <definedName name="___pcc3">#REF!</definedName>
    <definedName name="___PCC4" localSheetId="0">#REF!</definedName>
    <definedName name="___PCC4">#REF!</definedName>
    <definedName name="___plb1" localSheetId="0">#REF!</definedName>
    <definedName name="___plb1">#REF!</definedName>
    <definedName name="___plb2" localSheetId="0">#REF!</definedName>
    <definedName name="___plb2">#REF!</definedName>
    <definedName name="___plb3" localSheetId="0">#REF!</definedName>
    <definedName name="___plb3">#REF!</definedName>
    <definedName name="___plb4" localSheetId="0">#REF!</definedName>
    <definedName name="___plb4">#REF!</definedName>
    <definedName name="___pqr1" localSheetId="0">#REF!</definedName>
    <definedName name="___pqr1">#REF!</definedName>
    <definedName name="___pqr2" localSheetId="0">#REF!</definedName>
    <definedName name="___pqr2">#REF!</definedName>
    <definedName name="___Sa1" localSheetId="0">#REF!</definedName>
    <definedName name="___Sa1">#REF!</definedName>
    <definedName name="___sd1" localSheetId="0">#REF!</definedName>
    <definedName name="___sd1">#REF!</definedName>
    <definedName name="___sec1" localSheetId="0">#REF!</definedName>
    <definedName name="___sec1">#REF!</definedName>
    <definedName name="___sec111" localSheetId="0">#REF!</definedName>
    <definedName name="___sec111">#REF!</definedName>
    <definedName name="___SEC15" localSheetId="0">#REF!</definedName>
    <definedName name="___SEC15">#REF!</definedName>
    <definedName name="___Sec2" localSheetId="0">#REF!</definedName>
    <definedName name="___Sec2">#REF!</definedName>
    <definedName name="___sec22" localSheetId="0">#REF!</definedName>
    <definedName name="___sec22">#REF!</definedName>
    <definedName name="___SEC23" localSheetId="0">#REF!</definedName>
    <definedName name="___SEC23">#REF!</definedName>
    <definedName name="___SEC24" localSheetId="0">#REF!</definedName>
    <definedName name="___SEC24">#REF!</definedName>
    <definedName name="___sec3" localSheetId="0">#REF!</definedName>
    <definedName name="___sec3">#REF!</definedName>
    <definedName name="___SEC32" localSheetId="0">#REF!</definedName>
    <definedName name="___SEC32">#REF!</definedName>
    <definedName name="___sec33" localSheetId="0">#REF!</definedName>
    <definedName name="___sec33">#REF!</definedName>
    <definedName name="___Sec4" localSheetId="0">#REF!</definedName>
    <definedName name="___Sec4">#REF!</definedName>
    <definedName name="___sec45" localSheetId="0">#REF!</definedName>
    <definedName name="___sec45">#REF!</definedName>
    <definedName name="___SEC46" localSheetId="0">#REF!</definedName>
    <definedName name="___SEC46">#REF!</definedName>
    <definedName name="___sec5" localSheetId="0">#REF!</definedName>
    <definedName name="___sec5">#REF!</definedName>
    <definedName name="___sec55" localSheetId="0">#REF!</definedName>
    <definedName name="___sec55">#REF!</definedName>
    <definedName name="___SEC56" localSheetId="0">#REF!</definedName>
    <definedName name="___SEC56">#REF!</definedName>
    <definedName name="___sec6" localSheetId="0">#REF!</definedName>
    <definedName name="___sec6">#REF!</definedName>
    <definedName name="___sec66" localSheetId="0">#REF!</definedName>
    <definedName name="___sec66">#REF!</definedName>
    <definedName name="___SEC67" localSheetId="0">#REF!</definedName>
    <definedName name="___SEC67">#REF!</definedName>
    <definedName name="___sec7" localSheetId="0">#REF!</definedName>
    <definedName name="___sec7">#REF!</definedName>
    <definedName name="___sec71" localSheetId="0">#REF!</definedName>
    <definedName name="___sec71">#REF!</definedName>
    <definedName name="___SEC72" localSheetId="0">#REF!</definedName>
    <definedName name="___SEC72">#REF!</definedName>
    <definedName name="___SEC74" localSheetId="0">#REF!</definedName>
    <definedName name="___SEC74">#REF!</definedName>
    <definedName name="___SEC75" localSheetId="0">#REF!</definedName>
    <definedName name="___SEC75">#REF!</definedName>
    <definedName name="___SEC77" localSheetId="0">#REF!</definedName>
    <definedName name="___SEC77">#REF!</definedName>
    <definedName name="___sec777" localSheetId="0">#REF!</definedName>
    <definedName name="___sec777">#REF!</definedName>
    <definedName name="___sec78" localSheetId="0">#REF!</definedName>
    <definedName name="___sec78">#REF!</definedName>
    <definedName name="___sec79" localSheetId="0">#REF!</definedName>
    <definedName name="___sec79">#REF!</definedName>
    <definedName name="___sec8" localSheetId="0">#REF!</definedName>
    <definedName name="___sec8">#REF!</definedName>
    <definedName name="___sec81" localSheetId="0">#REF!</definedName>
    <definedName name="___sec81">#REF!</definedName>
    <definedName name="___SEC82" localSheetId="0">#REF!</definedName>
    <definedName name="___SEC82">#REF!</definedName>
    <definedName name="___SEC83" localSheetId="0">#REF!</definedName>
    <definedName name="___SEC83">#REF!</definedName>
    <definedName name="___SEC87" localSheetId="0">#REF!</definedName>
    <definedName name="___SEC87">#REF!</definedName>
    <definedName name="___SEC88" localSheetId="0">#REF!</definedName>
    <definedName name="___SEC88">#REF!</definedName>
    <definedName name="___sec888" localSheetId="0">#REF!</definedName>
    <definedName name="___sec888">#REF!</definedName>
    <definedName name="___sec89" localSheetId="0">#REF!</definedName>
    <definedName name="___sec89">#REF!</definedName>
    <definedName name="___sec899" localSheetId="0">#REF!</definedName>
    <definedName name="___sec899">#REF!</definedName>
    <definedName name="___SEC9" localSheetId="0">#REF!</definedName>
    <definedName name="___SEC9">#REF!</definedName>
    <definedName name="___SEC91" localSheetId="0">#REF!</definedName>
    <definedName name="___SEC91">#REF!</definedName>
    <definedName name="___SH1" localSheetId="0">#REF!</definedName>
    <definedName name="___SH1">#REF!</definedName>
    <definedName name="___SH2" localSheetId="0">#REF!</definedName>
    <definedName name="___SH2">#REF!</definedName>
    <definedName name="___SH3" localSheetId="0">#REF!</definedName>
    <definedName name="___SH3">#REF!</definedName>
    <definedName name="___SH4" localSheetId="0">#REF!</definedName>
    <definedName name="___SH4">#REF!</definedName>
    <definedName name="___SH5" localSheetId="0">#REF!</definedName>
    <definedName name="___SH5">#REF!</definedName>
    <definedName name="___Sp1" localSheetId="0">#REF!</definedName>
    <definedName name="___Sp1">#REF!</definedName>
    <definedName name="___Ss1" localSheetId="0">#REF!</definedName>
    <definedName name="___Ss1">#REF!</definedName>
    <definedName name="___ss2" localSheetId="0">#REF!</definedName>
    <definedName name="___ss2">#REF!</definedName>
    <definedName name="___t1" localSheetId="0">#REF!</definedName>
    <definedName name="___t1">#REF!</definedName>
    <definedName name="___tk1" localSheetId="0">#REF!</definedName>
    <definedName name="___tk1">#REF!</definedName>
    <definedName name="___TTL1" localSheetId="0">#REF!</definedName>
    <definedName name="___TTL1">#REF!</definedName>
    <definedName name="___TTL2" localSheetId="0">#REF!</definedName>
    <definedName name="___TTL2">#REF!</definedName>
    <definedName name="___TTL3" localSheetId="0">#REF!</definedName>
    <definedName name="___TTL3">#REF!</definedName>
    <definedName name="___TTL4" localSheetId="0">#REF!</definedName>
    <definedName name="___TTL4">#REF!</definedName>
    <definedName name="___TTL5" localSheetId="0">#REF!</definedName>
    <definedName name="___TTL5">#REF!</definedName>
    <definedName name="___TTL6" localSheetId="0">#REF!</definedName>
    <definedName name="___TTL6">#REF!</definedName>
    <definedName name="___U14" localSheetId="0">#REF!</definedName>
    <definedName name="___U14">#REF!</definedName>
    <definedName name="___U60" localSheetId="0">#REF!</definedName>
    <definedName name="___U60">#REF!</definedName>
    <definedName name="___UDL1" localSheetId="0">#REF!</definedName>
    <definedName name="___UDL1">#REF!</definedName>
    <definedName name="___UDL2" localSheetId="0">#REF!</definedName>
    <definedName name="___UDL2">#REF!</definedName>
    <definedName name="___UDL3" localSheetId="0">#REF!</definedName>
    <definedName name="___UDL3">#REF!</definedName>
    <definedName name="___vb1" localSheetId="0">#REF!</definedName>
    <definedName name="___vb1">#REF!</definedName>
    <definedName name="___Vs1" localSheetId="0">#REF!</definedName>
    <definedName name="___Vs1">#REF!</definedName>
    <definedName name="__A2" localSheetId="0">#REF!</definedName>
    <definedName name="__A2">#REF!</definedName>
    <definedName name="__a65537" localSheetId="0">#REF!</definedName>
    <definedName name="__a65537">#REF!</definedName>
    <definedName name="__A65555" localSheetId="0">#REF!</definedName>
    <definedName name="__A65555">#REF!</definedName>
    <definedName name="__A655600" localSheetId="0">#REF!</definedName>
    <definedName name="__A655600">#REF!</definedName>
    <definedName name="__A65658" localSheetId="0">#REF!</definedName>
    <definedName name="__A65658">#REF!</definedName>
    <definedName name="__A65800" localSheetId="0">#REF!</definedName>
    <definedName name="__A65800">#REF!</definedName>
    <definedName name="__A66000" localSheetId="0">#REF!</definedName>
    <definedName name="__A66000">#REF!</definedName>
    <definedName name="__A99999" localSheetId="0">#REF!</definedName>
    <definedName name="__A99999">#REF!</definedName>
    <definedName name="__aaa10" localSheetId="0">#REF!</definedName>
    <definedName name="__aaa10">#REF!</definedName>
    <definedName name="__aaa11" localSheetId="0">#REF!</definedName>
    <definedName name="__aaa11">#REF!</definedName>
    <definedName name="__AAA12" localSheetId="0">#REF!</definedName>
    <definedName name="__AAA12">#REF!</definedName>
    <definedName name="__AAA21" localSheetId="0">#REF!</definedName>
    <definedName name="__AAA21">#REF!</definedName>
    <definedName name="__aaa23" localSheetId="0">#REF!</definedName>
    <definedName name="__aaa23">#REF!</definedName>
    <definedName name="__aaa34" localSheetId="0">#REF!</definedName>
    <definedName name="__aaa34">#REF!</definedName>
    <definedName name="__aaa5" localSheetId="0">#REF!</definedName>
    <definedName name="__aaa5">#REF!</definedName>
    <definedName name="__AAA53" localSheetId="0">#REF!</definedName>
    <definedName name="__AAA53">#REF!</definedName>
    <definedName name="__aaa54" localSheetId="0">#REF!</definedName>
    <definedName name="__aaa54">#REF!</definedName>
    <definedName name="__aaa545" localSheetId="0">#REF!</definedName>
    <definedName name="__aaa545">#REF!</definedName>
    <definedName name="__aaa55" localSheetId="0">#REF!</definedName>
    <definedName name="__aaa55">#REF!</definedName>
    <definedName name="__aaa56" localSheetId="0">#REF!</definedName>
    <definedName name="__aaa56">#REF!</definedName>
    <definedName name="__AAA57" localSheetId="0">#REF!</definedName>
    <definedName name="__AAA57">#REF!</definedName>
    <definedName name="__aaa59" localSheetId="0">#REF!</definedName>
    <definedName name="__aaa59">#REF!</definedName>
    <definedName name="__AAA66" localSheetId="0">#REF!</definedName>
    <definedName name="__AAA66">#REF!</definedName>
    <definedName name="__AAA69" localSheetId="0">#REF!</definedName>
    <definedName name="__AAA69">#REF!</definedName>
    <definedName name="__aad55" localSheetId="0">#REF!</definedName>
    <definedName name="__aad55">#REF!</definedName>
    <definedName name="__AAD56" localSheetId="0">#REF!</definedName>
    <definedName name="__AAD56">#REF!</definedName>
    <definedName name="__AAD57" localSheetId="0">#REF!</definedName>
    <definedName name="__AAD57">#REF!</definedName>
    <definedName name="__AB2222" localSheetId="0">#REF!</definedName>
    <definedName name="__AB2222">#REF!</definedName>
    <definedName name="__AB9013" localSheetId="0">#REF!</definedName>
    <definedName name="__AB9013">#REF!</definedName>
    <definedName name="__alt1" localSheetId="0">#REF!</definedName>
    <definedName name="__alt1">#REF!</definedName>
    <definedName name="__ALT2" localSheetId="0">#REF!</definedName>
    <definedName name="__ALT2">#REF!</definedName>
    <definedName name="__ALT3" localSheetId="0">#REF!</definedName>
    <definedName name="__ALT3">#REF!</definedName>
    <definedName name="__ALT4" localSheetId="0">#REF!</definedName>
    <definedName name="__ALT4">#REF!</definedName>
    <definedName name="__aoc10" localSheetId="0">#REF!</definedName>
    <definedName name="__aoc10">#REF!</definedName>
    <definedName name="__aoc11" localSheetId="0">#REF!</definedName>
    <definedName name="__aoc11">#REF!</definedName>
    <definedName name="__aoc7" localSheetId="0">#REF!</definedName>
    <definedName name="__aoc7">#REF!</definedName>
    <definedName name="__aoc8" localSheetId="0">#REF!</definedName>
    <definedName name="__aoc8">#REF!</definedName>
    <definedName name="__aoc9" localSheetId="0">#REF!</definedName>
    <definedName name="__aoc9">#REF!</definedName>
    <definedName name="__b111121" localSheetId="0">#REF!</definedName>
    <definedName name="__b111121">#REF!</definedName>
    <definedName name="__B19000" localSheetId="0">#REF!</definedName>
    <definedName name="__B19000">#REF!</definedName>
    <definedName name="__B19999" localSheetId="0">#REF!</definedName>
    <definedName name="__B19999">#REF!</definedName>
    <definedName name="__B20000" localSheetId="0">#REF!</definedName>
    <definedName name="__B20000">#REF!</definedName>
    <definedName name="__BDR1" localSheetId="0">#REF!</definedName>
    <definedName name="__BDR1">#REF!</definedName>
    <definedName name="__BDR2" localSheetId="0">#REF!</definedName>
    <definedName name="__BDR2">#REF!</definedName>
    <definedName name="__bol1" localSheetId="0">#REF!</definedName>
    <definedName name="__bol1">#REF!</definedName>
    <definedName name="__cdr1" localSheetId="0">#REF!</definedName>
    <definedName name="__cdr1">#REF!</definedName>
    <definedName name="__COL1" localSheetId="0">#REF!</definedName>
    <definedName name="__COL1">#REF!</definedName>
    <definedName name="__COL14" localSheetId="0">#REF!</definedName>
    <definedName name="__COL14">#REF!</definedName>
    <definedName name="__COL15" localSheetId="0">#REF!</definedName>
    <definedName name="__COL15">#REF!</definedName>
    <definedName name="__COL16" localSheetId="0">#REF!</definedName>
    <definedName name="__COL16">#REF!</definedName>
    <definedName name="__Ctr10" localSheetId="0">#REF!</definedName>
    <definedName name="__Ctr10">#REF!</definedName>
    <definedName name="__dim4" localSheetId="0">#REF!</definedName>
    <definedName name="__dim4">#REF!</definedName>
    <definedName name="__doc1" localSheetId="0">#REF!</definedName>
    <definedName name="__doc1">#REF!</definedName>
    <definedName name="__e20000" localSheetId="0">#REF!</definedName>
    <definedName name="__e20000">#REF!</definedName>
    <definedName name="__e99991" localSheetId="0">#REF!</definedName>
    <definedName name="__e99991">#REF!</definedName>
    <definedName name="__EN1000000" localSheetId="0">#REF!</definedName>
    <definedName name="__EN1000000">#REF!</definedName>
    <definedName name="__esc1" localSheetId="0">#REF!</definedName>
    <definedName name="__esc1">#REF!</definedName>
    <definedName name="__exc1" localSheetId="0">#REF!</definedName>
    <definedName name="__exc1">#REF!</definedName>
    <definedName name="__exc11" localSheetId="0">#REF!</definedName>
    <definedName name="__exc11">#REF!</definedName>
    <definedName name="__exc2" localSheetId="0">#REF!</definedName>
    <definedName name="__exc2">#REF!</definedName>
    <definedName name="__EXC3" localSheetId="0">#REF!</definedName>
    <definedName name="__EXC3">#REF!</definedName>
    <definedName name="__EXC4" localSheetId="0">#REF!</definedName>
    <definedName name="__EXC4">#REF!</definedName>
    <definedName name="__flx200" localSheetId="0">#REF!</definedName>
    <definedName name="__flx200">#REF!</definedName>
    <definedName name="__flx250" localSheetId="0">#REF!</definedName>
    <definedName name="__flx250">#REF!</definedName>
    <definedName name="__flx300" localSheetId="0">#REF!</definedName>
    <definedName name="__flx300">#REF!</definedName>
    <definedName name="__foo1" localSheetId="0">#REF!</definedName>
    <definedName name="__foo1">#REF!</definedName>
    <definedName name="__foo2" localSheetId="0">#REF!</definedName>
    <definedName name="__foo2">#REF!</definedName>
    <definedName name="__foo3" localSheetId="0">#REF!</definedName>
    <definedName name="__foo3">#REF!</definedName>
    <definedName name="__FOO4" localSheetId="0">#REF!</definedName>
    <definedName name="__FOO4">#REF!</definedName>
    <definedName name="__Ind1" localSheetId="0">#REF!</definedName>
    <definedName name="__Ind1">#REF!</definedName>
    <definedName name="__IND11" localSheetId="0">#REF!</definedName>
    <definedName name="__IND11">#REF!</definedName>
    <definedName name="__IND31" localSheetId="0">#REF!</definedName>
    <definedName name="__IND31">#REF!</definedName>
    <definedName name="__IntlFixupTable" localSheetId="0">#REF!</definedName>
    <definedName name="__IntlFixupTable">#REF!</definedName>
    <definedName name="__iv66666" localSheetId="0">#REF!</definedName>
    <definedName name="__iv66666">#REF!</definedName>
    <definedName name="__KC139" localSheetId="0">#REF!</definedName>
    <definedName name="__KC139">#REF!</definedName>
    <definedName name="__Ki1" localSheetId="0">#REF!</definedName>
    <definedName name="__Ki1">#REF!</definedName>
    <definedName name="__Ki2" localSheetId="0">#REF!</definedName>
    <definedName name="__Ki2">#REF!</definedName>
    <definedName name="__lb1" localSheetId="0">#REF!</definedName>
    <definedName name="__lb1">#REF!</definedName>
    <definedName name="__lb2" localSheetId="0">#REF!</definedName>
    <definedName name="__lb2">#REF!</definedName>
    <definedName name="__loc1" localSheetId="0">#REF!</definedName>
    <definedName name="__loc1">#REF!</definedName>
    <definedName name="__lsc44" localSheetId="0">#REF!</definedName>
    <definedName name="__lsc44">#REF!</definedName>
    <definedName name="__MAN1" localSheetId="0">#REF!</definedName>
    <definedName name="__MAN1">#REF!</definedName>
    <definedName name="__mm1" localSheetId="0">#REF!</definedName>
    <definedName name="__mm1">#REF!</definedName>
    <definedName name="__mm2" localSheetId="0">#REF!</definedName>
    <definedName name="__mm2">#REF!</definedName>
    <definedName name="__mm3" localSheetId="0">#REF!</definedName>
    <definedName name="__mm3">#REF!</definedName>
    <definedName name="__MN1" localSheetId="0">#REF!</definedName>
    <definedName name="__MN1">#REF!</definedName>
    <definedName name="__new10" localSheetId="0">#REF!</definedName>
    <definedName name="__new10">#REF!</definedName>
    <definedName name="__new11" localSheetId="0">#REF!</definedName>
    <definedName name="__new11">#REF!</definedName>
    <definedName name="__new12" localSheetId="0">#REF!</definedName>
    <definedName name="__new12">#REF!</definedName>
    <definedName name="__new13" localSheetId="0">#REF!</definedName>
    <definedName name="__new13">#REF!</definedName>
    <definedName name="__new14" localSheetId="0">#REF!</definedName>
    <definedName name="__new14">#REF!</definedName>
    <definedName name="__new15" localSheetId="0">#REF!</definedName>
    <definedName name="__new15">#REF!</definedName>
    <definedName name="__new16" localSheetId="0">#REF!</definedName>
    <definedName name="__new16">#REF!</definedName>
    <definedName name="__new17" localSheetId="0">#REF!</definedName>
    <definedName name="__new17">#REF!</definedName>
    <definedName name="__new2" localSheetId="0">#REF!</definedName>
    <definedName name="__new2">#REF!</definedName>
    <definedName name="__new3" localSheetId="0">#REF!</definedName>
    <definedName name="__new3">#REF!</definedName>
    <definedName name="__new4" localSheetId="0">#REF!</definedName>
    <definedName name="__new4">#REF!</definedName>
    <definedName name="__new5" localSheetId="0">#REF!</definedName>
    <definedName name="__new5">#REF!</definedName>
    <definedName name="__new6" localSheetId="0">#REF!</definedName>
    <definedName name="__new6">#REF!</definedName>
    <definedName name="__new7" localSheetId="0">#REF!</definedName>
    <definedName name="__new7">#REF!</definedName>
    <definedName name="__new9" localSheetId="0">#REF!</definedName>
    <definedName name="__new9">#REF!</definedName>
    <definedName name="__nm1" localSheetId="0">#REF!</definedName>
    <definedName name="__nm1">#REF!</definedName>
    <definedName name="__NN1" localSheetId="0">#REF!</definedName>
    <definedName name="__NN1">#REF!</definedName>
    <definedName name="__oz1" localSheetId="0">#REF!</definedName>
    <definedName name="__oz1">#REF!</definedName>
    <definedName name="__pa1" localSheetId="0">#REF!</definedName>
    <definedName name="__pa1">#REF!</definedName>
    <definedName name="__pa2" localSheetId="0">#REF!</definedName>
    <definedName name="__pa2">#REF!</definedName>
    <definedName name="__PB1" localSheetId="0">#REF!</definedName>
    <definedName name="__PB1">#REF!</definedName>
    <definedName name="__pcc1" localSheetId="0">#REF!</definedName>
    <definedName name="__pcc1">#REF!</definedName>
    <definedName name="__pcc2" localSheetId="0">#REF!</definedName>
    <definedName name="__pcc2">#REF!</definedName>
    <definedName name="__pcc3" localSheetId="0">#REF!</definedName>
    <definedName name="__pcc3">#REF!</definedName>
    <definedName name="__PCC4" localSheetId="0">#REF!</definedName>
    <definedName name="__PCC4">#REF!</definedName>
    <definedName name="__plb1" localSheetId="0">#REF!</definedName>
    <definedName name="__plb1">#REF!</definedName>
    <definedName name="__plb2" localSheetId="0">#REF!</definedName>
    <definedName name="__plb2">#REF!</definedName>
    <definedName name="__plb3" localSheetId="0">#REF!</definedName>
    <definedName name="__plb3">#REF!</definedName>
    <definedName name="__plb4" localSheetId="0">#REF!</definedName>
    <definedName name="__plb4">#REF!</definedName>
    <definedName name="__pqr1" localSheetId="0">#REF!</definedName>
    <definedName name="__pqr1">#REF!</definedName>
    <definedName name="__pqr2" localSheetId="0">#REF!</definedName>
    <definedName name="__pqr2">#REF!</definedName>
    <definedName name="__rm4" localSheetId="0">#REF!</definedName>
    <definedName name="__rm4">#REF!</definedName>
    <definedName name="__Sa1" localSheetId="0">#REF!</definedName>
    <definedName name="__Sa1">#REF!</definedName>
    <definedName name="__sd1" localSheetId="0">#REF!</definedName>
    <definedName name="__sd1">#REF!</definedName>
    <definedName name="__sec1" localSheetId="0">#REF!</definedName>
    <definedName name="__sec1">#REF!</definedName>
    <definedName name="__sec111" localSheetId="0">#REF!</definedName>
    <definedName name="__sec111">#REF!</definedName>
    <definedName name="__SEC15" localSheetId="0">#REF!</definedName>
    <definedName name="__SEC15">#REF!</definedName>
    <definedName name="__Sec2" localSheetId="0">#REF!</definedName>
    <definedName name="__Sec2">#REF!</definedName>
    <definedName name="__sec22" localSheetId="0">#REF!</definedName>
    <definedName name="__sec22">#REF!</definedName>
    <definedName name="__SEC23" localSheetId="0">#REF!</definedName>
    <definedName name="__SEC23">#REF!</definedName>
    <definedName name="__SEC24" localSheetId="0">#REF!</definedName>
    <definedName name="__SEC24">#REF!</definedName>
    <definedName name="__sec3" localSheetId="0">#REF!</definedName>
    <definedName name="__sec3">#REF!</definedName>
    <definedName name="__SEC32" localSheetId="0">#REF!</definedName>
    <definedName name="__SEC32">#REF!</definedName>
    <definedName name="__sec33" localSheetId="0">#REF!</definedName>
    <definedName name="__sec33">#REF!</definedName>
    <definedName name="__Sec4" localSheetId="0">#REF!</definedName>
    <definedName name="__Sec4">#REF!</definedName>
    <definedName name="__sec45" localSheetId="0">#REF!</definedName>
    <definedName name="__sec45">#REF!</definedName>
    <definedName name="__SEC46" localSheetId="0">#REF!</definedName>
    <definedName name="__SEC46">#REF!</definedName>
    <definedName name="__sec5" localSheetId="0">#REF!</definedName>
    <definedName name="__sec5">#REF!</definedName>
    <definedName name="__sec55" localSheetId="0">#REF!</definedName>
    <definedName name="__sec55">#REF!</definedName>
    <definedName name="__SEC56" localSheetId="0">#REF!</definedName>
    <definedName name="__SEC56">#REF!</definedName>
    <definedName name="__sec6" localSheetId="0">#REF!</definedName>
    <definedName name="__sec6">#REF!</definedName>
    <definedName name="__sec66" localSheetId="0">#REF!</definedName>
    <definedName name="__sec66">#REF!</definedName>
    <definedName name="__SEC67" localSheetId="0">#REF!</definedName>
    <definedName name="__SEC67">#REF!</definedName>
    <definedName name="__sec7" localSheetId="0">#REF!</definedName>
    <definedName name="__sec7">#REF!</definedName>
    <definedName name="__sec71" localSheetId="0">#REF!</definedName>
    <definedName name="__sec71">#REF!</definedName>
    <definedName name="__SEC72" localSheetId="0">#REF!</definedName>
    <definedName name="__SEC72">#REF!</definedName>
    <definedName name="__SEC74" localSheetId="0">#REF!</definedName>
    <definedName name="__SEC74">#REF!</definedName>
    <definedName name="__SEC75" localSheetId="0">#REF!</definedName>
    <definedName name="__SEC75">#REF!</definedName>
    <definedName name="__SEC77" localSheetId="0">#REF!</definedName>
    <definedName name="__SEC77">#REF!</definedName>
    <definedName name="__sec777" localSheetId="0">#REF!</definedName>
    <definedName name="__sec777">#REF!</definedName>
    <definedName name="__sec78" localSheetId="0">#REF!</definedName>
    <definedName name="__sec78">#REF!</definedName>
    <definedName name="__sec79" localSheetId="0">#REF!</definedName>
    <definedName name="__sec79">#REF!</definedName>
    <definedName name="__sec8" localSheetId="0">#REF!</definedName>
    <definedName name="__sec8">#REF!</definedName>
    <definedName name="__sec81" localSheetId="0">#REF!</definedName>
    <definedName name="__sec81">#REF!</definedName>
    <definedName name="__SEC82" localSheetId="0">#REF!</definedName>
    <definedName name="__SEC82">#REF!</definedName>
    <definedName name="__SEC83" localSheetId="0">#REF!</definedName>
    <definedName name="__SEC83">#REF!</definedName>
    <definedName name="__SEC87" localSheetId="0">#REF!</definedName>
    <definedName name="__SEC87">#REF!</definedName>
    <definedName name="__SEC88" localSheetId="0">#REF!</definedName>
    <definedName name="__SEC88">#REF!</definedName>
    <definedName name="__sec888" localSheetId="0">#REF!</definedName>
    <definedName name="__sec888">#REF!</definedName>
    <definedName name="__sec89" localSheetId="0">#REF!</definedName>
    <definedName name="__sec89">#REF!</definedName>
    <definedName name="__sec899" localSheetId="0">#REF!</definedName>
    <definedName name="__sec899">#REF!</definedName>
    <definedName name="__SEC9" localSheetId="0">#REF!</definedName>
    <definedName name="__SEC9">#REF!</definedName>
    <definedName name="__SEC91" localSheetId="0">#REF!</definedName>
    <definedName name="__SEC91">#REF!</definedName>
    <definedName name="__sep1" localSheetId="0">#REF!</definedName>
    <definedName name="__sep1">#REF!</definedName>
    <definedName name="__SH1" localSheetId="0">#REF!</definedName>
    <definedName name="__SH1">#REF!</definedName>
    <definedName name="__SH2" localSheetId="0">#REF!</definedName>
    <definedName name="__SH2">#REF!</definedName>
    <definedName name="__SH3" localSheetId="0">#REF!</definedName>
    <definedName name="__SH3">#REF!</definedName>
    <definedName name="__SH4" localSheetId="0">#REF!</definedName>
    <definedName name="__SH4">#REF!</definedName>
    <definedName name="__SH5" localSheetId="0">#REF!</definedName>
    <definedName name="__SH5">#REF!</definedName>
    <definedName name="__Sp1" localSheetId="0">#REF!</definedName>
    <definedName name="__Sp1">#REF!</definedName>
    <definedName name="__Ss1" localSheetId="0">#REF!</definedName>
    <definedName name="__Ss1">#REF!</definedName>
    <definedName name="__ss2" localSheetId="0">#REF!</definedName>
    <definedName name="__ss2">#REF!</definedName>
    <definedName name="__t1" localSheetId="0">#REF!</definedName>
    <definedName name="__t1">#REF!</definedName>
    <definedName name="__TB2" localSheetId="0">#REF!</definedName>
    <definedName name="__TB2">#REF!</definedName>
    <definedName name="__Ter1" localSheetId="0">#REF!</definedName>
    <definedName name="__Ter1">#REF!</definedName>
    <definedName name="__tk1" localSheetId="0">#REF!</definedName>
    <definedName name="__tk1">#REF!</definedName>
    <definedName name="__TTL1" localSheetId="0">#REF!</definedName>
    <definedName name="__TTL1">#REF!</definedName>
    <definedName name="__TTL2" localSheetId="0">#REF!</definedName>
    <definedName name="__TTL2">#REF!</definedName>
    <definedName name="__TTL3" localSheetId="0">#REF!</definedName>
    <definedName name="__TTL3">#REF!</definedName>
    <definedName name="__TTL4" localSheetId="0">#REF!</definedName>
    <definedName name="__TTL4">#REF!</definedName>
    <definedName name="__TTL5" localSheetId="0">#REF!</definedName>
    <definedName name="__TTL5">#REF!</definedName>
    <definedName name="__TTL6" localSheetId="0">#REF!</definedName>
    <definedName name="__TTL6">#REF!</definedName>
    <definedName name="__U14" localSheetId="0">#REF!</definedName>
    <definedName name="__U14">#REF!</definedName>
    <definedName name="__U60" localSheetId="0">#REF!</definedName>
    <definedName name="__U60">#REF!</definedName>
    <definedName name="__UDL1" localSheetId="0">#REF!</definedName>
    <definedName name="__UDL1">#REF!</definedName>
    <definedName name="__UDL2" localSheetId="0">#REF!</definedName>
    <definedName name="__UDL2">#REF!</definedName>
    <definedName name="__UDL3" localSheetId="0">#REF!</definedName>
    <definedName name="__UDL3">#REF!</definedName>
    <definedName name="__vb1" localSheetId="0">#REF!</definedName>
    <definedName name="__vb1">#REF!</definedName>
    <definedName name="__Vs1" localSheetId="0">#REF!</definedName>
    <definedName name="__Vs1">#REF!</definedName>
    <definedName name="__Xl1" localSheetId="0">#REF!</definedName>
    <definedName name="__Xl1">#REF!</definedName>
    <definedName name="__xlnm.Print_Area_15" localSheetId="0">#REF!</definedName>
    <definedName name="__xlnm.Print_Area_15">#REF!</definedName>
    <definedName name="__xlnm.Print_Titles_15" localSheetId="0">#REF!</definedName>
    <definedName name="__xlnm.Print_Titles_15">#REF!</definedName>
    <definedName name="_0" localSheetId="0">#REF!</definedName>
    <definedName name="_0">#REF!</definedName>
    <definedName name="_0___0" localSheetId="0">#REF!</definedName>
    <definedName name="_0___0">#REF!</definedName>
    <definedName name="_1" localSheetId="0">#REF!</definedName>
    <definedName name="_1">#REF!</definedName>
    <definedName name="_1___Excel_BuiltIn_Print_Area_4_1" localSheetId="0">#REF!</definedName>
    <definedName name="_1___Excel_BuiltIn_Print_Area_4_1">#REF!</definedName>
    <definedName name="_10" localSheetId="0">#REF!</definedName>
    <definedName name="_10">#REF!</definedName>
    <definedName name="_11" localSheetId="0">#REF!</definedName>
    <definedName name="_11">#REF!</definedName>
    <definedName name="_12" localSheetId="0">#REF!</definedName>
    <definedName name="_12">#REF!</definedName>
    <definedName name="_13" localSheetId="0">#REF!</definedName>
    <definedName name="_13">#REF!</definedName>
    <definedName name="_14" localSheetId="0">#REF!</definedName>
    <definedName name="_14">#REF!</definedName>
    <definedName name="_15" localSheetId="0">#REF!</definedName>
    <definedName name="_15">#REF!</definedName>
    <definedName name="_16" localSheetId="0">#REF!</definedName>
    <definedName name="_16">#REF!</definedName>
    <definedName name="_160_m" localSheetId="0">#REF!</definedName>
    <definedName name="_160_m">#REF!</definedName>
    <definedName name="_17" localSheetId="0">#REF!</definedName>
    <definedName name="_17">#REF!</definedName>
    <definedName name="_18" localSheetId="0">#REF!</definedName>
    <definedName name="_18">#REF!</definedName>
    <definedName name="_19" localSheetId="0">#REF!</definedName>
    <definedName name="_19">#REF!</definedName>
    <definedName name="_1Excel_BuiltIn_Print_Area_1_1_1" localSheetId="0">#REF!</definedName>
    <definedName name="_1Excel_BuiltIn_Print_Area_1_1_1">#REF!</definedName>
    <definedName name="_1Excel_BuiltIn_Print_Area_3_1" localSheetId="0">#REF!</definedName>
    <definedName name="_1Excel_BuiltIn_Print_Area_3_1">#REF!</definedName>
    <definedName name="_1Excel_BuiltIn_Print_Titles_1_1" localSheetId="0">#REF!</definedName>
    <definedName name="_1Excel_BuiltIn_Print_Titles_1_1">#REF!</definedName>
    <definedName name="_2" localSheetId="0">#REF!</definedName>
    <definedName name="_2">#REF!</definedName>
    <definedName name="_2___Excel_BuiltIn_Print_Area_5_1" localSheetId="0">#REF!</definedName>
    <definedName name="_2___Excel_BuiltIn_Print_Area_5_1">#REF!</definedName>
    <definedName name="_20" localSheetId="0">#REF!</definedName>
    <definedName name="_20">#REF!</definedName>
    <definedName name="_21" localSheetId="0">#REF!</definedName>
    <definedName name="_21">#REF!</definedName>
    <definedName name="_22" localSheetId="0">#REF!</definedName>
    <definedName name="_22">#REF!</definedName>
    <definedName name="_23" localSheetId="0">#REF!</definedName>
    <definedName name="_23">#REF!</definedName>
    <definedName name="_24" localSheetId="0">#REF!</definedName>
    <definedName name="_24">#REF!</definedName>
    <definedName name="_25" localSheetId="0">#REF!</definedName>
    <definedName name="_25">#REF!</definedName>
    <definedName name="_25_1" localSheetId="0">#REF!</definedName>
    <definedName name="_25_1">#REF!</definedName>
    <definedName name="_26" localSheetId="0">#REF!</definedName>
    <definedName name="_26">#REF!</definedName>
    <definedName name="_27" localSheetId="0">#REF!</definedName>
    <definedName name="_27">#REF!</definedName>
    <definedName name="_28" localSheetId="0">#REF!</definedName>
    <definedName name="_28">#REF!</definedName>
    <definedName name="_2Excel_BuiltIn_Print_Area_1_1_1_1" localSheetId="0">#REF!</definedName>
    <definedName name="_2Excel_BuiltIn_Print_Area_1_1_1_1">#REF!</definedName>
    <definedName name="_2m_100" localSheetId="0">#REF!</definedName>
    <definedName name="_2m_100">#REF!</definedName>
    <definedName name="_2m_150" localSheetId="0">#REF!</definedName>
    <definedName name="_2m_150">#REF!</definedName>
    <definedName name="_2m_200" localSheetId="0">#REF!</definedName>
    <definedName name="_2m_200">#REF!</definedName>
    <definedName name="_2m_25" localSheetId="0">#REF!</definedName>
    <definedName name="_2m_25">#REF!</definedName>
    <definedName name="_2m_250" localSheetId="0">#REF!</definedName>
    <definedName name="_2m_250">#REF!</definedName>
    <definedName name="_2m_300" localSheetId="0">#REF!</definedName>
    <definedName name="_2m_300">#REF!</definedName>
    <definedName name="_2m_32" localSheetId="0">#REF!</definedName>
    <definedName name="_2m_32">#REF!</definedName>
    <definedName name="_2m_40" localSheetId="0">#REF!</definedName>
    <definedName name="_2m_40">#REF!</definedName>
    <definedName name="_2m_50" localSheetId="0">#REF!</definedName>
    <definedName name="_2m_50">#REF!</definedName>
    <definedName name="_2m_65" localSheetId="0">#REF!</definedName>
    <definedName name="_2m_65">#REF!</definedName>
    <definedName name="_2m_80" localSheetId="0">#REF!</definedName>
    <definedName name="_2m_80">#REF!</definedName>
    <definedName name="_3" localSheetId="0">#REF!</definedName>
    <definedName name="_3">#REF!</definedName>
    <definedName name="_3___Excel_BuiltIn_Print_Area_6_1" localSheetId="0">#REF!</definedName>
    <definedName name="_3___Excel_BuiltIn_Print_Area_6_1">#REF!</definedName>
    <definedName name="_31" localSheetId="0">#REF!</definedName>
    <definedName name="_31">#REF!</definedName>
    <definedName name="_32" localSheetId="0">#REF!</definedName>
    <definedName name="_32">#REF!</definedName>
    <definedName name="_33" localSheetId="0">#REF!</definedName>
    <definedName name="_33">#REF!</definedName>
    <definedName name="_34" localSheetId="0">#REF!</definedName>
    <definedName name="_34">#REF!</definedName>
    <definedName name="_36" localSheetId="0">#REF!</definedName>
    <definedName name="_36">#REF!</definedName>
    <definedName name="_37" localSheetId="0">#REF!</definedName>
    <definedName name="_37">#REF!</definedName>
    <definedName name="_3m_100" localSheetId="0">#REF!</definedName>
    <definedName name="_3m_100">#REF!</definedName>
    <definedName name="_3m_150" localSheetId="0">#REF!</definedName>
    <definedName name="_3m_150">#REF!</definedName>
    <definedName name="_3m_200" localSheetId="0">#REF!</definedName>
    <definedName name="_3m_200">#REF!</definedName>
    <definedName name="_3m_25" localSheetId="0">#REF!</definedName>
    <definedName name="_3m_25">#REF!</definedName>
    <definedName name="_3m_250" localSheetId="0">#REF!</definedName>
    <definedName name="_3m_250">#REF!</definedName>
    <definedName name="_3m_300" localSheetId="0">#REF!</definedName>
    <definedName name="_3m_300">#REF!</definedName>
    <definedName name="_3m_32" localSheetId="0">#REF!</definedName>
    <definedName name="_3m_32">#REF!</definedName>
    <definedName name="_3m_40" localSheetId="0">#REF!</definedName>
    <definedName name="_3m_40">#REF!</definedName>
    <definedName name="_3m_50" localSheetId="0">#REF!</definedName>
    <definedName name="_3m_50">#REF!</definedName>
    <definedName name="_3m_65" localSheetId="0">#REF!</definedName>
    <definedName name="_3m_65">#REF!</definedName>
    <definedName name="_3m_80" localSheetId="0">#REF!</definedName>
    <definedName name="_3m_80">#REF!</definedName>
    <definedName name="_4" localSheetId="0">#REF!</definedName>
    <definedName name="_4">#REF!</definedName>
    <definedName name="_4___Excel_BuiltIn_Print_Area_7_1" localSheetId="0">#REF!</definedName>
    <definedName name="_4___Excel_BuiltIn_Print_Area_7_1">#REF!</definedName>
    <definedName name="_5" localSheetId="0">#REF!</definedName>
    <definedName name="_5">#REF!</definedName>
    <definedName name="_5___Excel_BuiltIn_Print_Titles_5_1" localSheetId="0">#REF!</definedName>
    <definedName name="_5___Excel_BuiltIn_Print_Titles_5_1">#REF!</definedName>
    <definedName name="_6" localSheetId="0">#REF!</definedName>
    <definedName name="_6">#REF!</definedName>
    <definedName name="_7" localSheetId="0">#REF!</definedName>
    <definedName name="_7">#REF!</definedName>
    <definedName name="_8" localSheetId="0">#REF!</definedName>
    <definedName name="_8">#REF!</definedName>
    <definedName name="_9" localSheetId="0">#REF!</definedName>
    <definedName name="_9">#REF!</definedName>
    <definedName name="_a1" localSheetId="0">#REF!</definedName>
    <definedName name="_a1">#REF!</definedName>
    <definedName name="_a2" localSheetId="0">#REF!</definedName>
    <definedName name="_a2">#REF!</definedName>
    <definedName name="_A31" localSheetId="0">#REF!</definedName>
    <definedName name="_A31">#REF!</definedName>
    <definedName name="_a65537" localSheetId="0">#REF!</definedName>
    <definedName name="_a65537">#REF!</definedName>
    <definedName name="_A65555" localSheetId="0">#REF!</definedName>
    <definedName name="_A65555">#REF!</definedName>
    <definedName name="_A655600" localSheetId="0">#REF!</definedName>
    <definedName name="_A655600">#REF!</definedName>
    <definedName name="_A65658" localSheetId="0">#REF!</definedName>
    <definedName name="_A65658">#REF!</definedName>
    <definedName name="_A65800" localSheetId="0">#REF!</definedName>
    <definedName name="_A65800">#REF!</definedName>
    <definedName name="_A66000" localSheetId="0">#REF!</definedName>
    <definedName name="_A66000">#REF!</definedName>
    <definedName name="_A99999" localSheetId="0">#REF!</definedName>
    <definedName name="_A99999">#REF!</definedName>
    <definedName name="_a999999" localSheetId="0">#REF!</definedName>
    <definedName name="_a999999">#REF!</definedName>
    <definedName name="_aaa10" localSheetId="0">#REF!</definedName>
    <definedName name="_aaa10">#REF!</definedName>
    <definedName name="_aaa11" localSheetId="0">#REF!</definedName>
    <definedName name="_aaa11">#REF!</definedName>
    <definedName name="_AAA12" localSheetId="0">#REF!</definedName>
    <definedName name="_AAA12">#REF!</definedName>
    <definedName name="_AAA21" localSheetId="0">#REF!</definedName>
    <definedName name="_AAA21">#REF!</definedName>
    <definedName name="_aaa23" localSheetId="0">#REF!</definedName>
    <definedName name="_aaa23">#REF!</definedName>
    <definedName name="_aaa34" localSheetId="0">#REF!</definedName>
    <definedName name="_aaa34">#REF!</definedName>
    <definedName name="_aaa5" localSheetId="0">#REF!</definedName>
    <definedName name="_aaa5">#REF!</definedName>
    <definedName name="_AAA51" localSheetId="0">#REF!</definedName>
    <definedName name="_AAA51">#REF!</definedName>
    <definedName name="_AAA53" localSheetId="0">#REF!</definedName>
    <definedName name="_AAA53">#REF!</definedName>
    <definedName name="_aaa54" localSheetId="0">#REF!</definedName>
    <definedName name="_aaa54">#REF!</definedName>
    <definedName name="_aaa545" localSheetId="0">#REF!</definedName>
    <definedName name="_aaa545">#REF!</definedName>
    <definedName name="_aaa55" localSheetId="0">#REF!</definedName>
    <definedName name="_aaa55">#REF!</definedName>
    <definedName name="_aaa56" localSheetId="0">#REF!</definedName>
    <definedName name="_aaa56">#REF!</definedName>
    <definedName name="_AAA57" localSheetId="0">#REF!</definedName>
    <definedName name="_AAA57">#REF!</definedName>
    <definedName name="_aaa59" localSheetId="0">#REF!</definedName>
    <definedName name="_aaa59">#REF!</definedName>
    <definedName name="_AAA6" localSheetId="0">#REF!</definedName>
    <definedName name="_AAA6">#REF!</definedName>
    <definedName name="_AAA66" localSheetId="0">#REF!</definedName>
    <definedName name="_AAA66">#REF!</definedName>
    <definedName name="_AAA69" localSheetId="0">#REF!</definedName>
    <definedName name="_AAA69">#REF!</definedName>
    <definedName name="_AAA7" localSheetId="0">#REF!</definedName>
    <definedName name="_AAA7">#REF!</definedName>
    <definedName name="_AAD5" localSheetId="0">#REF!</definedName>
    <definedName name="_AAD5">#REF!</definedName>
    <definedName name="_aad55" localSheetId="0">#REF!</definedName>
    <definedName name="_aad55">#REF!</definedName>
    <definedName name="_AAD56" localSheetId="0">#REF!</definedName>
    <definedName name="_AAD56">#REF!</definedName>
    <definedName name="_AAD57" localSheetId="0">#REF!</definedName>
    <definedName name="_AAD57">#REF!</definedName>
    <definedName name="_AB2222" localSheetId="0">#REF!</definedName>
    <definedName name="_AB2222">#REF!</definedName>
    <definedName name="_AB9013" localSheetId="0">#REF!</definedName>
    <definedName name="_AB9013">#REF!</definedName>
    <definedName name="_ACB2000" localSheetId="0">#REF!</definedName>
    <definedName name="_ACB2000">#REF!</definedName>
    <definedName name="_ACB3200" localSheetId="0">#REF!</definedName>
    <definedName name="_ACB3200">#REF!</definedName>
    <definedName name="_ACB80" localSheetId="0">#REF!</definedName>
    <definedName name="_ACB80">#REF!</definedName>
    <definedName name="_ACB800" localSheetId="0">#REF!</definedName>
    <definedName name="_ACB800">#REF!</definedName>
    <definedName name="_AFL1" localSheetId="0">#REF!</definedName>
    <definedName name="_AFL1">#REF!</definedName>
    <definedName name="_aj1" localSheetId="0">#REF!</definedName>
    <definedName name="_aj1">#REF!</definedName>
    <definedName name="_alt1" localSheetId="0">#REF!</definedName>
    <definedName name="_alt1">#REF!</definedName>
    <definedName name="_ALT2" localSheetId="0">#REF!</definedName>
    <definedName name="_ALT2">#REF!</definedName>
    <definedName name="_ALT3" localSheetId="0">#REF!</definedName>
    <definedName name="_ALT3">#REF!</definedName>
    <definedName name="_ALT4" localSheetId="0">#REF!</definedName>
    <definedName name="_ALT4">#REF!</definedName>
    <definedName name="_aoc10" localSheetId="0">#REF!</definedName>
    <definedName name="_aoc10">#REF!</definedName>
    <definedName name="_aoc11" localSheetId="0">#REF!</definedName>
    <definedName name="_aoc11">#REF!</definedName>
    <definedName name="_aoc7" localSheetId="0">#REF!</definedName>
    <definedName name="_aoc7">#REF!</definedName>
    <definedName name="_aoc8" localSheetId="0">#REF!</definedName>
    <definedName name="_aoc8">#REF!</definedName>
    <definedName name="_aoc9" localSheetId="0">#REF!</definedName>
    <definedName name="_aoc9">#REF!</definedName>
    <definedName name="_ATS1000" localSheetId="0">#REF!</definedName>
    <definedName name="_ATS1000">#REF!</definedName>
    <definedName name="_ATS150" localSheetId="0">#REF!</definedName>
    <definedName name="_ATS150">#REF!</definedName>
    <definedName name="_ATS260" localSheetId="0">#REF!</definedName>
    <definedName name="_ATS260">#REF!</definedName>
    <definedName name="_ATS400" localSheetId="0">#REF!</definedName>
    <definedName name="_ATS400">#REF!</definedName>
    <definedName name="_ATS600" localSheetId="0">#REF!</definedName>
    <definedName name="_ATS600">#REF!</definedName>
    <definedName name="_ATS630" localSheetId="0">#REF!</definedName>
    <definedName name="_ATS630">#REF!</definedName>
    <definedName name="_ATS800" localSheetId="0">#REF!</definedName>
    <definedName name="_ATS800">#REF!</definedName>
    <definedName name="_axx1" localSheetId="0">#REF!</definedName>
    <definedName name="_axx1">#REF!</definedName>
    <definedName name="_axx2" localSheetId="0">#REF!</definedName>
    <definedName name="_axx2">#REF!</definedName>
    <definedName name="_axx3" localSheetId="0">#REF!</definedName>
    <definedName name="_axx3">#REF!</definedName>
    <definedName name="_b1" localSheetId="0">#REF!</definedName>
    <definedName name="_b1">#REF!</definedName>
    <definedName name="_B100000" localSheetId="0">#REF!</definedName>
    <definedName name="_B100000">#REF!</definedName>
    <definedName name="_b111121" localSheetId="0">#REF!</definedName>
    <definedName name="_b111121">#REF!</definedName>
    <definedName name="_B19000" localSheetId="0">#REF!</definedName>
    <definedName name="_B19000">#REF!</definedName>
    <definedName name="_B19999" localSheetId="0">#REF!</definedName>
    <definedName name="_B19999">#REF!</definedName>
    <definedName name="_B20000" localSheetId="0">#REF!</definedName>
    <definedName name="_B20000">#REF!</definedName>
    <definedName name="_bct75" localSheetId="0">#REF!</definedName>
    <definedName name="_bct75">#REF!</definedName>
    <definedName name="_BDR1" localSheetId="0">#REF!</definedName>
    <definedName name="_BDR1">#REF!</definedName>
    <definedName name="_BDR2" localSheetId="0">#REF!</definedName>
    <definedName name="_BDR2">#REF!</definedName>
    <definedName name="_bol1" localSheetId="0">#REF!</definedName>
    <definedName name="_bol1">#REF!</definedName>
    <definedName name="_buh11" localSheetId="0">#REF!</definedName>
    <definedName name="_buh11">#REF!</definedName>
    <definedName name="_C" localSheetId="0">#REF!</definedName>
    <definedName name="_C">#REF!</definedName>
    <definedName name="_C___0" localSheetId="0">#REF!</definedName>
    <definedName name="_C___0">#REF!</definedName>
    <definedName name="_C___13" localSheetId="0">#REF!</definedName>
    <definedName name="_C___13">#REF!</definedName>
    <definedName name="_CCT220" localSheetId="0">#REF!</definedName>
    <definedName name="_CCT220">#REF!</definedName>
    <definedName name="_cdr1" localSheetId="0">#REF!</definedName>
    <definedName name="_cdr1">#REF!</definedName>
    <definedName name="_cli5" localSheetId="0">#REF!</definedName>
    <definedName name="_cli5">#REF!</definedName>
    <definedName name="_COL1" localSheetId="0">#REF!</definedName>
    <definedName name="_COL1">#REF!</definedName>
    <definedName name="_COL14" localSheetId="0">#REF!</definedName>
    <definedName name="_COL14">#REF!</definedName>
    <definedName name="_COL15" localSheetId="0">#REF!</definedName>
    <definedName name="_COL15">#REF!</definedName>
    <definedName name="_COL16" localSheetId="0">#REF!</definedName>
    <definedName name="_COL16">#REF!</definedName>
    <definedName name="_CON12" localSheetId="0">#REF!</definedName>
    <definedName name="_CON12">#REF!</definedName>
    <definedName name="_CON120" localSheetId="0">#REF!</definedName>
    <definedName name="_CON120">#REF!</definedName>
    <definedName name="_CON130" localSheetId="0">#REF!</definedName>
    <definedName name="_CON130">#REF!</definedName>
    <definedName name="_CON16" localSheetId="0">#REF!</definedName>
    <definedName name="_CON16">#REF!</definedName>
    <definedName name="_CON160" localSheetId="0">#REF!</definedName>
    <definedName name="_CON160">#REF!</definedName>
    <definedName name="_CON200" localSheetId="0">#REF!</definedName>
    <definedName name="_CON200">#REF!</definedName>
    <definedName name="_CON300" localSheetId="0">#REF!</definedName>
    <definedName name="_CON300">#REF!</definedName>
    <definedName name="_CON32" localSheetId="0">#REF!</definedName>
    <definedName name="_CON32">#REF!</definedName>
    <definedName name="_CON40" localSheetId="0">#REF!</definedName>
    <definedName name="_CON40">#REF!</definedName>
    <definedName name="_CON400" localSheetId="0">#REF!</definedName>
    <definedName name="_CON400">#REF!</definedName>
    <definedName name="_CON60" localSheetId="0">#REF!</definedName>
    <definedName name="_CON60">#REF!</definedName>
    <definedName name="_CON63" localSheetId="0">#REF!</definedName>
    <definedName name="_CON63">#REF!</definedName>
    <definedName name="_con631" localSheetId="0">#REF!</definedName>
    <definedName name="_con631">#REF!</definedName>
    <definedName name="_CON70" localSheetId="0">#REF!</definedName>
    <definedName name="_CON70">#REF!</definedName>
    <definedName name="_CON80" localSheetId="0">#REF!</definedName>
    <definedName name="_CON80">#REF!</definedName>
    <definedName name="_COS200" localSheetId="0">#REF!</definedName>
    <definedName name="_COS200">#REF!</definedName>
    <definedName name="_cos400" localSheetId="0">#REF!</definedName>
    <definedName name="_cos400">#REF!</definedName>
    <definedName name="_COS63" localSheetId="0">#REF!</definedName>
    <definedName name="_COS63">#REF!</definedName>
    <definedName name="_cos800" localSheetId="0">#REF!</definedName>
    <definedName name="_cos800">#REF!</definedName>
    <definedName name="_Ctr10" localSheetId="0">#REF!</definedName>
    <definedName name="_Ctr10">#REF!</definedName>
    <definedName name="_CVT220" localSheetId="0">#REF!</definedName>
    <definedName name="_CVT220">#REF!</definedName>
    <definedName name="_CY53__" localSheetId="0">#REF!</definedName>
    <definedName name="_CY53__">#REF!</definedName>
    <definedName name="_del1" localSheetId="0">#REF!</definedName>
    <definedName name="_del1">#REF!</definedName>
    <definedName name="_dep2" localSheetId="0">#REF!</definedName>
    <definedName name="_dep2">#REF!</definedName>
    <definedName name="_dep3" localSheetId="0">#REF!</definedName>
    <definedName name="_dep3">#REF!</definedName>
    <definedName name="_dim4" localSheetId="0">#REF!</definedName>
    <definedName name="_dim4">#REF!</definedName>
    <definedName name="_DKT75" localSheetId="0">#REF!</definedName>
    <definedName name="_DKT75">#REF!</definedName>
    <definedName name="_Doc1" localSheetId="0">#REF!</definedName>
    <definedName name="_Doc1">#REF!</definedName>
    <definedName name="_e20000" localSheetId="0">#REF!</definedName>
    <definedName name="_e20000">#REF!</definedName>
    <definedName name="_e99991" localSheetId="0">#REF!</definedName>
    <definedName name="_e99991">#REF!</definedName>
    <definedName name="_EN1000000" localSheetId="0">#REF!</definedName>
    <definedName name="_EN1000000">#REF!</definedName>
    <definedName name="_esc1" localSheetId="0">#REF!</definedName>
    <definedName name="_esc1">#REF!</definedName>
    <definedName name="_exc1" localSheetId="0">#REF!</definedName>
    <definedName name="_exc1">#REF!</definedName>
    <definedName name="_exc11" localSheetId="0">#REF!</definedName>
    <definedName name="_exc11">#REF!</definedName>
    <definedName name="_exc12." localSheetId="0">#REF!</definedName>
    <definedName name="_exc12.">#REF!</definedName>
    <definedName name="_exc2" localSheetId="0">#REF!</definedName>
    <definedName name="_exc2">#REF!</definedName>
    <definedName name="_EXC3" localSheetId="0">#REF!</definedName>
    <definedName name="_EXC3">#REF!</definedName>
    <definedName name="_EXC4" localSheetId="0">#REF!</definedName>
    <definedName name="_EXC4">#REF!</definedName>
    <definedName name="_ext2" localSheetId="0">#REF!</definedName>
    <definedName name="_ext2">#REF!</definedName>
    <definedName name="_ext3" localSheetId="0">#REF!</definedName>
    <definedName name="_ext3">#REF!</definedName>
    <definedName name="_f1" localSheetId="0">#REF!</definedName>
    <definedName name="_f1">#REF!</definedName>
    <definedName name="_fii1" localSheetId="0">#REF!</definedName>
    <definedName name="_fii1">#REF!</definedName>
    <definedName name="_fii2" localSheetId="0">#REF!</definedName>
    <definedName name="_fii2">#REF!</definedName>
    <definedName name="_fii3" localSheetId="0">#REF!</definedName>
    <definedName name="_fii3">#REF!</definedName>
    <definedName name="_xlnm._FilterDatabase" localSheetId="3" hidden="1">Finishesh!$B$1:$B$1043</definedName>
    <definedName name="_flx200" localSheetId="0">#REF!</definedName>
    <definedName name="_flx200">#REF!</definedName>
    <definedName name="_flx250" localSheetId="0">#REF!</definedName>
    <definedName name="_flx250">#REF!</definedName>
    <definedName name="_flx300" localSheetId="0">#REF!</definedName>
    <definedName name="_flx300">#REF!</definedName>
    <definedName name="_foo1" localSheetId="0">#REF!</definedName>
    <definedName name="_foo1">#REF!</definedName>
    <definedName name="_foo2" localSheetId="0">#REF!</definedName>
    <definedName name="_foo2">#REF!</definedName>
    <definedName name="_foo3" localSheetId="0">#REF!</definedName>
    <definedName name="_foo3">#REF!</definedName>
    <definedName name="_FOO4" localSheetId="0">#REF!</definedName>
    <definedName name="_FOO4">#REF!</definedName>
    <definedName name="_GOTO_I10_" localSheetId="0">#REF!</definedName>
    <definedName name="_GOTO_I10_">#REF!</definedName>
    <definedName name="_hfi04" localSheetId="0">#REF!</definedName>
    <definedName name="_hfi04">#REF!</definedName>
    <definedName name="_hfi1" localSheetId="0">#REF!</definedName>
    <definedName name="_hfi1">#REF!</definedName>
    <definedName name="_hfi3" localSheetId="0">#REF!</definedName>
    <definedName name="_hfi3">#REF!</definedName>
    <definedName name="_hmp100" localSheetId="0">#REF!</definedName>
    <definedName name="_hmp100">#REF!</definedName>
    <definedName name="_hmp120" localSheetId="0">#REF!</definedName>
    <definedName name="_hmp120">#REF!</definedName>
    <definedName name="_hxa1" localSheetId="0">#REF!</definedName>
    <definedName name="_hxa1">#REF!</definedName>
    <definedName name="_hxa2" localSheetId="0">#REF!</definedName>
    <definedName name="_hxa2">#REF!</definedName>
    <definedName name="_hxb1" localSheetId="0">#REF!</definedName>
    <definedName name="_hxb1">#REF!</definedName>
    <definedName name="_hxb2" localSheetId="0">#REF!</definedName>
    <definedName name="_hxb2">#REF!</definedName>
    <definedName name="_hxc1" localSheetId="0">#REF!</definedName>
    <definedName name="_hxc1">#REF!</definedName>
    <definedName name="_hxc2" localSheetId="0">#REF!</definedName>
    <definedName name="_hxc2">#REF!</definedName>
    <definedName name="_ind1" localSheetId="0">#REF!</definedName>
    <definedName name="_ind1">#REF!</definedName>
    <definedName name="_IND11" localSheetId="0">#REF!</definedName>
    <definedName name="_IND11">#REF!</definedName>
    <definedName name="_Ind3" localSheetId="0">#REF!</definedName>
    <definedName name="_Ind3">#REF!</definedName>
    <definedName name="_IND31" localSheetId="0">#REF!</definedName>
    <definedName name="_IND31">#REF!</definedName>
    <definedName name="_Ind4" localSheetId="0">#REF!</definedName>
    <definedName name="_Ind4">#REF!</definedName>
    <definedName name="_INT200" localSheetId="0">#REF!</definedName>
    <definedName name="_INT200">#REF!</definedName>
    <definedName name="_INT400" localSheetId="0">#REF!</definedName>
    <definedName name="_INT400">#REF!</definedName>
    <definedName name="_Iri2" localSheetId="0">#REF!</definedName>
    <definedName name="_Iri2">#REF!</definedName>
    <definedName name="_Iro2" localSheetId="0">#REF!</definedName>
    <definedName name="_Iro2">#REF!</definedName>
    <definedName name="_ISO1200" localSheetId="0">#REF!</definedName>
    <definedName name="_ISO1200">#REF!</definedName>
    <definedName name="_ISO200" localSheetId="0">#REF!</definedName>
    <definedName name="_ISO200">#REF!</definedName>
    <definedName name="_ISO220" localSheetId="0">#REF!</definedName>
    <definedName name="_ISO220">#REF!</definedName>
    <definedName name="_ISO400" localSheetId="0">#REF!</definedName>
    <definedName name="_ISO400">#REF!</definedName>
    <definedName name="_ISO800" localSheetId="0">#REF!</definedName>
    <definedName name="_ISO800">#REF!</definedName>
    <definedName name="_iv66666" localSheetId="0">#REF!</definedName>
    <definedName name="_iv66666">#REF!</definedName>
    <definedName name="_KC139" localSheetId="0">#REF!</definedName>
    <definedName name="_KC139">#REF!</definedName>
    <definedName name="_Key2" localSheetId="0">#REF!</definedName>
    <definedName name="_Key2">#REF!</definedName>
    <definedName name="_Ki1" localSheetId="0">#REF!</definedName>
    <definedName name="_Ki1">#REF!</definedName>
    <definedName name="_Ki2" localSheetId="0">#REF!</definedName>
    <definedName name="_Ki2">#REF!</definedName>
    <definedName name="_lb1" localSheetId="0">#REF!</definedName>
    <definedName name="_lb1">#REF!</definedName>
    <definedName name="_lb2" localSheetId="0">#REF!</definedName>
    <definedName name="_lb2">#REF!</definedName>
    <definedName name="_len2" localSheetId="0">#REF!</definedName>
    <definedName name="_len2">#REF!</definedName>
    <definedName name="_len3" localSheetId="0">#REF!</definedName>
    <definedName name="_len3">#REF!</definedName>
    <definedName name="_LMH1" localSheetId="0">#REF!</definedName>
    <definedName name="_LMH1">#REF!</definedName>
    <definedName name="_LMH2" localSheetId="0">#REF!</definedName>
    <definedName name="_LMH2">#REF!</definedName>
    <definedName name="_loc1" localSheetId="0">#REF!</definedName>
    <definedName name="_loc1">#REF!</definedName>
    <definedName name="_ls1" localSheetId="0">#REF!</definedName>
    <definedName name="_ls1">#REF!</definedName>
    <definedName name="_ls2" localSheetId="0">#REF!</definedName>
    <definedName name="_ls2">#REF!</definedName>
    <definedName name="_ls3" localSheetId="0">#REF!</definedName>
    <definedName name="_ls3">#REF!</definedName>
    <definedName name="_ls4" localSheetId="0">#REF!</definedName>
    <definedName name="_ls4">#REF!</definedName>
    <definedName name="_lsc44" localSheetId="0">#REF!</definedName>
    <definedName name="_lsc44">#REF!</definedName>
    <definedName name="_lux2" localSheetId="0">#REF!</definedName>
    <definedName name="_lux2">#REF!</definedName>
    <definedName name="_M1" localSheetId="0">#REF!</definedName>
    <definedName name="_M1">#REF!</definedName>
    <definedName name="_MAN1" localSheetId="0">#REF!</definedName>
    <definedName name="_MAN1">#REF!</definedName>
    <definedName name="_MB100" localSheetId="0">#REF!</definedName>
    <definedName name="_MB100">#REF!</definedName>
    <definedName name="_MB1200" localSheetId="0">#REF!</definedName>
    <definedName name="_MB1200">#REF!</definedName>
    <definedName name="_MB125" localSheetId="0">#REF!</definedName>
    <definedName name="_MB125">#REF!</definedName>
    <definedName name="_MB160" localSheetId="0">#REF!</definedName>
    <definedName name="_MB160">#REF!</definedName>
    <definedName name="_MB200" localSheetId="0">#REF!</definedName>
    <definedName name="_MB200">#REF!</definedName>
    <definedName name="_MB250" localSheetId="0">#REF!</definedName>
    <definedName name="_MB250">#REF!</definedName>
    <definedName name="_MB400" localSheetId="0">#REF!</definedName>
    <definedName name="_MB400">#REF!</definedName>
    <definedName name="_MB63" localSheetId="0">#REF!</definedName>
    <definedName name="_MB63">#REF!</definedName>
    <definedName name="_MB630" localSheetId="0">#REF!</definedName>
    <definedName name="_MB630">#REF!</definedName>
    <definedName name="_MB800" localSheetId="0">#REF!</definedName>
    <definedName name="_MB800">#REF!</definedName>
    <definedName name="_md8" localSheetId="0">#REF!</definedName>
    <definedName name="_md8">#REF!</definedName>
    <definedName name="_MG10" localSheetId="0">#REF!</definedName>
    <definedName name="_MG10">#REF!</definedName>
    <definedName name="_MG15" localSheetId="0">#REF!</definedName>
    <definedName name="_MG15">#REF!</definedName>
    <definedName name="_MG5" localSheetId="0">#REF!</definedName>
    <definedName name="_MG5">#REF!</definedName>
    <definedName name="_mi1" localSheetId="0">#REF!</definedName>
    <definedName name="_mi1">#REF!</definedName>
    <definedName name="_mi2" localSheetId="0">#REF!</definedName>
    <definedName name="_mi2">#REF!</definedName>
    <definedName name="_mi3" localSheetId="0">#REF!</definedName>
    <definedName name="_mi3">#REF!</definedName>
    <definedName name="_mi8" localSheetId="0">#REF!</definedName>
    <definedName name="_mi8">#REF!</definedName>
    <definedName name="_mm1" localSheetId="0">#REF!</definedName>
    <definedName name="_mm1">#REF!</definedName>
    <definedName name="_mm2" localSheetId="0">#REF!</definedName>
    <definedName name="_mm2">#REF!</definedName>
    <definedName name="_mm3" localSheetId="0">#REF!</definedName>
    <definedName name="_mm3">#REF!</definedName>
    <definedName name="_MMB220" localSheetId="0">#REF!</definedName>
    <definedName name="_MMB220">#REF!</definedName>
    <definedName name="_MN1" localSheetId="0">#REF!</definedName>
    <definedName name="_MN1">#REF!</definedName>
    <definedName name="_mnk1" localSheetId="0">#REF!</definedName>
    <definedName name="_mnk1">#REF!</definedName>
    <definedName name="_MP1" localSheetId="0">#REF!</definedName>
    <definedName name="_MP1">#REF!</definedName>
    <definedName name="_MP10" localSheetId="0">#REF!</definedName>
    <definedName name="_MP10">#REF!</definedName>
    <definedName name="_MP11" localSheetId="0">#REF!</definedName>
    <definedName name="_MP11">#REF!</definedName>
    <definedName name="_MP15" localSheetId="0">#REF!</definedName>
    <definedName name="_MP15">#REF!</definedName>
    <definedName name="_MP5" localSheetId="0">#REF!</definedName>
    <definedName name="_MP5">#REF!</definedName>
    <definedName name="_MRP2" localSheetId="0">#REF!</definedName>
    <definedName name="_MRP2">#REF!</definedName>
    <definedName name="_new10" localSheetId="0">#REF!</definedName>
    <definedName name="_new10">#REF!</definedName>
    <definedName name="_new11" localSheetId="0">#REF!</definedName>
    <definedName name="_new11">#REF!</definedName>
    <definedName name="_new12" localSheetId="0">#REF!</definedName>
    <definedName name="_new12">#REF!</definedName>
    <definedName name="_new13" localSheetId="0">#REF!</definedName>
    <definedName name="_new13">#REF!</definedName>
    <definedName name="_new14" localSheetId="0">#REF!</definedName>
    <definedName name="_new14">#REF!</definedName>
    <definedName name="_new15" localSheetId="0">#REF!</definedName>
    <definedName name="_new15">#REF!</definedName>
    <definedName name="_new16" localSheetId="0">#REF!</definedName>
    <definedName name="_new16">#REF!</definedName>
    <definedName name="_new17" localSheetId="0">#REF!</definedName>
    <definedName name="_new17">#REF!</definedName>
    <definedName name="_new2" localSheetId="0">#REF!</definedName>
    <definedName name="_new2">#REF!</definedName>
    <definedName name="_new3" localSheetId="0">#REF!</definedName>
    <definedName name="_new3">#REF!</definedName>
    <definedName name="_new4" localSheetId="0">#REF!</definedName>
    <definedName name="_new4">#REF!</definedName>
    <definedName name="_new5" localSheetId="0">#REF!</definedName>
    <definedName name="_new5">#REF!</definedName>
    <definedName name="_new6" localSheetId="0">#REF!</definedName>
    <definedName name="_new6">#REF!</definedName>
    <definedName name="_new7" localSheetId="0">#REF!</definedName>
    <definedName name="_new7">#REF!</definedName>
    <definedName name="_new9" localSheetId="0">#REF!</definedName>
    <definedName name="_new9">#REF!</definedName>
    <definedName name="_nm1" localSheetId="0">#REF!</definedName>
    <definedName name="_nm1">#REF!</definedName>
    <definedName name="_nn1" localSheetId="0">#REF!</definedName>
    <definedName name="_nn1">#REF!</definedName>
    <definedName name="_nn2" localSheetId="0">#REF!</definedName>
    <definedName name="_nn2">#REF!</definedName>
    <definedName name="_nt75" localSheetId="0">#REF!</definedName>
    <definedName name="_nt75">#REF!</definedName>
    <definedName name="_obm1" localSheetId="0">#REF!</definedName>
    <definedName name="_obm1">#REF!</definedName>
    <definedName name="_obm2" localSheetId="0">#REF!</definedName>
    <definedName name="_obm2">#REF!</definedName>
    <definedName name="_obm3" localSheetId="0">#REF!</definedName>
    <definedName name="_obm3">#REF!</definedName>
    <definedName name="_obm4" localSheetId="0">#REF!</definedName>
    <definedName name="_obm4">#REF!</definedName>
    <definedName name="_Od1" localSheetId="0">#REF!</definedName>
    <definedName name="_Od1">#REF!</definedName>
    <definedName name="_Od3" localSheetId="0">#REF!</definedName>
    <definedName name="_Od3">#REF!</definedName>
    <definedName name="_Od4" localSheetId="0">#REF!</definedName>
    <definedName name="_Od4">#REF!</definedName>
    <definedName name="_OLR1" localSheetId="0">#REF!</definedName>
    <definedName name="_OLR1">#REF!</definedName>
    <definedName name="_OLR2" localSheetId="0">#REF!</definedName>
    <definedName name="_OLR2">#REF!</definedName>
    <definedName name="_OLR3" localSheetId="0">#REF!</definedName>
    <definedName name="_OLR3">#REF!</definedName>
    <definedName name="_osf1" localSheetId="0">#REF!</definedName>
    <definedName name="_osf1">#REF!</definedName>
    <definedName name="_osf2" localSheetId="0">#REF!</definedName>
    <definedName name="_osf2">#REF!</definedName>
    <definedName name="_osf3" localSheetId="0">#REF!</definedName>
    <definedName name="_osf3">#REF!</definedName>
    <definedName name="_osf4" localSheetId="0">#REF!</definedName>
    <definedName name="_osf4">#REF!</definedName>
    <definedName name="_oz1" localSheetId="0">#REF!</definedName>
    <definedName name="_oz1">#REF!</definedName>
    <definedName name="_pa1" localSheetId="0">#REF!</definedName>
    <definedName name="_pa1">#REF!</definedName>
    <definedName name="_pa2" localSheetId="0">#REF!</definedName>
    <definedName name="_pa2">#REF!</definedName>
    <definedName name="_pan1" localSheetId="0">#REF!</definedName>
    <definedName name="_pan1">#REF!</definedName>
    <definedName name="_PAN2" localSheetId="0">#REF!</definedName>
    <definedName name="_PAN2">#REF!</definedName>
    <definedName name="_Parse_Out" localSheetId="0">#REF!</definedName>
    <definedName name="_Parse_Out">#REF!</definedName>
    <definedName name="_PB1" localSheetId="0">#REF!</definedName>
    <definedName name="_PB1">#REF!</definedName>
    <definedName name="_pc1" localSheetId="0">#REF!</definedName>
    <definedName name="_pc1">#REF!</definedName>
    <definedName name="_pc2" localSheetId="0">#REF!</definedName>
    <definedName name="_pc2">#REF!</definedName>
    <definedName name="_pc3" localSheetId="0">#REF!</definedName>
    <definedName name="_pc3">#REF!</definedName>
    <definedName name="_pcc1" localSheetId="0">#REF!</definedName>
    <definedName name="_pcc1">#REF!</definedName>
    <definedName name="_pcc2" localSheetId="0">#REF!</definedName>
    <definedName name="_pcc2">#REF!</definedName>
    <definedName name="_pcc3" localSheetId="0">#REF!</definedName>
    <definedName name="_pcc3">#REF!</definedName>
    <definedName name="_PCC4" localSheetId="0">#REF!</definedName>
    <definedName name="_PCC4">#REF!</definedName>
    <definedName name="_plb1" localSheetId="0">#REF!</definedName>
    <definedName name="_plb1">#REF!</definedName>
    <definedName name="_plb2" localSheetId="0">#REF!</definedName>
    <definedName name="_plb2">#REF!</definedName>
    <definedName name="_plb3" localSheetId="0">#REF!</definedName>
    <definedName name="_plb3">#REF!</definedName>
    <definedName name="_plb4" localSheetId="0">#REF!</definedName>
    <definedName name="_plb4">#REF!</definedName>
    <definedName name="_PM111" localSheetId="0">#REF!</definedName>
    <definedName name="_PM111">#REF!</definedName>
    <definedName name="_PPRN3..AF242" localSheetId="0">#REF!</definedName>
    <definedName name="_PPRN3..AF242">#REF!</definedName>
    <definedName name="_pqr1" localSheetId="0">#REF!</definedName>
    <definedName name="_pqr1">#REF!</definedName>
    <definedName name="_pqr2" localSheetId="0">#REF!</definedName>
    <definedName name="_pqr2">#REF!</definedName>
    <definedName name="_PSY2" localSheetId="0">#REF!</definedName>
    <definedName name="_PSY2">#REF!</definedName>
    <definedName name="_Re1" localSheetId="0">#REF!</definedName>
    <definedName name="_Re1">#REF!</definedName>
    <definedName name="_Regression_X" localSheetId="0">#REF!</definedName>
    <definedName name="_Regression_X">#REF!</definedName>
    <definedName name="_rim4" localSheetId="0">#REF!</definedName>
    <definedName name="_rim4">#REF!</definedName>
    <definedName name="_Rl1" localSheetId="0">#REF!</definedName>
    <definedName name="_Rl1">#REF!</definedName>
    <definedName name="_rm4" localSheetId="0">#REF!</definedName>
    <definedName name="_rm4">#REF!</definedName>
    <definedName name="_Rs1" localSheetId="0">#REF!</definedName>
    <definedName name="_Rs1">#REF!</definedName>
    <definedName name="_RVAE306___DOWN" localSheetId="0">#REF!</definedName>
    <definedName name="_RVAE306___DOWN">#REF!</definedName>
    <definedName name="_RVAE358___DOWN" localSheetId="0">#REF!</definedName>
    <definedName name="_RVAE358___DOWN">#REF!</definedName>
    <definedName name="_RVAE395___DOWN" localSheetId="0">#REF!</definedName>
    <definedName name="_RVAE395___DOWN">#REF!</definedName>
    <definedName name="_RVY53..AE53__" localSheetId="0">#REF!</definedName>
    <definedName name="_RVY53..AE53__">#REF!</definedName>
    <definedName name="_Sa1" localSheetId="0">#REF!</definedName>
    <definedName name="_Sa1">#REF!</definedName>
    <definedName name="_sbm1" localSheetId="0">#REF!</definedName>
    <definedName name="_sbm1">#REF!</definedName>
    <definedName name="_sbm2" localSheetId="0">#REF!</definedName>
    <definedName name="_sbm2">#REF!</definedName>
    <definedName name="_sbm3" localSheetId="0">#REF!</definedName>
    <definedName name="_sbm3">#REF!</definedName>
    <definedName name="_sbm4" localSheetId="0">#REF!</definedName>
    <definedName name="_sbm4">#REF!</definedName>
    <definedName name="_sd1" localSheetId="0">#REF!</definedName>
    <definedName name="_sd1">#REF!</definedName>
    <definedName name="_sdb2" localSheetId="0">#REF!</definedName>
    <definedName name="_sdb2">#REF!</definedName>
    <definedName name="_sec1" localSheetId="0">#REF!</definedName>
    <definedName name="_sec1">#REF!</definedName>
    <definedName name="_sec111" localSheetId="0">#REF!</definedName>
    <definedName name="_sec111">#REF!</definedName>
    <definedName name="_SEC15" localSheetId="0">#REF!</definedName>
    <definedName name="_SEC15">#REF!</definedName>
    <definedName name="_SEC15030" localSheetId="0">#REF!</definedName>
    <definedName name="_SEC15030">#REF!</definedName>
    <definedName name="_SEC15060" localSheetId="0">#REF!</definedName>
    <definedName name="_SEC15060">#REF!</definedName>
    <definedName name="_SEC15100" localSheetId="0">#REF!</definedName>
    <definedName name="_SEC15100">#REF!</definedName>
    <definedName name="_SEC15110" localSheetId="0">#REF!</definedName>
    <definedName name="_SEC15110">#REF!</definedName>
    <definedName name="_SEC15125" localSheetId="0">#REF!</definedName>
    <definedName name="_SEC15125">#REF!</definedName>
    <definedName name="_SEC15160" localSheetId="0">#REF!</definedName>
    <definedName name="_SEC15160">#REF!</definedName>
    <definedName name="_SEC15175" localSheetId="0">#REF!</definedName>
    <definedName name="_SEC15175">#REF!</definedName>
    <definedName name="_SEC15290" localSheetId="0">#REF!</definedName>
    <definedName name="_SEC15290">#REF!</definedName>
    <definedName name="_SEC15310" localSheetId="0">#REF!</definedName>
    <definedName name="_SEC15310">#REF!</definedName>
    <definedName name="_SEC15420" localSheetId="0">#REF!</definedName>
    <definedName name="_SEC15420">#REF!</definedName>
    <definedName name="_SEC15440" localSheetId="0">#REF!</definedName>
    <definedName name="_SEC15440">#REF!</definedName>
    <definedName name="_SEC15470" localSheetId="0">#REF!</definedName>
    <definedName name="_SEC15470">#REF!</definedName>
    <definedName name="_SEC15486" localSheetId="0">#REF!</definedName>
    <definedName name="_SEC15486">#REF!</definedName>
    <definedName name="_SEC15540" localSheetId="0">#REF!</definedName>
    <definedName name="_SEC15540">#REF!</definedName>
    <definedName name="_SEC15610" localSheetId="0">#REF!</definedName>
    <definedName name="_SEC15610">#REF!</definedName>
    <definedName name="_SEC15625" localSheetId="0">#REF!</definedName>
    <definedName name="_SEC15625">#REF!</definedName>
    <definedName name="_SEC15680" localSheetId="0">#REF!</definedName>
    <definedName name="_SEC15680">#REF!</definedName>
    <definedName name="_SEC15850" localSheetId="0">#REF!</definedName>
    <definedName name="_SEC15850">#REF!</definedName>
    <definedName name="_SEC15865" localSheetId="0">#REF!</definedName>
    <definedName name="_SEC15865">#REF!</definedName>
    <definedName name="_SEC15875" localSheetId="0">#REF!</definedName>
    <definedName name="_SEC15875">#REF!</definedName>
    <definedName name="_SEC15890" localSheetId="0">#REF!</definedName>
    <definedName name="_SEC15890">#REF!</definedName>
    <definedName name="_SEC15910" localSheetId="0">#REF!</definedName>
    <definedName name="_SEC15910">#REF!</definedName>
    <definedName name="_SEC15940" localSheetId="0">#REF!</definedName>
    <definedName name="_SEC15940">#REF!</definedName>
    <definedName name="_SEC15975" localSheetId="0">#REF!</definedName>
    <definedName name="_SEC15975">#REF!</definedName>
    <definedName name="_Sec2" localSheetId="0">#REF!</definedName>
    <definedName name="_Sec2">#REF!</definedName>
    <definedName name="_sec22" localSheetId="0">#REF!</definedName>
    <definedName name="_sec22">#REF!</definedName>
    <definedName name="_SEC23" localSheetId="0">#REF!</definedName>
    <definedName name="_SEC23">#REF!</definedName>
    <definedName name="_SEC24" localSheetId="0">#REF!</definedName>
    <definedName name="_SEC24">#REF!</definedName>
    <definedName name="_sec3" localSheetId="0">#REF!</definedName>
    <definedName name="_sec3">#REF!</definedName>
    <definedName name="_SEC32" localSheetId="0">#REF!</definedName>
    <definedName name="_SEC32">#REF!</definedName>
    <definedName name="_sec33" localSheetId="0">#REF!</definedName>
    <definedName name="_sec33">#REF!</definedName>
    <definedName name="_Sec4" localSheetId="0">#REF!</definedName>
    <definedName name="_Sec4">#REF!</definedName>
    <definedName name="_sec45" localSheetId="0">#REF!</definedName>
    <definedName name="_sec45">#REF!</definedName>
    <definedName name="_SEC46" localSheetId="0">#REF!</definedName>
    <definedName name="_SEC46">#REF!</definedName>
    <definedName name="_sec5" localSheetId="0">#REF!</definedName>
    <definedName name="_sec5">#REF!</definedName>
    <definedName name="_sec55" localSheetId="0">#REF!</definedName>
    <definedName name="_sec55">#REF!</definedName>
    <definedName name="_SEC56" localSheetId="0">#REF!</definedName>
    <definedName name="_SEC56">#REF!</definedName>
    <definedName name="_sec6" localSheetId="0">#REF!</definedName>
    <definedName name="_sec6">#REF!</definedName>
    <definedName name="_sec66" localSheetId="0">#REF!</definedName>
    <definedName name="_sec66">#REF!</definedName>
    <definedName name="_SEC67" localSheetId="0">#REF!</definedName>
    <definedName name="_SEC67">#REF!</definedName>
    <definedName name="_sec7" localSheetId="0">#REF!</definedName>
    <definedName name="_sec7">#REF!</definedName>
    <definedName name="_sec71" localSheetId="0">#REF!</definedName>
    <definedName name="_sec71">#REF!</definedName>
    <definedName name="_SEC72" localSheetId="0">#REF!</definedName>
    <definedName name="_SEC72">#REF!</definedName>
    <definedName name="_SEC74" localSheetId="0">#REF!</definedName>
    <definedName name="_SEC74">#REF!</definedName>
    <definedName name="_SEC75" localSheetId="0">#REF!</definedName>
    <definedName name="_SEC75">#REF!</definedName>
    <definedName name="_SEC77" localSheetId="0">#REF!</definedName>
    <definedName name="_SEC77">#REF!</definedName>
    <definedName name="_sec777" localSheetId="0">#REF!</definedName>
    <definedName name="_sec777">#REF!</definedName>
    <definedName name="_sec78" localSheetId="0">#REF!</definedName>
    <definedName name="_sec78">#REF!</definedName>
    <definedName name="_sec79" localSheetId="0">#REF!</definedName>
    <definedName name="_sec79">#REF!</definedName>
    <definedName name="_sec8" localSheetId="0">#REF!</definedName>
    <definedName name="_sec8">#REF!</definedName>
    <definedName name="_sec81" localSheetId="0">#REF!</definedName>
    <definedName name="_sec81">#REF!</definedName>
    <definedName name="_SEC82" localSheetId="0">#REF!</definedName>
    <definedName name="_SEC82">#REF!</definedName>
    <definedName name="_SEC83" localSheetId="0">#REF!</definedName>
    <definedName name="_SEC83">#REF!</definedName>
    <definedName name="_SEC87" localSheetId="0">#REF!</definedName>
    <definedName name="_SEC87">#REF!</definedName>
    <definedName name="_SEC88" localSheetId="0">#REF!</definedName>
    <definedName name="_SEC88">#REF!</definedName>
    <definedName name="_sec888" localSheetId="0">#REF!</definedName>
    <definedName name="_sec888">#REF!</definedName>
    <definedName name="_sec89" localSheetId="0">#REF!</definedName>
    <definedName name="_sec89">#REF!</definedName>
    <definedName name="_sec899" localSheetId="0">#REF!</definedName>
    <definedName name="_sec899">#REF!</definedName>
    <definedName name="_SEC9" localSheetId="0">#REF!</definedName>
    <definedName name="_SEC9">#REF!</definedName>
    <definedName name="_SEC91" localSheetId="0">#REF!</definedName>
    <definedName name="_SEC91">#REF!</definedName>
    <definedName name="_sep1" localSheetId="0">#REF!</definedName>
    <definedName name="_sep1">#REF!</definedName>
    <definedName name="_SFU125" localSheetId="0">#REF!</definedName>
    <definedName name="_SFU125">#REF!</definedName>
    <definedName name="_sfu200" localSheetId="0">#REF!</definedName>
    <definedName name="_sfu200">#REF!</definedName>
    <definedName name="_SFU250" localSheetId="0">#REF!</definedName>
    <definedName name="_SFU250">#REF!</definedName>
    <definedName name="_SFU32" localSheetId="0">#REF!</definedName>
    <definedName name="_SFU32">#REF!</definedName>
    <definedName name="_SFU400" localSheetId="0">#REF!</definedName>
    <definedName name="_SFU400">#REF!</definedName>
    <definedName name="_SFU63" localSheetId="0">#REF!</definedName>
    <definedName name="_SFU63">#REF!</definedName>
    <definedName name="_SFU630" localSheetId="0">#REF!</definedName>
    <definedName name="_SFU630">#REF!</definedName>
    <definedName name="_SFU800" localSheetId="0">#REF!</definedName>
    <definedName name="_SFU800">#REF!</definedName>
    <definedName name="_SH1" localSheetId="0">#REF!</definedName>
    <definedName name="_SH1">#REF!</definedName>
    <definedName name="_SH2" localSheetId="0">#REF!</definedName>
    <definedName name="_SH2">#REF!</definedName>
    <definedName name="_SH3" localSheetId="0">#REF!</definedName>
    <definedName name="_SH3">#REF!</definedName>
    <definedName name="_SH4" localSheetId="0">#REF!</definedName>
    <definedName name="_SH4">#REF!</definedName>
    <definedName name="_SH5" localSheetId="0">#REF!</definedName>
    <definedName name="_SH5">#REF!</definedName>
    <definedName name="_SHR1" localSheetId="0">#REF!</definedName>
    <definedName name="_SHR1">#REF!</definedName>
    <definedName name="_SHR2" localSheetId="0">#REF!</definedName>
    <definedName name="_SHR2">#REF!</definedName>
    <definedName name="_sit75" localSheetId="0">#REF!</definedName>
    <definedName name="_sit75">#REF!</definedName>
    <definedName name="_Sp1" localSheetId="0">#REF!</definedName>
    <definedName name="_Sp1">#REF!</definedName>
    <definedName name="_Ss1" localSheetId="0">#REF!</definedName>
    <definedName name="_Ss1">#REF!</definedName>
    <definedName name="_SS2" localSheetId="0">#REF!</definedName>
    <definedName name="_SS2">#REF!</definedName>
    <definedName name="_ssf1" localSheetId="0">#REF!</definedName>
    <definedName name="_ssf1">#REF!</definedName>
    <definedName name="_ssf2" localSheetId="0">#REF!</definedName>
    <definedName name="_ssf2">#REF!</definedName>
    <definedName name="_ssf3" localSheetId="0">#REF!</definedName>
    <definedName name="_ssf3">#REF!</definedName>
    <definedName name="_ssf4" localSheetId="0">#REF!</definedName>
    <definedName name="_ssf4">#REF!</definedName>
    <definedName name="_SUMMARY_OF_COS" localSheetId="0">#REF!</definedName>
    <definedName name="_SUMMARY_OF_COS">#REF!</definedName>
    <definedName name="_t1" localSheetId="0">#REF!</definedName>
    <definedName name="_t1">#REF!</definedName>
    <definedName name="_tab1" localSheetId="0">#REF!</definedName>
    <definedName name="_tab1">#REF!</definedName>
    <definedName name="_tab2" localSheetId="0">#REF!</definedName>
    <definedName name="_tab2">#REF!</definedName>
    <definedName name="_tax1" localSheetId="0">#REF!</definedName>
    <definedName name="_tax1">#REF!</definedName>
    <definedName name="_tax2" localSheetId="0">#REF!</definedName>
    <definedName name="_tax2">#REF!</definedName>
    <definedName name="_tax3" localSheetId="0">#REF!</definedName>
    <definedName name="_tax3">#REF!</definedName>
    <definedName name="_tax4" localSheetId="0">#REF!</definedName>
    <definedName name="_tax4">#REF!</definedName>
    <definedName name="_TB2" localSheetId="0">#REF!</definedName>
    <definedName name="_TB2">#REF!</definedName>
    <definedName name="_tbc2" localSheetId="0">#REF!</definedName>
    <definedName name="_tbc2">#REF!</definedName>
    <definedName name="_tbc3" localSheetId="0">#REF!</definedName>
    <definedName name="_tbc3">#REF!</definedName>
    <definedName name="_te1" localSheetId="0">#REF!</definedName>
    <definedName name="_te1">#REF!</definedName>
    <definedName name="_Ter1" localSheetId="0">#REF!</definedName>
    <definedName name="_Ter1">#REF!</definedName>
    <definedName name="_tk1" localSheetId="0">#REF!</definedName>
    <definedName name="_tk1">#REF!</definedName>
    <definedName name="_Tkl1" localSheetId="0">#REF!</definedName>
    <definedName name="_Tkl1">#REF!</definedName>
    <definedName name="_tr75" localSheetId="0">#REF!</definedName>
    <definedName name="_tr75">#REF!</definedName>
    <definedName name="_tra1" localSheetId="0">#REF!</definedName>
    <definedName name="_tra1">#REF!</definedName>
    <definedName name="_tra2" localSheetId="0">#REF!</definedName>
    <definedName name="_tra2">#REF!</definedName>
    <definedName name="_trt75" localSheetId="0">#REF!</definedName>
    <definedName name="_trt75">#REF!</definedName>
    <definedName name="_tt75" localSheetId="0">#REF!</definedName>
    <definedName name="_tt75">#REF!</definedName>
    <definedName name="_TTL1" localSheetId="0">#REF!</definedName>
    <definedName name="_TTL1">#REF!</definedName>
    <definedName name="_TTL2" localSheetId="0">#REF!</definedName>
    <definedName name="_TTL2">#REF!</definedName>
    <definedName name="_TTL3" localSheetId="0">#REF!</definedName>
    <definedName name="_TTL3">#REF!</definedName>
    <definedName name="_TTL4" localSheetId="0">#REF!</definedName>
    <definedName name="_TTL4">#REF!</definedName>
    <definedName name="_TTL5" localSheetId="0">#REF!</definedName>
    <definedName name="_TTL5">#REF!</definedName>
    <definedName name="_TTL6" localSheetId="0">#REF!</definedName>
    <definedName name="_TTL6">#REF!</definedName>
    <definedName name="_U14" localSheetId="0">#REF!</definedName>
    <definedName name="_U14">#REF!</definedName>
    <definedName name="_U60" localSheetId="0">#REF!</definedName>
    <definedName name="_U60">#REF!</definedName>
    <definedName name="_UDL1" localSheetId="0">#REF!</definedName>
    <definedName name="_UDL1">#REF!</definedName>
    <definedName name="_UDL2" localSheetId="0">#REF!</definedName>
    <definedName name="_UDL2">#REF!</definedName>
    <definedName name="_UDL3" localSheetId="0">#REF!</definedName>
    <definedName name="_UDL3">#REF!</definedName>
    <definedName name="_vb1" localSheetId="0">#REF!</definedName>
    <definedName name="_vb1">#REF!</definedName>
    <definedName name="_Vf1" localSheetId="0">#REF!</definedName>
    <definedName name="_Vf1">#REF!</definedName>
    <definedName name="_Vf2" localSheetId="0">#REF!</definedName>
    <definedName name="_Vf2">#REF!</definedName>
    <definedName name="_VFD2" localSheetId="0">#REF!</definedName>
    <definedName name="_VFD2">#REF!</definedName>
    <definedName name="_VFD3" localSheetId="0">#REF!</definedName>
    <definedName name="_VFD3">#REF!</definedName>
    <definedName name="_Vs1" localSheetId="0">#REF!</definedName>
    <definedName name="_Vs1">#REF!</definedName>
    <definedName name="_WGZY_" localSheetId="0">#REF!</definedName>
    <definedName name="_WGZY_">#REF!</definedName>
    <definedName name="_wid2" localSheetId="0">#REF!</definedName>
    <definedName name="_wid2">#REF!</definedName>
    <definedName name="_wid3" localSheetId="0">#REF!</definedName>
    <definedName name="_wid3">#REF!</definedName>
    <definedName name="_wp1" localSheetId="0">#REF!</definedName>
    <definedName name="_wp1">#REF!</definedName>
    <definedName name="_x1" localSheetId="0">#REF!</definedName>
    <definedName name="_x1">#REF!</definedName>
    <definedName name="_x2" localSheetId="0">#REF!</definedName>
    <definedName name="_x2">#REF!</definedName>
    <definedName name="_Xl1" localSheetId="0">#REF!</definedName>
    <definedName name="_Xl1">#REF!</definedName>
    <definedName name="_zz93" localSheetId="0">#REF!</definedName>
    <definedName name="_zz93">#REF!</definedName>
    <definedName name="A" localSheetId="0">#REF!</definedName>
    <definedName name="A">#REF!</definedName>
    <definedName name="A.1" localSheetId="0">#REF!</definedName>
    <definedName name="A.1">#REF!</definedName>
    <definedName name="A.2.i" localSheetId="0">#REF!</definedName>
    <definedName name="A.2.i">#REF!</definedName>
    <definedName name="A.3" localSheetId="0">#REF!</definedName>
    <definedName name="A.3">#REF!</definedName>
    <definedName name="A.5" localSheetId="0">#REF!</definedName>
    <definedName name="A.5">#REF!</definedName>
    <definedName name="A.6.a" localSheetId="0">#REF!</definedName>
    <definedName name="A.6.a">#REF!</definedName>
    <definedName name="A.6.b" localSheetId="0">#REF!</definedName>
    <definedName name="A.6.b">#REF!</definedName>
    <definedName name="A.NOS" localSheetId="0">#REF!</definedName>
    <definedName name="A.NOS">#REF!</definedName>
    <definedName name="a___0" localSheetId="0">#REF!</definedName>
    <definedName name="a___0">#REF!</definedName>
    <definedName name="a___13" localSheetId="0">#REF!</definedName>
    <definedName name="a___13">#REF!</definedName>
    <definedName name="A_1" localSheetId="0">#REF!</definedName>
    <definedName name="A_1">#REF!</definedName>
    <definedName name="a_100" localSheetId="0">#REF!</definedName>
    <definedName name="a_100">#REF!</definedName>
    <definedName name="a_1000_edo" localSheetId="0">#REF!</definedName>
    <definedName name="a_1000_edo">#REF!</definedName>
    <definedName name="a_150" localSheetId="0">#REF!</definedName>
    <definedName name="a_150">#REF!</definedName>
    <definedName name="A_2" localSheetId="0">#REF!</definedName>
    <definedName name="A_2">#REF!</definedName>
    <definedName name="a_50" localSheetId="0">#REF!</definedName>
    <definedName name="a_50">#REF!</definedName>
    <definedName name="A_Prelims" localSheetId="0">#REF!</definedName>
    <definedName name="A_Prelims">#REF!</definedName>
    <definedName name="A_STATUS_DRGS" localSheetId="0">#REF!</definedName>
    <definedName name="A_STATUS_DRGS">#REF!</definedName>
    <definedName name="A_STATUS_NUMBER" localSheetId="0">#REF!</definedName>
    <definedName name="A_STATUS_NUMBER">#REF!</definedName>
    <definedName name="A1_" localSheetId="0">#REF!</definedName>
    <definedName name="A1_">#REF!</definedName>
    <definedName name="A1____0" localSheetId="0">#REF!</definedName>
    <definedName name="A1____0">#REF!</definedName>
    <definedName name="A1____13" localSheetId="0">#REF!</definedName>
    <definedName name="A1____13">#REF!</definedName>
    <definedName name="A10_" localSheetId="0">#REF!</definedName>
    <definedName name="A10_">#REF!</definedName>
    <definedName name="A10____0" localSheetId="0">#REF!</definedName>
    <definedName name="A10____0">#REF!</definedName>
    <definedName name="A10____13" localSheetId="0">#REF!</definedName>
    <definedName name="A10____13">#REF!</definedName>
    <definedName name="A1000FE" localSheetId="0">#REF!</definedName>
    <definedName name="A1000FE">#REF!</definedName>
    <definedName name="A1000FEA" localSheetId="0">#REF!</definedName>
    <definedName name="A1000FEA">#REF!</definedName>
    <definedName name="A1000TE" localSheetId="0">#REF!</definedName>
    <definedName name="A1000TE">#REF!</definedName>
    <definedName name="A1000TEA" localSheetId="0">#REF!</definedName>
    <definedName name="A1000TEA">#REF!</definedName>
    <definedName name="A1250FE" localSheetId="0">#REF!</definedName>
    <definedName name="A1250FE">#REF!</definedName>
    <definedName name="A1250FEA" localSheetId="0">#REF!</definedName>
    <definedName name="A1250FEA">#REF!</definedName>
    <definedName name="a1250t" localSheetId="0">#REF!</definedName>
    <definedName name="a1250t">#REF!</definedName>
    <definedName name="A1250TE" localSheetId="0">#REF!</definedName>
    <definedName name="A1250TE">#REF!</definedName>
    <definedName name="A1250TEA" localSheetId="0">#REF!</definedName>
    <definedName name="A1250TEA">#REF!</definedName>
    <definedName name="A1250TM" localSheetId="0">#REF!</definedName>
    <definedName name="A1250TM">#REF!</definedName>
    <definedName name="A1250TMA" localSheetId="0">#REF!</definedName>
    <definedName name="A1250TMA">#REF!</definedName>
    <definedName name="A13_" localSheetId="0">#REF!</definedName>
    <definedName name="A13_">#REF!</definedName>
    <definedName name="A13____0" localSheetId="0">#REF!</definedName>
    <definedName name="A13____0">#REF!</definedName>
    <definedName name="A13____13" localSheetId="0">#REF!</definedName>
    <definedName name="A13____13">#REF!</definedName>
    <definedName name="a1600f" localSheetId="0">#REF!</definedName>
    <definedName name="a1600f">#REF!</definedName>
    <definedName name="a1600t" localSheetId="0">#REF!</definedName>
    <definedName name="a1600t">#REF!</definedName>
    <definedName name="A1600TM" localSheetId="0">#REF!</definedName>
    <definedName name="A1600TM">#REF!</definedName>
    <definedName name="A1M170" localSheetId="0">#REF!</definedName>
    <definedName name="A1M170">#REF!</definedName>
    <definedName name="A2_" localSheetId="0">#REF!</definedName>
    <definedName name="A2_">#REF!</definedName>
    <definedName name="A2____0" localSheetId="0">#REF!</definedName>
    <definedName name="A2____0">#REF!</definedName>
    <definedName name="A2____13" localSheetId="0">#REF!</definedName>
    <definedName name="A2____13">#REF!</definedName>
    <definedName name="A2000FE" localSheetId="0">#REF!</definedName>
    <definedName name="A2000FE">#REF!</definedName>
    <definedName name="A2000FEA" localSheetId="0">#REF!</definedName>
    <definedName name="A2000FEA">#REF!</definedName>
    <definedName name="A2000TE" localSheetId="0">#REF!</definedName>
    <definedName name="A2000TE">#REF!</definedName>
    <definedName name="A2000TEA" localSheetId="0">#REF!</definedName>
    <definedName name="A2000TEA">#REF!</definedName>
    <definedName name="A3_" localSheetId="0">#REF!</definedName>
    <definedName name="A3_">#REF!</definedName>
    <definedName name="A3____0" localSheetId="0">#REF!</definedName>
    <definedName name="A3____0">#REF!</definedName>
    <definedName name="A3____13" localSheetId="0">#REF!</definedName>
    <definedName name="A3____13">#REF!</definedName>
    <definedName name="a3200f" localSheetId="0">#REF!</definedName>
    <definedName name="a3200f">#REF!</definedName>
    <definedName name="A3Star" localSheetId="0">#REF!</definedName>
    <definedName name="A3Star">#REF!</definedName>
    <definedName name="A4_" localSheetId="0">#REF!</definedName>
    <definedName name="A4_">#REF!</definedName>
    <definedName name="A4____0" localSheetId="0">#REF!</definedName>
    <definedName name="A4____0">#REF!</definedName>
    <definedName name="A4____13" localSheetId="0">#REF!</definedName>
    <definedName name="A4____13">#REF!</definedName>
    <definedName name="A5_" localSheetId="0">#REF!</definedName>
    <definedName name="A5_">#REF!</definedName>
    <definedName name="A5____0" localSheetId="0">#REF!</definedName>
    <definedName name="A5____0">#REF!</definedName>
    <definedName name="A5____13" localSheetId="0">#REF!</definedName>
    <definedName name="A5____13">#REF!</definedName>
    <definedName name="A6_" localSheetId="0">#REF!</definedName>
    <definedName name="A6_">#REF!</definedName>
    <definedName name="A6____0" localSheetId="0">#REF!</definedName>
    <definedName name="A6____0">#REF!</definedName>
    <definedName name="A6____13" localSheetId="0">#REF!</definedName>
    <definedName name="A6____13">#REF!</definedName>
    <definedName name="A630TE" localSheetId="0">#REF!</definedName>
    <definedName name="A630TE">#REF!</definedName>
    <definedName name="A7_" localSheetId="0">#REF!</definedName>
    <definedName name="A7_">#REF!</definedName>
    <definedName name="A7____0" localSheetId="0">#REF!</definedName>
    <definedName name="A7____0">#REF!</definedName>
    <definedName name="A7____13" localSheetId="0">#REF!</definedName>
    <definedName name="A7____13">#REF!</definedName>
    <definedName name="A8_" localSheetId="0">#REF!</definedName>
    <definedName name="A8_">#REF!</definedName>
    <definedName name="A8____0" localSheetId="0">#REF!</definedName>
    <definedName name="A8____0">#REF!</definedName>
    <definedName name="A8____13" localSheetId="0">#REF!</definedName>
    <definedName name="A8____13">#REF!</definedName>
    <definedName name="A800FE" localSheetId="0">#REF!</definedName>
    <definedName name="A800FE">#REF!</definedName>
    <definedName name="A800FM" localSheetId="0">#REF!</definedName>
    <definedName name="A800FM">#REF!</definedName>
    <definedName name="a800t" localSheetId="0">#REF!</definedName>
    <definedName name="a800t">#REF!</definedName>
    <definedName name="A800TM" localSheetId="0">#REF!</definedName>
    <definedName name="A800TM">#REF!</definedName>
    <definedName name="A800TMA" localSheetId="0">#REF!</definedName>
    <definedName name="A800TMA">#REF!</definedName>
    <definedName name="A9_" localSheetId="0">#REF!</definedName>
    <definedName name="A9_">#REF!</definedName>
    <definedName name="A9____0" localSheetId="0">#REF!</definedName>
    <definedName name="A9____0">#REF!</definedName>
    <definedName name="A9____13" localSheetId="0">#REF!</definedName>
    <definedName name="A9____13">#REF!</definedName>
    <definedName name="AA" localSheetId="0">#REF!</definedName>
    <definedName name="AA">#REF!</definedName>
    <definedName name="AAA" localSheetId="0">#REF!</definedName>
    <definedName name="AAA">#REF!</definedName>
    <definedName name="AAA5A" localSheetId="0">#REF!</definedName>
    <definedName name="AAA5A">#REF!</definedName>
    <definedName name="aaaa5" localSheetId="0">#REF!</definedName>
    <definedName name="aaaa5">#REF!</definedName>
    <definedName name="aaaa55" localSheetId="0">#REF!</definedName>
    <definedName name="aaaa55">#REF!</definedName>
    <definedName name="AAAA56" localSheetId="0">#REF!</definedName>
    <definedName name="AAAA56">#REF!</definedName>
    <definedName name="aaaa59" localSheetId="0">#REF!</definedName>
    <definedName name="aaaa59">#REF!</definedName>
    <definedName name="AAAA6" localSheetId="0">#REF!</definedName>
    <definedName name="AAAA6">#REF!</definedName>
    <definedName name="aaaaa" localSheetId="0">#REF!</definedName>
    <definedName name="aaaaa">#REF!</definedName>
    <definedName name="AAAAA5" localSheetId="0">#REF!</definedName>
    <definedName name="AAAAA5">#REF!</definedName>
    <definedName name="aaaaaaaaa" localSheetId="0">#REF!</definedName>
    <definedName name="aaaaaaaaa">#REF!</definedName>
    <definedName name="aaaaaaaaaaa" localSheetId="0">#REF!</definedName>
    <definedName name="aaaaaaaaaaa">#REF!</definedName>
    <definedName name="AAAAAAAAAAAAAAAAAAAAAAAAAAAAAAAAAAAAAAAAA" localSheetId="0">#REF!</definedName>
    <definedName name="AAAAAAAAAAAAAAAAAAAAAAAAAAAAAAAAAAAAAAAAA">#REF!</definedName>
    <definedName name="aaasa" localSheetId="0">#REF!</definedName>
    <definedName name="aaasa">#REF!</definedName>
    <definedName name="aad" localSheetId="0">#REF!</definedName>
    <definedName name="aad">#REF!</definedName>
    <definedName name="aadawawdaW" localSheetId="0">#REF!</definedName>
    <definedName name="aadawawdaW">#REF!</definedName>
    <definedName name="aamin" localSheetId="0">#REF!</definedName>
    <definedName name="aamin">#REF!</definedName>
    <definedName name="Aapp" localSheetId="0">#REF!</definedName>
    <definedName name="Aapp">#REF!</definedName>
    <definedName name="aAXX1" localSheetId="0">#REF!</definedName>
    <definedName name="aAXX1">#REF!</definedName>
    <definedName name="AB_9200" localSheetId="0">#REF!</definedName>
    <definedName name="AB_9200">#REF!</definedName>
    <definedName name="AB_9200_0" localSheetId="0">#REF!</definedName>
    <definedName name="AB_9200_0">#REF!</definedName>
    <definedName name="AB_9201" localSheetId="0">#REF!</definedName>
    <definedName name="AB_9201">#REF!</definedName>
    <definedName name="AB_9201_0" localSheetId="0">#REF!</definedName>
    <definedName name="AB_9201_0">#REF!</definedName>
    <definedName name="Ab_Occ_Pay_Term" localSheetId="0">#REF!</definedName>
    <definedName name="Ab_Occ_Pay_Term">#REF!</definedName>
    <definedName name="AB0318___807.33" localSheetId="0">#REF!</definedName>
    <definedName name="AB0318___807.33">#REF!</definedName>
    <definedName name="AB2000F" localSheetId="0">#REF!</definedName>
    <definedName name="AB2000F">#REF!</definedName>
    <definedName name="AB2000F1" localSheetId="0">#REF!</definedName>
    <definedName name="AB2000F1">#REF!</definedName>
    <definedName name="AB2000FC" localSheetId="0">#REF!</definedName>
    <definedName name="AB2000FC">#REF!</definedName>
    <definedName name="AB2000FC1" localSheetId="0">#REF!</definedName>
    <definedName name="AB2000FC1">#REF!</definedName>
    <definedName name="AB2000T" localSheetId="0">#REF!</definedName>
    <definedName name="AB2000T">#REF!</definedName>
    <definedName name="AB2000T1" localSheetId="0">#REF!</definedName>
    <definedName name="AB2000T1">#REF!</definedName>
    <definedName name="AB2000TC" localSheetId="0">#REF!</definedName>
    <definedName name="AB2000TC">#REF!</definedName>
    <definedName name="AB2000TC1" localSheetId="0">#REF!</definedName>
    <definedName name="AB2000TC1">#REF!</definedName>
    <definedName name="AB2195___132" localSheetId="0">#REF!</definedName>
    <definedName name="AB2195___132">#REF!</definedName>
    <definedName name="AB2771___266.48" localSheetId="0">#REF!</definedName>
    <definedName name="AB2771___266.48">#REF!</definedName>
    <definedName name="AB2773___142.08" localSheetId="0">#REF!</definedName>
    <definedName name="AB2773___142.08">#REF!</definedName>
    <definedName name="AB3051___44.04" localSheetId="0">#REF!</definedName>
    <definedName name="AB3051___44.04">#REF!</definedName>
    <definedName name="ab3200es" localSheetId="0">#REF!</definedName>
    <definedName name="ab3200es">#REF!</definedName>
    <definedName name="AB3457___325.22" localSheetId="0">#REF!</definedName>
    <definedName name="AB3457___325.22">#REF!</definedName>
    <definedName name="AB3457A___429.44" localSheetId="0">#REF!</definedName>
    <definedName name="AB3457A___429.44">#REF!</definedName>
    <definedName name="ab630e" localSheetId="0">#REF!</definedName>
    <definedName name="ab630e">#REF!</definedName>
    <definedName name="ab630eGE" localSheetId="0">#REF!</definedName>
    <definedName name="ab630eGE">#REF!</definedName>
    <definedName name="ab800es" localSheetId="0">#REF!</definedName>
    <definedName name="ab800es">#REF!</definedName>
    <definedName name="AB9078___790.26" localSheetId="0">#REF!</definedName>
    <definedName name="AB9078___790.26">#REF!</definedName>
    <definedName name="AB9079___449.11" localSheetId="0">#REF!</definedName>
    <definedName name="AB9079___449.11">#REF!</definedName>
    <definedName name="AB9105___25.62" localSheetId="0">#REF!</definedName>
    <definedName name="AB9105___25.62">#REF!</definedName>
    <definedName name="AB9123___188.36" localSheetId="0">#REF!</definedName>
    <definedName name="AB9123___188.36">#REF!</definedName>
    <definedName name="AB9130___91.42" localSheetId="0">#REF!</definedName>
    <definedName name="AB9130___91.42">#REF!</definedName>
    <definedName name="ABB250AMCCB" localSheetId="0">#REF!</definedName>
    <definedName name="ABB250AMCCB">#REF!</definedName>
    <definedName name="ABB400AMCCB" localSheetId="0">#REF!</definedName>
    <definedName name="ABB400AMCCB">#REF!</definedName>
    <definedName name="ABB630AMCCB" localSheetId="0">#REF!</definedName>
    <definedName name="ABB630AMCCB">#REF!</definedName>
    <definedName name="ABB630AMCCBA" localSheetId="0">#REF!</definedName>
    <definedName name="ABB630AMCCBA">#REF!</definedName>
    <definedName name="ABB63AMCCB" localSheetId="0">#REF!</definedName>
    <definedName name="ABB63AMCCB">#REF!</definedName>
    <definedName name="abb70acon" localSheetId="0">#REF!</definedName>
    <definedName name="abb70acon">#REF!</definedName>
    <definedName name="ABB800AMCCB" localSheetId="0">#REF!</definedName>
    <definedName name="ABB800AMCCB">#REF!</definedName>
    <definedName name="abc" localSheetId="0">#REF!</definedName>
    <definedName name="abc">#REF!</definedName>
    <definedName name="ABS" localSheetId="0">#REF!</definedName>
    <definedName name="ABS">#REF!</definedName>
    <definedName name="Absrta" localSheetId="0">#REF!</definedName>
    <definedName name="Absrta">#REF!</definedName>
    <definedName name="ABSSSS" localSheetId="0">#REF!</definedName>
    <definedName name="ABSSSS">#REF!</definedName>
    <definedName name="Abst" localSheetId="0">#REF!</definedName>
    <definedName name="Abst">#REF!</definedName>
    <definedName name="ABSTRACT" localSheetId="0">#REF!</definedName>
    <definedName name="ABSTRACT">#REF!</definedName>
    <definedName name="abtarea" localSheetId="0">#REF!</definedName>
    <definedName name="abtarea">#REF!</definedName>
    <definedName name="abtends" localSheetId="0">#REF!</definedName>
    <definedName name="abtends">#REF!</definedName>
    <definedName name="abtpi" localSheetId="0">#REF!</definedName>
    <definedName name="abtpi">#REF!</definedName>
    <definedName name="abtpiledia" localSheetId="0">#REF!</definedName>
    <definedName name="abtpiledia">#REF!</definedName>
    <definedName name="Abuld" localSheetId="0">#REF!</definedName>
    <definedName name="Abuld">#REF!</definedName>
    <definedName name="abutpiles" localSheetId="0">#REF!</definedName>
    <definedName name="abutpiles">#REF!</definedName>
    <definedName name="acab" localSheetId="0">#REF!</definedName>
    <definedName name="acab">#REF!</definedName>
    <definedName name="Acap" localSheetId="0">#REF!</definedName>
    <definedName name="Acap">#REF!</definedName>
    <definedName name="acb1250edo_l" localSheetId="0">#REF!</definedName>
    <definedName name="acb1250edo_l">#REF!</definedName>
    <definedName name="acb1250edo_l_t" localSheetId="0">#REF!</definedName>
    <definedName name="acb1250edo_l_t">#REF!</definedName>
    <definedName name="acb1250edo_ltie" localSheetId="0">#REF!</definedName>
    <definedName name="acb1250edo_ltie">#REF!</definedName>
    <definedName name="ACB1600FE" localSheetId="0">#REF!</definedName>
    <definedName name="ACB1600FE">#REF!</definedName>
    <definedName name="ACB1600FEA" localSheetId="0">#REF!</definedName>
    <definedName name="ACB1600FEA">#REF!</definedName>
    <definedName name="ACB1600FER" localSheetId="0">#REF!</definedName>
    <definedName name="ACB1600FER">#REF!</definedName>
    <definedName name="ACB1600FERA" localSheetId="0">#REF!</definedName>
    <definedName name="ACB1600FERA">#REF!</definedName>
    <definedName name="ACB800A" localSheetId="0">#REF!</definedName>
    <definedName name="ACB800A">#REF!</definedName>
    <definedName name="ACB800TER" localSheetId="0">#REF!</definedName>
    <definedName name="ACB800TER">#REF!</definedName>
    <definedName name="ACB800TERA" localSheetId="0">#REF!</definedName>
    <definedName name="ACB800TERA">#REF!</definedName>
    <definedName name="acBridge" localSheetId="0">#REF!</definedName>
    <definedName name="acBridge">#REF!</definedName>
    <definedName name="acc" localSheetId="0">#REF!</definedName>
    <definedName name="acc">#REF!</definedName>
    <definedName name="Acc.Recon" localSheetId="0">#REF!</definedName>
    <definedName name="Acc.Recon">#REF!</definedName>
    <definedName name="accab" localSheetId="0">#REF!</definedName>
    <definedName name="accab">#REF!</definedName>
    <definedName name="accblock250" localSheetId="0">#REF!</definedName>
    <definedName name="accblock250">#REF!</definedName>
    <definedName name="accblock50" localSheetId="0">#REF!</definedName>
    <definedName name="accblock50">#REF!</definedName>
    <definedName name="ACCNT_10" localSheetId="0">#REF!</definedName>
    <definedName name="ACCNT_10">#REF!</definedName>
    <definedName name="ACCNT_10THRU95" localSheetId="0">#REF!</definedName>
    <definedName name="ACCNT_10THRU95">#REF!</definedName>
    <definedName name="ACCNT_11" localSheetId="0">#REF!</definedName>
    <definedName name="ACCNT_11">#REF!</definedName>
    <definedName name="ACCNT_12" localSheetId="0">#REF!</definedName>
    <definedName name="ACCNT_12">#REF!</definedName>
    <definedName name="ACCNT_13" localSheetId="0">#REF!</definedName>
    <definedName name="ACCNT_13">#REF!</definedName>
    <definedName name="ACCNT_14" localSheetId="0">#REF!</definedName>
    <definedName name="ACCNT_14">#REF!</definedName>
    <definedName name="ACCNT_15" localSheetId="0">#REF!</definedName>
    <definedName name="ACCNT_15">#REF!</definedName>
    <definedName name="ACCNT_15.11" localSheetId="0">#REF!</definedName>
    <definedName name="ACCNT_15.11">#REF!</definedName>
    <definedName name="ACCNT_15.12" localSheetId="0">#REF!</definedName>
    <definedName name="ACCNT_15.12">#REF!</definedName>
    <definedName name="ACCNT_15.14" localSheetId="0">#REF!</definedName>
    <definedName name="ACCNT_15.14">#REF!</definedName>
    <definedName name="ACCNT_15.22" localSheetId="0">#REF!</definedName>
    <definedName name="ACCNT_15.22">#REF!</definedName>
    <definedName name="ACCNT_16" localSheetId="0">#REF!</definedName>
    <definedName name="ACCNT_16">#REF!</definedName>
    <definedName name="ACCNT_20" localSheetId="0">#REF!</definedName>
    <definedName name="ACCNT_20">#REF!</definedName>
    <definedName name="ACCNT_21" localSheetId="0">#REF!</definedName>
    <definedName name="ACCNT_21">#REF!</definedName>
    <definedName name="accnt_21.01" localSheetId="0">#REF!</definedName>
    <definedName name="accnt_21.01">#REF!</definedName>
    <definedName name="accnt_21.02" localSheetId="0">#REF!</definedName>
    <definedName name="accnt_21.02">#REF!</definedName>
    <definedName name="ACCNT_22" localSheetId="0">#REF!</definedName>
    <definedName name="ACCNT_22">#REF!</definedName>
    <definedName name="ACCNT_22.9" localSheetId="0">#REF!</definedName>
    <definedName name="ACCNT_22.9">#REF!</definedName>
    <definedName name="ACCNT_23" localSheetId="0">#REF!</definedName>
    <definedName name="ACCNT_23">#REF!</definedName>
    <definedName name="ACCNT_25" localSheetId="0">#REF!</definedName>
    <definedName name="ACCNT_25">#REF!</definedName>
    <definedName name="ACCNT_25.4" localSheetId="0">#REF!</definedName>
    <definedName name="ACCNT_25.4">#REF!</definedName>
    <definedName name="ACCNT_25.6" localSheetId="0">#REF!</definedName>
    <definedName name="ACCNT_25.6">#REF!</definedName>
    <definedName name="ACCNT_26" localSheetId="0">#REF!</definedName>
    <definedName name="ACCNT_26">#REF!</definedName>
    <definedName name="ACCNT_26.2" localSheetId="0">#REF!</definedName>
    <definedName name="ACCNT_26.2">#REF!</definedName>
    <definedName name="ACCNT_26.3" localSheetId="0">#REF!</definedName>
    <definedName name="ACCNT_26.3">#REF!</definedName>
    <definedName name="ACCNT_27.1" localSheetId="0">#REF!</definedName>
    <definedName name="ACCNT_27.1">#REF!</definedName>
    <definedName name="ACCNT_27.2" localSheetId="0">#REF!</definedName>
    <definedName name="ACCNT_27.2">#REF!</definedName>
    <definedName name="ACCNT_28" localSheetId="0">#REF!</definedName>
    <definedName name="ACCNT_28">#REF!</definedName>
    <definedName name="ACCNT_28.6" localSheetId="0">#REF!</definedName>
    <definedName name="ACCNT_28.6">#REF!</definedName>
    <definedName name="ACCNT_29" localSheetId="0">#REF!</definedName>
    <definedName name="ACCNT_29">#REF!</definedName>
    <definedName name="ACCNT_30" localSheetId="0">#REF!</definedName>
    <definedName name="ACCNT_30">#REF!</definedName>
    <definedName name="ACCNT_40" localSheetId="0">#REF!</definedName>
    <definedName name="ACCNT_40">#REF!</definedName>
    <definedName name="ACCNT_41" localSheetId="0">#REF!</definedName>
    <definedName name="ACCNT_41">#REF!</definedName>
    <definedName name="ACCNT_41.1" localSheetId="0">#REF!</definedName>
    <definedName name="ACCNT_41.1">#REF!</definedName>
    <definedName name="ACCNT_42" localSheetId="0">#REF!</definedName>
    <definedName name="ACCNT_42">#REF!</definedName>
    <definedName name="ACCNT_43" localSheetId="0">#REF!</definedName>
    <definedName name="ACCNT_43">#REF!</definedName>
    <definedName name="ACCNT_44" localSheetId="0">#REF!</definedName>
    <definedName name="ACCNT_44">#REF!</definedName>
    <definedName name="ACCNT_45" localSheetId="0">#REF!</definedName>
    <definedName name="ACCNT_45">#REF!</definedName>
    <definedName name="ACCNT_46" localSheetId="0">#REF!</definedName>
    <definedName name="ACCNT_46">#REF!</definedName>
    <definedName name="ACCNT_47" localSheetId="0">#REF!</definedName>
    <definedName name="ACCNT_47">#REF!</definedName>
    <definedName name="ACCNT_47.1" localSheetId="0">#REF!</definedName>
    <definedName name="ACCNT_47.1">#REF!</definedName>
    <definedName name="ACCNT_47.3" localSheetId="0">#REF!</definedName>
    <definedName name="ACCNT_47.3">#REF!</definedName>
    <definedName name="ACCNT_47.4" localSheetId="0">#REF!</definedName>
    <definedName name="ACCNT_47.4">#REF!</definedName>
    <definedName name="ACCNT_47.8" localSheetId="0">#REF!</definedName>
    <definedName name="ACCNT_47.8">#REF!</definedName>
    <definedName name="ACCNT_48" localSheetId="0">#REF!</definedName>
    <definedName name="ACCNT_48">#REF!</definedName>
    <definedName name="ACCNT_48.5" localSheetId="0">#REF!</definedName>
    <definedName name="ACCNT_48.5">#REF!</definedName>
    <definedName name="ACCNT_48.9" localSheetId="0">#REF!</definedName>
    <definedName name="ACCNT_48.9">#REF!</definedName>
    <definedName name="ACCNT_49" localSheetId="0">#REF!</definedName>
    <definedName name="ACCNT_49">#REF!</definedName>
    <definedName name="ACCNT_50" localSheetId="0">#REF!</definedName>
    <definedName name="ACCNT_50">#REF!</definedName>
    <definedName name="ACCNT_50_54_AF_YARD" localSheetId="0">#REF!</definedName>
    <definedName name="ACCNT_50_54_AF_YARD">#REF!</definedName>
    <definedName name="ACCNT_50_54_AFPB" localSheetId="0">#REF!</definedName>
    <definedName name="ACCNT_50_54_AFPB">#REF!</definedName>
    <definedName name="ACCNT_50_54_C1PB" localSheetId="0">#REF!</definedName>
    <definedName name="ACCNT_50_54_C1PB">#REF!</definedName>
    <definedName name="ACCNT_50_54_C1YARD" localSheetId="0">#REF!</definedName>
    <definedName name="ACCNT_50_54_C1YARD">#REF!</definedName>
    <definedName name="ACCNT_50_54_CPB" localSheetId="0">#REF!</definedName>
    <definedName name="ACCNT_50_54_CPB">#REF!</definedName>
    <definedName name="ACCNT_50_54_CRPB" localSheetId="0">#REF!</definedName>
    <definedName name="ACCNT_50_54_CRPB">#REF!</definedName>
    <definedName name="ACCNT_50_54_CRPB_HG" localSheetId="0">#REF!</definedName>
    <definedName name="ACCNT_50_54_CRPB_HG">#REF!</definedName>
    <definedName name="ACCNT_50_54_CRPBAG" localSheetId="0">#REF!</definedName>
    <definedName name="ACCNT_50_54_CRPBAG">#REF!</definedName>
    <definedName name="ACCNT_50_54_CRYARDAG" localSheetId="0">#REF!</definedName>
    <definedName name="ACCNT_50_54_CRYARDAG">#REF!</definedName>
    <definedName name="ACCNT_50_54_CYARD" localSheetId="0">#REF!</definedName>
    <definedName name="ACCNT_50_54_CYARD">#REF!</definedName>
    <definedName name="ACCNT_50_54_HISTORY" localSheetId="0">#REF!</definedName>
    <definedName name="ACCNT_50_54_HISTORY">#REF!</definedName>
    <definedName name="ACCNT_50_54_KPB" localSheetId="0">#REF!</definedName>
    <definedName name="ACCNT_50_54_KPB">#REF!</definedName>
    <definedName name="ACCNT_50_54_KYARD" localSheetId="0">#REF!</definedName>
    <definedName name="ACCNT_50_54_KYARD">#REF!</definedName>
    <definedName name="ACCNT_50_54_LBAG" localSheetId="0">#REF!</definedName>
    <definedName name="ACCNT_50_54_LBAG">#REF!</definedName>
    <definedName name="ACCNT_50_54_OFFSITE" localSheetId="0">#REF!</definedName>
    <definedName name="ACCNT_50_54_OFFSITE">#REF!</definedName>
    <definedName name="ACCNT_50_54_PAINT" localSheetId="0">#REF!</definedName>
    <definedName name="ACCNT_50_54_PAINT">#REF!</definedName>
    <definedName name="ACCNT_50_54_PB" localSheetId="0">#REF!</definedName>
    <definedName name="ACCNT_50_54_PB">#REF!</definedName>
    <definedName name="ACCNT_50_54_PBAG" localSheetId="0">#REF!</definedName>
    <definedName name="ACCNT_50_54_PBAG">#REF!</definedName>
    <definedName name="ACCNT_50_54_SPB" localSheetId="0">#REF!</definedName>
    <definedName name="ACCNT_50_54_SPB">#REF!</definedName>
    <definedName name="ACCNT_50_54_SPPB" localSheetId="0">#REF!</definedName>
    <definedName name="ACCNT_50_54_SPPB">#REF!</definedName>
    <definedName name="ACCNT_50_54_SPYARD" localSheetId="0">#REF!</definedName>
    <definedName name="ACCNT_50_54_SPYARD">#REF!</definedName>
    <definedName name="ACCNT_50_54_SYARD" localSheetId="0">#REF!</definedName>
    <definedName name="ACCNT_50_54_SYARD">#REF!</definedName>
    <definedName name="ACCNT_50_54_YARD" localSheetId="0">#REF!</definedName>
    <definedName name="ACCNT_50_54_YARD">#REF!</definedName>
    <definedName name="ACCNT_50_54_YARDAG" localSheetId="0">#REF!</definedName>
    <definedName name="ACCNT_50_54_YARDAG">#REF!</definedName>
    <definedName name="ACCNT_51.6" localSheetId="0">#REF!</definedName>
    <definedName name="ACCNT_51.6">#REF!</definedName>
    <definedName name="ACCNT_51.7" localSheetId="0">#REF!</definedName>
    <definedName name="ACCNT_51.7">#REF!</definedName>
    <definedName name="ACCNT_51.8" localSheetId="0">#REF!</definedName>
    <definedName name="ACCNT_51.8">#REF!</definedName>
    <definedName name="ACCNT_51BOP" localSheetId="0">#REF!</definedName>
    <definedName name="ACCNT_51BOP">#REF!</definedName>
    <definedName name="ACCNT_51HP" localSheetId="0">#REF!</definedName>
    <definedName name="ACCNT_51HP">#REF!</definedName>
    <definedName name="ACCNT_51OFFSITE" localSheetId="0">#REF!</definedName>
    <definedName name="ACCNT_51OFFSITE">#REF!</definedName>
    <definedName name="ACCNT_51YARD" localSheetId="0">#REF!</definedName>
    <definedName name="ACCNT_51YARD">#REF!</definedName>
    <definedName name="ACCNT_52BOP" localSheetId="0">#REF!</definedName>
    <definedName name="ACCNT_52BOP">#REF!</definedName>
    <definedName name="ACCNT_52HP" localSheetId="0">#REF!</definedName>
    <definedName name="ACCNT_52HP">#REF!</definedName>
    <definedName name="ACCNT_52OFFSITE" localSheetId="0">#REF!</definedName>
    <definedName name="ACCNT_52OFFSITE">#REF!</definedName>
    <definedName name="ACCNT_52YARD" localSheetId="0">#REF!</definedName>
    <definedName name="ACCNT_52YARD">#REF!</definedName>
    <definedName name="ACCNT_53" localSheetId="0">#REF!</definedName>
    <definedName name="ACCNT_53">#REF!</definedName>
    <definedName name="ACCNT_54" localSheetId="0">#REF!</definedName>
    <definedName name="ACCNT_54">#REF!</definedName>
    <definedName name="ACCNT_54.1" localSheetId="0">#REF!</definedName>
    <definedName name="ACCNT_54.1">#REF!</definedName>
    <definedName name="ACCNT_54.11" localSheetId="0">#REF!</definedName>
    <definedName name="ACCNT_54.11">#REF!</definedName>
    <definedName name="ACCNT_54.12" localSheetId="0">#REF!</definedName>
    <definedName name="ACCNT_54.12">#REF!</definedName>
    <definedName name="ACCNT_54.13" localSheetId="0">#REF!</definedName>
    <definedName name="ACCNT_54.13">#REF!</definedName>
    <definedName name="ACCNT_54.14" localSheetId="0">#REF!</definedName>
    <definedName name="ACCNT_54.14">#REF!</definedName>
    <definedName name="ACCNT_54.15" localSheetId="0">#REF!</definedName>
    <definedName name="ACCNT_54.15">#REF!</definedName>
    <definedName name="ACCNT_54.19" localSheetId="0">#REF!</definedName>
    <definedName name="ACCNT_54.19">#REF!</definedName>
    <definedName name="ACCNT_54.9" localSheetId="0">#REF!</definedName>
    <definedName name="ACCNT_54.9">#REF!</definedName>
    <definedName name="ACCNT_55" localSheetId="0">#REF!</definedName>
    <definedName name="ACCNT_55">#REF!</definedName>
    <definedName name="ACCNT_55.1" localSheetId="0">#REF!</definedName>
    <definedName name="ACCNT_55.1">#REF!</definedName>
    <definedName name="ACCNT_55.2" localSheetId="0">#REF!</definedName>
    <definedName name="ACCNT_55.2">#REF!</definedName>
    <definedName name="ACCNT_55.3" localSheetId="0">#REF!</definedName>
    <definedName name="ACCNT_55.3">#REF!</definedName>
    <definedName name="ACCNT_55.4" localSheetId="0">#REF!</definedName>
    <definedName name="ACCNT_55.4">#REF!</definedName>
    <definedName name="ACCNT_55.5" localSheetId="0">#REF!</definedName>
    <definedName name="ACCNT_55.5">#REF!</definedName>
    <definedName name="ACCNT_55.9" localSheetId="0">#REF!</definedName>
    <definedName name="ACCNT_55.9">#REF!</definedName>
    <definedName name="ACCNT_55_DISCOUNT" localSheetId="0">#REF!</definedName>
    <definedName name="ACCNT_55_DISCOUNT">#REF!</definedName>
    <definedName name="ACCNT_55_HANGER" localSheetId="0">#REF!</definedName>
    <definedName name="ACCNT_55_HANGER">#REF!</definedName>
    <definedName name="ACCNT_55_HISTCHK" localSheetId="0">#REF!</definedName>
    <definedName name="ACCNT_55_HISTCHK">#REF!</definedName>
    <definedName name="ACCNT_55_PAINT" localSheetId="0">#REF!</definedName>
    <definedName name="ACCNT_55_PAINT">#REF!</definedName>
    <definedName name="ACCNT_55_VALVES" localSheetId="0">#REF!</definedName>
    <definedName name="ACCNT_55_VALVES">#REF!</definedName>
    <definedName name="ACCNT_57" localSheetId="0">#REF!</definedName>
    <definedName name="ACCNT_57">#REF!</definedName>
    <definedName name="ACCNT_57_AG" localSheetId="0">#REF!</definedName>
    <definedName name="ACCNT_57_AG">#REF!</definedName>
    <definedName name="ACCNT_58" localSheetId="0">#REF!</definedName>
    <definedName name="ACCNT_58">#REF!</definedName>
    <definedName name="ACCNT_58.1" localSheetId="0">#REF!</definedName>
    <definedName name="ACCNT_58.1">#REF!</definedName>
    <definedName name="ACCNT_58.7" localSheetId="0">#REF!</definedName>
    <definedName name="ACCNT_58.7">#REF!</definedName>
    <definedName name="ACCNT_59" localSheetId="0">#REF!</definedName>
    <definedName name="ACCNT_59">#REF!</definedName>
    <definedName name="ACCNT_59.1" localSheetId="0">#REF!</definedName>
    <definedName name="ACCNT_59.1">#REF!</definedName>
    <definedName name="ACCNT_59_NDE" localSheetId="0">#REF!</definedName>
    <definedName name="ACCNT_59_NDE">#REF!</definedName>
    <definedName name="ACCNT_59_STRESS" localSheetId="0">#REF!</definedName>
    <definedName name="ACCNT_59_STRESS">#REF!</definedName>
    <definedName name="ACCNT_60" localSheetId="0">#REF!</definedName>
    <definedName name="ACCNT_60">#REF!</definedName>
    <definedName name="ACCNT_61" localSheetId="0">#REF!</definedName>
    <definedName name="ACCNT_61">#REF!</definedName>
    <definedName name="ACCNT_62" localSheetId="0">#REF!</definedName>
    <definedName name="ACCNT_62">#REF!</definedName>
    <definedName name="ACCNT_62.2" localSheetId="0">#REF!</definedName>
    <definedName name="ACCNT_62.2">#REF!</definedName>
    <definedName name="ACCNT_62.5" localSheetId="0">#REF!</definedName>
    <definedName name="ACCNT_62.5">#REF!</definedName>
    <definedName name="ACCNT_63" localSheetId="0">#REF!</definedName>
    <definedName name="ACCNT_63">#REF!</definedName>
    <definedName name="ACCNT_70" localSheetId="0">#REF!</definedName>
    <definedName name="ACCNT_70">#REF!</definedName>
    <definedName name="ACCNT_71" localSheetId="0">#REF!</definedName>
    <definedName name="ACCNT_71">#REF!</definedName>
    <definedName name="accnt_71.9" localSheetId="0">#REF!</definedName>
    <definedName name="accnt_71.9">#REF!</definedName>
    <definedName name="ACCNT_72" localSheetId="0">#REF!</definedName>
    <definedName name="ACCNT_72">#REF!</definedName>
    <definedName name="ACCNT_72.1" localSheetId="0">#REF!</definedName>
    <definedName name="ACCNT_72.1">#REF!</definedName>
    <definedName name="ACCNT_72.2" localSheetId="0">#REF!</definedName>
    <definedName name="ACCNT_72.2">#REF!</definedName>
    <definedName name="ACCNT_72.3" localSheetId="0">#REF!</definedName>
    <definedName name="ACCNT_72.3">#REF!</definedName>
    <definedName name="ACCNT_72.33" localSheetId="0">#REF!</definedName>
    <definedName name="ACCNT_72.33">#REF!</definedName>
    <definedName name="ACCNT_72.4" localSheetId="0">#REF!</definedName>
    <definedName name="ACCNT_72.4">#REF!</definedName>
    <definedName name="ACCNT_73" localSheetId="0">#REF!</definedName>
    <definedName name="ACCNT_73">#REF!</definedName>
    <definedName name="ACCNT_74" localSheetId="0">#REF!</definedName>
    <definedName name="ACCNT_74">#REF!</definedName>
    <definedName name="ACCNT_74.3" localSheetId="0">#REF!</definedName>
    <definedName name="ACCNT_74.3">#REF!</definedName>
    <definedName name="ACCNT_75" localSheetId="0">#REF!</definedName>
    <definedName name="ACCNT_75">#REF!</definedName>
    <definedName name="ACCNT_75.1" localSheetId="0">#REF!</definedName>
    <definedName name="ACCNT_75.1">#REF!</definedName>
    <definedName name="ACCNT_75.11" localSheetId="0">#REF!</definedName>
    <definedName name="ACCNT_75.11">#REF!</definedName>
    <definedName name="ACCNT_76" localSheetId="0">#REF!</definedName>
    <definedName name="ACCNT_76">#REF!</definedName>
    <definedName name="ACCNT_76.5" localSheetId="0">#REF!</definedName>
    <definedName name="ACCNT_76.5">#REF!</definedName>
    <definedName name="ACCNT_76.70_ANODE" localSheetId="0">#REF!</definedName>
    <definedName name="ACCNT_76.70_ANODE">#REF!</definedName>
    <definedName name="ACCNT_76.70_JB" localSheetId="0">#REF!</definedName>
    <definedName name="ACCNT_76.70_JB">#REF!</definedName>
    <definedName name="ACCNT_77" localSheetId="0">#REF!</definedName>
    <definedName name="ACCNT_77">#REF!</definedName>
    <definedName name="ACCNT_78" localSheetId="0">#REF!</definedName>
    <definedName name="ACCNT_78">#REF!</definedName>
    <definedName name="ACCNT_78.761" localSheetId="0">#REF!</definedName>
    <definedName name="ACCNT_78.761">#REF!</definedName>
    <definedName name="ACCNT_78.762" localSheetId="0">#REF!</definedName>
    <definedName name="ACCNT_78.762">#REF!</definedName>
    <definedName name="ACCNT_78.81" localSheetId="0">#REF!</definedName>
    <definedName name="ACCNT_78.81">#REF!</definedName>
    <definedName name="ACCNT_78.821" localSheetId="0">#REF!</definedName>
    <definedName name="ACCNT_78.821">#REF!</definedName>
    <definedName name="ACCNT_78.827" localSheetId="0">#REF!</definedName>
    <definedName name="ACCNT_78.827">#REF!</definedName>
    <definedName name="ACCNT_78.8275" localSheetId="0">#REF!</definedName>
    <definedName name="ACCNT_78.8275">#REF!</definedName>
    <definedName name="ACCNT_78.828" localSheetId="0">#REF!</definedName>
    <definedName name="ACCNT_78.828">#REF!</definedName>
    <definedName name="ACCNT_78.83" localSheetId="0">#REF!</definedName>
    <definedName name="ACCNT_78.83">#REF!</definedName>
    <definedName name="ACCNT_78.84" localSheetId="0">#REF!</definedName>
    <definedName name="ACCNT_78.84">#REF!</definedName>
    <definedName name="ACCNT_78.85" localSheetId="0">#REF!</definedName>
    <definedName name="ACCNT_78.85">#REF!</definedName>
    <definedName name="ACCNT_78.861" localSheetId="0">#REF!</definedName>
    <definedName name="ACCNT_78.861">#REF!</definedName>
    <definedName name="ACCNT_78.862" localSheetId="0">#REF!</definedName>
    <definedName name="ACCNT_78.862">#REF!</definedName>
    <definedName name="ACCNT_79" localSheetId="0">#REF!</definedName>
    <definedName name="ACCNT_79">#REF!</definedName>
    <definedName name="ACCNT_80" localSheetId="0">#REF!</definedName>
    <definedName name="ACCNT_80">#REF!</definedName>
    <definedName name="ACCNT_81" localSheetId="0">#REF!</definedName>
    <definedName name="ACCNT_81">#REF!</definedName>
    <definedName name="ACCNT_82" localSheetId="0">#REF!</definedName>
    <definedName name="ACCNT_82">#REF!</definedName>
    <definedName name="ACCNT_82.2" localSheetId="0">#REF!</definedName>
    <definedName name="ACCNT_82.2">#REF!</definedName>
    <definedName name="ACCNT_82.7" localSheetId="0">#REF!</definedName>
    <definedName name="ACCNT_82.7">#REF!</definedName>
    <definedName name="ACCNT_82.72" localSheetId="0">#REF!</definedName>
    <definedName name="ACCNT_82.72">#REF!</definedName>
    <definedName name="ACCNT_82.80" localSheetId="0">#REF!</definedName>
    <definedName name="ACCNT_82.80">#REF!</definedName>
    <definedName name="ACCNT_83" localSheetId="0">#REF!</definedName>
    <definedName name="ACCNT_83">#REF!</definedName>
    <definedName name="ACCNT_83.1" localSheetId="0">#REF!</definedName>
    <definedName name="ACCNT_83.1">#REF!</definedName>
    <definedName name="ACCNT_84" localSheetId="0">#REF!</definedName>
    <definedName name="ACCNT_84">#REF!</definedName>
    <definedName name="ACCNT_84.1" localSheetId="0">#REF!</definedName>
    <definedName name="ACCNT_84.1">#REF!</definedName>
    <definedName name="ACCNT_84.3" localSheetId="0">#REF!</definedName>
    <definedName name="ACCNT_84.3">#REF!</definedName>
    <definedName name="ACCNT_84.4" localSheetId="0">#REF!</definedName>
    <definedName name="ACCNT_84.4">#REF!</definedName>
    <definedName name="ACCNT_84.6" localSheetId="0">#REF!</definedName>
    <definedName name="ACCNT_84.6">#REF!</definedName>
    <definedName name="ACCNT_85" localSheetId="0">#REF!</definedName>
    <definedName name="ACCNT_85">#REF!</definedName>
    <definedName name="ACCNT_86" localSheetId="0">#REF!</definedName>
    <definedName name="ACCNT_86">#REF!</definedName>
    <definedName name="ACCNT_87" localSheetId="0">#REF!</definedName>
    <definedName name="ACCNT_87">#REF!</definedName>
    <definedName name="ACCNT_90" localSheetId="0">#REF!</definedName>
    <definedName name="ACCNT_90">#REF!</definedName>
    <definedName name="ACCNT_91" localSheetId="0">#REF!</definedName>
    <definedName name="ACCNT_91">#REF!</definedName>
    <definedName name="ACCNT_91.1" localSheetId="0">#REF!</definedName>
    <definedName name="ACCNT_91.1">#REF!</definedName>
    <definedName name="ACCNT_91.2" localSheetId="0">#REF!</definedName>
    <definedName name="ACCNT_91.2">#REF!</definedName>
    <definedName name="ACCNT_91.3" localSheetId="0">#REF!</definedName>
    <definedName name="ACCNT_91.3">#REF!</definedName>
    <definedName name="ACCNT_91.5" localSheetId="0">#REF!</definedName>
    <definedName name="ACCNT_91.5">#REF!</definedName>
    <definedName name="ACCNT_91.55" localSheetId="0">#REF!</definedName>
    <definedName name="ACCNT_91.55">#REF!</definedName>
    <definedName name="ACCNT_91.6" localSheetId="0">#REF!</definedName>
    <definedName name="ACCNT_91.6">#REF!</definedName>
    <definedName name="ACCNT_91.7" localSheetId="0">#REF!</definedName>
    <definedName name="ACCNT_91.7">#REF!</definedName>
    <definedName name="ACCNT_91THRU93" localSheetId="0">#REF!</definedName>
    <definedName name="ACCNT_91THRU93">#REF!</definedName>
    <definedName name="ACCNT_91THRU95" localSheetId="0">#REF!</definedName>
    <definedName name="ACCNT_91THRU95">#REF!</definedName>
    <definedName name="ACCNT_92" localSheetId="0">#REF!</definedName>
    <definedName name="ACCNT_92">#REF!</definedName>
    <definedName name="ACCNT_92.1" localSheetId="0">#REF!</definedName>
    <definedName name="ACCNT_92.1">#REF!</definedName>
    <definedName name="ACCNT_92.2" localSheetId="0">#REF!</definedName>
    <definedName name="ACCNT_92.2">#REF!</definedName>
    <definedName name="ACCNT_92.3" localSheetId="0">#REF!</definedName>
    <definedName name="ACCNT_92.3">#REF!</definedName>
    <definedName name="ACCNT_92.5" localSheetId="0">#REF!</definedName>
    <definedName name="ACCNT_92.5">#REF!</definedName>
    <definedName name="ACCNT_92.6" localSheetId="0">#REF!</definedName>
    <definedName name="ACCNT_92.6">#REF!</definedName>
    <definedName name="ACCNT_92.7" localSheetId="0">#REF!</definedName>
    <definedName name="ACCNT_92.7">#REF!</definedName>
    <definedName name="ACCNT_92.8" localSheetId="0">#REF!</definedName>
    <definedName name="ACCNT_92.8">#REF!</definedName>
    <definedName name="ACCNT_92.81" localSheetId="0">#REF!</definedName>
    <definedName name="ACCNT_92.81">#REF!</definedName>
    <definedName name="ACCNT_92.82" localSheetId="0">#REF!</definedName>
    <definedName name="ACCNT_92.82">#REF!</definedName>
    <definedName name="ACCNT_92.83" localSheetId="0">#REF!</definedName>
    <definedName name="ACCNT_92.83">#REF!</definedName>
    <definedName name="ACCNT_92.84" localSheetId="0">#REF!</definedName>
    <definedName name="ACCNT_92.84">#REF!</definedName>
    <definedName name="ACCNT_93" localSheetId="0">#REF!</definedName>
    <definedName name="ACCNT_93">#REF!</definedName>
    <definedName name="ACCNT_94" localSheetId="0">#REF!</definedName>
    <definedName name="ACCNT_94">#REF!</definedName>
    <definedName name="ACCNT_94.01" localSheetId="0">#REF!</definedName>
    <definedName name="ACCNT_94.01">#REF!</definedName>
    <definedName name="ACCNT_94.02" localSheetId="0">#REF!</definedName>
    <definedName name="ACCNT_94.02">#REF!</definedName>
    <definedName name="ACCNT_94.03" localSheetId="0">#REF!</definedName>
    <definedName name="ACCNT_94.03">#REF!</definedName>
    <definedName name="ACCNT_94.04" localSheetId="0">#REF!</definedName>
    <definedName name="ACCNT_94.04">#REF!</definedName>
    <definedName name="ACCNT_94.05" localSheetId="0">#REF!</definedName>
    <definedName name="ACCNT_94.05">#REF!</definedName>
    <definedName name="ACCNT_94.09" localSheetId="0">#REF!</definedName>
    <definedName name="ACCNT_94.09">#REF!</definedName>
    <definedName name="ACCNT_94.11" localSheetId="0">#REF!</definedName>
    <definedName name="ACCNT_94.11">#REF!</definedName>
    <definedName name="ACCNT_94.12" localSheetId="0">#REF!</definedName>
    <definedName name="ACCNT_94.12">#REF!</definedName>
    <definedName name="ACCNT_94.13" localSheetId="0">#REF!</definedName>
    <definedName name="ACCNT_94.13">#REF!</definedName>
    <definedName name="ACCNT_94.14" localSheetId="0">#REF!</definedName>
    <definedName name="ACCNT_94.14">#REF!</definedName>
    <definedName name="ACCNT_94.15" localSheetId="0">#REF!</definedName>
    <definedName name="ACCNT_94.15">#REF!</definedName>
    <definedName name="ACCNT_94.16" localSheetId="0">#REF!</definedName>
    <definedName name="ACCNT_94.16">#REF!</definedName>
    <definedName name="ACCNT_94.17" localSheetId="0">#REF!</definedName>
    <definedName name="ACCNT_94.17">#REF!</definedName>
    <definedName name="ACCNT_94.18" localSheetId="0">#REF!</definedName>
    <definedName name="ACCNT_94.18">#REF!</definedName>
    <definedName name="ACCNT_94.19" localSheetId="0">#REF!</definedName>
    <definedName name="ACCNT_94.19">#REF!</definedName>
    <definedName name="ACCNT_94FCN" localSheetId="0">#REF!</definedName>
    <definedName name="ACCNT_94FCN">#REF!</definedName>
    <definedName name="ACCNT_94IS" localSheetId="0">#REF!</definedName>
    <definedName name="ACCNT_94IS">#REF!</definedName>
    <definedName name="ACCNT_94LOCAL" localSheetId="0">#REF!</definedName>
    <definedName name="ACCNT_94LOCAL">#REF!</definedName>
    <definedName name="ACCNT_94US" localSheetId="0">#REF!</definedName>
    <definedName name="ACCNT_94US">#REF!</definedName>
    <definedName name="ACCNT_95" localSheetId="0">#REF!</definedName>
    <definedName name="ACCNT_95">#REF!</definedName>
    <definedName name="ACCNT_95.1" localSheetId="0">#REF!</definedName>
    <definedName name="ACCNT_95.1">#REF!</definedName>
    <definedName name="ACCNT_95.1FCN" localSheetId="0">#REF!</definedName>
    <definedName name="ACCNT_95.1FCN">#REF!</definedName>
    <definedName name="ACCNT_95.1IS" localSheetId="0">#REF!</definedName>
    <definedName name="ACCNT_95.1IS">#REF!</definedName>
    <definedName name="ACCNT_95.1LOCAL" localSheetId="0">#REF!</definedName>
    <definedName name="ACCNT_95.1LOCAL">#REF!</definedName>
    <definedName name="ACCNT_95.1US" localSheetId="0">#REF!</definedName>
    <definedName name="ACCNT_95.1US">#REF!</definedName>
    <definedName name="ACCNT_95.3" localSheetId="0">#REF!</definedName>
    <definedName name="ACCNT_95.3">#REF!</definedName>
    <definedName name="ACCNT_96" localSheetId="0">#REF!</definedName>
    <definedName name="ACCNT_96">#REF!</definedName>
    <definedName name="ACCNT_97" localSheetId="0">#REF!</definedName>
    <definedName name="ACCNT_97">#REF!</definedName>
    <definedName name="ACCNT_98" localSheetId="0">#REF!</definedName>
    <definedName name="ACCNT_98">#REF!</definedName>
    <definedName name="ACCNT_98.1" localSheetId="0">#REF!</definedName>
    <definedName name="ACCNT_98.1">#REF!</definedName>
    <definedName name="ACCNT_98.10THRU30" localSheetId="0">#REF!</definedName>
    <definedName name="ACCNT_98.10THRU30">#REF!</definedName>
    <definedName name="ACCNT_98.11" localSheetId="0">#REF!</definedName>
    <definedName name="ACCNT_98.11">#REF!</definedName>
    <definedName name="ACCNT_98.12" localSheetId="0">#REF!</definedName>
    <definedName name="ACCNT_98.12">#REF!</definedName>
    <definedName name="ACCNT_98.13" localSheetId="0">#REF!</definedName>
    <definedName name="ACCNT_98.13">#REF!</definedName>
    <definedName name="ACCNT_98.131" localSheetId="0">#REF!</definedName>
    <definedName name="ACCNT_98.131">#REF!</definedName>
    <definedName name="ACCNT_98.14" localSheetId="0">#REF!</definedName>
    <definedName name="ACCNT_98.14">#REF!</definedName>
    <definedName name="ACCNT_98.15" localSheetId="0">#REF!</definedName>
    <definedName name="ACCNT_98.15">#REF!</definedName>
    <definedName name="ACCNT_98.16" localSheetId="0">#REF!</definedName>
    <definedName name="ACCNT_98.16">#REF!</definedName>
    <definedName name="ACCNT_98.17" localSheetId="0">#REF!</definedName>
    <definedName name="ACCNT_98.17">#REF!</definedName>
    <definedName name="ACCNT_98.18" localSheetId="0">#REF!</definedName>
    <definedName name="ACCNT_98.18">#REF!</definedName>
    <definedName name="ACCNT_98.19" localSheetId="0">#REF!</definedName>
    <definedName name="ACCNT_98.19">#REF!</definedName>
    <definedName name="ACCNT_98.191" localSheetId="0">#REF!</definedName>
    <definedName name="ACCNT_98.191">#REF!</definedName>
    <definedName name="ACCNT_98.192" localSheetId="0">#REF!</definedName>
    <definedName name="ACCNT_98.192">#REF!</definedName>
    <definedName name="ACCNT_98.2" localSheetId="0">#REF!</definedName>
    <definedName name="ACCNT_98.2">#REF!</definedName>
    <definedName name="ACCNT_98.21" localSheetId="0">#REF!</definedName>
    <definedName name="ACCNT_98.21">#REF!</definedName>
    <definedName name="ACCNT_98.22" localSheetId="0">#REF!</definedName>
    <definedName name="ACCNT_98.22">#REF!</definedName>
    <definedName name="ACCNT_98.23" localSheetId="0">#REF!</definedName>
    <definedName name="ACCNT_98.23">#REF!</definedName>
    <definedName name="ACCNT_98.24" localSheetId="0">#REF!</definedName>
    <definedName name="ACCNT_98.24">#REF!</definedName>
    <definedName name="ACCNT_98.26" localSheetId="0">#REF!</definedName>
    <definedName name="ACCNT_98.26">#REF!</definedName>
    <definedName name="ACCNT_98.3" localSheetId="0">#REF!</definedName>
    <definedName name="ACCNT_98.3">#REF!</definedName>
    <definedName name="ACCNT_98.4" localSheetId="0">#REF!</definedName>
    <definedName name="ACCNT_98.4">#REF!</definedName>
    <definedName name="ACCNT_98.40THRU90" localSheetId="0">#REF!</definedName>
    <definedName name="ACCNT_98.40THRU90">#REF!</definedName>
    <definedName name="ACCNT_98.5" localSheetId="0">#REF!</definedName>
    <definedName name="ACCNT_98.5">#REF!</definedName>
    <definedName name="ACCNT_98.51" localSheetId="0">#REF!</definedName>
    <definedName name="ACCNT_98.51">#REF!</definedName>
    <definedName name="ACCNT_98.52" localSheetId="0">#REF!</definedName>
    <definedName name="ACCNT_98.52">#REF!</definedName>
    <definedName name="ACCNT_98.6" localSheetId="0">#REF!</definedName>
    <definedName name="ACCNT_98.6">#REF!</definedName>
    <definedName name="ACCNT_98.7" localSheetId="0">#REF!</definedName>
    <definedName name="ACCNT_98.7">#REF!</definedName>
    <definedName name="ACCNT_98.8" localSheetId="0">#REF!</definedName>
    <definedName name="ACCNT_98.8">#REF!</definedName>
    <definedName name="ACCNT_98.9" localSheetId="0">#REF!</definedName>
    <definedName name="ACCNT_98.9">#REF!</definedName>
    <definedName name="ACCNT_98.91" localSheetId="0">#REF!</definedName>
    <definedName name="ACCNT_98.91">#REF!</definedName>
    <definedName name="ACCNT_98.92" localSheetId="0">#REF!</definedName>
    <definedName name="ACCNT_98.92">#REF!</definedName>
    <definedName name="ACCNT_98.93" localSheetId="0">#REF!</definedName>
    <definedName name="ACCNT_98.93">#REF!</definedName>
    <definedName name="ACCNT_98.94" localSheetId="0">#REF!</definedName>
    <definedName name="ACCNT_98.94">#REF!</definedName>
    <definedName name="ACCNT_99" localSheetId="0">#REF!</definedName>
    <definedName name="ACCNT_99">#REF!</definedName>
    <definedName name="ACCNT_TOT" localSheetId="0">#REF!</definedName>
    <definedName name="ACCNT_TOT">#REF!</definedName>
    <definedName name="accomation" localSheetId="0">#REF!</definedName>
    <definedName name="accomation">#REF!</definedName>
    <definedName name="accounts" localSheetId="0">#REF!</definedName>
    <definedName name="accounts">#REF!</definedName>
    <definedName name="acdf" localSheetId="0">#REF!</definedName>
    <definedName name="acdf">#REF!</definedName>
    <definedName name="acon" localSheetId="0">#REF!</definedName>
    <definedName name="acon">#REF!</definedName>
    <definedName name="ACT" localSheetId="0">#REF!</definedName>
    <definedName name="ACT">#REF!</definedName>
    <definedName name="ACTION" localSheetId="0">#REF!</definedName>
    <definedName name="ACTION">#REF!</definedName>
    <definedName name="ADADASASDASD" localSheetId="0">#REF!</definedName>
    <definedName name="ADADASASDASD">#REF!</definedName>
    <definedName name="ADADDA" localSheetId="0">#REF!</definedName>
    <definedName name="ADADDA">#REF!</definedName>
    <definedName name="ADASASDASASDASDAS" localSheetId="0">#REF!</definedName>
    <definedName name="ADASASDASASDASDAS">#REF!</definedName>
    <definedName name="ADASASDASDASDAD" localSheetId="0">#REF!</definedName>
    <definedName name="ADASASDASDASDAD">#REF!</definedName>
    <definedName name="ADASDASASDAS" localSheetId="0">#REF!</definedName>
    <definedName name="ADASDASASDAS">#REF!</definedName>
    <definedName name="ADASDASDASDAS" localSheetId="0">#REF!</definedName>
    <definedName name="ADASDASDASDAS">#REF!</definedName>
    <definedName name="ADD" localSheetId="0">#REF!</definedName>
    <definedName name="ADD">#REF!</definedName>
    <definedName name="addbeam" localSheetId="0">#REF!</definedName>
    <definedName name="addbeam">#REF!</definedName>
    <definedName name="addf" localSheetId="0">#REF!</definedName>
    <definedName name="addf">#REF!</definedName>
    <definedName name="additional" localSheetId="0">#REF!</definedName>
    <definedName name="additional">#REF!</definedName>
    <definedName name="additional1" localSheetId="0">#REF!</definedName>
    <definedName name="additional1">#REF!</definedName>
    <definedName name="ADDITIONAL2" localSheetId="0">#REF!</definedName>
    <definedName name="ADDITIONAL2">#REF!</definedName>
    <definedName name="Address" localSheetId="0">#REF!</definedName>
    <definedName name="Address">#REF!</definedName>
    <definedName name="ADFADD" localSheetId="0">#REF!</definedName>
    <definedName name="ADFADD">#REF!</definedName>
    <definedName name="adfadsff" localSheetId="0">#REF!</definedName>
    <definedName name="adfadsff">#REF!</definedName>
    <definedName name="ADFASDAD" localSheetId="0">#REF!</definedName>
    <definedName name="ADFASDAD">#REF!</definedName>
    <definedName name="ADFFG" localSheetId="0">#REF!</definedName>
    <definedName name="ADFFG">#REF!</definedName>
    <definedName name="ADFGFG" localSheetId="0">#REF!</definedName>
    <definedName name="ADFGFG">#REF!</definedName>
    <definedName name="ADFS" localSheetId="0">#REF!</definedName>
    <definedName name="ADFS">#REF!</definedName>
    <definedName name="adhesive" localSheetId="0">#REF!</definedName>
    <definedName name="adhesive">#REF!</definedName>
    <definedName name="adj" localSheetId="0">#REF!</definedName>
    <definedName name="adj">#REF!</definedName>
    <definedName name="ADJUSMENT" localSheetId="0">#REF!</definedName>
    <definedName name="ADJUSMENT">#REF!</definedName>
    <definedName name="adjustment" localSheetId="0">#REF!</definedName>
    <definedName name="adjustment">#REF!</definedName>
    <definedName name="admixture" localSheetId="0">#REF!</definedName>
    <definedName name="admixture">#REF!</definedName>
    <definedName name="admn_off" localSheetId="0">#REF!</definedName>
    <definedName name="admn_off">#REF!</definedName>
    <definedName name="admn_site" localSheetId="0">#REF!</definedName>
    <definedName name="admn_site">#REF!</definedName>
    <definedName name="adpvol" localSheetId="0">#REF!</definedName>
    <definedName name="adpvol">#REF!</definedName>
    <definedName name="ADSAD" localSheetId="0">#REF!</definedName>
    <definedName name="ADSAD">#REF!</definedName>
    <definedName name="adsd" localSheetId="0">#REF!</definedName>
    <definedName name="adsd">#REF!</definedName>
    <definedName name="ae" localSheetId="0">#REF!</definedName>
    <definedName name="ae">#REF!</definedName>
    <definedName name="AFF" localSheetId="0">#REF!</definedName>
    <definedName name="AFF">#REF!</definedName>
    <definedName name="affkitchens" localSheetId="0">#REF!</definedName>
    <definedName name="affkitchens">#REF!</definedName>
    <definedName name="AFGIS_ELECT" localSheetId="0">#REF!</definedName>
    <definedName name="AFGIS_ELECT">#REF!</definedName>
    <definedName name="Aflar" localSheetId="0">#REF!</definedName>
    <definedName name="Aflar">#REF!</definedName>
    <definedName name="Ag" localSheetId="0">#REF!</definedName>
    <definedName name="Ag">#REF!</definedName>
    <definedName name="Ag___0" localSheetId="0">#REF!</definedName>
    <definedName name="Ag___0">#REF!</definedName>
    <definedName name="Ag___13" localSheetId="0">#REF!</definedName>
    <definedName name="Ag___13">#REF!</definedName>
    <definedName name="aggr10" localSheetId="0">#REF!</definedName>
    <definedName name="aggr10">#REF!</definedName>
    <definedName name="aggr11" localSheetId="0">#REF!</definedName>
    <definedName name="aggr11">#REF!</definedName>
    <definedName name="aggr13" localSheetId="0">#REF!</definedName>
    <definedName name="aggr13">#REF!</definedName>
    <definedName name="aggr2" localSheetId="0">#REF!</definedName>
    <definedName name="aggr2">#REF!</definedName>
    <definedName name="aggr20" localSheetId="0">#REF!</definedName>
    <definedName name="aggr20">#REF!</definedName>
    <definedName name="aggr22" localSheetId="0">#REF!</definedName>
    <definedName name="aggr22">#REF!</definedName>
    <definedName name="aggr26" localSheetId="0">#REF!</definedName>
    <definedName name="aggr26">#REF!</definedName>
    <definedName name="aggr40" localSheetId="0">#REF!</definedName>
    <definedName name="aggr40">#REF!</definedName>
    <definedName name="aggr53" localSheetId="0">#REF!</definedName>
    <definedName name="aggr53">#REF!</definedName>
    <definedName name="aggr6" localSheetId="0">#REF!</definedName>
    <definedName name="aggr6">#REF!</definedName>
    <definedName name="aggr63" localSheetId="0">#REF!</definedName>
    <definedName name="aggr63">#REF!</definedName>
    <definedName name="agrP" localSheetId="0">#REF!</definedName>
    <definedName name="agrP">#REF!</definedName>
    <definedName name="ah" localSheetId="0">#REF!</definedName>
    <definedName name="ah">#REF!</definedName>
    <definedName name="ahu" localSheetId="0">#REF!</definedName>
    <definedName name="ahu">#REF!</definedName>
    <definedName name="aji" localSheetId="0">#REF!</definedName>
    <definedName name="aji">#REF!</definedName>
    <definedName name="ajitha" localSheetId="0">#REF!</definedName>
    <definedName name="ajitha">#REF!</definedName>
    <definedName name="ak" localSheetId="0">#REF!</definedName>
    <definedName name="ak">#REF!</definedName>
    <definedName name="Al" localSheetId="0">#REF!</definedName>
    <definedName name="Al">#REF!</definedName>
    <definedName name="alaa" localSheetId="0">#REF!</definedName>
    <definedName name="alaa">#REF!</definedName>
    <definedName name="ALL" localSheetId="0">#REF!</definedName>
    <definedName name="ALL">#REF!</definedName>
    <definedName name="all_airmech" localSheetId="0">#REF!</definedName>
    <definedName name="all_airmech">#REF!</definedName>
    <definedName name="all_data" localSheetId="0">#REF!</definedName>
    <definedName name="all_data">#REF!</definedName>
    <definedName name="all_hilalco" localSheetId="0">#REF!</definedName>
    <definedName name="all_hilalco">#REF!</definedName>
    <definedName name="all_misc" localSheetId="0">#REF!</definedName>
    <definedName name="all_misc">#REF!</definedName>
    <definedName name="all_ryum" localSheetId="0">#REF!</definedName>
    <definedName name="all_ryum">#REF!</definedName>
    <definedName name="all_terrazzo" localSheetId="0">#REF!</definedName>
    <definedName name="all_terrazzo">#REF!</definedName>
    <definedName name="alloysteel" localSheetId="0">#REF!</definedName>
    <definedName name="alloysteel">#REF!</definedName>
    <definedName name="allsubincPending" localSheetId="0">#REF!</definedName>
    <definedName name="allsubincPending">#REF!</definedName>
    <definedName name="allsubmittals" localSheetId="0">#REF!</definedName>
    <definedName name="allsubmittals">#REF!</definedName>
    <definedName name="alpha" localSheetId="0">#REF!</definedName>
    <definedName name="alpha">#REF!</definedName>
    <definedName name="alphabet" localSheetId="0">#REF!</definedName>
    <definedName name="alphabet">#REF!</definedName>
    <definedName name="Alw" localSheetId="0">#REF!</definedName>
    <definedName name="Alw">#REF!</definedName>
    <definedName name="alwarsump" localSheetId="0">#REF!</definedName>
    <definedName name="alwarsump">#REF!</definedName>
    <definedName name="am" localSheetId="0">#REF!</definedName>
    <definedName name="am">#REF!</definedName>
    <definedName name="amin" localSheetId="0">#REF!</definedName>
    <definedName name="amin">#REF!</definedName>
    <definedName name="amin1" localSheetId="0">#REF!</definedName>
    <definedName name="amin1">#REF!</definedName>
    <definedName name="amin2" localSheetId="0">#REF!</definedName>
    <definedName name="amin2">#REF!</definedName>
    <definedName name="AMM" localSheetId="0">#REF!</definedName>
    <definedName name="AMM">#REF!</definedName>
    <definedName name="Amortization" localSheetId="0">#REF!</definedName>
    <definedName name="Amortization">#REF!</definedName>
    <definedName name="Amount" localSheetId="0">#REF!</definedName>
    <definedName name="Amount">#REF!</definedName>
    <definedName name="ams" localSheetId="0">#REF!</definedName>
    <definedName name="ams">#REF!</definedName>
    <definedName name="Analysis" localSheetId="0">#REF!</definedName>
    <definedName name="Analysis">#REF!</definedName>
    <definedName name="AnalysisType" localSheetId="0">#REF!</definedName>
    <definedName name="AnalysisType">#REF!</definedName>
    <definedName name="anantha" localSheetId="0">#REF!</definedName>
    <definedName name="anantha">#REF!</definedName>
    <definedName name="anb" localSheetId="0">#REF!</definedName>
    <definedName name="anb">#REF!</definedName>
    <definedName name="anciqty" localSheetId="0">#REF!</definedName>
    <definedName name="anciqty">#REF!</definedName>
    <definedName name="and_work_at_levels_etc.__complete_and_as_directed." localSheetId="0">#REF!</definedName>
    <definedName name="and_work_at_levels_etc.__complete_and_as_directed.">#REF!</definedName>
    <definedName name="ank" localSheetId="0">#REF!</definedName>
    <definedName name="ank">#REF!</definedName>
    <definedName name="ankit" localSheetId="0">#REF!</definedName>
    <definedName name="ankit">#REF!</definedName>
    <definedName name="ann" localSheetId="0">#REF!</definedName>
    <definedName name="ann">#REF!</definedName>
    <definedName name="anne" localSheetId="0">#REF!</definedName>
    <definedName name="anne">#REF!</definedName>
    <definedName name="annealing" localSheetId="0">#REF!</definedName>
    <definedName name="annealing">#REF!</definedName>
    <definedName name="annealing1" localSheetId="0">#REF!</definedName>
    <definedName name="annealing1">#REF!</definedName>
    <definedName name="annn" localSheetId="0">#REF!</definedName>
    <definedName name="annn">#REF!</definedName>
    <definedName name="ANNUAL_EXPENDIT" localSheetId="0">#REF!</definedName>
    <definedName name="ANNUAL_EXPENDIT">#REF!</definedName>
    <definedName name="anuj" localSheetId="0">#REF!</definedName>
    <definedName name="anuj">#REF!</definedName>
    <definedName name="anuj1" localSheetId="0">#REF!</definedName>
    <definedName name="anuj1">#REF!</definedName>
    <definedName name="anuj10" localSheetId="0">#REF!</definedName>
    <definedName name="anuj10">#REF!</definedName>
    <definedName name="anuj100" localSheetId="0">#REF!</definedName>
    <definedName name="anuj100">#REF!</definedName>
    <definedName name="anuj11" localSheetId="0">#REF!</definedName>
    <definedName name="anuj11">#REF!</definedName>
    <definedName name="anuj13" localSheetId="0">#REF!</definedName>
    <definedName name="anuj13">#REF!</definedName>
    <definedName name="anuj15" localSheetId="0">#REF!</definedName>
    <definedName name="anuj15">#REF!</definedName>
    <definedName name="anuj17" localSheetId="0">#REF!</definedName>
    <definedName name="anuj17">#REF!</definedName>
    <definedName name="anuj18" localSheetId="0">#REF!</definedName>
    <definedName name="anuj18">#REF!</definedName>
    <definedName name="anuj19" localSheetId="0">#REF!</definedName>
    <definedName name="anuj19">#REF!</definedName>
    <definedName name="anuj2" localSheetId="0">#REF!</definedName>
    <definedName name="anuj2">#REF!</definedName>
    <definedName name="anuj3" localSheetId="0">#REF!</definedName>
    <definedName name="anuj3">#REF!</definedName>
    <definedName name="anuj30" localSheetId="0">#REF!</definedName>
    <definedName name="anuj30">#REF!</definedName>
    <definedName name="anuj4" localSheetId="0">#REF!</definedName>
    <definedName name="anuj4">#REF!</definedName>
    <definedName name="anuj40" localSheetId="0">#REF!</definedName>
    <definedName name="anuj40">#REF!</definedName>
    <definedName name="anuj5" localSheetId="0">#REF!</definedName>
    <definedName name="anuj5">#REF!</definedName>
    <definedName name="anuj50" localSheetId="0">#REF!</definedName>
    <definedName name="anuj50">#REF!</definedName>
    <definedName name="anuj51" localSheetId="0">#REF!</definedName>
    <definedName name="anuj51">#REF!</definedName>
    <definedName name="anuj52" localSheetId="0">#REF!</definedName>
    <definedName name="anuj52">#REF!</definedName>
    <definedName name="anuj53" localSheetId="0">#REF!</definedName>
    <definedName name="anuj53">#REF!</definedName>
    <definedName name="anuj54" localSheetId="0">#REF!</definedName>
    <definedName name="anuj54">#REF!</definedName>
    <definedName name="anuj55" localSheetId="0">#REF!</definedName>
    <definedName name="anuj55">#REF!</definedName>
    <definedName name="anuj57" localSheetId="0">#REF!</definedName>
    <definedName name="anuj57">#REF!</definedName>
    <definedName name="anuj58" localSheetId="0">#REF!</definedName>
    <definedName name="anuj58">#REF!</definedName>
    <definedName name="anuj59" localSheetId="0">#REF!</definedName>
    <definedName name="anuj59">#REF!</definedName>
    <definedName name="anuj6" localSheetId="0">#REF!</definedName>
    <definedName name="anuj6">#REF!</definedName>
    <definedName name="anuj62" localSheetId="0">#REF!</definedName>
    <definedName name="anuj62">#REF!</definedName>
    <definedName name="anuj63" localSheetId="0">#REF!</definedName>
    <definedName name="anuj63">#REF!</definedName>
    <definedName name="anuj64" localSheetId="0">#REF!</definedName>
    <definedName name="anuj64">#REF!</definedName>
    <definedName name="anuj7" localSheetId="0">#REF!</definedName>
    <definedName name="anuj7">#REF!</definedName>
    <definedName name="anuj70" localSheetId="0">#REF!</definedName>
    <definedName name="anuj70">#REF!</definedName>
    <definedName name="anuj71" localSheetId="0">#REF!</definedName>
    <definedName name="anuj71">#REF!</definedName>
    <definedName name="anuj72" localSheetId="0">#REF!</definedName>
    <definedName name="anuj72">#REF!</definedName>
    <definedName name="anuj73" localSheetId="0">#REF!</definedName>
    <definedName name="anuj73">#REF!</definedName>
    <definedName name="anuj74" localSheetId="0">#REF!</definedName>
    <definedName name="anuj74">#REF!</definedName>
    <definedName name="anuj75" localSheetId="0">#REF!</definedName>
    <definedName name="anuj75">#REF!</definedName>
    <definedName name="anuj76" localSheetId="0">#REF!</definedName>
    <definedName name="anuj76">#REF!</definedName>
    <definedName name="anuj77" localSheetId="0">#REF!</definedName>
    <definedName name="anuj77">#REF!</definedName>
    <definedName name="anuj78" localSheetId="0">#REF!</definedName>
    <definedName name="anuj78">#REF!</definedName>
    <definedName name="anuj79" localSheetId="0">#REF!</definedName>
    <definedName name="anuj79">#REF!</definedName>
    <definedName name="anuj80" localSheetId="0">#REF!</definedName>
    <definedName name="anuj80">#REF!</definedName>
    <definedName name="anuj81" localSheetId="0">#REF!</definedName>
    <definedName name="anuj81">#REF!</definedName>
    <definedName name="anuj82" localSheetId="0">#REF!</definedName>
    <definedName name="anuj82">#REF!</definedName>
    <definedName name="anuj83" localSheetId="0">#REF!</definedName>
    <definedName name="anuj83">#REF!</definedName>
    <definedName name="anuj84" localSheetId="0">#REF!</definedName>
    <definedName name="anuj84">#REF!</definedName>
    <definedName name="anuj85" localSheetId="0">#REF!</definedName>
    <definedName name="anuj85">#REF!</definedName>
    <definedName name="anuj86" localSheetId="0">#REF!</definedName>
    <definedName name="anuj86">#REF!</definedName>
    <definedName name="anuj87" localSheetId="0">#REF!</definedName>
    <definedName name="anuj87">#REF!</definedName>
    <definedName name="anuj88" localSheetId="0">#REF!</definedName>
    <definedName name="anuj88">#REF!</definedName>
    <definedName name="anuj89" localSheetId="0">#REF!</definedName>
    <definedName name="anuj89">#REF!</definedName>
    <definedName name="anuj9" localSheetId="0">#REF!</definedName>
    <definedName name="anuj9">#REF!</definedName>
    <definedName name="anuj90" localSheetId="0">#REF!</definedName>
    <definedName name="anuj90">#REF!</definedName>
    <definedName name="anuj91" localSheetId="0">#REF!</definedName>
    <definedName name="anuj91">#REF!</definedName>
    <definedName name="anuj92" localSheetId="0">#REF!</definedName>
    <definedName name="anuj92">#REF!</definedName>
    <definedName name="anuj93" localSheetId="0">#REF!</definedName>
    <definedName name="anuj93">#REF!</definedName>
    <definedName name="anuj95" localSheetId="0">#REF!</definedName>
    <definedName name="anuj95">#REF!</definedName>
    <definedName name="anuj97" localSheetId="0">#REF!</definedName>
    <definedName name="anuj97">#REF!</definedName>
    <definedName name="anuj98" localSheetId="0">#REF!</definedName>
    <definedName name="anuj98">#REF!</definedName>
    <definedName name="anuj99" localSheetId="0">#REF!</definedName>
    <definedName name="anuj99">#REF!</definedName>
    <definedName name="ANUP" localSheetId="0">#REF!</definedName>
    <definedName name="ANUP">#REF!</definedName>
    <definedName name="Aone" localSheetId="0">#REF!</definedName>
    <definedName name="Aone">#REF!</definedName>
    <definedName name="Ap" localSheetId="0">#REF!</definedName>
    <definedName name="Ap">#REF!</definedName>
    <definedName name="apet" localSheetId="0">#REF!</definedName>
    <definedName name="apet">#REF!</definedName>
    <definedName name="APL" localSheetId="0">#REF!</definedName>
    <definedName name="APL">#REF!</definedName>
    <definedName name="applen" localSheetId="0">#REF!</definedName>
    <definedName name="applen">#REF!</definedName>
    <definedName name="Approachslab" localSheetId="0">#REF!</definedName>
    <definedName name="Approachslab">#REF!</definedName>
    <definedName name="APRIL" localSheetId="0">#REF!</definedName>
    <definedName name="APRIL">#REF!</definedName>
    <definedName name="april_qty" localSheetId="0">#REF!</definedName>
    <definedName name="april_qty">#REF!</definedName>
    <definedName name="AQ" localSheetId="0">#REF!</definedName>
    <definedName name="AQ">#REF!</definedName>
    <definedName name="AR" localSheetId="0">#REF!</definedName>
    <definedName name="AR">#REF!</definedName>
    <definedName name="ARCH_CITY" localSheetId="0">#REF!</definedName>
    <definedName name="ARCH_CITY">#REF!</definedName>
    <definedName name="ARCH_ESC" localSheetId="0">#REF!</definedName>
    <definedName name="ARCH_ESC">#REF!</definedName>
    <definedName name="ARCH_OLD_CITY" localSheetId="0">#REF!</definedName>
    <definedName name="ARCH_OLD_CITY">#REF!</definedName>
    <definedName name="ARCH_OLD_ESC" localSheetId="0">#REF!</definedName>
    <definedName name="ARCH_OLD_ESC">#REF!</definedName>
    <definedName name="ARCH_OLD_PROD" localSheetId="0">#REF!</definedName>
    <definedName name="ARCH_OLD_PROD">#REF!</definedName>
    <definedName name="ARCH_OLD_WAGE" localSheetId="0">#REF!</definedName>
    <definedName name="ARCH_OLD_WAGE">#REF!</definedName>
    <definedName name="ARCH_PROD" localSheetId="0">#REF!</definedName>
    <definedName name="ARCH_PROD">#REF!</definedName>
    <definedName name="ARCH_WAGE" localSheetId="0">#REF!</definedName>
    <definedName name="ARCH_WAGE">#REF!</definedName>
    <definedName name="ARCHITECTURAL" localSheetId="0">#REF!</definedName>
    <definedName name="ARCHITECTURAL">#REF!</definedName>
    <definedName name="arctanz" localSheetId="0">#REF!</definedName>
    <definedName name="arctanz">#REF!</definedName>
    <definedName name="AREA" localSheetId="0">#REF!</definedName>
    <definedName name="AREA">#REF!</definedName>
    <definedName name="AREA_SQCC" localSheetId="0">#REF!</definedName>
    <definedName name="AREA_SQCC">#REF!</definedName>
    <definedName name="AREA_SQCC_ONCOLOGY" localSheetId="0">#REF!</definedName>
    <definedName name="AREA_SQCC_ONCOLOGY">#REF!</definedName>
    <definedName name="AREA_SQCC_RESTUARENT" localSheetId="0">#REF!</definedName>
    <definedName name="AREA_SQCC_RESTUARENT">#REF!</definedName>
    <definedName name="Area1" localSheetId="0">#REF!</definedName>
    <definedName name="Area1">#REF!</definedName>
    <definedName name="AREAS" localSheetId="0">#REF!</definedName>
    <definedName name="AREAS">#REF!</definedName>
    <definedName name="AREAS_CA_CANOPY__WAREHOUSE" localSheetId="0">#REF!</definedName>
    <definedName name="AREAS_CA_CANOPY__WAREHOUSE">#REF!</definedName>
    <definedName name="AREAS_CB_Canteen_Building" localSheetId="0">#REF!</definedName>
    <definedName name="AREAS_CB_Canteen_Building">#REF!</definedName>
    <definedName name="AREAS_CIPT_Tanker_CIP_Shed" localSheetId="0">#REF!</definedName>
    <definedName name="AREAS_CIPT_Tanker_CIP_Shed">#REF!</definedName>
    <definedName name="AREAS_CLRR_Contract_Labour_Rest_Room" localSheetId="0">#REF!</definedName>
    <definedName name="AREAS_CLRR_Contract_Labour_Rest_Room">#REF!</definedName>
    <definedName name="AREAS_CS_Chemical_Store" localSheetId="0">#REF!</definedName>
    <definedName name="AREAS_CS_Chemical_Store">#REF!</definedName>
    <definedName name="AREAS_ETPC_ETP_Civil_Works" localSheetId="0">#REF!</definedName>
    <definedName name="AREAS_ETPC_ETP_Civil_Works">#REF!</definedName>
    <definedName name="AREAS_EX_EXTERNAL_WORKS" localSheetId="0">#REF!</definedName>
    <definedName name="AREAS_EX_EXTERNAL_WORKS">#REF!</definedName>
    <definedName name="AREAS_FC_Farmer_s_Conference" localSheetId="0">#REF!</definedName>
    <definedName name="AREAS_FC_Farmer_s_Conference">#REF!</definedName>
    <definedName name="AREAS_FU_Fumigation" localSheetId="0">#REF!</definedName>
    <definedName name="AREAS_FU_Fumigation">#REF!</definedName>
    <definedName name="AREAS_GA_General_Area___Overall" localSheetId="0">#REF!</definedName>
    <definedName name="AREAS_GA_General_Area___Overall">#REF!</definedName>
    <definedName name="AREAS_GP_Guard_Posts" localSheetId="0">#REF!</definedName>
    <definedName name="AREAS_GP_Guard_Posts">#REF!</definedName>
    <definedName name="AREAS_LS_LubeOil_Stores" localSheetId="0">#REF!</definedName>
    <definedName name="AREAS_LS_LubeOil_Stores">#REF!</definedName>
    <definedName name="AREAS_MR_TB_Milk_Reception_Tanker_s_Bay" localSheetId="0">#REF!</definedName>
    <definedName name="AREAS_MR_TB_Milk_Reception_Tanker_s_Bay">#REF!</definedName>
    <definedName name="AREAS_MTF_Milk_Tank_Foundations" localSheetId="0">#REF!</definedName>
    <definedName name="AREAS_MTF_Milk_Tank_Foundations">#REF!</definedName>
    <definedName name="AREAS_PB_PROCESS_BUILDING" localSheetId="0">#REF!</definedName>
    <definedName name="AREAS_PB_PROCESS_BUILDING">#REF!</definedName>
    <definedName name="AREAS_PR_Pipe_Racks" localSheetId="0">#REF!</definedName>
    <definedName name="AREAS_PR_Pipe_Racks">#REF!</definedName>
    <definedName name="AREAS_SR_2_Security_Room___2" localSheetId="0">#REF!</definedName>
    <definedName name="AREAS_SR_2_Security_Room___2">#REF!</definedName>
    <definedName name="AREAS_SR_3_Store_Room" localSheetId="0">#REF!</definedName>
    <definedName name="AREAS_SR_3_Store_Room">#REF!</definedName>
    <definedName name="AREAS_ST_Stacks_near_Utility_Buildings" localSheetId="0">#REF!</definedName>
    <definedName name="AREAS_ST_Stacks_near_Utility_Buildings">#REF!</definedName>
    <definedName name="AREAS_SY_Scrap_Yard" localSheetId="0">#REF!</definedName>
    <definedName name="AREAS_SY_Scrap_Yard">#REF!</definedName>
    <definedName name="AREAS_TWW_Truck_Wheel_Wash" localSheetId="0">#REF!</definedName>
    <definedName name="AREAS_TWW_Truck_Wheel_Wash">#REF!</definedName>
    <definedName name="AREAS_TY_Transformer_Yard" localSheetId="0">#REF!</definedName>
    <definedName name="AREAS_TY_Transformer_Yard">#REF!</definedName>
    <definedName name="AREAS_UB_UTILITY_BLOCK" localSheetId="0">#REF!</definedName>
    <definedName name="AREAS_UB_UTILITY_BLOCK">#REF!</definedName>
    <definedName name="AREAS_WH_Ware_House_Area" localSheetId="0">#REF!</definedName>
    <definedName name="AREAS_WH_Ware_House_Area">#REF!</definedName>
    <definedName name="areatop2" localSheetId="0">#REF!</definedName>
    <definedName name="areatop2">#REF!</definedName>
    <definedName name="arif" localSheetId="0">#REF!</definedName>
    <definedName name="arif">#REF!</definedName>
    <definedName name="array" localSheetId="0">#REF!</definedName>
    <definedName name="array">#REF!</definedName>
    <definedName name="ARUN" localSheetId="0">#REF!</definedName>
    <definedName name="ARUN">#REF!</definedName>
    <definedName name="as" localSheetId="0">#REF!</definedName>
    <definedName name="as">#REF!</definedName>
    <definedName name="AS_Payment_Term" localSheetId="0">#REF!</definedName>
    <definedName name="AS_Payment_Term">#REF!</definedName>
    <definedName name="AS_PER_TALLY_31_09_04_ONYX_List1" localSheetId="0">#REF!</definedName>
    <definedName name="AS_PER_TALLY_31_09_04_ONYX_List1">#REF!</definedName>
    <definedName name="AS_Sales_Absorption" localSheetId="0">#REF!</definedName>
    <definedName name="AS_Sales_Absorption">#REF!</definedName>
    <definedName name="AS100T" localSheetId="0">#REF!</definedName>
    <definedName name="AS100T">#REF!</definedName>
    <definedName name="asas" localSheetId="0">#REF!</definedName>
    <definedName name="asas">#REF!</definedName>
    <definedName name="asdad" localSheetId="0">#REF!</definedName>
    <definedName name="asdad">#REF!</definedName>
    <definedName name="asdads" localSheetId="0">#REF!</definedName>
    <definedName name="asdads">#REF!</definedName>
    <definedName name="asdas" localSheetId="0">#REF!</definedName>
    <definedName name="asdas">#REF!</definedName>
    <definedName name="asdasd" localSheetId="0">#REF!</definedName>
    <definedName name="asdasd">#REF!</definedName>
    <definedName name="ASDASDASD" localSheetId="0">#REF!</definedName>
    <definedName name="ASDASDASD">#REF!</definedName>
    <definedName name="asdd" localSheetId="0">#REF!</definedName>
    <definedName name="asdd">#REF!</definedName>
    <definedName name="asdf" localSheetId="0">#REF!</definedName>
    <definedName name="asdf">#REF!</definedName>
    <definedName name="asdfa" localSheetId="0">#REF!</definedName>
    <definedName name="asdfa">#REF!</definedName>
    <definedName name="asdfasdf" localSheetId="0">#REF!</definedName>
    <definedName name="asdfasdf">#REF!</definedName>
    <definedName name="ASDFJHGSDF" localSheetId="0">#REF!</definedName>
    <definedName name="ASDFJHGSDF">#REF!</definedName>
    <definedName name="asdfsa" localSheetId="0">#REF!</definedName>
    <definedName name="asdfsa">#REF!</definedName>
    <definedName name="asdfsad" localSheetId="0">#REF!</definedName>
    <definedName name="asdfsad">#REF!</definedName>
    <definedName name="asdfsadf" localSheetId="0">#REF!</definedName>
    <definedName name="asdfsadf">#REF!</definedName>
    <definedName name="asdsa" localSheetId="0">#REF!</definedName>
    <definedName name="asdsa">#REF!</definedName>
    <definedName name="asdsdfsda" localSheetId="0">#REF!</definedName>
    <definedName name="asdsdfsda">#REF!</definedName>
    <definedName name="ASDSDSD" localSheetId="0">#REF!</definedName>
    <definedName name="ASDSDSD">#REF!</definedName>
    <definedName name="ASFDJVGNWRESGVIUKLFV" localSheetId="0">#REF!</definedName>
    <definedName name="ASFDJVGNWRESGVIUKLFV">#REF!</definedName>
    <definedName name="ASFFFF" localSheetId="0">#REF!</definedName>
    <definedName name="ASFFFF">#REF!</definedName>
    <definedName name="asfg" localSheetId="0">#REF!</definedName>
    <definedName name="asfg">#REF!</definedName>
    <definedName name="asg" localSheetId="0">#REF!</definedName>
    <definedName name="asg">#REF!</definedName>
    <definedName name="ash" localSheetId="0">#REF!</definedName>
    <definedName name="ash">#REF!</definedName>
    <definedName name="ashok" localSheetId="0">#REF!</definedName>
    <definedName name="ashok">#REF!</definedName>
    <definedName name="ASHOKA" localSheetId="0">#REF!</definedName>
    <definedName name="ASHOKA">#REF!</definedName>
    <definedName name="asi" localSheetId="0">#REF!</definedName>
    <definedName name="asi">#REF!</definedName>
    <definedName name="ASJGQUISG" localSheetId="0">#REF!</definedName>
    <definedName name="ASJGQUISG">#REF!</definedName>
    <definedName name="ASKRFGOQUI4HT" localSheetId="0">#REF!</definedName>
    <definedName name="ASKRFGOQUI4HT">#REF!</definedName>
    <definedName name="assadg" localSheetId="0">#REF!</definedName>
    <definedName name="assadg">#REF!</definedName>
    <definedName name="ASSSSSSSSSSSSSSSSSSSSSSSS" localSheetId="0">#REF!</definedName>
    <definedName name="ASSSSSSSSSSSSSSSSSSSSSSSS">#REF!</definedName>
    <definedName name="ASSUM" localSheetId="0">#REF!</definedName>
    <definedName name="ASSUM">#REF!</definedName>
    <definedName name="At" localSheetId="0">#REF!</definedName>
    <definedName name="At">#REF!</definedName>
    <definedName name="Athree" localSheetId="0">#REF!</definedName>
    <definedName name="Athree">#REF!</definedName>
    <definedName name="Atwo" localSheetId="0">#REF!</definedName>
    <definedName name="Atwo">#REF!</definedName>
    <definedName name="autonum" localSheetId="0">#REF!</definedName>
    <definedName name="autonum">#REF!</definedName>
    <definedName name="AUX_CONT_PNLS" localSheetId="0">#REF!</definedName>
    <definedName name="AUX_CONT_PNLS">#REF!</definedName>
    <definedName name="AuxRelay" localSheetId="0">#REF!</definedName>
    <definedName name="AuxRelay">#REF!</definedName>
    <definedName name="auxtr" localSheetId="0">#REF!</definedName>
    <definedName name="auxtr">#REF!</definedName>
    <definedName name="avethk" localSheetId="0">#REF!</definedName>
    <definedName name="avethk">#REF!</definedName>
    <definedName name="avewid" localSheetId="0">#REF!</definedName>
    <definedName name="avewid">#REF!</definedName>
    <definedName name="avi" localSheetId="0">#REF!</definedName>
    <definedName name="avi">#REF!</definedName>
    <definedName name="AWAWWWWAA" localSheetId="0">#REF!</definedName>
    <definedName name="AWAWWWWAA">#REF!</definedName>
    <definedName name="Aweld" localSheetId="0">#REF!</definedName>
    <definedName name="Aweld">#REF!</definedName>
    <definedName name="B" localSheetId="0">#REF!</definedName>
    <definedName name="B">#REF!</definedName>
    <definedName name="B.1" localSheetId="0">#REF!</definedName>
    <definedName name="B.1">#REF!</definedName>
    <definedName name="B.2" localSheetId="0">#REF!</definedName>
    <definedName name="B.2">#REF!</definedName>
    <definedName name="B.4" localSheetId="0">#REF!</definedName>
    <definedName name="B.4">#REF!</definedName>
    <definedName name="B.5" localSheetId="0">#REF!</definedName>
    <definedName name="B.5">#REF!</definedName>
    <definedName name="B.6" localSheetId="0">#REF!</definedName>
    <definedName name="B.6">#REF!</definedName>
    <definedName name="b.nos" localSheetId="0">#REF!</definedName>
    <definedName name="b.nos">#REF!</definedName>
    <definedName name="B___0" localSheetId="0">#REF!</definedName>
    <definedName name="B___0">#REF!</definedName>
    <definedName name="B___13" localSheetId="0">#REF!</definedName>
    <definedName name="B___13">#REF!</definedName>
    <definedName name="B_Alterations" localSheetId="0">#REF!</definedName>
    <definedName name="B_Alterations">#REF!</definedName>
    <definedName name="B_cov" localSheetId="0">#REF!</definedName>
    <definedName name="B_cov">#REF!</definedName>
    <definedName name="B_side_Len" localSheetId="0">#REF!</definedName>
    <definedName name="B_side_Len">#REF!</definedName>
    <definedName name="B_STATUS_DRGS" localSheetId="0">#REF!</definedName>
    <definedName name="B_STATUS_DRGS">#REF!</definedName>
    <definedName name="B_STATUS_NO" localSheetId="0">#REF!</definedName>
    <definedName name="B_STATUS_NO">#REF!</definedName>
    <definedName name="B_STATUS_NUMBER" localSheetId="0">#REF!</definedName>
    <definedName name="B_STATUS_NUMBER">#REF!</definedName>
    <definedName name="B1501." localSheetId="0">#REF!</definedName>
    <definedName name="B1501.">#REF!</definedName>
    <definedName name="B2INSU" localSheetId="0">#REF!</definedName>
    <definedName name="B2INSU">#REF!</definedName>
    <definedName name="B3INSU" localSheetId="0">#REF!</definedName>
    <definedName name="B3INSU">#REF!</definedName>
    <definedName name="B4a" localSheetId="0">#REF!</definedName>
    <definedName name="B4a">#REF!</definedName>
    <definedName name="b5a" localSheetId="0">#REF!</definedName>
    <definedName name="b5a">#REF!</definedName>
    <definedName name="b6fv6fd" localSheetId="0">#REF!</definedName>
    <definedName name="b6fv6fd">#REF!</definedName>
    <definedName name="B8_Ttl" localSheetId="0">#REF!</definedName>
    <definedName name="B8_Ttl">#REF!</definedName>
    <definedName name="BALUST" localSheetId="0">#REF!</definedName>
    <definedName name="BALUST">#REF!</definedName>
    <definedName name="Balustrade" localSheetId="0">#REF!</definedName>
    <definedName name="Balustrade">#REF!</definedName>
    <definedName name="BARBICAN" localSheetId="0">#REF!</definedName>
    <definedName name="BARBICAN">#REF!</definedName>
    <definedName name="BarLength" localSheetId="0">#REF!</definedName>
    <definedName name="BarLength">#REF!</definedName>
    <definedName name="BarMark" localSheetId="0">#REF!</definedName>
    <definedName name="BarMark">#REF!</definedName>
    <definedName name="BarMems" localSheetId="0">#REF!</definedName>
    <definedName name="BarMems">#REF!</definedName>
    <definedName name="BarNums" localSheetId="0">#REF!</definedName>
    <definedName name="BarNums">#REF!</definedName>
    <definedName name="BarRevStr" localSheetId="0">#REF!</definedName>
    <definedName name="BarRevStr">#REF!</definedName>
    <definedName name="BarShape" localSheetId="0">#REF!</definedName>
    <definedName name="BarShape">#REF!</definedName>
    <definedName name="BarSize" localSheetId="0">#REF!</definedName>
    <definedName name="BarSize">#REF!</definedName>
    <definedName name="BarType" localSheetId="0">#REF!</definedName>
    <definedName name="BarType">#REF!</definedName>
    <definedName name="BASE" localSheetId="0">#REF!</definedName>
    <definedName name="BASE">#REF!</definedName>
    <definedName name="Base_Qty_DB" localSheetId="0">#REF!</definedName>
    <definedName name="Base_Qty_DB">#REF!</definedName>
    <definedName name="BASE_Summary" localSheetId="0">#REF!</definedName>
    <definedName name="BASE_Summary">#REF!</definedName>
    <definedName name="BASE_Summary1" localSheetId="0">#REF!</definedName>
    <definedName name="BASE_Summary1">#REF!</definedName>
    <definedName name="BASE_Summary2" localSheetId="0">#REF!</definedName>
    <definedName name="BASE_Summary2">#REF!</definedName>
    <definedName name="Base_Year" localSheetId="0">#REF!</definedName>
    <definedName name="Base_Year">#REF!</definedName>
    <definedName name="BaseD" localSheetId="0">#REF!</definedName>
    <definedName name="BaseD">#REF!</definedName>
    <definedName name="BaseDate" localSheetId="0">#REF!</definedName>
    <definedName name="BaseDate">#REF!</definedName>
    <definedName name="BaseDay" localSheetId="0">#REF!</definedName>
    <definedName name="BaseDay">#REF!</definedName>
    <definedName name="BaseM" localSheetId="0">#REF!</definedName>
    <definedName name="BaseM">#REF!</definedName>
    <definedName name="BaseMonth" localSheetId="0">#REF!</definedName>
    <definedName name="BaseMonth">#REF!</definedName>
    <definedName name="BaseYear" localSheetId="0">#REF!</definedName>
    <definedName name="BaseYear">#REF!</definedName>
    <definedName name="BASIS" localSheetId="0">#REF!</definedName>
    <definedName name="BASIS">#REF!</definedName>
    <definedName name="BASIS1" localSheetId="0">#REF!</definedName>
    <definedName name="BASIS1">#REF!</definedName>
    <definedName name="Batonite" localSheetId="0">#REF!</definedName>
    <definedName name="Batonite">#REF!</definedName>
    <definedName name="BB" localSheetId="0">#REF!</definedName>
    <definedName name="BB">#REF!</definedName>
    <definedName name="bbb" localSheetId="0">#REF!</definedName>
    <definedName name="bbb">#REF!</definedName>
    <definedName name="bbbbbbbbb" localSheetId="0">#REF!</definedName>
    <definedName name="bbbbbbbbb">#REF!</definedName>
    <definedName name="bbbbbbbbbb" localSheetId="0">#REF!</definedName>
    <definedName name="bbbbbbbbbb">#REF!</definedName>
    <definedName name="Bbuld" localSheetId="0">#REF!</definedName>
    <definedName name="Bbuld">#REF!</definedName>
    <definedName name="BC" localSheetId="0">#REF!</definedName>
    <definedName name="BC">#REF!</definedName>
    <definedName name="bcpcc" localSheetId="0">#REF!</definedName>
    <definedName name="bcpcc">#REF!</definedName>
    <definedName name="bcs" localSheetId="0">#REF!</definedName>
    <definedName name="bcs">#REF!</definedName>
    <definedName name="bct" localSheetId="0">#REF!</definedName>
    <definedName name="bct">#REF!</definedName>
    <definedName name="BCU" localSheetId="0">#REF!</definedName>
    <definedName name="BCU">#REF!</definedName>
    <definedName name="bcvv" localSheetId="0">#REF!</definedName>
    <definedName name="bcvv">#REF!</definedName>
    <definedName name="bdbdb" localSheetId="0">#REF!</definedName>
    <definedName name="bdbdb">#REF!</definedName>
    <definedName name="BDR" localSheetId="0">#REF!</definedName>
    <definedName name="BDR">#REF!</definedName>
    <definedName name="BDRBLD" localSheetId="0">#REF!</definedName>
    <definedName name="BDRBLD">#REF!</definedName>
    <definedName name="beam" localSheetId="0">#REF!</definedName>
    <definedName name="beam">#REF!</definedName>
    <definedName name="beam1" localSheetId="0">#REF!</definedName>
    <definedName name="beam1">#REF!</definedName>
    <definedName name="beam11" localSheetId="0">#REF!</definedName>
    <definedName name="beam11">#REF!</definedName>
    <definedName name="beam111" localSheetId="0">#REF!</definedName>
    <definedName name="beam111">#REF!</definedName>
    <definedName name="beam2" localSheetId="0">#REF!</definedName>
    <definedName name="beam2">#REF!</definedName>
    <definedName name="BEAM3" localSheetId="0">#REF!</definedName>
    <definedName name="BEAM3">#REF!</definedName>
    <definedName name="BEAM5" localSheetId="0">#REF!</definedName>
    <definedName name="BEAM5">#REF!</definedName>
    <definedName name="BeamLength" localSheetId="0">#REF!</definedName>
    <definedName name="BeamLength">#REF!</definedName>
    <definedName name="BEAMS" localSheetId="0">#REF!</definedName>
    <definedName name="BEAMS">#REF!</definedName>
    <definedName name="Beg_Bal" localSheetId="0">#REF!</definedName>
    <definedName name="Beg_Bal">#REF!</definedName>
    <definedName name="BeginBorder" localSheetId="0">#REF!</definedName>
    <definedName name="BeginBorder">#REF!</definedName>
    <definedName name="bel" localSheetId="0">#REF!</definedName>
    <definedName name="bel">#REF!</definedName>
    <definedName name="BEND" localSheetId="0">#REF!</definedName>
    <definedName name="BEND">#REF!</definedName>
    <definedName name="bends" localSheetId="0">#REF!</definedName>
    <definedName name="bends">#REF!</definedName>
    <definedName name="beta" localSheetId="0">#REF!</definedName>
    <definedName name="beta">#REF!</definedName>
    <definedName name="Bf" localSheetId="0">#REF!</definedName>
    <definedName name="Bf">#REF!</definedName>
    <definedName name="bgbb" localSheetId="0">#REF!</definedName>
    <definedName name="bgbb">#REF!</definedName>
    <definedName name="BGrP" localSheetId="0">#REF!</definedName>
    <definedName name="BGrP">#REF!</definedName>
    <definedName name="bgy" localSheetId="0">#REF!</definedName>
    <definedName name="bgy">#REF!</definedName>
    <definedName name="bhg" localSheetId="0">#REF!</definedName>
    <definedName name="bhg">#REF!</definedName>
    <definedName name="bhistee" localSheetId="0">#REF!</definedName>
    <definedName name="bhistee">#REF!</definedName>
    <definedName name="bhjbh" localSheetId="0">#REF!</definedName>
    <definedName name="bhjbh">#REF!</definedName>
    <definedName name="BILA" localSheetId="0">#REF!</definedName>
    <definedName name="BILA">#REF!</definedName>
    <definedName name="bill" localSheetId="0">#REF!</definedName>
    <definedName name="bill">#REF!</definedName>
    <definedName name="billname1" localSheetId="0">#REF!</definedName>
    <definedName name="billname1">#REF!</definedName>
    <definedName name="billname2" localSheetId="0">#REF!</definedName>
    <definedName name="billname2">#REF!</definedName>
    <definedName name="billname3" localSheetId="0">#REF!</definedName>
    <definedName name="billname3">#REF!</definedName>
    <definedName name="BIN" localSheetId="0">#REF!</definedName>
    <definedName name="BIN">#REF!</definedName>
    <definedName name="bit" localSheetId="0">#REF!</definedName>
    <definedName name="bit">#REF!</definedName>
    <definedName name="bitpaper" localSheetId="0">#REF!</definedName>
    <definedName name="bitpaper">#REF!</definedName>
    <definedName name="bitumen6070" localSheetId="0">#REF!</definedName>
    <definedName name="bitumen6070">#REF!</definedName>
    <definedName name="bitumenboiler" localSheetId="0">#REF!</definedName>
    <definedName name="bitumenboiler">#REF!</definedName>
    <definedName name="bitumenemul" localSheetId="0">#REF!</definedName>
    <definedName name="bitumenemul">#REF!</definedName>
    <definedName name="bjhvgshdfgnbfjasfhjbnfjhasfhjnf" localSheetId="0">#REF!</definedName>
    <definedName name="bjhvgshdfgnbfjasfhjbnfjhasfhjnf">#REF!</definedName>
    <definedName name="BJKAFAQ" localSheetId="0">#REF!</definedName>
    <definedName name="BJKAFAQ">#REF!</definedName>
    <definedName name="bjlc" localSheetId="0">#REF!</definedName>
    <definedName name="bjlc">#REF!</definedName>
    <definedName name="bl" localSheetId="0">#REF!</definedName>
    <definedName name="bl">#REF!</definedName>
    <definedName name="blacksmith" localSheetId="0">#REF!</definedName>
    <definedName name="blacksmith">#REF!</definedName>
    <definedName name="blacksmithhelper" localSheetId="0">#REF!</definedName>
    <definedName name="blacksmithhelper">#REF!</definedName>
    <definedName name="blankline" localSheetId="0">#REF!</definedName>
    <definedName name="blankline">#REF!</definedName>
    <definedName name="blaster" localSheetId="0">#REF!</definedName>
    <definedName name="blaster">#REF!</definedName>
    <definedName name="BldgQty" localSheetId="0">#REF!</definedName>
    <definedName name="BldgQty">#REF!</definedName>
    <definedName name="BLIA" localSheetId="0">#REF!</definedName>
    <definedName name="BLIA">#REF!</definedName>
    <definedName name="Block_Premium" localSheetId="0">#REF!</definedName>
    <definedName name="Block_Premium">#REF!</definedName>
    <definedName name="BLOCK1" localSheetId="0">#REF!</definedName>
    <definedName name="BLOCK1">#REF!</definedName>
    <definedName name="BLOCK2" localSheetId="0">#REF!</definedName>
    <definedName name="BLOCK2">#REF!</definedName>
    <definedName name="BLOCK3" localSheetId="0">#REF!</definedName>
    <definedName name="BLOCK3">#REF!</definedName>
    <definedName name="BLOCK4" localSheetId="0">#REF!</definedName>
    <definedName name="BLOCK4">#REF!</definedName>
    <definedName name="blocka" localSheetId="0">#REF!</definedName>
    <definedName name="blocka">#REF!</definedName>
    <definedName name="blv_100" localSheetId="0">#REF!</definedName>
    <definedName name="blv_100">#REF!</definedName>
    <definedName name="blv_150" localSheetId="0">#REF!</definedName>
    <definedName name="blv_150">#REF!</definedName>
    <definedName name="blv_200" localSheetId="0">#REF!</definedName>
    <definedName name="blv_200">#REF!</definedName>
    <definedName name="blv_25" localSheetId="0">#REF!</definedName>
    <definedName name="blv_25">#REF!</definedName>
    <definedName name="blv_250" localSheetId="0">#REF!</definedName>
    <definedName name="blv_250">#REF!</definedName>
    <definedName name="blv_300" localSheetId="0">#REF!</definedName>
    <definedName name="blv_300">#REF!</definedName>
    <definedName name="blv_32" localSheetId="0">#REF!</definedName>
    <definedName name="blv_32">#REF!</definedName>
    <definedName name="blv_40" localSheetId="0">#REF!</definedName>
    <definedName name="blv_40">#REF!</definedName>
    <definedName name="blv_400" localSheetId="0">#REF!</definedName>
    <definedName name="blv_400">#REF!</definedName>
    <definedName name="blv_50" localSheetId="0">#REF!</definedName>
    <definedName name="blv_50">#REF!</definedName>
    <definedName name="blv_500" localSheetId="0">#REF!</definedName>
    <definedName name="blv_500">#REF!</definedName>
    <definedName name="blv_65" localSheetId="0">#REF!</definedName>
    <definedName name="blv_65">#REF!</definedName>
    <definedName name="blv_80" localSheetId="0">#REF!</definedName>
    <definedName name="blv_80">#REF!</definedName>
    <definedName name="bmpccrate" localSheetId="0">#REF!</definedName>
    <definedName name="bmpccrate">#REF!</definedName>
    <definedName name="BMSFR" localSheetId="0">#REF!</definedName>
    <definedName name="BMSFR">#REF!</definedName>
    <definedName name="bn" localSheetId="0">#REF!</definedName>
    <definedName name="bn">#REF!</definedName>
    <definedName name="bo" localSheetId="0">#REF!</definedName>
    <definedName name="bo">#REF!</definedName>
    <definedName name="Bock1" localSheetId="0">#REF!</definedName>
    <definedName name="Bock1">#REF!</definedName>
    <definedName name="BOGROLLS" localSheetId="0">#REF!</definedName>
    <definedName name="BOGROLLS">#REF!</definedName>
    <definedName name="bol" localSheetId="0">#REF!</definedName>
    <definedName name="bol">#REF!</definedName>
    <definedName name="boml" localSheetId="0">#REF!</definedName>
    <definedName name="boml">#REF!</definedName>
    <definedName name="boml1" localSheetId="0">#REF!</definedName>
    <definedName name="boml1">#REF!</definedName>
    <definedName name="bondstone" localSheetId="0">#REF!</definedName>
    <definedName name="bondstone">#REF!</definedName>
    <definedName name="BOP40_CITY" localSheetId="0">#REF!</definedName>
    <definedName name="BOP40_CITY">#REF!</definedName>
    <definedName name="BOP40_ESC" localSheetId="0">#REF!</definedName>
    <definedName name="BOP40_ESC">#REF!</definedName>
    <definedName name="BOP40_OLD_CITY" localSheetId="0">#REF!</definedName>
    <definedName name="BOP40_OLD_CITY">#REF!</definedName>
    <definedName name="BOP40_OLD_ESC" localSheetId="0">#REF!</definedName>
    <definedName name="BOP40_OLD_ESC">#REF!</definedName>
    <definedName name="BOP40_OLD_PROD" localSheetId="0">#REF!</definedName>
    <definedName name="BOP40_OLD_PROD">#REF!</definedName>
    <definedName name="BOP40_OLD_WAGE" localSheetId="0">#REF!</definedName>
    <definedName name="BOP40_OLD_WAGE">#REF!</definedName>
    <definedName name="BOP40_PROD" localSheetId="0">#REF!</definedName>
    <definedName name="BOP40_PROD">#REF!</definedName>
    <definedName name="BOP40_WAGE" localSheetId="0">#REF!</definedName>
    <definedName name="BOP40_WAGE">#REF!</definedName>
    <definedName name="BOQ" localSheetId="0">#REF!</definedName>
    <definedName name="BOQ">#REF!</definedName>
    <definedName name="borabt" localSheetId="0">#REF!</definedName>
    <definedName name="borabt">#REF!</definedName>
    <definedName name="borlen1" localSheetId="0">#REF!</definedName>
    <definedName name="borlen1">#REF!</definedName>
    <definedName name="borlen2" localSheetId="0">#REF!</definedName>
    <definedName name="borlen2">#REF!</definedName>
    <definedName name="borlen3" localSheetId="0">#REF!</definedName>
    <definedName name="borlen3">#REF!</definedName>
    <definedName name="BOTA" localSheetId="0">#REF!</definedName>
    <definedName name="BOTA">#REF!</definedName>
    <definedName name="botl" localSheetId="0">#REF!</definedName>
    <definedName name="botl">#REF!</definedName>
    <definedName name="botl1" localSheetId="0">#REF!</definedName>
    <definedName name="botl1">#REF!</definedName>
    <definedName name="botn" localSheetId="0">#REF!</definedName>
    <definedName name="botn">#REF!</definedName>
    <definedName name="boulder" localSheetId="0">#REF!</definedName>
    <definedName name="boulder">#REF!</definedName>
    <definedName name="boxes" localSheetId="0">#REF!</definedName>
    <definedName name="boxes">#REF!</definedName>
    <definedName name="Boxvol" localSheetId="0">#REF!</definedName>
    <definedName name="Boxvol">#REF!</definedName>
    <definedName name="Bp" localSheetId="0">#REF!</definedName>
    <definedName name="Bp">#REF!</definedName>
    <definedName name="bp20cum" localSheetId="0">#REF!</definedName>
    <definedName name="bp20cum">#REF!</definedName>
    <definedName name="br" localSheetId="0">#REF!</definedName>
    <definedName name="br">#REF!</definedName>
    <definedName name="Breaks" localSheetId="0">#REF!</definedName>
    <definedName name="Breaks">#REF!</definedName>
    <definedName name="Brgname" localSheetId="0">#REF!</definedName>
    <definedName name="Brgname">#REF!</definedName>
    <definedName name="BRICK" localSheetId="0">#REF!</definedName>
    <definedName name="BRICK">#REF!</definedName>
    <definedName name="Brick_Size" localSheetId="0">#REF!</definedName>
    <definedName name="Brick_Size">#REF!</definedName>
    <definedName name="bricklead" localSheetId="0">#REF!</definedName>
    <definedName name="bricklead">#REF!</definedName>
    <definedName name="bricks" localSheetId="0">#REF!</definedName>
    <definedName name="bricks">#REF!</definedName>
    <definedName name="Brname" localSheetId="0">#REF!</definedName>
    <definedName name="Brname">#REF!</definedName>
    <definedName name="broom" localSheetId="0">#REF!</definedName>
    <definedName name="broom">#REF!</definedName>
    <definedName name="bs" localSheetId="0">#REF!</definedName>
    <definedName name="bs">#REF!</definedName>
    <definedName name="bsec1" localSheetId="0">#REF!</definedName>
    <definedName name="bsec1">#REF!</definedName>
    <definedName name="BSEC11" localSheetId="0">#REF!</definedName>
    <definedName name="BSEC11">#REF!</definedName>
    <definedName name="BSEC12" localSheetId="0">#REF!</definedName>
    <definedName name="BSEC12">#REF!</definedName>
    <definedName name="bsec2" localSheetId="0">#REF!</definedName>
    <definedName name="bsec2">#REF!</definedName>
    <definedName name="bsec22" localSheetId="0">#REF!</definedName>
    <definedName name="bsec22">#REF!</definedName>
    <definedName name="bsec3" localSheetId="0">#REF!</definedName>
    <definedName name="bsec3">#REF!</definedName>
    <definedName name="BSEC31" localSheetId="0">#REF!</definedName>
    <definedName name="BSEC31">#REF!</definedName>
    <definedName name="bsec33" localSheetId="0">#REF!</definedName>
    <definedName name="bsec33">#REF!</definedName>
    <definedName name="bsec35" localSheetId="0">#REF!</definedName>
    <definedName name="bsec35">#REF!</definedName>
    <definedName name="bsec4" localSheetId="0">#REF!</definedName>
    <definedName name="bsec4">#REF!</definedName>
    <definedName name="bsec44" localSheetId="0">#REF!</definedName>
    <definedName name="bsec44">#REF!</definedName>
    <definedName name="bsec45" localSheetId="0">#REF!</definedName>
    <definedName name="bsec45">#REF!</definedName>
    <definedName name="bsec5" localSheetId="0">#REF!</definedName>
    <definedName name="bsec5">#REF!</definedName>
    <definedName name="BSEC56" localSheetId="0">#REF!</definedName>
    <definedName name="BSEC56">#REF!</definedName>
    <definedName name="bsec6" localSheetId="0">#REF!</definedName>
    <definedName name="bsec6">#REF!</definedName>
    <definedName name="bsec66" localSheetId="0">#REF!</definedName>
    <definedName name="bsec66">#REF!</definedName>
    <definedName name="BSEC67" localSheetId="0">#REF!</definedName>
    <definedName name="BSEC67">#REF!</definedName>
    <definedName name="BSEC7" localSheetId="0">#REF!</definedName>
    <definedName name="BSEC7">#REF!</definedName>
    <definedName name="bsslab10" localSheetId="0">#REF!</definedName>
    <definedName name="bsslab10">#REF!</definedName>
    <definedName name="Bu" localSheetId="0">#REF!</definedName>
    <definedName name="Bu">#REF!</definedName>
    <definedName name="bua" localSheetId="0">#REF!</definedName>
    <definedName name="bua">#REF!</definedName>
    <definedName name="BUDDHA" localSheetId="0">#REF!</definedName>
    <definedName name="BUDDHA">#REF!</definedName>
    <definedName name="budget" localSheetId="0">#REF!</definedName>
    <definedName name="budget">#REF!</definedName>
    <definedName name="BUILDING" localSheetId="0">#REF!</definedName>
    <definedName name="BUILDING">#REF!</definedName>
    <definedName name="building___0" localSheetId="0">#REF!</definedName>
    <definedName name="building___0">#REF!</definedName>
    <definedName name="building___11" localSheetId="0">#REF!</definedName>
    <definedName name="building___11">#REF!</definedName>
    <definedName name="building___12" localSheetId="0">#REF!</definedName>
    <definedName name="building___12">#REF!</definedName>
    <definedName name="BUILDING_No.10" localSheetId="0">#REF!</definedName>
    <definedName name="BUILDING_No.10">#REF!</definedName>
    <definedName name="BUILDING_No.2" localSheetId="0">#REF!</definedName>
    <definedName name="BUILDING_No.2">#REF!</definedName>
    <definedName name="BUILDING_No.3a" localSheetId="0">#REF!</definedName>
    <definedName name="BUILDING_No.3a">#REF!</definedName>
    <definedName name="BUILDING_No.3b" localSheetId="0">#REF!</definedName>
    <definedName name="BUILDING_No.3b">#REF!</definedName>
    <definedName name="BUILDING_No.3c" localSheetId="0">#REF!</definedName>
    <definedName name="BUILDING_No.3c">#REF!</definedName>
    <definedName name="BUILDING_No.4A" localSheetId="0">#REF!</definedName>
    <definedName name="BUILDING_No.4A">#REF!</definedName>
    <definedName name="BuiltIn_Print_Area" localSheetId="0">#REF!</definedName>
    <definedName name="BuiltIn_Print_Area">#REF!</definedName>
    <definedName name="BuiltIn_Print_Area___0" localSheetId="0">#REF!</definedName>
    <definedName name="BuiltIn_Print_Area___0">#REF!</definedName>
    <definedName name="BuiltIn_Print_Area___0___0" localSheetId="0">#REF!</definedName>
    <definedName name="BuiltIn_Print_Area___0___0">#REF!</definedName>
    <definedName name="BuiltIn_Print_Area___0___0___0" localSheetId="0">#REF!</definedName>
    <definedName name="BuiltIn_Print_Area___0___0___0">#REF!</definedName>
    <definedName name="BuiltIn_Print_Area___0___0___0___0" localSheetId="0">#REF!</definedName>
    <definedName name="BuiltIn_Print_Area___0___0___0___0">#REF!</definedName>
    <definedName name="BuiltIn_Print_Area___0___0___0___0___0" localSheetId="0">#REF!</definedName>
    <definedName name="BuiltIn_Print_Area___0___0___0___0___0">#REF!</definedName>
    <definedName name="BuiltIn_Print_Area___0___0___0___0___0___0" localSheetId="0">#REF!</definedName>
    <definedName name="BuiltIn_Print_Area___0___0___0___0___0___0">#REF!</definedName>
    <definedName name="BuiltIn_Print_Area___0___0___0___0___0___0___0" localSheetId="0">#REF!</definedName>
    <definedName name="BuiltIn_Print_Area___0___0___0___0___0___0___0">#REF!</definedName>
    <definedName name="BuiltIn_Print_Area___0___0___0___0___0___0___0___0" localSheetId="0">#REF!</definedName>
    <definedName name="BuiltIn_Print_Area___0___0___0___0___0___0___0___0">#REF!</definedName>
    <definedName name="BuiltIn_Print_Area___0___0___0___0___0___0___0___0___0" localSheetId="0">#REF!</definedName>
    <definedName name="BuiltIn_Print_Area___0___0___0___0___0___0___0___0___0">#REF!</definedName>
    <definedName name="BuiltIn_Print_Area___0___0___0___0___0___0___0___0___0___0" localSheetId="0">#REF!</definedName>
    <definedName name="BuiltIn_Print_Area___0___0___0___0___0___0___0___0___0___0">#REF!</definedName>
    <definedName name="BuiltIn_Print_Area___0___0___0___0___0___0___0___0___0___0___0" localSheetId="0">#REF!</definedName>
    <definedName name="BuiltIn_Print_Area___0___0___0___0___0___0___0___0___0___0___0">#REF!</definedName>
    <definedName name="BuiltIn_Print_Area___0___0___0___0___0___0___0___0___0___0___0___0" localSheetId="0">#REF!</definedName>
    <definedName name="BuiltIn_Print_Area___0___0___0___0___0___0___0___0___0___0___0___0">#REF!</definedName>
    <definedName name="BuiltIn_Print_Area___0___0___0___0___0___0___0___0___0___0___0___0___0" localSheetId="0">#REF!</definedName>
    <definedName name="BuiltIn_Print_Area___0___0___0___0___0___0___0___0___0___0___0___0___0">#REF!</definedName>
    <definedName name="BuiltIn_Print_Area___0___0___0___0___0___0___0___0___0___0___0___0___0___0" localSheetId="0">#REF!</definedName>
    <definedName name="BuiltIn_Print_Area___0___0___0___0___0___0___0___0___0___0___0___0___0___0">#REF!</definedName>
    <definedName name="BuiltIn_Print_Titles" localSheetId="0">#REF!</definedName>
    <definedName name="BuiltIn_Print_Titles">#REF!</definedName>
    <definedName name="BuiltIn_Print_Titles___0" localSheetId="0">#REF!</definedName>
    <definedName name="BuiltIn_Print_Titles___0">#REF!</definedName>
    <definedName name="BuiltIn_Print_Titles___0___0" localSheetId="0">#REF!</definedName>
    <definedName name="BuiltIn_Print_Titles___0___0">#REF!</definedName>
    <definedName name="BuiltIn_Print_Titles___0___0___0" localSheetId="0">#REF!</definedName>
    <definedName name="BuiltIn_Print_Titles___0___0___0">#REF!</definedName>
    <definedName name="BuiltIn_Print_Titles___0___0___0___0" localSheetId="0">#REF!</definedName>
    <definedName name="BuiltIn_Print_Titles___0___0___0___0">#REF!</definedName>
    <definedName name="BuiltIn_Print_Titles___0___0___0___0___0" localSheetId="0">#REF!</definedName>
    <definedName name="BuiltIn_Print_Titles___0___0___0___0___0">#REF!</definedName>
    <definedName name="BuiltIn_Print_Titles___0___0___0___0___0___0" localSheetId="0">#REF!</definedName>
    <definedName name="BuiltIn_Print_Titles___0___0___0___0___0___0">#REF!</definedName>
    <definedName name="BuiltIn_Print_Titles___0___0___0___0___0___0___0" localSheetId="0">#REF!</definedName>
    <definedName name="BuiltIn_Print_Titles___0___0___0___0___0___0___0">#REF!</definedName>
    <definedName name="BuiltIn_Print_Titles___0___0___0___0___0___0___0___0" localSheetId="0">#REF!</definedName>
    <definedName name="BuiltIn_Print_Titles___0___0___0___0___0___0___0___0">#REF!</definedName>
    <definedName name="BuiltIn_Print_Titles___0___0___0___0___0___0___0___0___0" localSheetId="0">#REF!</definedName>
    <definedName name="BuiltIn_Print_Titles___0___0___0___0___0___0___0___0___0">#REF!</definedName>
    <definedName name="BuiltIn_Print_Titles___0___0___0___0___0___0___0___0___0___0" localSheetId="0">#REF!</definedName>
    <definedName name="BuiltIn_Print_Titles___0___0___0___0___0___0___0___0___0___0">#REF!</definedName>
    <definedName name="BuiltIn_Print_Titles___0___0___0___0___0___0___0___0___0___0___0" localSheetId="0">#REF!</definedName>
    <definedName name="BuiltIn_Print_Titles___0___0___0___0___0___0___0___0___0___0___0">#REF!</definedName>
    <definedName name="BuiltIn_Print_Titles___0___0___0___0___0___0___0___0___0___0___0___0" localSheetId="0">#REF!</definedName>
    <definedName name="BuiltIn_Print_Titles___0___0___0___0___0___0___0___0___0___0___0___0">#REF!</definedName>
    <definedName name="BuiltIn_Print_Titles___0___0___0___0___0___0___0___0___0___0___0___0___0" localSheetId="0">#REF!</definedName>
    <definedName name="BuiltIn_Print_Titles___0___0___0___0___0___0___0___0___0___0___0___0___0">#REF!</definedName>
    <definedName name="BuiltIn_Print_Titles___0___0___0___0___0___0___0___0___0___0___0___0___0___0" localSheetId="0">#REF!</definedName>
    <definedName name="BuiltIn_Print_Titles___0___0___0___0___0___0___0___0___0___0___0___0___0___0">#REF!</definedName>
    <definedName name="BULKS80_CITY" localSheetId="0">#REF!</definedName>
    <definedName name="BULKS80_CITY">#REF!</definedName>
    <definedName name="BULKS80_ESC" localSheetId="0">#REF!</definedName>
    <definedName name="BULKS80_ESC">#REF!</definedName>
    <definedName name="BULKS80_HRS" localSheetId="0">#REF!</definedName>
    <definedName name="BULKS80_HRS">#REF!</definedName>
    <definedName name="BULKS80_LAB" localSheetId="0">#REF!</definedName>
    <definedName name="BULKS80_LAB">#REF!</definedName>
    <definedName name="BULKS80_MAT" localSheetId="0">#REF!</definedName>
    <definedName name="BULKS80_MAT">#REF!</definedName>
    <definedName name="BULKS80_OLD_CITY" localSheetId="0">#REF!</definedName>
    <definedName name="BULKS80_OLD_CITY">#REF!</definedName>
    <definedName name="BULKS80_OLD_ESC" localSheetId="0">#REF!</definedName>
    <definedName name="BULKS80_OLD_ESC">#REF!</definedName>
    <definedName name="BULKS80_OLD_PROD" localSheetId="0">#REF!</definedName>
    <definedName name="BULKS80_OLD_PROD">#REF!</definedName>
    <definedName name="BULKS80_OLD_WAGE" localSheetId="0">#REF!</definedName>
    <definedName name="BULKS80_OLD_WAGE">#REF!</definedName>
    <definedName name="BULKS80_PROD" localSheetId="0">#REF!</definedName>
    <definedName name="BULKS80_PROD">#REF!</definedName>
    <definedName name="BULKS80_SC" localSheetId="0">#REF!</definedName>
    <definedName name="BULKS80_SC">#REF!</definedName>
    <definedName name="BULKS80_SCHRS" localSheetId="0">#REF!</definedName>
    <definedName name="BULKS80_SCHRS">#REF!</definedName>
    <definedName name="BULKS80_TOT" localSheetId="0">#REF!</definedName>
    <definedName name="BULKS80_TOT">#REF!</definedName>
    <definedName name="BULKS80_WAGE" localSheetId="0">#REF!</definedName>
    <definedName name="BULKS80_WAGE">#REF!</definedName>
    <definedName name="BULKS81_QTY" localSheetId="0">#REF!</definedName>
    <definedName name="BULKS81_QTY">#REF!</definedName>
    <definedName name="BULKS82_QTY" localSheetId="0">#REF!</definedName>
    <definedName name="BULKS82_QTY">#REF!</definedName>
    <definedName name="BULKS84_ACL" localSheetId="0">#REF!</definedName>
    <definedName name="BULKS84_ACL">#REF!</definedName>
    <definedName name="BULKS84_CKTS" localSheetId="0">#REF!</definedName>
    <definedName name="BULKS84_CKTS">#REF!</definedName>
    <definedName name="BULKS84_QTY" localSheetId="0">#REF!</definedName>
    <definedName name="BULKS84_QTY">#REF!</definedName>
    <definedName name="BULKS85_QTY" localSheetId="0">#REF!</definedName>
    <definedName name="BULKS85_QTY">#REF!</definedName>
    <definedName name="BUS" localSheetId="0">#REF!</definedName>
    <definedName name="BUS">#REF!</definedName>
    <definedName name="Business_Travel_Rates" localSheetId="0">#REF!</definedName>
    <definedName name="Business_Travel_Rates">#REF!</definedName>
    <definedName name="button_area_1" localSheetId="0">#REF!</definedName>
    <definedName name="button_area_1">#REF!</definedName>
    <definedName name="bvcvhcv" localSheetId="0">#REF!</definedName>
    <definedName name="bvcvhcv">#REF!</definedName>
    <definedName name="bvj" localSheetId="0">#REF!</definedName>
    <definedName name="bvj">#REF!</definedName>
    <definedName name="bW" localSheetId="0">#REF!</definedName>
    <definedName name="bW">#REF!</definedName>
    <definedName name="BWIC_percent" localSheetId="0">#REF!</definedName>
    <definedName name="BWIC_percent">#REF!</definedName>
    <definedName name="Bx" localSheetId="0">#REF!</definedName>
    <definedName name="Bx">#REF!</definedName>
    <definedName name="Bx___0" localSheetId="0">#REF!</definedName>
    <definedName name="Bx___0">#REF!</definedName>
    <definedName name="Bx___13" localSheetId="0">#REF!</definedName>
    <definedName name="Bx___13">#REF!</definedName>
    <definedName name="bxevxed" localSheetId="0">#REF!</definedName>
    <definedName name="bxevxed">#REF!</definedName>
    <definedName name="bxnvxnd" localSheetId="0">#REF!</definedName>
    <definedName name="bxnvxnd">#REF!</definedName>
    <definedName name="By" localSheetId="0">#REF!</definedName>
    <definedName name="By">#REF!</definedName>
    <definedName name="C.1" localSheetId="0">#REF!</definedName>
    <definedName name="C.1">#REF!</definedName>
    <definedName name="C.L.WALL" localSheetId="0">#REF!</definedName>
    <definedName name="C.L.WALL">#REF!</definedName>
    <definedName name="C.L.WALL1" localSheetId="0">#REF!</definedName>
    <definedName name="C.L.WALL1">#REF!</definedName>
    <definedName name="c.nos" localSheetId="0">#REF!</definedName>
    <definedName name="c.nos">#REF!</definedName>
    <definedName name="C.S.WALL" localSheetId="0">#REF!</definedName>
    <definedName name="C.S.WALL">#REF!</definedName>
    <definedName name="C_" localSheetId="0">#REF!</definedName>
    <definedName name="C_">#REF!</definedName>
    <definedName name="C_Earthworks" localSheetId="0">#REF!</definedName>
    <definedName name="C_Earthworks">#REF!</definedName>
    <definedName name="C_STATUS_DRGS" localSheetId="0">#REF!</definedName>
    <definedName name="C_STATUS_DRGS">#REF!</definedName>
    <definedName name="C_STATUS_NO" localSheetId="0">#REF!</definedName>
    <definedName name="C_STATUS_NO">#REF!</definedName>
    <definedName name="C_STATUS_NUMBER" localSheetId="0">#REF!</definedName>
    <definedName name="C_STATUS_NUMBER">#REF!</definedName>
    <definedName name="Ca" localSheetId="0">#REF!</definedName>
    <definedName name="Ca">#REF!</definedName>
    <definedName name="ca1boq" localSheetId="0">#REF!</definedName>
    <definedName name="ca1boq">#REF!</definedName>
    <definedName name="cab21.5tp" localSheetId="0">#REF!</definedName>
    <definedName name="cab21.5tp">#REF!</definedName>
    <definedName name="cab21s" localSheetId="0">#REF!</definedName>
    <definedName name="cab21s">#REF!</definedName>
    <definedName name="cab21us" localSheetId="0">#REF!</definedName>
    <definedName name="cab21us">#REF!</definedName>
    <definedName name="cab31s" localSheetId="0">#REF!</definedName>
    <definedName name="cab31s">#REF!</definedName>
    <definedName name="cab31us" localSheetId="0">#REF!</definedName>
    <definedName name="cab31us">#REF!</definedName>
    <definedName name="cab41s" localSheetId="0">#REF!</definedName>
    <definedName name="cab41s">#REF!</definedName>
    <definedName name="cab41us" localSheetId="0">#REF!</definedName>
    <definedName name="cab41us">#REF!</definedName>
    <definedName name="cabd" localSheetId="0">#REF!</definedName>
    <definedName name="cabd">#REF!</definedName>
    <definedName name="cabf" localSheetId="0">#REF!</definedName>
    <definedName name="cabf">#REF!</definedName>
    <definedName name="cabinet" localSheetId="0">#REF!</definedName>
    <definedName name="cabinet">#REF!</definedName>
    <definedName name="CABLE" localSheetId="0">#REF!</definedName>
    <definedName name="CABLE">#REF!</definedName>
    <definedName name="CABLE_5KV" localSheetId="0">#REF!</definedName>
    <definedName name="CABLE_5KV">#REF!</definedName>
    <definedName name="CABLE_600V" localSheetId="0">#REF!</definedName>
    <definedName name="CABLE_600V">#REF!</definedName>
    <definedName name="CABLE_PRICING" localSheetId="0">#REF!</definedName>
    <definedName name="CABLE_PRICING">#REF!</definedName>
    <definedName name="CABLE_TYPE_15KV" localSheetId="0">#REF!</definedName>
    <definedName name="CABLE_TYPE_15KV">#REF!</definedName>
    <definedName name="CABLE_TYPE_5KV" localSheetId="0">#REF!</definedName>
    <definedName name="CABLE_TYPE_5KV">#REF!</definedName>
    <definedName name="Cable1" localSheetId="0">#REF!</definedName>
    <definedName name="Cable1">#REF!</definedName>
    <definedName name="CAD" localSheetId="0">#REF!</definedName>
    <definedName name="CAD">#REF!</definedName>
    <definedName name="Cadmesure" localSheetId="0">#REF!</definedName>
    <definedName name="Cadmesure">#REF!</definedName>
    <definedName name="CadsRcConfig" localSheetId="0">#REF!</definedName>
    <definedName name="CadsRcConfig">#REF!</definedName>
    <definedName name="cald" localSheetId="0">#REF!</definedName>
    <definedName name="cald">#REF!</definedName>
    <definedName name="CALf" localSheetId="0">#REF!</definedName>
    <definedName name="CALf">#REF!</definedName>
    <definedName name="CAP" localSheetId="0">#REF!</definedName>
    <definedName name="CAP">#REF!</definedName>
    <definedName name="cap65kr_tm" localSheetId="0">#REF!</definedName>
    <definedName name="cap65kr_tm">#REF!</definedName>
    <definedName name="CAPAPR" localSheetId="0">#REF!</definedName>
    <definedName name="CAPAPR">#REF!</definedName>
    <definedName name="CAPAUG" localSheetId="0">#REF!</definedName>
    <definedName name="CAPAUG">#REF!</definedName>
    <definedName name="CAPDEC" localSheetId="0">#REF!</definedName>
    <definedName name="CAPDEC">#REF!</definedName>
    <definedName name="CAPFEB" localSheetId="0">#REF!</definedName>
    <definedName name="CAPFEB">#REF!</definedName>
    <definedName name="capital" localSheetId="0">#REF!</definedName>
    <definedName name="capital">#REF!</definedName>
    <definedName name="CAPJAN" localSheetId="0">#REF!</definedName>
    <definedName name="CAPJAN">#REF!</definedName>
    <definedName name="CAPJUL" localSheetId="0">#REF!</definedName>
    <definedName name="CAPJUL">#REF!</definedName>
    <definedName name="CAPJUN" localSheetId="0">#REF!</definedName>
    <definedName name="CAPJUN">#REF!</definedName>
    <definedName name="CAPMAR" localSheetId="0">#REF!</definedName>
    <definedName name="CAPMAR">#REF!</definedName>
    <definedName name="CAPMAY" localSheetId="0">#REF!</definedName>
    <definedName name="CAPMAY">#REF!</definedName>
    <definedName name="CAPNOV" localSheetId="0">#REF!</definedName>
    <definedName name="CAPNOV">#REF!</definedName>
    <definedName name="CAPOCT" localSheetId="0">#REF!</definedName>
    <definedName name="CAPOCT">#REF!</definedName>
    <definedName name="CAPSEP" localSheetId="0">#REF!</definedName>
    <definedName name="CAPSEP">#REF!</definedName>
    <definedName name="carpenter" localSheetId="0">#REF!</definedName>
    <definedName name="carpenter">#REF!</definedName>
    <definedName name="carpenterII" localSheetId="0">#REF!</definedName>
    <definedName name="carpenterII">#REF!</definedName>
    <definedName name="carpet" localSheetId="0">#REF!</definedName>
    <definedName name="carpet">#REF!</definedName>
    <definedName name="carpet___0" localSheetId="0">#REF!</definedName>
    <definedName name="carpet___0">#REF!</definedName>
    <definedName name="carpet___11" localSheetId="0">#REF!</definedName>
    <definedName name="carpet___11">#REF!</definedName>
    <definedName name="carpet___12" localSheetId="0">#REF!</definedName>
    <definedName name="carpet___12">#REF!</definedName>
    <definedName name="CARPET1" localSheetId="0">#REF!</definedName>
    <definedName name="CARPET1">#REF!</definedName>
    <definedName name="carrmarbthreshold" localSheetId="0">#REF!</definedName>
    <definedName name="carrmarbthreshold">#REF!</definedName>
    <definedName name="cash" localSheetId="0">#REF!</definedName>
    <definedName name="cash">#REF!</definedName>
    <definedName name="cash_bank" localSheetId="0">#REF!</definedName>
    <definedName name="cash_bank">#REF!</definedName>
    <definedName name="CASH_OUT" localSheetId="0">#REF!</definedName>
    <definedName name="CASH_OUT">#REF!</definedName>
    <definedName name="category" localSheetId="0">#REF!</definedName>
    <definedName name="category">#REF!</definedName>
    <definedName name="CATER" localSheetId="0">#REF!</definedName>
    <definedName name="CATER">#REF!</definedName>
    <definedName name="Cax" localSheetId="0">#REF!</definedName>
    <definedName name="Cax">#REF!</definedName>
    <definedName name="CB" localSheetId="0">#REF!</definedName>
    <definedName name="CB">#REF!</definedName>
    <definedName name="cbgl1" localSheetId="0">#REF!</definedName>
    <definedName name="cbgl1">#REF!</definedName>
    <definedName name="cbgl2" localSheetId="0">#REF!</definedName>
    <definedName name="cbgl2">#REF!</definedName>
    <definedName name="cbgl3" localSheetId="0">#REF!</definedName>
    <definedName name="cbgl3">#REF!</definedName>
    <definedName name="cbgl4" localSheetId="0">#REF!</definedName>
    <definedName name="cbgl4">#REF!</definedName>
    <definedName name="Cbuld" localSheetId="0">#REF!</definedName>
    <definedName name="Cbuld">#REF!</definedName>
    <definedName name="CC" localSheetId="0">#REF!</definedName>
    <definedName name="CC">#REF!</definedName>
    <definedName name="CC5a" localSheetId="0">#REF!</definedName>
    <definedName name="CC5a">#REF!</definedName>
    <definedName name="CC5a1" localSheetId="0">#REF!</definedName>
    <definedName name="CC5a1">#REF!</definedName>
    <definedName name="cca" localSheetId="0">#REF!</definedName>
    <definedName name="cca">#REF!</definedName>
    <definedName name="CCB" localSheetId="0">#REF!</definedName>
    <definedName name="CCB">#REF!</definedName>
    <definedName name="ccccc" localSheetId="0">#REF!</definedName>
    <definedName name="ccccc">#REF!</definedName>
    <definedName name="cccccccc" localSheetId="0">#REF!</definedName>
    <definedName name="cccccccc">#REF!</definedName>
    <definedName name="ccolagl" localSheetId="0">#REF!</definedName>
    <definedName name="ccolagl">#REF!</definedName>
    <definedName name="CCT" localSheetId="0">#REF!</definedName>
    <definedName name="CCT">#REF!</definedName>
    <definedName name="CDB" localSheetId="0">#REF!</definedName>
    <definedName name="CDB">#REF!</definedName>
    <definedName name="CDFRGRW3" localSheetId="0">#REF!</definedName>
    <definedName name="CDFRGRW3">#REF!</definedName>
    <definedName name="cdr" localSheetId="0">#REF!</definedName>
    <definedName name="cdr">#REF!</definedName>
    <definedName name="ceiling" localSheetId="0">#REF!</definedName>
    <definedName name="ceiling">#REF!</definedName>
    <definedName name="CEILINK" localSheetId="0">#REF!</definedName>
    <definedName name="CEILINK">#REF!</definedName>
    <definedName name="CELINGS" localSheetId="0">#REF!</definedName>
    <definedName name="CELINGS">#REF!</definedName>
    <definedName name="cellper" localSheetId="0">#REF!</definedName>
    <definedName name="cellper">#REF!</definedName>
    <definedName name="celltips_area" localSheetId="0">#REF!</definedName>
    <definedName name="celltips_area">#REF!</definedName>
    <definedName name="cement" localSheetId="0">#REF!</definedName>
    <definedName name="cement">#REF!</definedName>
    <definedName name="cemlead" localSheetId="0">#REF!</definedName>
    <definedName name="cemlead">#REF!</definedName>
    <definedName name="CEMS_SYS" localSheetId="0">#REF!</definedName>
    <definedName name="CEMS_SYS">#REF!</definedName>
    <definedName name="CENTER" localSheetId="0">#REF!</definedName>
    <definedName name="CENTER">#REF!</definedName>
    <definedName name="cer" localSheetId="0">#REF!</definedName>
    <definedName name="cer">#REF!</definedName>
    <definedName name="ceramicfloortiles" localSheetId="0">#REF!</definedName>
    <definedName name="ceramicfloortiles">#REF!</definedName>
    <definedName name="ceramicrisers" localSheetId="0">#REF!</definedName>
    <definedName name="ceramicrisers">#REF!</definedName>
    <definedName name="ceramictilesfloor" localSheetId="0">#REF!</definedName>
    <definedName name="ceramictilesfloor">#REF!</definedName>
    <definedName name="ceramictreads" localSheetId="0">#REF!</definedName>
    <definedName name="ceramictreads">#REF!</definedName>
    <definedName name="ceramicwalltiels" localSheetId="0">#REF!</definedName>
    <definedName name="ceramicwalltiels">#REF!</definedName>
    <definedName name="cfb" localSheetId="0">#REF!</definedName>
    <definedName name="cfb">#REF!</definedName>
    <definedName name="cfbeams" localSheetId="0">#REF!</definedName>
    <definedName name="cfbeams">#REF!</definedName>
    <definedName name="cfsalb" localSheetId="0">#REF!</definedName>
    <definedName name="cfsalb">#REF!</definedName>
    <definedName name="cfslab" localSheetId="0">#REF!</definedName>
    <definedName name="cfslab">#REF!</definedName>
    <definedName name="ch" localSheetId="0">#REF!</definedName>
    <definedName name="ch">#REF!</definedName>
    <definedName name="Chandi" localSheetId="0">#REF!</definedName>
    <definedName name="Chandi">#REF!</definedName>
    <definedName name="chart" localSheetId="0">#REF!</definedName>
    <definedName name="chart">#REF!</definedName>
    <definedName name="ChartData_Monthly" localSheetId="0">#REF!</definedName>
    <definedName name="ChartData_Monthly">#REF!</definedName>
    <definedName name="ChartData_Weekly" localSheetId="0">#REF!</definedName>
    <definedName name="ChartData_Weekly">#REF!</definedName>
    <definedName name="CHDTHH" localSheetId="0">#REF!</definedName>
    <definedName name="CHDTHH">#REF!</definedName>
    <definedName name="CHECK12" localSheetId="0">#REF!</definedName>
    <definedName name="CHECK12">#REF!</definedName>
    <definedName name="checked" localSheetId="0">#REF!</definedName>
    <definedName name="checked">#REF!</definedName>
    <definedName name="CheckedBy" localSheetId="0">#REF!</definedName>
    <definedName name="CheckedBy">#REF!</definedName>
    <definedName name="CHECKEDBY_ELBK" localSheetId="0">#REF!</definedName>
    <definedName name="CHECKEDBY_ELBK">#REF!</definedName>
    <definedName name="CHECKEDBY_ELEQ" localSheetId="0">#REF!</definedName>
    <definedName name="CHECKEDBY_ELEQ">#REF!</definedName>
    <definedName name="CHECKEDBY_INSTR" localSheetId="0">#REF!</definedName>
    <definedName name="CHECKEDBY_INSTR">#REF!</definedName>
    <definedName name="CheckedON" localSheetId="0">#REF!</definedName>
    <definedName name="CheckedON">#REF!</definedName>
    <definedName name="chiller" localSheetId="0">#REF!</definedName>
    <definedName name="chiller">#REF!</definedName>
    <definedName name="chiseler" localSheetId="0">#REF!</definedName>
    <definedName name="chiseler">#REF!</definedName>
    <definedName name="CI" localSheetId="0">#REF!</definedName>
    <definedName name="CI">#REF!</definedName>
    <definedName name="circu1" localSheetId="0">#REF!</definedName>
    <definedName name="circu1">#REF!</definedName>
    <definedName name="circu2" localSheetId="0">#REF!</definedName>
    <definedName name="circu2">#REF!</definedName>
    <definedName name="CIRCUITS" localSheetId="0">#REF!</definedName>
    <definedName name="CIRCUITS">#REF!</definedName>
    <definedName name="City" localSheetId="0">#REF!</definedName>
    <definedName name="City">#REF!</definedName>
    <definedName name="CIVIL" localSheetId="0">#REF!</definedName>
    <definedName name="CIVIL">#REF!</definedName>
    <definedName name="CIVIL_OLD_CITY" localSheetId="0">#REF!</definedName>
    <definedName name="CIVIL_OLD_CITY">#REF!</definedName>
    <definedName name="CIVIL_OLD_ESC" localSheetId="0">#REF!</definedName>
    <definedName name="CIVIL_OLD_ESC">#REF!</definedName>
    <definedName name="CIVIL_OLD_WAGE" localSheetId="0">#REF!</definedName>
    <definedName name="CIVIL_OLD_WAGE">#REF!</definedName>
    <definedName name="CIVIL10_CITY" localSheetId="0">#REF!</definedName>
    <definedName name="CIVIL10_CITY">#REF!</definedName>
    <definedName name="CIVIL10_ESC" localSheetId="0">#REF!</definedName>
    <definedName name="CIVIL10_ESC">#REF!</definedName>
    <definedName name="CIVIL10_OLD_PROD" localSheetId="0">#REF!</definedName>
    <definedName name="CIVIL10_OLD_PROD">#REF!</definedName>
    <definedName name="CIVIL10_PROD" localSheetId="0">#REF!</definedName>
    <definedName name="CIVIL10_PROD">#REF!</definedName>
    <definedName name="CIVIL10_WAGE" localSheetId="0">#REF!</definedName>
    <definedName name="CIVIL10_WAGE">#REF!</definedName>
    <definedName name="civilworks" localSheetId="0">#REF!</definedName>
    <definedName name="civilworks">#REF!</definedName>
    <definedName name="ckd" localSheetId="0">#REF!</definedName>
    <definedName name="ckd">#REF!</definedName>
    <definedName name="ckeck1" localSheetId="0">#REF!</definedName>
    <definedName name="ckeck1">#REF!</definedName>
    <definedName name="CKECK112" localSheetId="0">#REF!</definedName>
    <definedName name="CKECK112">#REF!</definedName>
    <definedName name="CKT_QTY" localSheetId="0">#REF!</definedName>
    <definedName name="CKT_QTY">#REF!</definedName>
    <definedName name="CKTS" localSheetId="0">#REF!</definedName>
    <definedName name="CKTS">#REF!</definedName>
    <definedName name="CKTS_SWYD" localSheetId="0">#REF!</definedName>
    <definedName name="CKTS_SWYD">#REF!</definedName>
    <definedName name="cl" localSheetId="0">#REF!</definedName>
    <definedName name="cl">#REF!</definedName>
    <definedName name="CLAD" localSheetId="0">#REF!</definedName>
    <definedName name="CLAD">#REF!</definedName>
    <definedName name="clbs" localSheetId="0">#REF!</definedName>
    <definedName name="clbs">#REF!</definedName>
    <definedName name="cld" localSheetId="0">#REF!</definedName>
    <definedName name="cld">#REF!</definedName>
    <definedName name="Cleaning" localSheetId="0">#REF!</definedName>
    <definedName name="Cleaning">#REF!</definedName>
    <definedName name="clength" localSheetId="0">#REF!</definedName>
    <definedName name="clength">#REF!</definedName>
    <definedName name="Clg_Void" localSheetId="0">#REF!</definedName>
    <definedName name="Clg_Void">#REF!</definedName>
    <definedName name="ClientAddress1" localSheetId="0">#REF!</definedName>
    <definedName name="ClientAddress1">#REF!</definedName>
    <definedName name="ClientAddress2" localSheetId="0">#REF!</definedName>
    <definedName name="ClientAddress2">#REF!</definedName>
    <definedName name="ClientCity" localSheetId="0">#REF!</definedName>
    <definedName name="ClientCity">#REF!</definedName>
    <definedName name="ClientCountry" localSheetId="0">#REF!</definedName>
    <definedName name="ClientCountry">#REF!</definedName>
    <definedName name="ClientEmail" localSheetId="0">#REF!</definedName>
    <definedName name="ClientEmail">#REF!</definedName>
    <definedName name="ClientFax" localSheetId="0">#REF!</definedName>
    <definedName name="ClientFax">#REF!</definedName>
    <definedName name="ClientPhone" localSheetId="0">#REF!</definedName>
    <definedName name="ClientPhone">#REF!</definedName>
    <definedName name="ClientState" localSheetId="0">#REF!</definedName>
    <definedName name="ClientState">#REF!</definedName>
    <definedName name="ClientZip" localSheetId="0">#REF!</definedName>
    <definedName name="ClientZip">#REF!</definedName>
    <definedName name="clintels" localSheetId="0">#REF!</definedName>
    <definedName name="clintels">#REF!</definedName>
    <definedName name="cll" localSheetId="0">#REF!</definedName>
    <definedName name="cll">#REF!</definedName>
    <definedName name="clobs" localSheetId="0">#REF!</definedName>
    <definedName name="clobs">#REF!</definedName>
    <definedName name="clod" localSheetId="0">#REF!</definedName>
    <definedName name="clod">#REF!</definedName>
    <definedName name="clol" localSheetId="0">#REF!</definedName>
    <definedName name="clol">#REF!</definedName>
    <definedName name="clot" localSheetId="0">#REF!</definedName>
    <definedName name="clot">#REF!</definedName>
    <definedName name="clt" localSheetId="0">#REF!</definedName>
    <definedName name="clt">#REF!</definedName>
    <definedName name="CLUB" localSheetId="0">#REF!</definedName>
    <definedName name="CLUB">#REF!</definedName>
    <definedName name="cluster" localSheetId="0">#REF!</definedName>
    <definedName name="cluster">#REF!</definedName>
    <definedName name="cm1.3" localSheetId="0">#REF!</definedName>
    <definedName name="cm1.3">#REF!</definedName>
    <definedName name="CN_100_4P" localSheetId="0">#REF!</definedName>
    <definedName name="CN_100_4P">#REF!</definedName>
    <definedName name="CN_160_4P" localSheetId="0">#REF!</definedName>
    <definedName name="CN_160_4P">#REF!</definedName>
    <definedName name="CN_250" localSheetId="0">#REF!</definedName>
    <definedName name="CN_250">#REF!</definedName>
    <definedName name="CN_250_4P" localSheetId="0">#REF!</definedName>
    <definedName name="CN_250_4P">#REF!</definedName>
    <definedName name="CNTL_VALVE" localSheetId="0">#REF!</definedName>
    <definedName name="CNTL_VALVE">#REF!</definedName>
    <definedName name="CNTL_VALVE_PRICE" localSheetId="0">#REF!</definedName>
    <definedName name="CNTL_VALVE_PRICE">#REF!</definedName>
    <definedName name="cocnlen1" localSheetId="0">#REF!</definedName>
    <definedName name="cocnlen1">#REF!</definedName>
    <definedName name="CODE" localSheetId="0">#REF!</definedName>
    <definedName name="CODE">#REF!</definedName>
    <definedName name="CODE_AFGIS" localSheetId="0">#REF!</definedName>
    <definedName name="CODE_AFGIS">#REF!</definedName>
    <definedName name="CODE_B" localSheetId="0">#REF!</definedName>
    <definedName name="CODE_B">#REF!</definedName>
    <definedName name="CODE_E" localSheetId="0">#REF!</definedName>
    <definedName name="CODE_E">#REF!</definedName>
    <definedName name="CODE_F" localSheetId="0">#REF!</definedName>
    <definedName name="CODE_F">#REF!</definedName>
    <definedName name="CODE_MPA" localSheetId="0">#REF!</definedName>
    <definedName name="CODE_MPA">#REF!</definedName>
    <definedName name="CODE_P" localSheetId="0">#REF!</definedName>
    <definedName name="CODE_P">#REF!</definedName>
    <definedName name="code_q" localSheetId="0">#REF!</definedName>
    <definedName name="code_q">#REF!</definedName>
    <definedName name="CODE_S" localSheetId="0">#REF!</definedName>
    <definedName name="CODE_S">#REF!</definedName>
    <definedName name="coimbatore" localSheetId="0">#REF!</definedName>
    <definedName name="coimbatore">#REF!</definedName>
    <definedName name="col" localSheetId="0">#REF!</definedName>
    <definedName name="col">#REF!</definedName>
    <definedName name="col___0" localSheetId="0">#REF!</definedName>
    <definedName name="col___0">#REF!</definedName>
    <definedName name="col___11" localSheetId="0">#REF!</definedName>
    <definedName name="col___11">#REF!</definedName>
    <definedName name="col___12" localSheetId="0">#REF!</definedName>
    <definedName name="col___12">#REF!</definedName>
    <definedName name="Colbgl" localSheetId="0">#REF!</definedName>
    <definedName name="Colbgl">#REF!</definedName>
    <definedName name="colbgl2" localSheetId="0">#REF!</definedName>
    <definedName name="colbgl2">#REF!</definedName>
    <definedName name="Collect" localSheetId="0">#REF!</definedName>
    <definedName name="Collect">#REF!</definedName>
    <definedName name="collection" localSheetId="0">#REF!</definedName>
    <definedName name="collection">#REF!</definedName>
    <definedName name="colouredcolunmn" localSheetId="0">#REF!</definedName>
    <definedName name="colouredcolunmn">#REF!</definedName>
    <definedName name="COLSK10" localSheetId="0">#REF!</definedName>
    <definedName name="COLSK10">#REF!</definedName>
    <definedName name="COLSK11" localSheetId="0">#REF!</definedName>
    <definedName name="COLSK11">#REF!</definedName>
    <definedName name="COLSK16" localSheetId="0">#REF!</definedName>
    <definedName name="COLSK16">#REF!</definedName>
    <definedName name="ColumnReft" localSheetId="0">#REF!</definedName>
    <definedName name="ColumnReft">#REF!</definedName>
    <definedName name="columns" localSheetId="0">#REF!</definedName>
    <definedName name="columns">#REF!</definedName>
    <definedName name="CombinedUplift" localSheetId="0">#REF!</definedName>
    <definedName name="CombinedUplift">#REF!</definedName>
    <definedName name="cominput" localSheetId="0">#REF!</definedName>
    <definedName name="cominput">#REF!</definedName>
    <definedName name="Company" localSheetId="0">#REF!</definedName>
    <definedName name="Company">#REF!</definedName>
    <definedName name="compiercircu" localSheetId="0">#REF!</definedName>
    <definedName name="compiercircu">#REF!</definedName>
    <definedName name="compierstri" localSheetId="0">#REF!</definedName>
    <definedName name="compierstri">#REF!</definedName>
    <definedName name="compiersufare" localSheetId="0">#REF!</definedName>
    <definedName name="compiersufare">#REF!</definedName>
    <definedName name="compiertopare" localSheetId="0">#REF!</definedName>
    <definedName name="compiertopare">#REF!</definedName>
    <definedName name="compiervol" localSheetId="0">#REF!</definedName>
    <definedName name="compiervol">#REF!</definedName>
    <definedName name="compressor" localSheetId="0">#REF!</definedName>
    <definedName name="compressor">#REF!</definedName>
    <definedName name="CON100S" localSheetId="0">#REF!</definedName>
    <definedName name="CON100S">#REF!</definedName>
    <definedName name="CON120S" localSheetId="0">#REF!</definedName>
    <definedName name="CON120S">#REF!</definedName>
    <definedName name="CON130S" localSheetId="0">#REF!</definedName>
    <definedName name="CON130S">#REF!</definedName>
    <definedName name="CON145A" localSheetId="0">#REF!</definedName>
    <definedName name="CON145A">#REF!</definedName>
    <definedName name="CON160S" localSheetId="0">#REF!</definedName>
    <definedName name="CON160S">#REF!</definedName>
    <definedName name="CON16A" localSheetId="0">#REF!</definedName>
    <definedName name="CON16A">#REF!</definedName>
    <definedName name="CON16S" localSheetId="0">#REF!</definedName>
    <definedName name="CON16S">#REF!</definedName>
    <definedName name="CON200S" localSheetId="0">#REF!</definedName>
    <definedName name="CON200S">#REF!</definedName>
    <definedName name="CON25F" localSheetId="0">#REF!</definedName>
    <definedName name="CON25F">#REF!</definedName>
    <definedName name="CON25FS" localSheetId="0">#REF!</definedName>
    <definedName name="CON25FS">#REF!</definedName>
    <definedName name="CON25S" localSheetId="0">#REF!</definedName>
    <definedName name="CON25S">#REF!</definedName>
    <definedName name="CON300S" localSheetId="0">#REF!</definedName>
    <definedName name="CON300S">#REF!</definedName>
    <definedName name="CON32A" localSheetId="0">#REF!</definedName>
    <definedName name="CON32A">#REF!</definedName>
    <definedName name="CON400S" localSheetId="0">#REF!</definedName>
    <definedName name="CON400S">#REF!</definedName>
    <definedName name="CON40S" localSheetId="0">#REF!</definedName>
    <definedName name="CON40S">#REF!</definedName>
    <definedName name="CON60A" localSheetId="0">#REF!</definedName>
    <definedName name="CON60A">#REF!</definedName>
    <definedName name="CON60S" localSheetId="0">#REF!</definedName>
    <definedName name="CON60S">#REF!</definedName>
    <definedName name="CON70S" localSheetId="0">#REF!</definedName>
    <definedName name="CON70S">#REF!</definedName>
    <definedName name="CON80S" localSheetId="0">#REF!</definedName>
    <definedName name="CON80S">#REF!</definedName>
    <definedName name="Conc_1" localSheetId="0">#REF!</definedName>
    <definedName name="Conc_1">#REF!</definedName>
    <definedName name="Conc_10" localSheetId="0">#REF!</definedName>
    <definedName name="Conc_10">#REF!</definedName>
    <definedName name="Conc_100" localSheetId="0">#REF!</definedName>
    <definedName name="Conc_100">#REF!</definedName>
    <definedName name="Conc_20" localSheetId="0">#REF!</definedName>
    <definedName name="Conc_20">#REF!</definedName>
    <definedName name="Conc_21" localSheetId="0">#REF!</definedName>
    <definedName name="Conc_21">#REF!</definedName>
    <definedName name="Conc_24" localSheetId="0">#REF!</definedName>
    <definedName name="Conc_24">#REF!</definedName>
    <definedName name="Conc_24444" localSheetId="0">#REF!</definedName>
    <definedName name="Conc_24444">#REF!</definedName>
    <definedName name="Conc_30" localSheetId="0">#REF!</definedName>
    <definedName name="Conc_30">#REF!</definedName>
    <definedName name="Conc_40" localSheetId="0">#REF!</definedName>
    <definedName name="Conc_40">#REF!</definedName>
    <definedName name="Conc_50" localSheetId="0">#REF!</definedName>
    <definedName name="Conc_50">#REF!</definedName>
    <definedName name="Conc_60" localSheetId="0">#REF!</definedName>
    <definedName name="Conc_60">#REF!</definedName>
    <definedName name="Conc_70" localSheetId="0">#REF!</definedName>
    <definedName name="Conc_70">#REF!</definedName>
    <definedName name="Conc_80" localSheetId="0">#REF!</definedName>
    <definedName name="Conc_80">#REF!</definedName>
    <definedName name="Conc_90" localSheetId="0">#REF!</definedName>
    <definedName name="Conc_90">#REF!</definedName>
    <definedName name="conc2" localSheetId="0">#REF!</definedName>
    <definedName name="conc2">#REF!</definedName>
    <definedName name="concabt" localSheetId="0">#REF!</definedName>
    <definedName name="concabt">#REF!</definedName>
    <definedName name="concbatch" localSheetId="0">#REF!</definedName>
    <definedName name="concbatch">#REF!</definedName>
    <definedName name="conclen3" localSheetId="0">#REF!</definedName>
    <definedName name="conclen3">#REF!</definedName>
    <definedName name="concrete" localSheetId="0">#REF!</definedName>
    <definedName name="concrete">#REF!</definedName>
    <definedName name="concrete_dept_lbr_productivity" localSheetId="0">#REF!</definedName>
    <definedName name="concrete_dept_lbr_productivity">#REF!</definedName>
    <definedName name="concrete1" localSheetId="0">#REF!</definedName>
    <definedName name="concrete1">#REF!</definedName>
    <definedName name="concretepump" localSheetId="0">#REF!</definedName>
    <definedName name="concretepump">#REF!</definedName>
    <definedName name="COND_PRICING" localSheetId="0">#REF!</definedName>
    <definedName name="COND_PRICING">#REF!</definedName>
    <definedName name="condf" localSheetId="0">#REF!</definedName>
    <definedName name="condf">#REF!</definedName>
    <definedName name="CONDO" localSheetId="0">#REF!</definedName>
    <definedName name="CONDO">#REF!</definedName>
    <definedName name="CONDUIT" localSheetId="0">#REF!</definedName>
    <definedName name="CONDUIT">#REF!</definedName>
    <definedName name="conf" localSheetId="0">#REF!</definedName>
    <definedName name="conf">#REF!</definedName>
    <definedName name="confli" localSheetId="0">#REF!</definedName>
    <definedName name="confli">#REF!</definedName>
    <definedName name="cons" localSheetId="0">#REF!</definedName>
    <definedName name="cons">#REF!</definedName>
    <definedName name="Cons_Hrs" localSheetId="0">#REF!</definedName>
    <definedName name="Cons_Hrs">#REF!</definedName>
    <definedName name="Cons_Rev" localSheetId="0">#REF!</definedName>
    <definedName name="Cons_Rev">#REF!</definedName>
    <definedName name="CONST_BASIS" localSheetId="0">#REF!</definedName>
    <definedName name="CONST_BASIS">#REF!</definedName>
    <definedName name="Const_period" localSheetId="0">#REF!</definedName>
    <definedName name="Const_period">#REF!</definedName>
    <definedName name="constrn" localSheetId="0">#REF!</definedName>
    <definedName name="constrn">#REF!</definedName>
    <definedName name="CONSTRUCTION" localSheetId="0">#REF!</definedName>
    <definedName name="CONSTRUCTION">#REF!</definedName>
    <definedName name="Construction_Period" localSheetId="0">#REF!</definedName>
    <definedName name="Construction_Period">#REF!</definedName>
    <definedName name="cont" localSheetId="0">#REF!</definedName>
    <definedName name="cont">#REF!</definedName>
    <definedName name="Contact" localSheetId="0">#REF!</definedName>
    <definedName name="Contact">#REF!</definedName>
    <definedName name="ContinuityTable" localSheetId="0">#REF!</definedName>
    <definedName name="ContinuityTable">#REF!</definedName>
    <definedName name="Contract_sum1" localSheetId="0">#REF!</definedName>
    <definedName name="Contract_sum1">#REF!</definedName>
    <definedName name="ContractValue" localSheetId="0">#REF!</definedName>
    <definedName name="ContractValue">#REF!</definedName>
    <definedName name="Conv" localSheetId="0">#REF!</definedName>
    <definedName name="Conv">#REF!</definedName>
    <definedName name="Convent." localSheetId="0">#REF!</definedName>
    <definedName name="Convent.">#REF!</definedName>
    <definedName name="COO" localSheetId="0">#REF!</definedName>
    <definedName name="COO">#REF!</definedName>
    <definedName name="copper" localSheetId="0">#REF!</definedName>
    <definedName name="copper">#REF!</definedName>
    <definedName name="COPPER_PRICE" localSheetId="0">#REF!</definedName>
    <definedName name="COPPER_PRICE">#REF!</definedName>
    <definedName name="copperplate" localSheetId="0">#REF!</definedName>
    <definedName name="copperplate">#REF!</definedName>
    <definedName name="copy_this" localSheetId="0">#REF!</definedName>
    <definedName name="copy_this">#REF!</definedName>
    <definedName name="cord" localSheetId="0">#REF!</definedName>
    <definedName name="cord">#REF!</definedName>
    <definedName name="corediameter" localSheetId="0">#REF!</definedName>
    <definedName name="corediameter">#REF!</definedName>
    <definedName name="coring" localSheetId="0">#REF!</definedName>
    <definedName name="coring">#REF!</definedName>
    <definedName name="cosq" localSheetId="0">#REF!</definedName>
    <definedName name="cosq">#REF!</definedName>
    <definedName name="cost" localSheetId="0">#REF!</definedName>
    <definedName name="cost">#REF!</definedName>
    <definedName name="Cost_Assumption" localSheetId="0">#REF!</definedName>
    <definedName name="Cost_Assumption">#REF!</definedName>
    <definedName name="Cost_code" localSheetId="0">#REF!</definedName>
    <definedName name="Cost_code">#REF!</definedName>
    <definedName name="Cost_Per_Manday" localSheetId="0">#REF!</definedName>
    <definedName name="Cost_Per_Manday">#REF!</definedName>
    <definedName name="COST_RANGE" localSheetId="0">#REF!</definedName>
    <definedName name="COST_RANGE">#REF!</definedName>
    <definedName name="Cost10" localSheetId="0">#REF!</definedName>
    <definedName name="Cost10">#REF!</definedName>
    <definedName name="COSTASSUM" localSheetId="0">#REF!</definedName>
    <definedName name="COSTASSUM">#REF!</definedName>
    <definedName name="costcodes" localSheetId="0">#REF!</definedName>
    <definedName name="costcodes">#REF!</definedName>
    <definedName name="COSTCOMP10" localSheetId="0">#REF!</definedName>
    <definedName name="COSTCOMP10">#REF!</definedName>
    <definedName name="COSTCOMP11" localSheetId="0">#REF!</definedName>
    <definedName name="COSTCOMP11">#REF!</definedName>
    <definedName name="costing" localSheetId="0">#REF!</definedName>
    <definedName name="costing">#REF!</definedName>
    <definedName name="COSTS" localSheetId="0">#REF!</definedName>
    <definedName name="COSTS">#REF!</definedName>
    <definedName name="CoText" localSheetId="0">#REF!</definedName>
    <definedName name="CoText">#REF!</definedName>
    <definedName name="COU" localSheetId="0">#REF!</definedName>
    <definedName name="COU">#REF!</definedName>
    <definedName name="COU___0" localSheetId="0">#REF!</definedName>
    <definedName name="COU___0">#REF!</definedName>
    <definedName name="COU___13" localSheetId="0">#REF!</definedName>
    <definedName name="COU___13">#REF!</definedName>
    <definedName name="Councils_overage" localSheetId="0">#REF!</definedName>
    <definedName name="Councils_overage">#REF!</definedName>
    <definedName name="COUNT_RANGE" localSheetId="0">#REF!</definedName>
    <definedName name="COUNT_RANGE">#REF!</definedName>
    <definedName name="COUNT_SQCC" localSheetId="0">#REF!</definedName>
    <definedName name="COUNT_SQCC">#REF!</definedName>
    <definedName name="COUNT_SQCC_ONCOLOGY" localSheetId="0">#REF!</definedName>
    <definedName name="COUNT_SQCC_ONCOLOGY">#REF!</definedName>
    <definedName name="COUNT_SQCC_RESTUARENT" localSheetId="0">#REF!</definedName>
    <definedName name="COUNT_SQCC_RESTUARENT">#REF!</definedName>
    <definedName name="cpdpvol" localSheetId="0">#REF!</definedName>
    <definedName name="cpdpvol">#REF!</definedName>
    <definedName name="CpeAe" localSheetId="0">#REF!</definedName>
    <definedName name="CpeAe">#REF!</definedName>
    <definedName name="CpeAn" localSheetId="0">#REF!</definedName>
    <definedName name="CpeAn">#REF!</definedName>
    <definedName name="CpeAz" localSheetId="0">#REF!</definedName>
    <definedName name="CpeAz">#REF!</definedName>
    <definedName name="CpeCe" localSheetId="0">#REF!</definedName>
    <definedName name="CpeCe">#REF!</definedName>
    <definedName name="CpeCn" localSheetId="0">#REF!</definedName>
    <definedName name="CpeCn">#REF!</definedName>
    <definedName name="CPeCz" localSheetId="0">#REF!</definedName>
    <definedName name="CPeCz">#REF!</definedName>
    <definedName name="CpeGz" localSheetId="0">#REF!</definedName>
    <definedName name="CpeGz">#REF!</definedName>
    <definedName name="Cpi" localSheetId="0">#REF!</definedName>
    <definedName name="Cpi">#REF!</definedName>
    <definedName name="cpierends" localSheetId="0">#REF!</definedName>
    <definedName name="cpierends">#REF!</definedName>
    <definedName name="Cpx" localSheetId="0">#REF!</definedName>
    <definedName name="Cpx">#REF!</definedName>
    <definedName name="Cpz" localSheetId="0">#REF!</definedName>
    <definedName name="Cpz">#REF!</definedName>
    <definedName name="crane" localSheetId="0">#REF!</definedName>
    <definedName name="crane">#REF!</definedName>
    <definedName name="crane3t" localSheetId="0">#REF!</definedName>
    <definedName name="crane3t">#REF!</definedName>
    <definedName name="CRB" localSheetId="0">#REF!</definedName>
    <definedName name="CRB">#REF!</definedName>
    <definedName name="CRIT_VALVE" localSheetId="0">#REF!</definedName>
    <definedName name="CRIT_VALVE">#REF!</definedName>
    <definedName name="Criteria_MI" localSheetId="0">#REF!</definedName>
    <definedName name="Criteria_MI">#REF!</definedName>
    <definedName name="CRITERIA1" localSheetId="0">#REF!</definedName>
    <definedName name="CRITERIA1">#REF!</definedName>
    <definedName name="Criterion" localSheetId="0">#REF!</definedName>
    <definedName name="Criterion">#REF!</definedName>
    <definedName name="crm1.3pcc" localSheetId="0">#REF!</definedName>
    <definedName name="crm1.3pcc">#REF!</definedName>
    <definedName name="crmb" localSheetId="0">#REF!</definedName>
    <definedName name="crmb">#REF!</definedName>
    <definedName name="CS" localSheetId="0">#REF!</definedName>
    <definedName name="CS">#REF!</definedName>
    <definedName name="Cs___0" localSheetId="0">#REF!</definedName>
    <definedName name="Cs___0">#REF!</definedName>
    <definedName name="Cs___13" localSheetId="0">#REF!</definedName>
    <definedName name="Cs___13">#REF!</definedName>
    <definedName name="csl" localSheetId="0">#REF!</definedName>
    <definedName name="csl">#REF!</definedName>
    <definedName name="csshade" localSheetId="0">#REF!</definedName>
    <definedName name="csshade">#REF!</definedName>
    <definedName name="cst" localSheetId="0">#REF!</definedName>
    <definedName name="cst">#REF!</definedName>
    <definedName name="CSTOTAL" localSheetId="0">#REF!</definedName>
    <definedName name="CSTOTAL">#REF!</definedName>
    <definedName name="csu" localSheetId="0">#REF!</definedName>
    <definedName name="csu">#REF!</definedName>
    <definedName name="CT" localSheetId="0">#REF!</definedName>
    <definedName name="CT">#REF!</definedName>
    <definedName name="ct100t" localSheetId="0">#REF!</definedName>
    <definedName name="ct100t">#REF!</definedName>
    <definedName name="CT1250T" localSheetId="0">#REF!</definedName>
    <definedName name="CT1250T">#REF!</definedName>
    <definedName name="CT1600T" localSheetId="0">#REF!</definedName>
    <definedName name="CT1600T">#REF!</definedName>
    <definedName name="ct160t" localSheetId="0">#REF!</definedName>
    <definedName name="ct160t">#REF!</definedName>
    <definedName name="CT2000T" localSheetId="0">#REF!</definedName>
    <definedName name="CT2000T">#REF!</definedName>
    <definedName name="ct250t" localSheetId="0">#REF!</definedName>
    <definedName name="ct250t">#REF!</definedName>
    <definedName name="CT3200T" localSheetId="0">#REF!</definedName>
    <definedName name="CT3200T">#REF!</definedName>
    <definedName name="ct400t" localSheetId="0">#REF!</definedName>
    <definedName name="ct400t">#REF!</definedName>
    <definedName name="ct60t" localSheetId="0">#REF!</definedName>
    <definedName name="ct60t">#REF!</definedName>
    <definedName name="CT800T" localSheetId="0">#REF!</definedName>
    <definedName name="CT800T">#REF!</definedName>
    <definedName name="CTR" localSheetId="0">#REF!</definedName>
    <definedName name="CTR">#REF!</definedName>
    <definedName name="Ctype" localSheetId="0">#REF!</definedName>
    <definedName name="Ctype">#REF!</definedName>
    <definedName name="Cu" localSheetId="0">#REF!</definedName>
    <definedName name="Cu">#REF!</definedName>
    <definedName name="CU_ADJ" localSheetId="0">#REF!</definedName>
    <definedName name="CU_ADJ">#REF!</definedName>
    <definedName name="CU_ADJ_MV" localSheetId="0">#REF!</definedName>
    <definedName name="CU_ADJ_MV">#REF!</definedName>
    <definedName name="cummeas_June1006" localSheetId="0">#REF!</definedName>
    <definedName name="cummeas_June1006">#REF!</definedName>
    <definedName name="cummeas_may1006" localSheetId="0">#REF!</definedName>
    <definedName name="cummeas_may1006">#REF!</definedName>
    <definedName name="cummeas_up_to_mar" localSheetId="0">#REF!</definedName>
    <definedName name="cummeas_up_to_mar">#REF!</definedName>
    <definedName name="curbstone" localSheetId="0">#REF!</definedName>
    <definedName name="curbstone">#REF!</definedName>
    <definedName name="curr_liab_prov" localSheetId="0">#REF!</definedName>
    <definedName name="curr_liab_prov">#REF!</definedName>
    <definedName name="Currency" localSheetId="0">#REF!</definedName>
    <definedName name="Currency">#REF!</definedName>
    <definedName name="current1" localSheetId="0">#REF!</definedName>
    <definedName name="current1">#REF!</definedName>
    <definedName name="current2" localSheetId="0">#REF!</definedName>
    <definedName name="current2">#REF!</definedName>
    <definedName name="current3" localSheetId="0">#REF!</definedName>
    <definedName name="current3">#REF!</definedName>
    <definedName name="current4" localSheetId="0">#REF!</definedName>
    <definedName name="current4">#REF!</definedName>
    <definedName name="current5" localSheetId="0">#REF!</definedName>
    <definedName name="current5">#REF!</definedName>
    <definedName name="CUSTOM1_SQCC" localSheetId="0">#REF!</definedName>
    <definedName name="CUSTOM1_SQCC">#REF!</definedName>
    <definedName name="CUSTOM1_SQCC_ONCOLOGY" localSheetId="0">#REF!</definedName>
    <definedName name="CUSTOM1_SQCC_ONCOLOGY">#REF!</definedName>
    <definedName name="CUSTOM1_SQCC_RESTUARENT" localSheetId="0">#REF!</definedName>
    <definedName name="CUSTOM1_SQCC_RESTUARENT">#REF!</definedName>
    <definedName name="CUSTOM2_SQCC" localSheetId="0">#REF!</definedName>
    <definedName name="CUSTOM2_SQCC">#REF!</definedName>
    <definedName name="CUSTOM2_SQCC_ONCOLOGY" localSheetId="0">#REF!</definedName>
    <definedName name="CUSTOM2_SQCC_ONCOLOGY">#REF!</definedName>
    <definedName name="CUSTOM2_SQCC_RESTUARENT" localSheetId="0">#REF!</definedName>
    <definedName name="CUSTOM2_SQCC_RESTUARENT">#REF!</definedName>
    <definedName name="CUSTOM3_MEAT_FACTORY" localSheetId="0">#REF!</definedName>
    <definedName name="CUSTOM3_MEAT_FACTORY">#REF!</definedName>
    <definedName name="CUSTOM3_SQCC" localSheetId="0">#REF!</definedName>
    <definedName name="CUSTOM3_SQCC">#REF!</definedName>
    <definedName name="CUSTOM3_SQCC_ONCOLOGY" localSheetId="0">#REF!</definedName>
    <definedName name="CUSTOM3_SQCC_ONCOLOGY">#REF!</definedName>
    <definedName name="CUSTOM3_SQCC_ONCOLOGY1" localSheetId="0">#REF!</definedName>
    <definedName name="CUSTOM3_SQCC_ONCOLOGY1">#REF!</definedName>
    <definedName name="CUSTOM3_SQCC_RESTUARENT" localSheetId="0">#REF!</definedName>
    <definedName name="CUSTOM3_SQCC_RESTUARENT">#REF!</definedName>
    <definedName name="CustomDuty" localSheetId="0">#REF!</definedName>
    <definedName name="CustomDuty">#REF!</definedName>
    <definedName name="Customs3V3" localSheetId="0">#REF!</definedName>
    <definedName name="Customs3V3">#REF!</definedName>
    <definedName name="cutback" localSheetId="0">#REF!</definedName>
    <definedName name="cutback">#REF!</definedName>
    <definedName name="cutoffwall" localSheetId="0">#REF!</definedName>
    <definedName name="cutoffwall">#REF!</definedName>
    <definedName name="cv_100" localSheetId="0">#REF!</definedName>
    <definedName name="cv_100">#REF!</definedName>
    <definedName name="cv_150" localSheetId="0">#REF!</definedName>
    <definedName name="cv_150">#REF!</definedName>
    <definedName name="cv_200" localSheetId="0">#REF!</definedName>
    <definedName name="cv_200">#REF!</definedName>
    <definedName name="cv_25" localSheetId="0">#REF!</definedName>
    <definedName name="cv_25">#REF!</definedName>
    <definedName name="cv_250" localSheetId="0">#REF!</definedName>
    <definedName name="cv_250">#REF!</definedName>
    <definedName name="cv_300" localSheetId="0">#REF!</definedName>
    <definedName name="cv_300">#REF!</definedName>
    <definedName name="cv_32" localSheetId="0">#REF!</definedName>
    <definedName name="cv_32">#REF!</definedName>
    <definedName name="cv_40" localSheetId="0">#REF!</definedName>
    <definedName name="cv_40">#REF!</definedName>
    <definedName name="cv_400" localSheetId="0">#REF!</definedName>
    <definedName name="cv_400">#REF!</definedName>
    <definedName name="cv_50" localSheetId="0">#REF!</definedName>
    <definedName name="cv_50">#REF!</definedName>
    <definedName name="cv_500" localSheetId="0">#REF!</definedName>
    <definedName name="cv_500">#REF!</definedName>
    <definedName name="cv_65" localSheetId="0">#REF!</definedName>
    <definedName name="cv_65">#REF!</definedName>
    <definedName name="cv_80" localSheetId="0">#REF!</definedName>
    <definedName name="cv_80">#REF!</definedName>
    <definedName name="CVL_FAC" localSheetId="0">#REF!</definedName>
    <definedName name="CVL_FAC">#REF!</definedName>
    <definedName name="CVT" localSheetId="0">#REF!</definedName>
    <definedName name="CVT">#REF!</definedName>
    <definedName name="cx" localSheetId="0">#REF!</definedName>
    <definedName name="cx">#REF!</definedName>
    <definedName name="D" localSheetId="0">#REF!</definedName>
    <definedName name="D">#REF!</definedName>
    <definedName name="d.nos" localSheetId="0">#REF!</definedName>
    <definedName name="d.nos">#REF!</definedName>
    <definedName name="D_" localSheetId="0">#REF!</definedName>
    <definedName name="D_">#REF!</definedName>
    <definedName name="d___0" localSheetId="0">#REF!</definedName>
    <definedName name="d___0">#REF!</definedName>
    <definedName name="d___13" localSheetId="0">#REF!</definedName>
    <definedName name="d___13">#REF!</definedName>
    <definedName name="D_1" localSheetId="0">#REF!</definedName>
    <definedName name="D_1">#REF!</definedName>
    <definedName name="d_10" localSheetId="0">#REF!</definedName>
    <definedName name="d_10">#REF!</definedName>
    <definedName name="d_12" localSheetId="0">#REF!</definedName>
    <definedName name="d_12">#REF!</definedName>
    <definedName name="d_16" localSheetId="0">#REF!</definedName>
    <definedName name="d_16">#REF!</definedName>
    <definedName name="D_2" localSheetId="0">#REF!</definedName>
    <definedName name="D_2">#REF!</definedName>
    <definedName name="d_20" localSheetId="0">#REF!</definedName>
    <definedName name="d_20">#REF!</definedName>
    <definedName name="d_25" localSheetId="0">#REF!</definedName>
    <definedName name="d_25">#REF!</definedName>
    <definedName name="d_28" localSheetId="0">#REF!</definedName>
    <definedName name="d_28">#REF!</definedName>
    <definedName name="D_3" localSheetId="0">#REF!</definedName>
    <definedName name="D_3">#REF!</definedName>
    <definedName name="d_32" localSheetId="0">#REF!</definedName>
    <definedName name="d_32">#REF!</definedName>
    <definedName name="d_8" localSheetId="0">#REF!</definedName>
    <definedName name="d_8">#REF!</definedName>
    <definedName name="D_Concrete" localSheetId="0">#REF!</definedName>
    <definedName name="D_Concrete">#REF!</definedName>
    <definedName name="D_Masonry" localSheetId="0">#REF!</definedName>
    <definedName name="D_Masonry">#REF!</definedName>
    <definedName name="D_STATUS_DRGS" localSheetId="0">#REF!</definedName>
    <definedName name="D_STATUS_DRGS">#REF!</definedName>
    <definedName name="D_STATUS_NO" localSheetId="0">#REF!</definedName>
    <definedName name="D_STATUS_NO">#REF!</definedName>
    <definedName name="D_STATUS_NUMBER" localSheetId="0">#REF!</definedName>
    <definedName name="D_STATUS_NUMBER">#REF!</definedName>
    <definedName name="da" localSheetId="0">#REF!</definedName>
    <definedName name="da">#REF!</definedName>
    <definedName name="daeawtwtg" localSheetId="0">#REF!</definedName>
    <definedName name="daeawtwtg">#REF!</definedName>
    <definedName name="Daff" localSheetId="0">#REF!</definedName>
    <definedName name="Daff">#REF!</definedName>
    <definedName name="DAK" localSheetId="0">#REF!</definedName>
    <definedName name="DAK">#REF!</definedName>
    <definedName name="DAKS" localSheetId="0">#REF!</definedName>
    <definedName name="DAKS">#REF!</definedName>
    <definedName name="DAKSH" localSheetId="0">#REF!</definedName>
    <definedName name="DAKSH">#REF!</definedName>
    <definedName name="dam" localSheetId="0">#REF!</definedName>
    <definedName name="dam">#REF!</definedName>
    <definedName name="DATA" localSheetId="0">#REF!</definedName>
    <definedName name="DATA">#REF!</definedName>
    <definedName name="data1" localSheetId="0">#REF!</definedName>
    <definedName name="data1">#REF!</definedName>
    <definedName name="data10" localSheetId="0">#REF!</definedName>
    <definedName name="data10">#REF!</definedName>
    <definedName name="data11" localSheetId="0">#REF!</definedName>
    <definedName name="data11">#REF!</definedName>
    <definedName name="data12" localSheetId="0">#REF!</definedName>
    <definedName name="data12">#REF!</definedName>
    <definedName name="data13" localSheetId="0">#REF!</definedName>
    <definedName name="data13">#REF!</definedName>
    <definedName name="DATA134110" localSheetId="0">#REF!</definedName>
    <definedName name="DATA134110">#REF!</definedName>
    <definedName name="DATA134125" localSheetId="0">#REF!</definedName>
    <definedName name="DATA134125">#REF!</definedName>
    <definedName name="DATA134140" localSheetId="0">#REF!</definedName>
    <definedName name="DATA134140">#REF!</definedName>
    <definedName name="DATA134160" localSheetId="0">#REF!</definedName>
    <definedName name="DATA134160">#REF!</definedName>
    <definedName name="DATA134180" localSheetId="0">#REF!</definedName>
    <definedName name="DATA134180">#REF!</definedName>
    <definedName name="DATA134200" localSheetId="0">#REF!</definedName>
    <definedName name="DATA134200">#REF!</definedName>
    <definedName name="DATA134225" localSheetId="0">#REF!</definedName>
    <definedName name="DATA134225">#REF!</definedName>
    <definedName name="DATA134250" localSheetId="0">#REF!</definedName>
    <definedName name="DATA134250">#REF!</definedName>
    <definedName name="DATA134280" localSheetId="0">#REF!</definedName>
    <definedName name="DATA134280">#REF!</definedName>
    <definedName name="DATA134315" localSheetId="0">#REF!</definedName>
    <definedName name="DATA134315">#REF!</definedName>
    <definedName name="DATA134355" localSheetId="0">#REF!</definedName>
    <definedName name="DATA134355">#REF!</definedName>
    <definedName name="DATA134400" localSheetId="0">#REF!</definedName>
    <definedName name="DATA134400">#REF!</definedName>
    <definedName name="DATA13450" localSheetId="0">#REF!</definedName>
    <definedName name="DATA13450">#REF!</definedName>
    <definedName name="DATA13463" localSheetId="0">#REF!</definedName>
    <definedName name="DATA13463">#REF!</definedName>
    <definedName name="DATA13475" localSheetId="0">#REF!</definedName>
    <definedName name="DATA13475">#REF!</definedName>
    <definedName name="DATA13490" localSheetId="0">#REF!</definedName>
    <definedName name="DATA13490">#REF!</definedName>
    <definedName name="DATA135110" localSheetId="0">#REF!</definedName>
    <definedName name="DATA135110">#REF!</definedName>
    <definedName name="DATA135125" localSheetId="0">#REF!</definedName>
    <definedName name="DATA135125">#REF!</definedName>
    <definedName name="DATA135140" localSheetId="0">#REF!</definedName>
    <definedName name="DATA135140">#REF!</definedName>
    <definedName name="DATA135160" localSheetId="0">#REF!</definedName>
    <definedName name="DATA135160">#REF!</definedName>
    <definedName name="DATA135180" localSheetId="0">#REF!</definedName>
    <definedName name="DATA135180">#REF!</definedName>
    <definedName name="DATA135200" localSheetId="0">#REF!</definedName>
    <definedName name="DATA135200">#REF!</definedName>
    <definedName name="DATA135225" localSheetId="0">#REF!</definedName>
    <definedName name="DATA135225">#REF!</definedName>
    <definedName name="DATA135250" localSheetId="0">#REF!</definedName>
    <definedName name="DATA135250">#REF!</definedName>
    <definedName name="DATA135280" localSheetId="0">#REF!</definedName>
    <definedName name="DATA135280">#REF!</definedName>
    <definedName name="DATA135315" localSheetId="0">#REF!</definedName>
    <definedName name="DATA135315">#REF!</definedName>
    <definedName name="DATA135355" localSheetId="0">#REF!</definedName>
    <definedName name="DATA135355">#REF!</definedName>
    <definedName name="DATA135400" localSheetId="0">#REF!</definedName>
    <definedName name="DATA135400">#REF!</definedName>
    <definedName name="DATA13550" localSheetId="0">#REF!</definedName>
    <definedName name="DATA13550">#REF!</definedName>
    <definedName name="DATA13563" localSheetId="0">#REF!</definedName>
    <definedName name="DATA13563">#REF!</definedName>
    <definedName name="DATA13575" localSheetId="0">#REF!</definedName>
    <definedName name="DATA13575">#REF!</definedName>
    <definedName name="DATA13590" localSheetId="0">#REF!</definedName>
    <definedName name="DATA13590">#REF!</definedName>
    <definedName name="DATA136A" localSheetId="0">#REF!</definedName>
    <definedName name="DATA136A">#REF!</definedName>
    <definedName name="DATA136B" localSheetId="0">#REF!</definedName>
    <definedName name="DATA136B">#REF!</definedName>
    <definedName name="DATA136C" localSheetId="0">#REF!</definedName>
    <definedName name="DATA136C">#REF!</definedName>
    <definedName name="DATA136D" localSheetId="0">#REF!</definedName>
    <definedName name="DATA136D">#REF!</definedName>
    <definedName name="DATA136E" localSheetId="0">#REF!</definedName>
    <definedName name="DATA136E">#REF!</definedName>
    <definedName name="DATA136F" localSheetId="0">#REF!</definedName>
    <definedName name="DATA136F">#REF!</definedName>
    <definedName name="DATA136G" localSheetId="0">#REF!</definedName>
    <definedName name="DATA136G">#REF!</definedName>
    <definedName name="DATA136H" localSheetId="0">#REF!</definedName>
    <definedName name="DATA136H">#REF!</definedName>
    <definedName name="DATA136I" localSheetId="0">#REF!</definedName>
    <definedName name="DATA136I">#REF!</definedName>
    <definedName name="DATA136J" localSheetId="0">#REF!</definedName>
    <definedName name="DATA136J">#REF!</definedName>
    <definedName name="DATA136K" localSheetId="0">#REF!</definedName>
    <definedName name="DATA136K">#REF!</definedName>
    <definedName name="DATA136L" localSheetId="0">#REF!</definedName>
    <definedName name="DATA136L">#REF!</definedName>
    <definedName name="DATA136M" localSheetId="0">#REF!</definedName>
    <definedName name="DATA136M">#REF!</definedName>
    <definedName name="DATA136N" localSheetId="0">#REF!</definedName>
    <definedName name="DATA136N">#REF!</definedName>
    <definedName name="DATA136O" localSheetId="0">#REF!</definedName>
    <definedName name="DATA136O">#REF!</definedName>
    <definedName name="DATA136P" localSheetId="0">#REF!</definedName>
    <definedName name="DATA136P">#REF!</definedName>
    <definedName name="DATA137I" localSheetId="0">#REF!</definedName>
    <definedName name="DATA137I">#REF!</definedName>
    <definedName name="DATA137II" localSheetId="0">#REF!</definedName>
    <definedName name="DATA137II">#REF!</definedName>
    <definedName name="DATA137III" localSheetId="0">#REF!</definedName>
    <definedName name="DATA137III">#REF!</definedName>
    <definedName name="DATA137IV" localSheetId="0">#REF!</definedName>
    <definedName name="DATA137IV">#REF!</definedName>
    <definedName name="DATA137V" localSheetId="0">#REF!</definedName>
    <definedName name="DATA137V">#REF!</definedName>
    <definedName name="DATA138I" localSheetId="0">#REF!</definedName>
    <definedName name="DATA138I">#REF!</definedName>
    <definedName name="DATA138II" localSheetId="0">#REF!</definedName>
    <definedName name="DATA138II">#REF!</definedName>
    <definedName name="DATA138III" localSheetId="0">#REF!</definedName>
    <definedName name="DATA138III">#REF!</definedName>
    <definedName name="DATA138IV" localSheetId="0">#REF!</definedName>
    <definedName name="DATA138IV">#REF!</definedName>
    <definedName name="DATA138V" localSheetId="0">#REF!</definedName>
    <definedName name="DATA138V">#REF!</definedName>
    <definedName name="DATA138VI" localSheetId="0">#REF!</definedName>
    <definedName name="DATA138VI">#REF!</definedName>
    <definedName name="DATA139IX" localSheetId="0">#REF!</definedName>
    <definedName name="DATA139IX">#REF!</definedName>
    <definedName name="DATA139V" localSheetId="0">#REF!</definedName>
    <definedName name="DATA139V">#REF!</definedName>
    <definedName name="DATA139VI" localSheetId="0">#REF!</definedName>
    <definedName name="DATA139VI">#REF!</definedName>
    <definedName name="DATA139VII" localSheetId="0">#REF!</definedName>
    <definedName name="DATA139VII">#REF!</definedName>
    <definedName name="DATA139VIII" localSheetId="0">#REF!</definedName>
    <definedName name="DATA139VIII">#REF!</definedName>
    <definedName name="data14" localSheetId="0">#REF!</definedName>
    <definedName name="data14">#REF!</definedName>
    <definedName name="DATA140I" localSheetId="0">#REF!</definedName>
    <definedName name="DATA140I">#REF!</definedName>
    <definedName name="DATA140II" localSheetId="0">#REF!</definedName>
    <definedName name="DATA140II">#REF!</definedName>
    <definedName name="DATA140III" localSheetId="0">#REF!</definedName>
    <definedName name="DATA140III">#REF!</definedName>
    <definedName name="DATA140IV" localSheetId="0">#REF!</definedName>
    <definedName name="DATA140IV">#REF!</definedName>
    <definedName name="DATA140V" localSheetId="0">#REF!</definedName>
    <definedName name="DATA140V">#REF!</definedName>
    <definedName name="DATA141I" localSheetId="0">#REF!</definedName>
    <definedName name="DATA141I">#REF!</definedName>
    <definedName name="DATA141II" localSheetId="0">#REF!</definedName>
    <definedName name="DATA141II">#REF!</definedName>
    <definedName name="DATA141III" localSheetId="0">#REF!</definedName>
    <definedName name="DATA141III">#REF!</definedName>
    <definedName name="DATA141IV" localSheetId="0">#REF!</definedName>
    <definedName name="DATA141IV">#REF!</definedName>
    <definedName name="DATA141V" localSheetId="0">#REF!</definedName>
    <definedName name="DATA141V">#REF!</definedName>
    <definedName name="DATA142I" localSheetId="0">#REF!</definedName>
    <definedName name="DATA142I">#REF!</definedName>
    <definedName name="DATA142II" localSheetId="0">#REF!</definedName>
    <definedName name="DATA142II">#REF!</definedName>
    <definedName name="DATA142III" localSheetId="0">#REF!</definedName>
    <definedName name="DATA142III">#REF!</definedName>
    <definedName name="DATA142IV" localSheetId="0">#REF!</definedName>
    <definedName name="DATA142IV">#REF!</definedName>
    <definedName name="DATA142V" localSheetId="0">#REF!</definedName>
    <definedName name="DATA142V">#REF!</definedName>
    <definedName name="data15" localSheetId="0">#REF!</definedName>
    <definedName name="data15">#REF!</definedName>
    <definedName name="data16" localSheetId="0">#REF!</definedName>
    <definedName name="data16">#REF!</definedName>
    <definedName name="data17" localSheetId="0">#REF!</definedName>
    <definedName name="data17">#REF!</definedName>
    <definedName name="data18" localSheetId="0">#REF!</definedName>
    <definedName name="data18">#REF!</definedName>
    <definedName name="data19" localSheetId="0">#REF!</definedName>
    <definedName name="data19">#REF!</definedName>
    <definedName name="data2" localSheetId="0">#REF!</definedName>
    <definedName name="data2">#REF!</definedName>
    <definedName name="data20" localSheetId="0">#REF!</definedName>
    <definedName name="data20">#REF!</definedName>
    <definedName name="data21" localSheetId="0">#REF!</definedName>
    <definedName name="data21">#REF!</definedName>
    <definedName name="data22" localSheetId="0">#REF!</definedName>
    <definedName name="data22">#REF!</definedName>
    <definedName name="data23" localSheetId="0">#REF!</definedName>
    <definedName name="data23">#REF!</definedName>
    <definedName name="data24" localSheetId="0">#REF!</definedName>
    <definedName name="data24">#REF!</definedName>
    <definedName name="data25" localSheetId="0">#REF!</definedName>
    <definedName name="data25">#REF!</definedName>
    <definedName name="data26" localSheetId="0">#REF!</definedName>
    <definedName name="data26">#REF!</definedName>
    <definedName name="data27" localSheetId="0">#REF!</definedName>
    <definedName name="data27">#REF!</definedName>
    <definedName name="data28" localSheetId="0">#REF!</definedName>
    <definedName name="data28">#REF!</definedName>
    <definedName name="data29" localSheetId="0">#REF!</definedName>
    <definedName name="data29">#REF!</definedName>
    <definedName name="data3" localSheetId="0">#REF!</definedName>
    <definedName name="data3">#REF!</definedName>
    <definedName name="data30" localSheetId="0">#REF!</definedName>
    <definedName name="data30">#REF!</definedName>
    <definedName name="data31" localSheetId="0">#REF!</definedName>
    <definedName name="data31">#REF!</definedName>
    <definedName name="data32" localSheetId="0">#REF!</definedName>
    <definedName name="data32">#REF!</definedName>
    <definedName name="data33" localSheetId="0">#REF!</definedName>
    <definedName name="data33">#REF!</definedName>
    <definedName name="data34" localSheetId="0">#REF!</definedName>
    <definedName name="data34">#REF!</definedName>
    <definedName name="data35" localSheetId="0">#REF!</definedName>
    <definedName name="data35">#REF!</definedName>
    <definedName name="data36" localSheetId="0">#REF!</definedName>
    <definedName name="data36">#REF!</definedName>
    <definedName name="data37" localSheetId="0">#REF!</definedName>
    <definedName name="data37">#REF!</definedName>
    <definedName name="data38" localSheetId="0">#REF!</definedName>
    <definedName name="data38">#REF!</definedName>
    <definedName name="data39" localSheetId="0">#REF!</definedName>
    <definedName name="data39">#REF!</definedName>
    <definedName name="data4" localSheetId="0">#REF!</definedName>
    <definedName name="data4">#REF!</definedName>
    <definedName name="data40" localSheetId="0">#REF!</definedName>
    <definedName name="data40">#REF!</definedName>
    <definedName name="data41" localSheetId="0">#REF!</definedName>
    <definedName name="data41">#REF!</definedName>
    <definedName name="data42" localSheetId="0">#REF!</definedName>
    <definedName name="data42">#REF!</definedName>
    <definedName name="data43" localSheetId="0">#REF!</definedName>
    <definedName name="data43">#REF!</definedName>
    <definedName name="data44" localSheetId="0">#REF!</definedName>
    <definedName name="data44">#REF!</definedName>
    <definedName name="data45" localSheetId="0">#REF!</definedName>
    <definedName name="data45">#REF!</definedName>
    <definedName name="data46" localSheetId="0">#REF!</definedName>
    <definedName name="data46">#REF!</definedName>
    <definedName name="data47" localSheetId="0">#REF!</definedName>
    <definedName name="data47">#REF!</definedName>
    <definedName name="data48" localSheetId="0">#REF!</definedName>
    <definedName name="data48">#REF!</definedName>
    <definedName name="data49" localSheetId="0">#REF!</definedName>
    <definedName name="data49">#REF!</definedName>
    <definedName name="data5" localSheetId="0">#REF!</definedName>
    <definedName name="data5">#REF!</definedName>
    <definedName name="data50" localSheetId="0">#REF!</definedName>
    <definedName name="data50">#REF!</definedName>
    <definedName name="data51" localSheetId="0">#REF!</definedName>
    <definedName name="data51">#REF!</definedName>
    <definedName name="data52" localSheetId="0">#REF!</definedName>
    <definedName name="data52">#REF!</definedName>
    <definedName name="data53" localSheetId="0">#REF!</definedName>
    <definedName name="data53">#REF!</definedName>
    <definedName name="data54" localSheetId="0">#REF!</definedName>
    <definedName name="data54">#REF!</definedName>
    <definedName name="data55" localSheetId="0">#REF!</definedName>
    <definedName name="data55">#REF!</definedName>
    <definedName name="data56" localSheetId="0">#REF!</definedName>
    <definedName name="data56">#REF!</definedName>
    <definedName name="data57" localSheetId="0">#REF!</definedName>
    <definedName name="data57">#REF!</definedName>
    <definedName name="data58" localSheetId="0">#REF!</definedName>
    <definedName name="data58">#REF!</definedName>
    <definedName name="data59" localSheetId="0">#REF!</definedName>
    <definedName name="data59">#REF!</definedName>
    <definedName name="data6" localSheetId="0">#REF!</definedName>
    <definedName name="data6">#REF!</definedName>
    <definedName name="data60" localSheetId="0">#REF!</definedName>
    <definedName name="data60">#REF!</definedName>
    <definedName name="data61" localSheetId="0">#REF!</definedName>
    <definedName name="data61">#REF!</definedName>
    <definedName name="data62" localSheetId="0">#REF!</definedName>
    <definedName name="data62">#REF!</definedName>
    <definedName name="data63" localSheetId="0">#REF!</definedName>
    <definedName name="data63">#REF!</definedName>
    <definedName name="data64" localSheetId="0">#REF!</definedName>
    <definedName name="data64">#REF!</definedName>
    <definedName name="data65" localSheetId="0">#REF!</definedName>
    <definedName name="data65">#REF!</definedName>
    <definedName name="data66" localSheetId="0">#REF!</definedName>
    <definedName name="data66">#REF!</definedName>
    <definedName name="data67" localSheetId="0">#REF!</definedName>
    <definedName name="data67">#REF!</definedName>
    <definedName name="data68" localSheetId="0">#REF!</definedName>
    <definedName name="data68">#REF!</definedName>
    <definedName name="data69" localSheetId="0">#REF!</definedName>
    <definedName name="data69">#REF!</definedName>
    <definedName name="data7" localSheetId="0">#REF!</definedName>
    <definedName name="data7">#REF!</definedName>
    <definedName name="data70" localSheetId="0">#REF!</definedName>
    <definedName name="data70">#REF!</definedName>
    <definedName name="data8" localSheetId="0">#REF!</definedName>
    <definedName name="data8">#REF!</definedName>
    <definedName name="data9" localSheetId="0">#REF!</definedName>
    <definedName name="data9">#REF!</definedName>
    <definedName name="DATACHECKED_ELBK" localSheetId="0">#REF!</definedName>
    <definedName name="DATACHECKED_ELBK">#REF!</definedName>
    <definedName name="DATACHECKED_ELEQ" localSheetId="0">#REF!</definedName>
    <definedName name="DATACHECKED_ELEQ">#REF!</definedName>
    <definedName name="DATACHECKED_INSTR" localSheetId="0">#REF!</definedName>
    <definedName name="DATACHECKED_INSTR">#REF!</definedName>
    <definedName name="DataLine" localSheetId="0">#REF!</definedName>
    <definedName name="DataLine">#REF!</definedName>
    <definedName name="date" localSheetId="0">#REF!</definedName>
    <definedName name="date">#REF!</definedName>
    <definedName name="DATECHECKED_ELBK" localSheetId="0">#REF!</definedName>
    <definedName name="DATECHECKED_ELBK">#REF!</definedName>
    <definedName name="DATECHECKED_ELEQ" localSheetId="0">#REF!</definedName>
    <definedName name="DATECHECKED_ELEQ">#REF!</definedName>
    <definedName name="DATECHECKED_INSTR" localSheetId="0">#REF!</definedName>
    <definedName name="DATECHECKED_INSTR">#REF!</definedName>
    <definedName name="datonators" localSheetId="0">#REF!</definedName>
    <definedName name="datonators">#REF!</definedName>
    <definedName name="datus" localSheetId="0">#REF!</definedName>
    <definedName name="datus">#REF!</definedName>
    <definedName name="Daywork" localSheetId="0">#REF!</definedName>
    <definedName name="Daywork">#REF!</definedName>
    <definedName name="dayworktotal" localSheetId="0">#REF!</definedName>
    <definedName name="dayworktotal">#REF!</definedName>
    <definedName name="db" localSheetId="0">#REF!</definedName>
    <definedName name="db">#REF!</definedName>
    <definedName name="db___0" localSheetId="0">#REF!</definedName>
    <definedName name="db___0">#REF!</definedName>
    <definedName name="db___13" localSheetId="0">#REF!</definedName>
    <definedName name="db___13">#REF!</definedName>
    <definedName name="DB_PRICING" localSheetId="0">#REF!</definedName>
    <definedName name="DB_PRICING">#REF!</definedName>
    <definedName name="dc" localSheetId="0">#REF!</definedName>
    <definedName name="dc">#REF!</definedName>
    <definedName name="dcbcvbc" localSheetId="0">#REF!</definedName>
    <definedName name="dcbcvbc">#REF!</definedName>
    <definedName name="DCF" localSheetId="0">#REF!</definedName>
    <definedName name="DCF">#REF!</definedName>
    <definedName name="DCS_SYS" localSheetId="0">#REF!</definedName>
    <definedName name="DCS_SYS">#REF!</definedName>
    <definedName name="DD" localSheetId="0">#REF!</definedName>
    <definedName name="DD">#REF!</definedName>
    <definedName name="DDD" localSheetId="0">#REF!</definedName>
    <definedName name="DDD">#REF!</definedName>
    <definedName name="DDDD" localSheetId="0">#REF!</definedName>
    <definedName name="DDDD">#REF!</definedName>
    <definedName name="dddddddd" localSheetId="0">#REF!</definedName>
    <definedName name="dddddddd">#REF!</definedName>
    <definedName name="ddddddddd" localSheetId="0">#REF!</definedName>
    <definedName name="ddddddddd">#REF!</definedName>
    <definedName name="dddddddddd" localSheetId="0">#REF!</definedName>
    <definedName name="dddddddddd">#REF!</definedName>
    <definedName name="ddddddddddd" localSheetId="0">#REF!</definedName>
    <definedName name="ddddddddddd">#REF!</definedName>
    <definedName name="dddddddddddddddddddd" localSheetId="0">#REF!</definedName>
    <definedName name="dddddddddddddddddddd">#REF!</definedName>
    <definedName name="de" localSheetId="0">#REF!</definedName>
    <definedName name="de">#REF!</definedName>
    <definedName name="DealData" localSheetId="0">#REF!</definedName>
    <definedName name="DealData">#REF!</definedName>
    <definedName name="DECS" localSheetId="0">#REF!</definedName>
    <definedName name="DECS">#REF!</definedName>
    <definedName name="deddd" localSheetId="0">#REF!</definedName>
    <definedName name="deddd">#REF!</definedName>
    <definedName name="def" localSheetId="0">#REF!</definedName>
    <definedName name="def">#REF!</definedName>
    <definedName name="delineators" localSheetId="0">#REF!</definedName>
    <definedName name="delineators">#REF!</definedName>
    <definedName name="delk" localSheetId="0">#REF!</definedName>
    <definedName name="delk">#REF!</definedName>
    <definedName name="delm" localSheetId="0">#REF!</definedName>
    <definedName name="delm">#REF!</definedName>
    <definedName name="delm2" localSheetId="0">#REF!</definedName>
    <definedName name="delm2">#REF!</definedName>
    <definedName name="delta" localSheetId="0">#REF!</definedName>
    <definedName name="delta">#REF!</definedName>
    <definedName name="delta1" localSheetId="0">#REF!</definedName>
    <definedName name="delta1">#REF!</definedName>
    <definedName name="DELTA20" localSheetId="0">#REF!</definedName>
    <definedName name="DELTA20">#REF!</definedName>
    <definedName name="DELTA20___0" localSheetId="0">#REF!</definedName>
    <definedName name="DELTA20___0">#REF!</definedName>
    <definedName name="DELTA20___13" localSheetId="0">#REF!</definedName>
    <definedName name="DELTA20___13">#REF!</definedName>
    <definedName name="DEMO" localSheetId="0">#REF!</definedName>
    <definedName name="DEMO">#REF!</definedName>
    <definedName name="demolition" localSheetId="0">#REF!</definedName>
    <definedName name="demolition">#REF!</definedName>
    <definedName name="demolition1" localSheetId="0">#REF!</definedName>
    <definedName name="demolition1">#REF!</definedName>
    <definedName name="den" localSheetId="0">#REF!</definedName>
    <definedName name="den">#REF!</definedName>
    <definedName name="Depn" localSheetId="0">#REF!</definedName>
    <definedName name="Depn">#REF!</definedName>
    <definedName name="DEPREC" localSheetId="0">#REF!</definedName>
    <definedName name="DEPREC">#REF!</definedName>
    <definedName name="DEPRECASSUM" localSheetId="0">#REF!</definedName>
    <definedName name="DEPRECASSUM">#REF!</definedName>
    <definedName name="Depth" localSheetId="0">#REF!</definedName>
    <definedName name="Depth">#REF!</definedName>
    <definedName name="DER" localSheetId="0">#REF!</definedName>
    <definedName name="DER">#REF!</definedName>
    <definedName name="DES" localSheetId="0">#REF!</definedName>
    <definedName name="DES">#REF!</definedName>
    <definedName name="Des_Pkg" localSheetId="0">#REF!</definedName>
    <definedName name="Des_Pkg">#REF!</definedName>
    <definedName name="Desc_Other" localSheetId="0">#REF!</definedName>
    <definedName name="Desc_Other">#REF!</definedName>
    <definedName name="Desc_Tray" localSheetId="0">#REF!</definedName>
    <definedName name="Desc_Tray">#REF!</definedName>
    <definedName name="designed" localSheetId="0">#REF!</definedName>
    <definedName name="designed">#REF!</definedName>
    <definedName name="DESUP_HTRS" localSheetId="0">#REF!</definedName>
    <definedName name="DESUP_HTRS">#REF!</definedName>
    <definedName name="DETAC" localSheetId="0">#REF!</definedName>
    <definedName name="DETAC">#REF!</definedName>
    <definedName name="DETAIL_TOT" localSheetId="0">#REF!</definedName>
    <definedName name="DETAIL_TOT">#REF!</definedName>
    <definedName name="detonators" localSheetId="0">#REF!</definedName>
    <definedName name="detonators">#REF!</definedName>
    <definedName name="devakumar" localSheetId="0">#REF!</definedName>
    <definedName name="devakumar">#REF!</definedName>
    <definedName name="Development_Phasing" localSheetId="0">#REF!</definedName>
    <definedName name="Development_Phasing">#REF!</definedName>
    <definedName name="devman" localSheetId="0">#REF!</definedName>
    <definedName name="devman">#REF!</definedName>
    <definedName name="Df" localSheetId="0">#REF!</definedName>
    <definedName name="Df">#REF!</definedName>
    <definedName name="DFADAD" localSheetId="0">#REF!</definedName>
    <definedName name="DFADAD">#REF!</definedName>
    <definedName name="dfafdasdf" localSheetId="0">#REF!</definedName>
    <definedName name="dfafdasdf">#REF!</definedName>
    <definedName name="DFDDA" localSheetId="0">#REF!</definedName>
    <definedName name="DFDDA">#REF!</definedName>
    <definedName name="DFDFG" localSheetId="0">#REF!</definedName>
    <definedName name="DFDFG">#REF!</definedName>
    <definedName name="dfds" localSheetId="0">#REF!</definedName>
    <definedName name="dfds">#REF!</definedName>
    <definedName name="dfdswf3t" localSheetId="0">#REF!</definedName>
    <definedName name="dfdswf3t">#REF!</definedName>
    <definedName name="Dff" localSheetId="0">#REF!</definedName>
    <definedName name="Dff">#REF!</definedName>
    <definedName name="DFFF" localSheetId="0">#REF!</definedName>
    <definedName name="DFFF">#REF!</definedName>
    <definedName name="dfgbvawgvqaVFG" localSheetId="0">#REF!</definedName>
    <definedName name="dfgbvawgvqaVFG">#REF!</definedName>
    <definedName name="DFGDF" localSheetId="0">#REF!</definedName>
    <definedName name="DFGDF">#REF!</definedName>
    <definedName name="dfgdfsg" localSheetId="0">#REF!</definedName>
    <definedName name="dfgdfsg">#REF!</definedName>
    <definedName name="dfgdsfg" localSheetId="0">#REF!</definedName>
    <definedName name="dfgdsfg">#REF!</definedName>
    <definedName name="dfggggggggggggggggggggggggggggggj" localSheetId="0">#REF!</definedName>
    <definedName name="dfggggggggggggggggggggggggggggggj">#REF!</definedName>
    <definedName name="DFGWSDGFSDGSGDSDG" localSheetId="0">#REF!</definedName>
    <definedName name="DFGWSDGFSDGSGDSDG">#REF!</definedName>
    <definedName name="DFHADAWEHYWER3WYEHRQH" localSheetId="0">#REF!</definedName>
    <definedName name="DFHADAWEHYWER3WYEHRQH">#REF!</definedName>
    <definedName name="dflt1" localSheetId="0">#REF!</definedName>
    <definedName name="dflt1">#REF!</definedName>
    <definedName name="dflt2" localSheetId="0">#REF!</definedName>
    <definedName name="dflt2">#REF!</definedName>
    <definedName name="dflt3" localSheetId="0">#REF!</definedName>
    <definedName name="dflt3">#REF!</definedName>
    <definedName name="dflt4" localSheetId="0">#REF!</definedName>
    <definedName name="dflt4">#REF!</definedName>
    <definedName name="dflt5" localSheetId="0">#REF!</definedName>
    <definedName name="dflt5">#REF!</definedName>
    <definedName name="dflt6" localSheetId="0">#REF!</definedName>
    <definedName name="dflt6">#REF!</definedName>
    <definedName name="dflt7" localSheetId="0">#REF!</definedName>
    <definedName name="dflt7">#REF!</definedName>
    <definedName name="DFSDF" localSheetId="0">#REF!</definedName>
    <definedName name="DFSDF">#REF!</definedName>
    <definedName name="dfsdfds" localSheetId="0">#REF!</definedName>
    <definedName name="dfsdfds">#REF!</definedName>
    <definedName name="dfshdfhdfhsdfhsdfh" localSheetId="0">#REF!</definedName>
    <definedName name="dfshdfhdfhsdfhsdfh">#REF!</definedName>
    <definedName name="dg" localSheetId="0">#REF!</definedName>
    <definedName name="dg">#REF!</definedName>
    <definedName name="DG100kva" localSheetId="0">#REF!</definedName>
    <definedName name="DG100kva">#REF!</definedName>
    <definedName name="DG125kva" localSheetId="0">#REF!</definedName>
    <definedName name="DG125kva">#REF!</definedName>
    <definedName name="DG33kva" localSheetId="0">#REF!</definedName>
    <definedName name="DG33kva">#REF!</definedName>
    <definedName name="dgbmpccrate" localSheetId="0">#REF!</definedName>
    <definedName name="dgbmpccrate">#REF!</definedName>
    <definedName name="DGDF" localSheetId="0">#REF!</definedName>
    <definedName name="DGDF">#REF!</definedName>
    <definedName name="DGDFG" localSheetId="0">#REF!</definedName>
    <definedName name="DGDFG">#REF!</definedName>
    <definedName name="dgfchhh" localSheetId="0">#REF!</definedName>
    <definedName name="dgfchhh">#REF!</definedName>
    <definedName name="dghdd" localSheetId="0">#REF!</definedName>
    <definedName name="dghdd">#REF!</definedName>
    <definedName name="dgv" localSheetId="0">#REF!</definedName>
    <definedName name="dgv">#REF!</definedName>
    <definedName name="DH_Occupancy" localSheetId="0">#REF!</definedName>
    <definedName name="DH_Occupancy">#REF!</definedName>
    <definedName name="Di" localSheetId="0">#REF!</definedName>
    <definedName name="Di">#REF!</definedName>
    <definedName name="Diagram" localSheetId="0">#REF!</definedName>
    <definedName name="Diagram">#REF!</definedName>
    <definedName name="DiagramLine" localSheetId="0">#REF!</definedName>
    <definedName name="DiagramLine">#REF!</definedName>
    <definedName name="dIESEL" localSheetId="0">#REF!</definedName>
    <definedName name="dIESEL">#REF!</definedName>
    <definedName name="dim4e" localSheetId="0">#REF!</definedName>
    <definedName name="dim4e">#REF!</definedName>
    <definedName name="DimLegA" localSheetId="0">#REF!</definedName>
    <definedName name="DimLegA">#REF!</definedName>
    <definedName name="DimLegB" localSheetId="0">#REF!</definedName>
    <definedName name="DimLegB">#REF!</definedName>
    <definedName name="DimLegC" localSheetId="0">#REF!</definedName>
    <definedName name="DimLegC">#REF!</definedName>
    <definedName name="DimLegD" localSheetId="0">#REF!</definedName>
    <definedName name="DimLegD">#REF!</definedName>
    <definedName name="DimLegE" localSheetId="0">#REF!</definedName>
    <definedName name="DimLegE">#REF!</definedName>
    <definedName name="DimLegR" localSheetId="0">#REF!</definedName>
    <definedName name="DimLegR">#REF!</definedName>
    <definedName name="DIns" localSheetId="0">#REF!</definedName>
    <definedName name="DIns">#REF!</definedName>
    <definedName name="DIRECT_BURIAL" localSheetId="0">#REF!</definedName>
    <definedName name="DIRECT_BURIAL">#REF!</definedName>
    <definedName name="DIRIS" localSheetId="0">#REF!</definedName>
    <definedName name="DIRIS">#REF!</definedName>
    <definedName name="Discount" localSheetId="0">#REF!</definedName>
    <definedName name="Discount">#REF!</definedName>
    <definedName name="discount_factor" localSheetId="0">#REF!</definedName>
    <definedName name="discount_factor">#REF!</definedName>
    <definedName name="DiscRep" localSheetId="0">#REF!</definedName>
    <definedName name="DiscRep">#REF!</definedName>
    <definedName name="display_area_1" localSheetId="0">#REF!</definedName>
    <definedName name="display_area_1">#REF!</definedName>
    <definedName name="display_area_2" localSheetId="0">#REF!</definedName>
    <definedName name="display_area_2">#REF!</definedName>
    <definedName name="dk" localSheetId="0">#REF!</definedName>
    <definedName name="dk">#REF!</definedName>
    <definedName name="dks" localSheetId="0">#REF!</definedName>
    <definedName name="dks">#REF!</definedName>
    <definedName name="dkt" localSheetId="0">#REF!</definedName>
    <definedName name="dkt">#REF!</definedName>
    <definedName name="dl" localSheetId="0">#REF!</definedName>
    <definedName name="dl">#REF!</definedName>
    <definedName name="dl___0" localSheetId="0">#REF!</definedName>
    <definedName name="dl___0">#REF!</definedName>
    <definedName name="dl___13" localSheetId="0">#REF!</definedName>
    <definedName name="dl___13">#REF!</definedName>
    <definedName name="dlbm" localSheetId="0">#REF!</definedName>
    <definedName name="dlbm">#REF!</definedName>
    <definedName name="dlbx" localSheetId="0">#REF!</definedName>
    <definedName name="dlbx">#REF!</definedName>
    <definedName name="DLM" localSheetId="0">#REF!</definedName>
    <definedName name="DLM">#REF!</definedName>
    <definedName name="Dm" localSheetId="0">#REF!</definedName>
    <definedName name="Dm">#REF!</definedName>
    <definedName name="dma" localSheetId="0">#REF!</definedName>
    <definedName name="dma">#REF!</definedName>
    <definedName name="dms" localSheetId="0">#REF!</definedName>
    <definedName name="dms">#REF!</definedName>
    <definedName name="dmt" localSheetId="0">#REF!</definedName>
    <definedName name="dmt">#REF!</definedName>
    <definedName name="Do" localSheetId="0">#REF!</definedName>
    <definedName name="Do">#REF!</definedName>
    <definedName name="Doc_Hrs" localSheetId="0">#REF!</definedName>
    <definedName name="Doc_Hrs">#REF!</definedName>
    <definedName name="docu" localSheetId="0">#REF!</definedName>
    <definedName name="docu">#REF!</definedName>
    <definedName name="door" localSheetId="0">#REF!</definedName>
    <definedName name="door">#REF!</definedName>
    <definedName name="DOORS" localSheetId="0">#REF!</definedName>
    <definedName name="DOORS">#REF!</definedName>
    <definedName name="dos" localSheetId="0">#REF!</definedName>
    <definedName name="dos">#REF!</definedName>
    <definedName name="DOW_CORNING_789_SILICONE_SEALANT" localSheetId="0">#REF!</definedName>
    <definedName name="DOW_CORNING_789_SILICONE_SEALANT">#REF!</definedName>
    <definedName name="dozer" localSheetId="0">#REF!</definedName>
    <definedName name="dozer">#REF!</definedName>
    <definedName name="dozer200" localSheetId="0">#REF!</definedName>
    <definedName name="dozer200">#REF!</definedName>
    <definedName name="dozeroperator" localSheetId="0">#REF!</definedName>
    <definedName name="dozeroperator">#REF!</definedName>
    <definedName name="DP" localSheetId="0">#REF!</definedName>
    <definedName name="DP">#REF!</definedName>
    <definedName name="dP_INST" localSheetId="0">#REF!</definedName>
    <definedName name="dP_INST">#REF!</definedName>
    <definedName name="dq" localSheetId="0">#REF!</definedName>
    <definedName name="dq">#REF!</definedName>
    <definedName name="dr" localSheetId="0">#REF!</definedName>
    <definedName name="dr">#REF!</definedName>
    <definedName name="DR.33" localSheetId="0">#REF!</definedName>
    <definedName name="DR.33">#REF!</definedName>
    <definedName name="DR.46" localSheetId="0">#REF!</definedName>
    <definedName name="DR.46">#REF!</definedName>
    <definedName name="DR.56" localSheetId="0">#REF!</definedName>
    <definedName name="DR.56">#REF!</definedName>
    <definedName name="Dr_rate" localSheetId="0">#REF!</definedName>
    <definedName name="Dr_rate">#REF!</definedName>
    <definedName name="DrawingNo" localSheetId="0">#REF!</definedName>
    <definedName name="DrawingNo">#REF!</definedName>
    <definedName name="drawingnr" localSheetId="0">#REF!</definedName>
    <definedName name="drawingnr">#REF!</definedName>
    <definedName name="dresser" localSheetId="0">#REF!</definedName>
    <definedName name="dresser">#REF!</definedName>
    <definedName name="drill" localSheetId="0">#REF!</definedName>
    <definedName name="drill">#REF!</definedName>
    <definedName name="drill12" localSheetId="0">#REF!</definedName>
    <definedName name="drill12">#REF!</definedName>
    <definedName name="driller" localSheetId="0">#REF!</definedName>
    <definedName name="driller">#REF!</definedName>
    <definedName name="drillingequipment" localSheetId="0">#REF!</definedName>
    <definedName name="drillingequipment">#REF!</definedName>
    <definedName name="driverhmv" localSheetId="0">#REF!</definedName>
    <definedName name="driverhmv">#REF!</definedName>
    <definedName name="driverlmv" localSheetId="0">#REF!</definedName>
    <definedName name="driverlmv">#REF!</definedName>
    <definedName name="Ds" localSheetId="0">#REF!</definedName>
    <definedName name="Ds">#REF!</definedName>
    <definedName name="Ds___0" localSheetId="0">#REF!</definedName>
    <definedName name="Ds___0">#REF!</definedName>
    <definedName name="Ds___13" localSheetId="0">#REF!</definedName>
    <definedName name="Ds___13">#REF!</definedName>
    <definedName name="DSADS" localSheetId="0">#REF!</definedName>
    <definedName name="DSADS">#REF!</definedName>
    <definedName name="dsat" localSheetId="0">#REF!</definedName>
    <definedName name="dsat">#REF!</definedName>
    <definedName name="dscads" localSheetId="0">#REF!</definedName>
    <definedName name="dscads">#REF!</definedName>
    <definedName name="dsdfqwr" localSheetId="0">#REF!</definedName>
    <definedName name="dsdfqwr">#REF!</definedName>
    <definedName name="dsds" localSheetId="0">#REF!</definedName>
    <definedName name="dsds">#REF!</definedName>
    <definedName name="dsdud" localSheetId="0">#REF!</definedName>
    <definedName name="dsdud">#REF!</definedName>
    <definedName name="dsfdsfdsfdasfdfs" localSheetId="6">#REF!</definedName>
    <definedName name="dsfdsfdsfdasfdfs" localSheetId="7">#REF!</definedName>
    <definedName name="dsfdsfdsfdasfdfs" localSheetId="0">#REF!</definedName>
    <definedName name="dsfdsfdsfdasfdfs">#REF!</definedName>
    <definedName name="dsfgdsfgsgf" localSheetId="0">#REF!</definedName>
    <definedName name="dsfgdsfgsgf">#REF!</definedName>
    <definedName name="dsfgsd" localSheetId="0">#REF!</definedName>
    <definedName name="dsfgsd">#REF!</definedName>
    <definedName name="dsfj" localSheetId="0">#REF!</definedName>
    <definedName name="dsfj">#REF!</definedName>
    <definedName name="dtkkkkkkkkkkkkkkkkkkkkkkkkkkkkkkkkkkkk" localSheetId="0">#REF!</definedName>
    <definedName name="dtkkkkkkkkkkkkkkkkkkkkkkkkkkkkkkkkkkkk">#REF!</definedName>
    <definedName name="duct" localSheetId="0">#REF!</definedName>
    <definedName name="duct">#REF!</definedName>
    <definedName name="dummy" localSheetId="0">#REF!</definedName>
    <definedName name="dummy">#REF!</definedName>
    <definedName name="Duration1" localSheetId="0">#REF!</definedName>
    <definedName name="Duration1">#REF!</definedName>
    <definedName name="Dust" localSheetId="0">#REF!</definedName>
    <definedName name="Dust">#REF!</definedName>
    <definedName name="Dv" localSheetId="0">#REF!</definedName>
    <definedName name="Dv">#REF!</definedName>
    <definedName name="dvat" localSheetId="0">#REF!</definedName>
    <definedName name="dvat">#REF!</definedName>
    <definedName name="DWG" localSheetId="0">#REF!</definedName>
    <definedName name="DWG">#REF!</definedName>
    <definedName name="dwrl" localSheetId="0">#REF!</definedName>
    <definedName name="dwrl">#REF!</definedName>
    <definedName name="dwrm" localSheetId="0">#REF!</definedName>
    <definedName name="dwrm">#REF!</definedName>
    <definedName name="dwrp" localSheetId="0">#REF!</definedName>
    <definedName name="dwrp">#REF!</definedName>
    <definedName name="Dx" localSheetId="0">#REF!</definedName>
    <definedName name="Dx">#REF!</definedName>
    <definedName name="dxca" localSheetId="0">#REF!</definedName>
    <definedName name="dxca">#REF!</definedName>
    <definedName name="dxs" localSheetId="0">#REF!</definedName>
    <definedName name="dxs">#REF!</definedName>
    <definedName name="Dy" localSheetId="0">#REF!</definedName>
    <definedName name="Dy">#REF!</definedName>
    <definedName name="dzfwbe" localSheetId="0">#REF!</definedName>
    <definedName name="dzfwbe">#REF!</definedName>
    <definedName name="E" localSheetId="0">#REF!</definedName>
    <definedName name="E">#REF!</definedName>
    <definedName name="E.1" localSheetId="0">#REF!</definedName>
    <definedName name="E.1">#REF!</definedName>
    <definedName name="E.D.C.O" localSheetId="0">#REF!</definedName>
    <definedName name="E.D.C.O">#REF!</definedName>
    <definedName name="e.nos" localSheetId="0">#REF!</definedName>
    <definedName name="e.nos">#REF!</definedName>
    <definedName name="E_C_HARRIS___TENDER_PRICE_INDEX" localSheetId="0">#REF!</definedName>
    <definedName name="E_C_HARRIS___TENDER_PRICE_INDEX">#REF!</definedName>
    <definedName name="E_Waterproofing" localSheetId="0">#REF!</definedName>
    <definedName name="E_Waterproofing">#REF!</definedName>
    <definedName name="EB32D" localSheetId="0">#REF!</definedName>
    <definedName name="EB32D">#REF!</definedName>
    <definedName name="EB32F" localSheetId="0">#REF!</definedName>
    <definedName name="EB32F">#REF!</definedName>
    <definedName name="EB63F" localSheetId="0">#REF!</definedName>
    <definedName name="EB63F">#REF!</definedName>
    <definedName name="Ebc" localSheetId="0">#REF!</definedName>
    <definedName name="Ebc">#REF!</definedName>
    <definedName name="ecs" localSheetId="0">#REF!</definedName>
    <definedName name="ecs">#REF!</definedName>
    <definedName name="ED" localSheetId="0">#REF!</definedName>
    <definedName name="ED">#REF!</definedName>
    <definedName name="EDB" localSheetId="0">#REF!</definedName>
    <definedName name="EDB">#REF!</definedName>
    <definedName name="edgar" localSheetId="0">#REF!</definedName>
    <definedName name="edgar">#REF!</definedName>
    <definedName name="EE" localSheetId="0">#REF!</definedName>
    <definedName name="EE">#REF!</definedName>
    <definedName name="EEE" localSheetId="0">#REF!</definedName>
    <definedName name="EEE">#REF!</definedName>
    <definedName name="eeeeeeeeeee" localSheetId="0">#REF!</definedName>
    <definedName name="eeeeeeeeeee">#REF!</definedName>
    <definedName name="Eela" localSheetId="0">#REF!</definedName>
    <definedName name="Eela">#REF!</definedName>
    <definedName name="ees" localSheetId="0">#REF!</definedName>
    <definedName name="ees">#REF!</definedName>
    <definedName name="EFA" localSheetId="0">#REF!</definedName>
    <definedName name="EFA">#REF!</definedName>
    <definedName name="efgh" localSheetId="0">#REF!</definedName>
    <definedName name="efgh">#REF!</definedName>
    <definedName name="EFTR2" localSheetId="0">#REF!</definedName>
    <definedName name="EFTR2">#REF!</definedName>
    <definedName name="egt301d" localSheetId="0">#REF!</definedName>
    <definedName name="egt301d">#REF!</definedName>
    <definedName name="egt330d" localSheetId="0">#REF!</definedName>
    <definedName name="egt330d">#REF!</definedName>
    <definedName name="EL40F" localSheetId="0">#REF!</definedName>
    <definedName name="EL40F">#REF!</definedName>
    <definedName name="EL63F" localSheetId="0">#REF!</definedName>
    <definedName name="EL63F">#REF!</definedName>
    <definedName name="elasto" localSheetId="0">#REF!</definedName>
    <definedName name="elasto">#REF!</definedName>
    <definedName name="ELBLK_REMARKS" localSheetId="0">#REF!</definedName>
    <definedName name="ELBLK_REMARKS">#REF!</definedName>
    <definedName name="ELEC_INSTR" localSheetId="0">#REF!</definedName>
    <definedName name="ELEC_INSTR">#REF!</definedName>
    <definedName name="ELECTRICAL" localSheetId="0">#REF!</definedName>
    <definedName name="ELECTRICAL">#REF!</definedName>
    <definedName name="electrician" localSheetId="0">#REF!</definedName>
    <definedName name="electrician">#REF!</definedName>
    <definedName name="electricpoles" localSheetId="0">#REF!</definedName>
    <definedName name="electricpoles">#REF!</definedName>
    <definedName name="ELEQ_REMARKS" localSheetId="0">#REF!</definedName>
    <definedName name="ELEQ_REMARKS">#REF!</definedName>
    <definedName name="elite" localSheetId="0">#REF!</definedName>
    <definedName name="elite">#REF!</definedName>
    <definedName name="elite2" localSheetId="0">#REF!</definedName>
    <definedName name="elite2">#REF!</definedName>
    <definedName name="Em" localSheetId="0">#REF!</definedName>
    <definedName name="Em">#REF!</definedName>
    <definedName name="Em___0" localSheetId="0">#REF!</definedName>
    <definedName name="Em___0">#REF!</definedName>
    <definedName name="Em___13" localSheetId="0">#REF!</definedName>
    <definedName name="Em___13">#REF!</definedName>
    <definedName name="EM_6400" localSheetId="0">#REF!</definedName>
    <definedName name="EM_6400">#REF!</definedName>
    <definedName name="EM3360E" localSheetId="0">#REF!</definedName>
    <definedName name="EM3360E">#REF!</definedName>
    <definedName name="Email" localSheetId="0">#REF!</definedName>
    <definedName name="Email">#REF!</definedName>
    <definedName name="EMB" localSheetId="0">#REF!</definedName>
    <definedName name="EMB">#REF!</definedName>
    <definedName name="EMB_METAL_COND" localSheetId="0">#REF!</definedName>
    <definedName name="EMB_METAL_COND">#REF!</definedName>
    <definedName name="emuldistr" localSheetId="6">#REF!</definedName>
    <definedName name="emuldistr" localSheetId="7">#REF!</definedName>
    <definedName name="emuldistr" localSheetId="0">#REF!</definedName>
    <definedName name="emuldistr">#REF!</definedName>
    <definedName name="ENABLE" localSheetId="0">#REF!</definedName>
    <definedName name="ENABLE">#REF!</definedName>
    <definedName name="enamelpaint" localSheetId="0">#REF!</definedName>
    <definedName name="enamelpaint">#REF!</definedName>
    <definedName name="end" localSheetId="0">#REF!</definedName>
    <definedName name="end">#REF!</definedName>
    <definedName name="End_Bal" localSheetId="0">#REF!</definedName>
    <definedName name="End_Bal">#REF!</definedName>
    <definedName name="EndBorder" localSheetId="0">#REF!</definedName>
    <definedName name="EndBorder">#REF!</definedName>
    <definedName name="Eng_Hrs" localSheetId="0">#REF!</definedName>
    <definedName name="Eng_Hrs">#REF!</definedName>
    <definedName name="Eng_Rev" localSheetId="0">#REF!</definedName>
    <definedName name="Eng_Rev">#REF!</definedName>
    <definedName name="environmentalcost" localSheetId="0">#REF!</definedName>
    <definedName name="environmentalcost">#REF!</definedName>
    <definedName name="Epi" localSheetId="0">#REF!</definedName>
    <definedName name="Epi">#REF!</definedName>
    <definedName name="epoxy" localSheetId="0">#REF!</definedName>
    <definedName name="epoxy">#REF!</definedName>
    <definedName name="eqjwd" localSheetId="0">#REF!</definedName>
    <definedName name="eqjwd">#REF!</definedName>
    <definedName name="EQUIP70_CITY" localSheetId="0">#REF!</definedName>
    <definedName name="EQUIP70_CITY">#REF!</definedName>
    <definedName name="EQUIP70_ESC" localSheetId="0">#REF!</definedName>
    <definedName name="EQUIP70_ESC">#REF!</definedName>
    <definedName name="EQUIP70_HRS" localSheetId="0">#REF!</definedName>
    <definedName name="EQUIP70_HRS">#REF!</definedName>
    <definedName name="EQUIP70_LAB" localSheetId="0">#REF!</definedName>
    <definedName name="EQUIP70_LAB">#REF!</definedName>
    <definedName name="EQUIP70_MAT" localSheetId="0">#REF!</definedName>
    <definedName name="EQUIP70_MAT">#REF!</definedName>
    <definedName name="EQUIP70_OLD_CITY" localSheetId="0">#REF!</definedName>
    <definedName name="EQUIP70_OLD_CITY">#REF!</definedName>
    <definedName name="EQUIP70_OLD_ESC" localSheetId="0">#REF!</definedName>
    <definedName name="EQUIP70_OLD_ESC">#REF!</definedName>
    <definedName name="EQUIP70_OLD_PROD" localSheetId="0">#REF!</definedName>
    <definedName name="EQUIP70_OLD_PROD">#REF!</definedName>
    <definedName name="EQUIP70_OLD_WAGE" localSheetId="0">#REF!</definedName>
    <definedName name="EQUIP70_OLD_WAGE">#REF!</definedName>
    <definedName name="EQUIP70_PROD" localSheetId="0">#REF!</definedName>
    <definedName name="EQUIP70_PROD">#REF!</definedName>
    <definedName name="EQUIP70_SC" localSheetId="0">#REF!</definedName>
    <definedName name="EQUIP70_SC">#REF!</definedName>
    <definedName name="EQUIP70_SCHRS" localSheetId="0">#REF!</definedName>
    <definedName name="EQUIP70_SCHRS">#REF!</definedName>
    <definedName name="EQUIP70_TOT" localSheetId="0">#REF!</definedName>
    <definedName name="EQUIP70_TOT">#REF!</definedName>
    <definedName name="EQUIP70_WAGE" localSheetId="0">#REF!</definedName>
    <definedName name="EQUIP70_WAGE">#REF!</definedName>
    <definedName name="Equity_2" localSheetId="0">#REF!</definedName>
    <definedName name="Equity_2">#REF!</definedName>
    <definedName name="EquityYield" localSheetId="0">#REF!</definedName>
    <definedName name="EquityYield">#REF!</definedName>
    <definedName name="eqw" localSheetId="0">#REF!</definedName>
    <definedName name="eqw">#REF!</definedName>
    <definedName name="ERDYRYJNRS" localSheetId="0">#REF!</definedName>
    <definedName name="ERDYRYJNRS">#REF!</definedName>
    <definedName name="Erection_Cost" localSheetId="0">#REF!</definedName>
    <definedName name="Erection_Cost">#REF!</definedName>
    <definedName name="Erection_Sales" localSheetId="0">#REF!</definedName>
    <definedName name="Erection_Sales">#REF!</definedName>
    <definedName name="ererer" localSheetId="0">#REF!</definedName>
    <definedName name="ererer">#REF!</definedName>
    <definedName name="ererwtert" localSheetId="0">#REF!</definedName>
    <definedName name="ererwtert">#REF!</definedName>
    <definedName name="eret" localSheetId="0">#REF!</definedName>
    <definedName name="eret">#REF!</definedName>
    <definedName name="err" localSheetId="0">#REF!</definedName>
    <definedName name="err">#REF!</definedName>
    <definedName name="erretr" localSheetId="0">#REF!</definedName>
    <definedName name="erretr">#REF!</definedName>
    <definedName name="ERRYTYIUOPOPLHJHGFGDFF" localSheetId="0">#REF!</definedName>
    <definedName name="ERRYTYIUOPOPLHJHGFGDFF">#REF!</definedName>
    <definedName name="ert" localSheetId="0">#REF!</definedName>
    <definedName name="ert">#REF!</definedName>
    <definedName name="ERTERTERTERTERTETER" localSheetId="0">#REF!</definedName>
    <definedName name="ERTERTERTERTERTETER">#REF!</definedName>
    <definedName name="ERTRETERT" localSheetId="0">#REF!</definedName>
    <definedName name="ERTRETERT">#REF!</definedName>
    <definedName name="ERWERW" localSheetId="0">#REF!</definedName>
    <definedName name="ERWERW">#REF!</definedName>
    <definedName name="Es" localSheetId="0">#REF!</definedName>
    <definedName name="Es">#REF!</definedName>
    <definedName name="Es___0" localSheetId="0">#REF!</definedName>
    <definedName name="Es___0">#REF!</definedName>
    <definedName name="Es___13" localSheetId="0">#REF!</definedName>
    <definedName name="Es___13">#REF!</definedName>
    <definedName name="ESC_CABLE" localSheetId="0">#REF!</definedName>
    <definedName name="ESC_CABLE">#REF!</definedName>
    <definedName name="ESC_CNTL_VLVES" localSheetId="0">#REF!</definedName>
    <definedName name="ESC_CNTL_VLVES">#REF!</definedName>
    <definedName name="ESC_COND" localSheetId="0">#REF!</definedName>
    <definedName name="ESC_COND">#REF!</definedName>
    <definedName name="ESC_DB" localSheetId="0">#REF!</definedName>
    <definedName name="ESC_DB">#REF!</definedName>
    <definedName name="ESC_OTHER" localSheetId="0">#REF!</definedName>
    <definedName name="ESC_OTHER">#REF!</definedName>
    <definedName name="ESC_TRAY" localSheetId="0">#REF!</definedName>
    <definedName name="ESC_TRAY">#REF!</definedName>
    <definedName name="ESF" localSheetId="0">#REF!</definedName>
    <definedName name="ESF">#REF!</definedName>
    <definedName name="Ess" localSheetId="0">#REF!</definedName>
    <definedName name="Ess">#REF!</definedName>
    <definedName name="ESSR1" localSheetId="0">#REF!</definedName>
    <definedName name="ESSR1">#REF!</definedName>
    <definedName name="ESSR10" localSheetId="0">#REF!</definedName>
    <definedName name="ESSR10">#REF!</definedName>
    <definedName name="ESSR11" localSheetId="0">#REF!</definedName>
    <definedName name="ESSR11">#REF!</definedName>
    <definedName name="ESSR12" localSheetId="0">#REF!</definedName>
    <definedName name="ESSR12">#REF!</definedName>
    <definedName name="ESSR13" localSheetId="0">#REF!</definedName>
    <definedName name="ESSR13">#REF!</definedName>
    <definedName name="ESSR2" localSheetId="0">#REF!</definedName>
    <definedName name="ESSR2">#REF!</definedName>
    <definedName name="ESSR3" localSheetId="0">#REF!</definedName>
    <definedName name="ESSR3">#REF!</definedName>
    <definedName name="ESSR4" localSheetId="0">#REF!</definedName>
    <definedName name="ESSR4">#REF!</definedName>
    <definedName name="ESSR5" localSheetId="0">#REF!</definedName>
    <definedName name="ESSR5">#REF!</definedName>
    <definedName name="ESSR6" localSheetId="0">#REF!</definedName>
    <definedName name="ESSR6">#REF!</definedName>
    <definedName name="ESSR7" localSheetId="0">#REF!</definedName>
    <definedName name="ESSR7">#REF!</definedName>
    <definedName name="ESSR8" localSheetId="0">#REF!</definedName>
    <definedName name="ESSR8">#REF!</definedName>
    <definedName name="ESSR9" localSheetId="0">#REF!</definedName>
    <definedName name="ESSR9">#REF!</definedName>
    <definedName name="esti" localSheetId="0">#REF!</definedName>
    <definedName name="esti">#REF!</definedName>
    <definedName name="estimate" localSheetId="0">#REF!</definedName>
    <definedName name="estimate">#REF!</definedName>
    <definedName name="EstimateType" localSheetId="0">#REF!</definedName>
    <definedName name="EstimateType">#REF!</definedName>
    <definedName name="Estimation" localSheetId="0">#REF!</definedName>
    <definedName name="Estimation">#REF!</definedName>
    <definedName name="estimation1" localSheetId="0">#REF!</definedName>
    <definedName name="estimation1">#REF!</definedName>
    <definedName name="Et" localSheetId="0">#REF!</definedName>
    <definedName name="Et">#REF!</definedName>
    <definedName name="Et___0" localSheetId="0">#REF!</definedName>
    <definedName name="Et___0">#REF!</definedName>
    <definedName name="Et___13" localSheetId="0">#REF!</definedName>
    <definedName name="Et___13">#REF!</definedName>
    <definedName name="Eta" localSheetId="0">#REF!</definedName>
    <definedName name="Eta">#REF!</definedName>
    <definedName name="etew" localSheetId="0">#REF!</definedName>
    <definedName name="etew">#REF!</definedName>
    <definedName name="etewt" localSheetId="0">#REF!</definedName>
    <definedName name="etewt">#REF!</definedName>
    <definedName name="Eth" localSheetId="0">#REF!</definedName>
    <definedName name="Eth">#REF!</definedName>
    <definedName name="eto" localSheetId="0">#REF!</definedName>
    <definedName name="eto">#REF!</definedName>
    <definedName name="eu" localSheetId="0">#REF!</definedName>
    <definedName name="eu">#REF!</definedName>
    <definedName name="EW" localSheetId="0">#REF!</definedName>
    <definedName name="EW">#REF!</definedName>
    <definedName name="EWEDWFRW" localSheetId="0">#REF!</definedName>
    <definedName name="EWEDWFRW">#REF!</definedName>
    <definedName name="ewtew" localSheetId="0">#REF!</definedName>
    <definedName name="ewtew">#REF!</definedName>
    <definedName name="EX" localSheetId="0">#REF!</definedName>
    <definedName name="EX">#REF!</definedName>
    <definedName name="EXCAVATION" localSheetId="0">#REF!</definedName>
    <definedName name="EXCAVATION">#REF!</definedName>
    <definedName name="EXCAVATION1" localSheetId="0">#REF!</definedName>
    <definedName name="EXCAVATION1">#REF!</definedName>
    <definedName name="excavator" localSheetId="0">#REF!</definedName>
    <definedName name="excavator">#REF!</definedName>
    <definedName name="excavcl" localSheetId="0">#REF!</definedName>
    <definedName name="excavcl">#REF!</definedName>
    <definedName name="excavnosculvert" localSheetId="0">#REF!</definedName>
    <definedName name="excavnosculvert">#REF!</definedName>
    <definedName name="Excel_BuiltIn__FilterDatabase_1" localSheetId="0">#REF!</definedName>
    <definedName name="Excel_BuiltIn__FilterDatabase_1">#REF!</definedName>
    <definedName name="Excel_BuiltIn__FilterDatabase_17" localSheetId="0">#REF!</definedName>
    <definedName name="Excel_BuiltIn__FilterDatabase_17">#REF!</definedName>
    <definedName name="Excel_BuiltIn__FilterDatabase_2" localSheetId="6">#REF!</definedName>
    <definedName name="Excel_BuiltIn__FilterDatabase_2" localSheetId="7">#REF!</definedName>
    <definedName name="Excel_BuiltIn__FilterDatabase_2" localSheetId="0">#REF!</definedName>
    <definedName name="Excel_BuiltIn__FilterDatabase_2">#REF!</definedName>
    <definedName name="Excel_BuiltIn__FilterDatabase_2_1" localSheetId="0">#REF!</definedName>
    <definedName name="Excel_BuiltIn__FilterDatabase_2_1">#REF!</definedName>
    <definedName name="Excel_BuiltIn__FilterDatabase_2_4" localSheetId="0">#REF!</definedName>
    <definedName name="Excel_BuiltIn__FilterDatabase_2_4">#REF!</definedName>
    <definedName name="Excel_BuiltIn__FilterDatabase_3" localSheetId="0">#REF!</definedName>
    <definedName name="Excel_BuiltIn__FilterDatabase_3">#REF!</definedName>
    <definedName name="Excel_BuiltIn__FilterDatabase_4_1" localSheetId="0">#REF!</definedName>
    <definedName name="Excel_BuiltIn__FilterDatabase_4_1">#REF!</definedName>
    <definedName name="Excel_BuiltIn__FilterDatabase_7" localSheetId="0">#REF!</definedName>
    <definedName name="Excel_BuiltIn__FilterDatabase_7">#REF!</definedName>
    <definedName name="Excel_BuiltIn_Criteria" localSheetId="0">#REF!</definedName>
    <definedName name="Excel_BuiltIn_Criteria">#REF!</definedName>
    <definedName name="Excel_BuiltIn_Database" localSheetId="0">#REF!</definedName>
    <definedName name="Excel_BuiltIn_Database">#REF!</definedName>
    <definedName name="Excel_BuiltIn_Database_0" localSheetId="0">#REF!</definedName>
    <definedName name="Excel_BuiltIn_Database_0">#REF!</definedName>
    <definedName name="Excel_BuiltIn_Print_Area" localSheetId="0">#REF!</definedName>
    <definedName name="Excel_BuiltIn_Print_Area">#REF!</definedName>
    <definedName name="Excel_BuiltIn_Print_Area_1" localSheetId="0">#REF!</definedName>
    <definedName name="Excel_BuiltIn_Print_Area_1">#REF!</definedName>
    <definedName name="Excel_BuiltIn_Print_Area_1_1" localSheetId="0">#REF!</definedName>
    <definedName name="Excel_BuiltIn_Print_Area_1_1">#REF!</definedName>
    <definedName name="Excel_BuiltIn_Print_Area_1_1_1" localSheetId="0">#REF!</definedName>
    <definedName name="Excel_BuiltIn_Print_Area_1_1_1">#REF!</definedName>
    <definedName name="Excel_BuiltIn_Print_Area_1_1_1_1" localSheetId="0">#REF!</definedName>
    <definedName name="Excel_BuiltIn_Print_Area_1_1_1_1">#REF!</definedName>
    <definedName name="Excel_BuiltIn_Print_Area_10" localSheetId="0">#REF!</definedName>
    <definedName name="Excel_BuiltIn_Print_Area_10">#REF!</definedName>
    <definedName name="Excel_BuiltIn_Print_Area_11" localSheetId="0">#REF!</definedName>
    <definedName name="Excel_BuiltIn_Print_Area_11">#REF!</definedName>
    <definedName name="Excel_BuiltIn_Print_Area_11_1" localSheetId="0">#REF!</definedName>
    <definedName name="Excel_BuiltIn_Print_Area_11_1">#REF!</definedName>
    <definedName name="Excel_BuiltIn_Print_Area_12" localSheetId="0">#REF!</definedName>
    <definedName name="Excel_BuiltIn_Print_Area_12">#REF!</definedName>
    <definedName name="Excel_BuiltIn_Print_Area_13" localSheetId="0">#REF!</definedName>
    <definedName name="Excel_BuiltIn_Print_Area_13">#REF!</definedName>
    <definedName name="Excel_BuiltIn_Print_Area_13_1" localSheetId="0">#REF!</definedName>
    <definedName name="Excel_BuiltIn_Print_Area_13_1">#REF!</definedName>
    <definedName name="Excel_BuiltIn_Print_Area_14" localSheetId="0">#REF!</definedName>
    <definedName name="Excel_BuiltIn_Print_Area_14">#REF!</definedName>
    <definedName name="Excel_BuiltIn_Print_Area_14_1" localSheetId="0">#REF!</definedName>
    <definedName name="Excel_BuiltIn_Print_Area_14_1">#REF!</definedName>
    <definedName name="Excel_BuiltIn_Print_Area_15" localSheetId="0">#REF!</definedName>
    <definedName name="Excel_BuiltIn_Print_Area_15">#REF!</definedName>
    <definedName name="Excel_BuiltIn_Print_Area_15_1" localSheetId="0">#REF!</definedName>
    <definedName name="Excel_BuiltIn_Print_Area_15_1">#REF!</definedName>
    <definedName name="Excel_BuiltIn_Print_Area_16" localSheetId="0">#REF!</definedName>
    <definedName name="Excel_BuiltIn_Print_Area_16">#REF!</definedName>
    <definedName name="Excel_BuiltIn_Print_Area_16_1" localSheetId="0">#REF!</definedName>
    <definedName name="Excel_BuiltIn_Print_Area_16_1">#REF!</definedName>
    <definedName name="Excel_BuiltIn_Print_Area_17" localSheetId="0">#REF!</definedName>
    <definedName name="Excel_BuiltIn_Print_Area_17">#REF!</definedName>
    <definedName name="Excel_BuiltIn_Print_Area_17_1" localSheetId="0">#REF!</definedName>
    <definedName name="Excel_BuiltIn_Print_Area_17_1">#REF!</definedName>
    <definedName name="Excel_BuiltIn_Print_Area_18" localSheetId="0">#REF!</definedName>
    <definedName name="Excel_BuiltIn_Print_Area_18">#REF!</definedName>
    <definedName name="Excel_BuiltIn_Print_Area_18_1" localSheetId="0">#REF!</definedName>
    <definedName name="Excel_BuiltIn_Print_Area_18_1">#REF!</definedName>
    <definedName name="Excel_BuiltIn_Print_Area_19" localSheetId="0">#REF!</definedName>
    <definedName name="Excel_BuiltIn_Print_Area_19">#REF!</definedName>
    <definedName name="Excel_BuiltIn_Print_Area_19_1" localSheetId="0">#REF!</definedName>
    <definedName name="Excel_BuiltIn_Print_Area_19_1">#REF!</definedName>
    <definedName name="Excel_BuiltIn_Print_Area_2" localSheetId="0">#REF!</definedName>
    <definedName name="Excel_BuiltIn_Print_Area_2">#REF!</definedName>
    <definedName name="Excel_BuiltIn_Print_Area_2_1" localSheetId="0">#REF!</definedName>
    <definedName name="Excel_BuiltIn_Print_Area_2_1">#REF!</definedName>
    <definedName name="Excel_BuiltIn_Print_Area_2_1_1" localSheetId="0">#REF!</definedName>
    <definedName name="Excel_BuiltIn_Print_Area_2_1_1">#REF!</definedName>
    <definedName name="Excel_BuiltIn_Print_Area_2_1_1_1" localSheetId="0">#REF!</definedName>
    <definedName name="Excel_BuiltIn_Print_Area_2_1_1_1">#REF!</definedName>
    <definedName name="Excel_BuiltIn_Print_Area_2_1_1_1_1" localSheetId="0">#REF!</definedName>
    <definedName name="Excel_BuiltIn_Print_Area_2_1_1_1_1">#REF!</definedName>
    <definedName name="Excel_BuiltIn_Print_Area_20" localSheetId="0">#REF!</definedName>
    <definedName name="Excel_BuiltIn_Print_Area_20">#REF!</definedName>
    <definedName name="Excel_BuiltIn_Print_Area_20_1" localSheetId="0">#REF!</definedName>
    <definedName name="Excel_BuiltIn_Print_Area_20_1">#REF!</definedName>
    <definedName name="Excel_BuiltIn_Print_Area_21" localSheetId="0">#REF!</definedName>
    <definedName name="Excel_BuiltIn_Print_Area_21">#REF!</definedName>
    <definedName name="Excel_BuiltIn_Print_Area_21_1" localSheetId="0">#REF!</definedName>
    <definedName name="Excel_BuiltIn_Print_Area_21_1">#REF!</definedName>
    <definedName name="Excel_BuiltIn_Print_Area_22" localSheetId="0">#REF!</definedName>
    <definedName name="Excel_BuiltIn_Print_Area_22">#REF!</definedName>
    <definedName name="Excel_BuiltIn_Print_Area_22_1" localSheetId="0">#REF!</definedName>
    <definedName name="Excel_BuiltIn_Print_Area_22_1">#REF!</definedName>
    <definedName name="Excel_BuiltIn_Print_Area_23" localSheetId="0">#REF!</definedName>
    <definedName name="Excel_BuiltIn_Print_Area_23">#REF!</definedName>
    <definedName name="Excel_BuiltIn_Print_Area_23_1" localSheetId="0">#REF!</definedName>
    <definedName name="Excel_BuiltIn_Print_Area_23_1">#REF!</definedName>
    <definedName name="Excel_BuiltIn_Print_Area_24" localSheetId="0">#REF!</definedName>
    <definedName name="Excel_BuiltIn_Print_Area_24">#REF!</definedName>
    <definedName name="Excel_BuiltIn_Print_Area_24_1" localSheetId="0">#REF!</definedName>
    <definedName name="Excel_BuiltIn_Print_Area_24_1">#REF!</definedName>
    <definedName name="Excel_BuiltIn_Print_Area_25" localSheetId="0">#REF!</definedName>
    <definedName name="Excel_BuiltIn_Print_Area_25">#REF!</definedName>
    <definedName name="Excel_BuiltIn_Print_Area_25_1" localSheetId="0">#REF!</definedName>
    <definedName name="Excel_BuiltIn_Print_Area_25_1">#REF!</definedName>
    <definedName name="Excel_BuiltIn_Print_Area_26" localSheetId="0">#REF!</definedName>
    <definedName name="Excel_BuiltIn_Print_Area_26">#REF!</definedName>
    <definedName name="Excel_BuiltIn_Print_Area_27" localSheetId="0">#REF!</definedName>
    <definedName name="Excel_BuiltIn_Print_Area_27">#REF!</definedName>
    <definedName name="Excel_BuiltIn_Print_Area_28" localSheetId="0">#REF!</definedName>
    <definedName name="Excel_BuiltIn_Print_Area_28">#REF!</definedName>
    <definedName name="Excel_BuiltIn_Print_Area_28_1" localSheetId="0">#REF!</definedName>
    <definedName name="Excel_BuiltIn_Print_Area_28_1">#REF!</definedName>
    <definedName name="Excel_BuiltIn_Print_Area_29" localSheetId="0">#REF!</definedName>
    <definedName name="Excel_BuiltIn_Print_Area_29">#REF!</definedName>
    <definedName name="Excel_BuiltIn_Print_Area_29_1" localSheetId="0">#REF!</definedName>
    <definedName name="Excel_BuiltIn_Print_Area_29_1">#REF!</definedName>
    <definedName name="Excel_BuiltIn_Print_Area_3" localSheetId="0">#REF!</definedName>
    <definedName name="Excel_BuiltIn_Print_Area_3">#REF!</definedName>
    <definedName name="Excel_BuiltIn_Print_Area_3_1" localSheetId="0">#REF!</definedName>
    <definedName name="Excel_BuiltIn_Print_Area_3_1">#REF!</definedName>
    <definedName name="Excel_BuiltIn_Print_Area_3_1_1" localSheetId="0">#REF!</definedName>
    <definedName name="Excel_BuiltIn_Print_Area_3_1_1">#REF!</definedName>
    <definedName name="Excel_BuiltIn_Print_Area_3_1_1_1" localSheetId="0">#REF!</definedName>
    <definedName name="Excel_BuiltIn_Print_Area_3_1_1_1">#REF!</definedName>
    <definedName name="Excel_BuiltIn_Print_Area_3_1_1_1_1" localSheetId="0">#REF!</definedName>
    <definedName name="Excel_BuiltIn_Print_Area_3_1_1_1_1">#REF!</definedName>
    <definedName name="Excel_BuiltIn_Print_Area_3_1_1_1_1_1" localSheetId="0">#REF!</definedName>
    <definedName name="Excel_BuiltIn_Print_Area_3_1_1_1_1_1">#REF!</definedName>
    <definedName name="Excel_BuiltIn_Print_Area_30" localSheetId="0">#REF!</definedName>
    <definedName name="Excel_BuiltIn_Print_Area_30">#REF!</definedName>
    <definedName name="Excel_BuiltIn_Print_Area_30_1" localSheetId="0">#REF!</definedName>
    <definedName name="Excel_BuiltIn_Print_Area_30_1">#REF!</definedName>
    <definedName name="Excel_BuiltIn_Print_Area_31" localSheetId="0">#REF!</definedName>
    <definedName name="Excel_BuiltIn_Print_Area_31">#REF!</definedName>
    <definedName name="Excel_BuiltIn_Print_Area_31_1" localSheetId="0">#REF!</definedName>
    <definedName name="Excel_BuiltIn_Print_Area_31_1">#REF!</definedName>
    <definedName name="Excel_BuiltIn_Print_Area_32" localSheetId="0">#REF!</definedName>
    <definedName name="Excel_BuiltIn_Print_Area_32">#REF!</definedName>
    <definedName name="Excel_BuiltIn_Print_Area_33" localSheetId="0">#REF!</definedName>
    <definedName name="Excel_BuiltIn_Print_Area_33">#REF!</definedName>
    <definedName name="Excel_BuiltIn_Print_Area_34" localSheetId="0">#REF!</definedName>
    <definedName name="Excel_BuiltIn_Print_Area_34">#REF!</definedName>
    <definedName name="Excel_BuiltIn_Print_Area_34_1" localSheetId="0">#REF!</definedName>
    <definedName name="Excel_BuiltIn_Print_Area_34_1">#REF!</definedName>
    <definedName name="Excel_BuiltIn_Print_Area_35" localSheetId="0">#REF!</definedName>
    <definedName name="Excel_BuiltIn_Print_Area_35">#REF!</definedName>
    <definedName name="Excel_BuiltIn_Print_Area_35_1" localSheetId="0">#REF!</definedName>
    <definedName name="Excel_BuiltIn_Print_Area_35_1">#REF!</definedName>
    <definedName name="Excel_BuiltIn_Print_Area_36" localSheetId="0">#REF!</definedName>
    <definedName name="Excel_BuiltIn_Print_Area_36">#REF!</definedName>
    <definedName name="Excel_BuiltIn_Print_Area_4" localSheetId="0">#REF!</definedName>
    <definedName name="Excel_BuiltIn_Print_Area_4">#REF!</definedName>
    <definedName name="Excel_BuiltIn_Print_Area_4_1" localSheetId="0">#REF!</definedName>
    <definedName name="Excel_BuiltIn_Print_Area_4_1">#REF!</definedName>
    <definedName name="Excel_BuiltIn_Print_Area_5" localSheetId="0">#REF!</definedName>
    <definedName name="Excel_BuiltIn_Print_Area_5">#REF!</definedName>
    <definedName name="Excel_BuiltIn_Print_Area_5_1" localSheetId="0">#REF!</definedName>
    <definedName name="Excel_BuiltIn_Print_Area_5_1">#REF!</definedName>
    <definedName name="Excel_BuiltIn_Print_Area_5_1_1" localSheetId="0">#REF!</definedName>
    <definedName name="Excel_BuiltIn_Print_Area_5_1_1">#REF!</definedName>
    <definedName name="Excel_BuiltIn_Print_Area_6" localSheetId="0">#REF!</definedName>
    <definedName name="Excel_BuiltIn_Print_Area_6">#REF!</definedName>
    <definedName name="Excel_BuiltIn_Print_Area_6_1" localSheetId="0">#REF!</definedName>
    <definedName name="Excel_BuiltIn_Print_Area_6_1">#REF!</definedName>
    <definedName name="Excel_BuiltIn_Print_Area_6_1_1" localSheetId="0">#REF!</definedName>
    <definedName name="Excel_BuiltIn_Print_Area_6_1_1">#REF!</definedName>
    <definedName name="Excel_BuiltIn_Print_Area_7" localSheetId="0">#REF!</definedName>
    <definedName name="Excel_BuiltIn_Print_Area_7">#REF!</definedName>
    <definedName name="Excel_BuiltIn_Print_Area_7_1" localSheetId="0">#REF!</definedName>
    <definedName name="Excel_BuiltIn_Print_Area_7_1">#REF!</definedName>
    <definedName name="Excel_BuiltIn_Print_Area_8" localSheetId="0">#REF!</definedName>
    <definedName name="Excel_BuiltIn_Print_Area_8">#REF!</definedName>
    <definedName name="Excel_BuiltIn_Print_Area_9" localSheetId="0">#REF!</definedName>
    <definedName name="Excel_BuiltIn_Print_Area_9">#REF!</definedName>
    <definedName name="Excel_BuiltIn_Print_Titles_1" localSheetId="0">#REF!</definedName>
    <definedName name="Excel_BuiltIn_Print_Titles_1">#REF!</definedName>
    <definedName name="Excel_BuiltIn_Print_Titles_1_1" localSheetId="0">#REF!</definedName>
    <definedName name="Excel_BuiltIn_Print_Titles_1_1">#REF!</definedName>
    <definedName name="Excel_BuiltIn_Print_Titles_1_1_1" localSheetId="0">#REF!</definedName>
    <definedName name="Excel_BuiltIn_Print_Titles_1_1_1">#REF!</definedName>
    <definedName name="Excel_BuiltIn_Print_Titles_10" localSheetId="0">#REF!</definedName>
    <definedName name="Excel_BuiltIn_Print_Titles_10">#REF!</definedName>
    <definedName name="Excel_BuiltIn_Print_Titles_12" localSheetId="0">#REF!</definedName>
    <definedName name="Excel_BuiltIn_Print_Titles_12">#REF!</definedName>
    <definedName name="Excel_BuiltIn_Print_Titles_14" localSheetId="0">#REF!</definedName>
    <definedName name="Excel_BuiltIn_Print_Titles_14">#REF!</definedName>
    <definedName name="Excel_BuiltIn_Print_Titles_15_1" localSheetId="0">#REF!</definedName>
    <definedName name="Excel_BuiltIn_Print_Titles_15_1">#REF!</definedName>
    <definedName name="Excel_BuiltIn_Print_Titles_16" localSheetId="0">#REF!</definedName>
    <definedName name="Excel_BuiltIn_Print_Titles_16">#REF!</definedName>
    <definedName name="Excel_BuiltIn_Print_Titles_17_1" localSheetId="0">#REF!</definedName>
    <definedName name="Excel_BuiltIn_Print_Titles_17_1">#REF!</definedName>
    <definedName name="Excel_BuiltIn_Print_Titles_18" localSheetId="0">#REF!</definedName>
    <definedName name="Excel_BuiltIn_Print_Titles_18">#REF!</definedName>
    <definedName name="Excel_BuiltIn_Print_Titles_19_1" localSheetId="0">#REF!</definedName>
    <definedName name="Excel_BuiltIn_Print_Titles_19_1">#REF!</definedName>
    <definedName name="Excel_BuiltIn_Print_Titles_2_1" localSheetId="0">#REF!</definedName>
    <definedName name="Excel_BuiltIn_Print_Titles_2_1">#REF!</definedName>
    <definedName name="Excel_BuiltIn_Print_Titles_2_1_1" localSheetId="0">#REF!</definedName>
    <definedName name="Excel_BuiltIn_Print_Titles_2_1_1">#REF!</definedName>
    <definedName name="Excel_BuiltIn_Print_Titles_2_1_1_1" localSheetId="0">#REF!</definedName>
    <definedName name="Excel_BuiltIn_Print_Titles_2_1_1_1">#REF!</definedName>
    <definedName name="Excel_BuiltIn_Print_Titles_2_1_1_1_1" localSheetId="0">#REF!</definedName>
    <definedName name="Excel_BuiltIn_Print_Titles_2_1_1_1_1">#REF!</definedName>
    <definedName name="Excel_BuiltIn_Print_Titles_20" localSheetId="0">#REF!</definedName>
    <definedName name="Excel_BuiltIn_Print_Titles_20">#REF!</definedName>
    <definedName name="Excel_BuiltIn_Print_Titles_21_1" localSheetId="0">#REF!</definedName>
    <definedName name="Excel_BuiltIn_Print_Titles_21_1">#REF!</definedName>
    <definedName name="Excel_BuiltIn_Print_Titles_22" localSheetId="0">#REF!</definedName>
    <definedName name="Excel_BuiltIn_Print_Titles_22">#REF!</definedName>
    <definedName name="Excel_BuiltIn_Print_Titles_23_1" localSheetId="0">#REF!</definedName>
    <definedName name="Excel_BuiltIn_Print_Titles_23_1">#REF!</definedName>
    <definedName name="Excel_BuiltIn_Print_Titles_24" localSheetId="0">#REF!</definedName>
    <definedName name="Excel_BuiltIn_Print_Titles_24">#REF!</definedName>
    <definedName name="Excel_BuiltIn_Print_Titles_25_1" localSheetId="0">#REF!</definedName>
    <definedName name="Excel_BuiltIn_Print_Titles_25_1">#REF!</definedName>
    <definedName name="Excel_BuiltIn_Print_Titles_26" localSheetId="0">#REF!</definedName>
    <definedName name="Excel_BuiltIn_Print_Titles_26">#REF!</definedName>
    <definedName name="Excel_BuiltIn_Print_Titles_28" localSheetId="0">#REF!</definedName>
    <definedName name="Excel_BuiltIn_Print_Titles_28">#REF!</definedName>
    <definedName name="Excel_BuiltIn_Print_Titles_29_1" localSheetId="0">#REF!</definedName>
    <definedName name="Excel_BuiltIn_Print_Titles_29_1">#REF!</definedName>
    <definedName name="Excel_BuiltIn_Print_Titles_3" localSheetId="0">#REF!</definedName>
    <definedName name="Excel_BuiltIn_Print_Titles_3">#REF!</definedName>
    <definedName name="Excel_BuiltIn_Print_Titles_3_1" localSheetId="0">#REF!</definedName>
    <definedName name="Excel_BuiltIn_Print_Titles_3_1">#REF!</definedName>
    <definedName name="Excel_BuiltIn_Print_Titles_30" localSheetId="0">#REF!</definedName>
    <definedName name="Excel_BuiltIn_Print_Titles_30">#REF!</definedName>
    <definedName name="Excel_BuiltIn_Print_Titles_31_1" localSheetId="0">#REF!</definedName>
    <definedName name="Excel_BuiltIn_Print_Titles_31_1">#REF!</definedName>
    <definedName name="Excel_BuiltIn_Print_Titles_32" localSheetId="0">#REF!</definedName>
    <definedName name="Excel_BuiltIn_Print_Titles_32">#REF!</definedName>
    <definedName name="Excel_BuiltIn_Print_Titles_34" localSheetId="0">#REF!</definedName>
    <definedName name="Excel_BuiltIn_Print_Titles_34">#REF!</definedName>
    <definedName name="Excel_BuiltIn_Print_Titles_35_1" localSheetId="0">#REF!</definedName>
    <definedName name="Excel_BuiltIn_Print_Titles_35_1">#REF!</definedName>
    <definedName name="Excel_BuiltIn_Print_Titles_36" localSheetId="0">#REF!</definedName>
    <definedName name="Excel_BuiltIn_Print_Titles_36">#REF!</definedName>
    <definedName name="Excel_BuiltIn_Print_Titles_4_1" localSheetId="0">#REF!</definedName>
    <definedName name="Excel_BuiltIn_Print_Titles_4_1">#REF!</definedName>
    <definedName name="Excel_BuiltIn_Print_Titles_5" localSheetId="0">#REF!</definedName>
    <definedName name="Excel_BuiltIn_Print_Titles_5">#REF!</definedName>
    <definedName name="Excel_BuiltIn_Print_Titles_5_1" localSheetId="0">#REF!</definedName>
    <definedName name="Excel_BuiltIn_Print_Titles_5_1">#REF!</definedName>
    <definedName name="Excel_BuiltIn_Print_Titles_6" localSheetId="0">#REF!</definedName>
    <definedName name="Excel_BuiltIn_Print_Titles_6">#REF!</definedName>
    <definedName name="Excel_BuiltIn_Print_Titles_6_1" localSheetId="0">#REF!</definedName>
    <definedName name="Excel_BuiltIn_Print_Titles_6_1">#REF!</definedName>
    <definedName name="Excel_BuiltIn_Print_Titles_7" localSheetId="0">#REF!</definedName>
    <definedName name="Excel_BuiltIn_Print_Titles_7">#REF!</definedName>
    <definedName name="Excel_BuiltIn_Print_Titles_7_1" localSheetId="0">#REF!</definedName>
    <definedName name="Excel_BuiltIn_Print_Titles_7_1">#REF!</definedName>
    <definedName name="Excel_BuiltIn_Print_Titles_7_1_1" localSheetId="0">#REF!</definedName>
    <definedName name="Excel_BuiltIn_Print_Titles_7_1_1">#REF!</definedName>
    <definedName name="Excel_BuiltIn_Print_Titles_8" localSheetId="0">#REF!</definedName>
    <definedName name="Excel_BuiltIn_Print_Titles_8">#REF!</definedName>
    <definedName name="Excel_BuiltIn_Print_Titles_9" localSheetId="0">#REF!</definedName>
    <definedName name="Excel_BuiltIn_Print_Titles_9">#REF!</definedName>
    <definedName name="Excel_BuiltIn_Recorder" localSheetId="0">#REF!</definedName>
    <definedName name="Excel_BuiltIn_Recorder">#REF!</definedName>
    <definedName name="excf" localSheetId="0">#REF!</definedName>
    <definedName name="excf">#REF!</definedName>
    <definedName name="ExciseDuty" localSheetId="0">#REF!</definedName>
    <definedName name="ExciseDuty">#REF!</definedName>
    <definedName name="ExecSumfinal" localSheetId="0">#REF!</definedName>
    <definedName name="ExecSumfinal">#REF!</definedName>
    <definedName name="EXIT" localSheetId="0">#REF!</definedName>
    <definedName name="EXIT">#REF!</definedName>
    <definedName name="ExP" localSheetId="0">#REF!</definedName>
    <definedName name="ExP">#REF!</definedName>
    <definedName name="exp.joints" localSheetId="0">#REF!</definedName>
    <definedName name="exp.joints">#REF!</definedName>
    <definedName name="EXP_COND_G2" localSheetId="0">#REF!</definedName>
    <definedName name="EXP_COND_G2">#REF!</definedName>
    <definedName name="EXP_COND_L2" localSheetId="0">#REF!</definedName>
    <definedName name="EXP_COND_L2">#REF!</definedName>
    <definedName name="Expded" localSheetId="0">#REF!</definedName>
    <definedName name="Expded">#REF!</definedName>
    <definedName name="expnjntbitu20pcc" localSheetId="0">#REF!</definedName>
    <definedName name="expnjntbitu20pcc">#REF!</definedName>
    <definedName name="ext" localSheetId="0">#REF!</definedName>
    <definedName name="ext">#REF!</definedName>
    <definedName name="externalceilingplaster" localSheetId="0">#REF!</definedName>
    <definedName name="externalceilingplaster">#REF!</definedName>
    <definedName name="externalplaster" localSheetId="0">#REF!</definedName>
    <definedName name="externalplaster">#REF!</definedName>
    <definedName name="externalwallplaster" localSheetId="0">#REF!</definedName>
    <definedName name="externalwallplaster">#REF!</definedName>
    <definedName name="Extra_Pay" localSheetId="0">#REF!</definedName>
    <definedName name="Extra_Pay">#REF!</definedName>
    <definedName name="EXTWORK" localSheetId="0">#REF!</definedName>
    <definedName name="EXTWORK">#REF!</definedName>
    <definedName name="eyrlp" localSheetId="0">#REF!</definedName>
    <definedName name="eyrlp">#REF!</definedName>
    <definedName name="F" localSheetId="0">#REF!</definedName>
    <definedName name="F">#REF!</definedName>
    <definedName name="f.nos" localSheetId="0">#REF!</definedName>
    <definedName name="f.nos">#REF!</definedName>
    <definedName name="F1011f1" localSheetId="0">#REF!</definedName>
    <definedName name="F1011f1">#REF!</definedName>
    <definedName name="f162." localSheetId="0">#REF!</definedName>
    <definedName name="f162.">#REF!</definedName>
    <definedName name="f534." localSheetId="0">#REF!</definedName>
    <definedName name="f534.">#REF!</definedName>
    <definedName name="FA" localSheetId="0">#REF!</definedName>
    <definedName name="FA">#REF!</definedName>
    <definedName name="FAC" localSheetId="0">#REF!</definedName>
    <definedName name="FAC">#REF!</definedName>
    <definedName name="Fac_new" localSheetId="0">#REF!</definedName>
    <definedName name="Fac_new">#REF!</definedName>
    <definedName name="Fac_old" localSheetId="0">#REF!</definedName>
    <definedName name="Fac_old">#REF!</definedName>
    <definedName name="facia" localSheetId="0">#REF!</definedName>
    <definedName name="facia">#REF!</definedName>
    <definedName name="FACILITY" localSheetId="0">#REF!</definedName>
    <definedName name="FACILITY">#REF!</definedName>
    <definedName name="factot" localSheetId="0">#REF!</definedName>
    <definedName name="factot">#REF!</definedName>
    <definedName name="FAH" localSheetId="0">#REF!</definedName>
    <definedName name="FAH">#REF!</definedName>
    <definedName name="Fax" localSheetId="0">#REF!</definedName>
    <definedName name="Fax">#REF!</definedName>
    <definedName name="Fb" localSheetId="0">#REF!</definedName>
    <definedName name="Fb">#REF!</definedName>
    <definedName name="fbeam" localSheetId="0">#REF!</definedName>
    <definedName name="fbeam">#REF!</definedName>
    <definedName name="FBEAM1" localSheetId="0">#REF!</definedName>
    <definedName name="FBEAM1">#REF!</definedName>
    <definedName name="fbeam10" localSheetId="0">#REF!</definedName>
    <definedName name="fbeam10">#REF!</definedName>
    <definedName name="fbeam101" localSheetId="0">#REF!</definedName>
    <definedName name="fbeam101">#REF!</definedName>
    <definedName name="FBEAM12" localSheetId="0">#REF!</definedName>
    <definedName name="FBEAM12">#REF!</definedName>
    <definedName name="FBEAM13" localSheetId="0">#REF!</definedName>
    <definedName name="FBEAM13">#REF!</definedName>
    <definedName name="fbeam2" localSheetId="0">#REF!</definedName>
    <definedName name="fbeam2">#REF!</definedName>
    <definedName name="FBEAM23" localSheetId="0">#REF!</definedName>
    <definedName name="FBEAM23">#REF!</definedName>
    <definedName name="FBOutlets" localSheetId="0">#REF!</definedName>
    <definedName name="FBOutlets">#REF!</definedName>
    <definedName name="FBTOTAL" localSheetId="0">#REF!</definedName>
    <definedName name="FBTOTAL">#REF!</definedName>
    <definedName name="FCD" localSheetId="0">#REF!</definedName>
    <definedName name="FCD">#REF!</definedName>
    <definedName name="FCode" localSheetId="0">#REF!</definedName>
    <definedName name="FCode">#REF!</definedName>
    <definedName name="fcu" localSheetId="0">#REF!</definedName>
    <definedName name="fcu">#REF!</definedName>
    <definedName name="FDA" localSheetId="0">#REF!</definedName>
    <definedName name="FDA">#REF!</definedName>
    <definedName name="fdasds" localSheetId="0">#REF!</definedName>
    <definedName name="fdasds">#REF!</definedName>
    <definedName name="fdf" localSheetId="0">#REF!</definedName>
    <definedName name="fdf">#REF!</definedName>
    <definedName name="fdffgh" localSheetId="0">#REF!</definedName>
    <definedName name="fdffgh">#REF!</definedName>
    <definedName name="FDFSDSDF" localSheetId="0">#REF!</definedName>
    <definedName name="FDFSDSDF">#REF!</definedName>
    <definedName name="fdghdgfh" localSheetId="0">#REF!</definedName>
    <definedName name="fdghdgfh">#REF!</definedName>
    <definedName name="fdhjfju" localSheetId="0">#REF!</definedName>
    <definedName name="fdhjfju">#REF!</definedName>
    <definedName name="fdrop" localSheetId="0">#REF!</definedName>
    <definedName name="fdrop">#REF!</definedName>
    <definedName name="fdrop1" localSheetId="0">#REF!</definedName>
    <definedName name="fdrop1">#REF!</definedName>
    <definedName name="fdrop10" localSheetId="0">#REF!</definedName>
    <definedName name="fdrop10">#REF!</definedName>
    <definedName name="fdrop101" localSheetId="0">#REF!</definedName>
    <definedName name="fdrop101">#REF!</definedName>
    <definedName name="fdrop102" localSheetId="0">#REF!</definedName>
    <definedName name="fdrop102">#REF!</definedName>
    <definedName name="FDROP11" localSheetId="0">#REF!</definedName>
    <definedName name="FDROP11">#REF!</definedName>
    <definedName name="fdrop111" localSheetId="0">#REF!</definedName>
    <definedName name="fdrop111">#REF!</definedName>
    <definedName name="fdrop12" localSheetId="0">#REF!</definedName>
    <definedName name="fdrop12">#REF!</definedName>
    <definedName name="FDROP121" localSheetId="0">#REF!</definedName>
    <definedName name="FDROP121">#REF!</definedName>
    <definedName name="FDROP13" localSheetId="0">#REF!</definedName>
    <definedName name="FDROP13">#REF!</definedName>
    <definedName name="FDROP14" localSheetId="0">#REF!</definedName>
    <definedName name="FDROP14">#REF!</definedName>
    <definedName name="FDROP15" localSheetId="0">#REF!</definedName>
    <definedName name="FDROP15">#REF!</definedName>
    <definedName name="FDROP16" localSheetId="0">#REF!</definedName>
    <definedName name="FDROP16">#REF!</definedName>
    <definedName name="FDROP17" localSheetId="0">#REF!</definedName>
    <definedName name="FDROP17">#REF!</definedName>
    <definedName name="FDROP2" localSheetId="0">#REF!</definedName>
    <definedName name="FDROP2">#REF!</definedName>
    <definedName name="fdrop3" localSheetId="0">#REF!</definedName>
    <definedName name="fdrop3">#REF!</definedName>
    <definedName name="FEB_05" localSheetId="0">#REF!</definedName>
    <definedName name="FEB_05">#REF!</definedName>
    <definedName name="feb_qty_rev_3" localSheetId="0">#REF!</definedName>
    <definedName name="feb_qty_rev_3">#REF!</definedName>
    <definedName name="feb_rev4_qty" localSheetId="0">#REF!</definedName>
    <definedName name="feb_rev4_qty">#REF!</definedName>
    <definedName name="FF" localSheetId="0">#REF!</definedName>
    <definedName name="FF">#REF!</definedName>
    <definedName name="FFF" localSheetId="0">#REF!</definedName>
    <definedName name="FFF">#REF!</definedName>
    <definedName name="ffffffffffffff" localSheetId="0">#REF!</definedName>
    <definedName name="ffffffffffffff">#REF!</definedName>
    <definedName name="FFGB28" localSheetId="0">#REF!</definedName>
    <definedName name="FFGB28">#REF!</definedName>
    <definedName name="FFGB5" localSheetId="0">#REF!</definedName>
    <definedName name="FFGB5">#REF!</definedName>
    <definedName name="FFGB55" localSheetId="0">#REF!</definedName>
    <definedName name="FFGB55">#REF!</definedName>
    <definedName name="FFGB56" localSheetId="0">#REF!</definedName>
    <definedName name="FFGB56">#REF!</definedName>
    <definedName name="FFGB57" localSheetId="0">#REF!</definedName>
    <definedName name="FFGB57">#REF!</definedName>
    <definedName name="FFGB58" localSheetId="0">#REF!</definedName>
    <definedName name="FFGB58">#REF!</definedName>
    <definedName name="FGDFGF" localSheetId="0">#REF!</definedName>
    <definedName name="FGDFGF">#REF!</definedName>
    <definedName name="fgf" localSheetId="0">#REF!</definedName>
    <definedName name="fgf">#REF!</definedName>
    <definedName name="fgh" localSheetId="0">#REF!</definedName>
    <definedName name="fgh">#REF!</definedName>
    <definedName name="FGHGFH" localSheetId="0">#REF!</definedName>
    <definedName name="FGHGFH">#REF!</definedName>
    <definedName name="FGHHGF" localSheetId="0">#REF!</definedName>
    <definedName name="FGHHGF">#REF!</definedName>
    <definedName name="fgsadgsgfd" localSheetId="0">#REF!</definedName>
    <definedName name="fgsadgsgfd">#REF!</definedName>
    <definedName name="fgty" localSheetId="0">#REF!</definedName>
    <definedName name="fgty">#REF!</definedName>
    <definedName name="Fh" localSheetId="0">#REF!</definedName>
    <definedName name="Fh">#REF!</definedName>
    <definedName name="Fha" localSheetId="0">#REF!</definedName>
    <definedName name="Fha">#REF!</definedName>
    <definedName name="fhdsgbh" localSheetId="0">#REF!</definedName>
    <definedName name="fhdsgbh">#REF!</definedName>
    <definedName name="FHFGHFF" localSheetId="0">#REF!</definedName>
    <definedName name="FHFGHFF">#REF!</definedName>
    <definedName name="FHFGHGFH" localSheetId="0">#REF!</definedName>
    <definedName name="FHFGHGFH">#REF!</definedName>
    <definedName name="FHGFHFF" localSheetId="0">#REF!</definedName>
    <definedName name="FHGFHFF">#REF!</definedName>
    <definedName name="FHJFHGFH" localSheetId="0">#REF!</definedName>
    <definedName name="FHJFHGFH">#REF!</definedName>
    <definedName name="FHNFHFHF" localSheetId="0">#REF!</definedName>
    <definedName name="FHNFHFHF">#REF!</definedName>
    <definedName name="fhryu" localSheetId="0">#REF!</definedName>
    <definedName name="fhryu">#REF!</definedName>
    <definedName name="Fhwa" localSheetId="0">#REF!</definedName>
    <definedName name="Fhwa">#REF!</definedName>
    <definedName name="Fhwl" localSheetId="0">#REF!</definedName>
    <definedName name="Fhwl">#REF!</definedName>
    <definedName name="fiberboard12" localSheetId="0">#REF!</definedName>
    <definedName name="fiberboard12">#REF!</definedName>
    <definedName name="fiberboard18" localSheetId="0">#REF!</definedName>
    <definedName name="fiberboard18">#REF!</definedName>
    <definedName name="fiberboard20" localSheetId="0">#REF!</definedName>
    <definedName name="fiberboard20">#REF!</definedName>
    <definedName name="fiberboard25" localSheetId="0">#REF!</definedName>
    <definedName name="fiberboard25">#REF!</definedName>
    <definedName name="fiberboard5" localSheetId="0">#REF!</definedName>
    <definedName name="fiberboard5">#REF!</definedName>
    <definedName name="file" localSheetId="0">#REF!</definedName>
    <definedName name="file">#REF!</definedName>
    <definedName name="FileName" localSheetId="0">#REF!</definedName>
    <definedName name="FileName">#REF!</definedName>
    <definedName name="Filter_input_fac" localSheetId="0">#REF!</definedName>
    <definedName name="Filter_input_fac">#REF!</definedName>
    <definedName name="filtermaterial" localSheetId="0">#REF!</definedName>
    <definedName name="filtermaterial">#REF!</definedName>
    <definedName name="filterpcc" localSheetId="0">#REF!</definedName>
    <definedName name="filterpcc">#REF!</definedName>
    <definedName name="fin" localSheetId="0">#REF!</definedName>
    <definedName name="fin">#REF!</definedName>
    <definedName name="Fin_Hrs" localSheetId="0">#REF!</definedName>
    <definedName name="Fin_Hrs">#REF!</definedName>
    <definedName name="Fin_Rev" localSheetId="0">#REF!</definedName>
    <definedName name="Fin_Rev">#REF!</definedName>
    <definedName name="Final" localSheetId="0">#REF!</definedName>
    <definedName name="Final">#REF!</definedName>
    <definedName name="final_report" localSheetId="0">#REF!</definedName>
    <definedName name="final_report">#REF!</definedName>
    <definedName name="final_report1" localSheetId="0">#REF!</definedName>
    <definedName name="final_report1">#REF!</definedName>
    <definedName name="finalre" localSheetId="0">#REF!</definedName>
    <definedName name="finalre">#REF!</definedName>
    <definedName name="FINANCE___GENER" localSheetId="0">#REF!</definedName>
    <definedName name="FINANCE___GENER">#REF!</definedName>
    <definedName name="finish" localSheetId="0">#REF!</definedName>
    <definedName name="finish">#REF!</definedName>
    <definedName name="FINISHES" localSheetId="0">#REF!</definedName>
    <definedName name="FINISHES">#REF!</definedName>
    <definedName name="finishing" localSheetId="0">#REF!</definedName>
    <definedName name="finishing">#REF!</definedName>
    <definedName name="FIRE" localSheetId="0">#REF!</definedName>
    <definedName name="FIRE">#REF!</definedName>
    <definedName name="first" localSheetId="0">#REF!</definedName>
    <definedName name="first">#REF!</definedName>
    <definedName name="FirstCell" localSheetId="0">#REF!</definedName>
    <definedName name="FirstCell">#REF!</definedName>
    <definedName name="FIT" localSheetId="0">#REF!</definedName>
    <definedName name="FIT">#REF!</definedName>
    <definedName name="FIT___0" localSheetId="0">#REF!</definedName>
    <definedName name="FIT___0">#REF!</definedName>
    <definedName name="FIT___13" localSheetId="0">#REF!</definedName>
    <definedName name="FIT___13">#REF!</definedName>
    <definedName name="fitter" localSheetId="0">#REF!</definedName>
    <definedName name="fitter">#REF!</definedName>
    <definedName name="fixed" localSheetId="0">#REF!</definedName>
    <definedName name="fixed">#REF!</definedName>
    <definedName name="fixed_asset" localSheetId="0">#REF!</definedName>
    <definedName name="fixed_asset">#REF!</definedName>
    <definedName name="fixing30mmstone" localSheetId="0">#REF!</definedName>
    <definedName name="fixing30mmstone">#REF!</definedName>
    <definedName name="fixstoneclad20mm" localSheetId="0">#REF!</definedName>
    <definedName name="fixstoneclad20mm">#REF!</definedName>
    <definedName name="fj" localSheetId="0">#REF!</definedName>
    <definedName name="fj">#REF!</definedName>
    <definedName name="fj_100" localSheetId="0">#REF!</definedName>
    <definedName name="fj_100">#REF!</definedName>
    <definedName name="fj_150" localSheetId="0">#REF!</definedName>
    <definedName name="fj_150">#REF!</definedName>
    <definedName name="fj_200" localSheetId="0">#REF!</definedName>
    <definedName name="fj_200">#REF!</definedName>
    <definedName name="fj_25" localSheetId="0">#REF!</definedName>
    <definedName name="fj_25">#REF!</definedName>
    <definedName name="fj_250" localSheetId="0">#REF!</definedName>
    <definedName name="fj_250">#REF!</definedName>
    <definedName name="fj_300" localSheetId="0">#REF!</definedName>
    <definedName name="fj_300">#REF!</definedName>
    <definedName name="fj_32" localSheetId="0">#REF!</definedName>
    <definedName name="fj_32">#REF!</definedName>
    <definedName name="fj_40" localSheetId="0">#REF!</definedName>
    <definedName name="fj_40">#REF!</definedName>
    <definedName name="fj_400" localSheetId="0">#REF!</definedName>
    <definedName name="fj_400">#REF!</definedName>
    <definedName name="fj_50" localSheetId="0">#REF!</definedName>
    <definedName name="fj_50">#REF!</definedName>
    <definedName name="fj_500" localSheetId="0">#REF!</definedName>
    <definedName name="fj_500">#REF!</definedName>
    <definedName name="fj_65" localSheetId="0">#REF!</definedName>
    <definedName name="fj_65">#REF!</definedName>
    <definedName name="fj_80" localSheetId="0">#REF!</definedName>
    <definedName name="fj_80">#REF!</definedName>
    <definedName name="fjfgjsfgfjsfj" localSheetId="0">#REF!</definedName>
    <definedName name="fjfgjsfgfjsfj">#REF!</definedName>
    <definedName name="Fl" localSheetId="0">#REF!</definedName>
    <definedName name="Fl">#REF!</definedName>
    <definedName name="flag1" localSheetId="0">#REF!</definedName>
    <definedName name="flag1">#REF!</definedName>
    <definedName name="flatstone" localSheetId="0">#REF!</definedName>
    <definedName name="flatstone">#REF!</definedName>
    <definedName name="FLOOR" localSheetId="0">#REF!</definedName>
    <definedName name="FLOOR">#REF!</definedName>
    <definedName name="floor___wall._Rate_shall_include_all_materials__preparation_of_base_surface" localSheetId="0">#REF!</definedName>
    <definedName name="floor___wall._Rate_shall_include_all_materials__preparation_of_base_surface">#REF!</definedName>
    <definedName name="flooring123" localSheetId="0">#REF!</definedName>
    <definedName name="flooring123">#REF!</definedName>
    <definedName name="floorscreed" localSheetId="0">#REF!</definedName>
    <definedName name="floorscreed">#REF!</definedName>
    <definedName name="Floorsqty" localSheetId="0">#REF!</definedName>
    <definedName name="Floorsqty">#REF!</definedName>
    <definedName name="Flr_Void" localSheetId="0">#REF!</definedName>
    <definedName name="Flr_Void">#REF!</definedName>
    <definedName name="fm" localSheetId="0">#REF!</definedName>
    <definedName name="fm">#REF!</definedName>
    <definedName name="FMS" localSheetId="0">#REF!</definedName>
    <definedName name="FMS">#REF!</definedName>
    <definedName name="fo" localSheetId="0">#REF!</definedName>
    <definedName name="fo">#REF!</definedName>
    <definedName name="foa" localSheetId="0">#REF!</definedName>
    <definedName name="foa">#REF!</definedName>
    <definedName name="Footer" localSheetId="0">#REF!</definedName>
    <definedName name="Footer">#REF!</definedName>
    <definedName name="FooterRefLine" localSheetId="0">#REF!</definedName>
    <definedName name="FooterRefLine">#REF!</definedName>
    <definedName name="Footing" localSheetId="0">#REF!</definedName>
    <definedName name="Footing">#REF!</definedName>
    <definedName name="Footings" localSheetId="0">#REF!</definedName>
    <definedName name="Footings">#REF!</definedName>
    <definedName name="forms" localSheetId="6">#REF!</definedName>
    <definedName name="forms" localSheetId="7">#REF!</definedName>
    <definedName name="forms" localSheetId="0">#REF!</definedName>
    <definedName name="forms">#REF!</definedName>
    <definedName name="forms1" localSheetId="0">#REF!</definedName>
    <definedName name="forms1">#REF!</definedName>
    <definedName name="formu" localSheetId="0">#REF!</definedName>
    <definedName name="formu">#REF!</definedName>
    <definedName name="Formula" localSheetId="0">#REF!</definedName>
    <definedName name="Formula">#REF!</definedName>
    <definedName name="FORMULA_ELECT" localSheetId="0">#REF!</definedName>
    <definedName name="FORMULA_ELECT">#REF!</definedName>
    <definedName name="Formula1" localSheetId="0">#REF!</definedName>
    <definedName name="Formula1">#REF!</definedName>
    <definedName name="Formula2" localSheetId="0">#REF!</definedName>
    <definedName name="Formula2">#REF!</definedName>
    <definedName name="formwork" localSheetId="0">#REF!</definedName>
    <definedName name="formwork">#REF!</definedName>
    <definedName name="Fp" localSheetId="0">#REF!</definedName>
    <definedName name="Fp">#REF!</definedName>
    <definedName name="Fpi" localSheetId="0">#REF!</definedName>
    <definedName name="Fpi">#REF!</definedName>
    <definedName name="FQAQ" localSheetId="0">#REF!</definedName>
    <definedName name="FQAQ">#REF!</definedName>
    <definedName name="FR" localSheetId="0">#REF!</definedName>
    <definedName name="FR">#REF!</definedName>
    <definedName name="fRANCIS" localSheetId="0">#REF!</definedName>
    <definedName name="fRANCIS">#REF!</definedName>
    <definedName name="Francis." localSheetId="0">#REF!</definedName>
    <definedName name="Francis.">#REF!</definedName>
    <definedName name="fRANCU" localSheetId="0">#REF!</definedName>
    <definedName name="fRANCU">#REF!</definedName>
    <definedName name="FRF" localSheetId="0">#REF!</definedName>
    <definedName name="FRF">#REF!</definedName>
    <definedName name="frncis" localSheetId="0">#REF!</definedName>
    <definedName name="frncis">#REF!</definedName>
    <definedName name="frt" localSheetId="0">#REF!</definedName>
    <definedName name="frt">#REF!</definedName>
    <definedName name="Fs" localSheetId="0">#REF!</definedName>
    <definedName name="Fs">#REF!</definedName>
    <definedName name="fsaf" localSheetId="0">#REF!</definedName>
    <definedName name="fsaf">#REF!</definedName>
    <definedName name="fsds" localSheetId="0">#REF!</definedName>
    <definedName name="fsds">#REF!</definedName>
    <definedName name="fsdsdf" localSheetId="0">#REF!</definedName>
    <definedName name="fsdsdf">#REF!</definedName>
    <definedName name="fsfs" localSheetId="0">#REF!</definedName>
    <definedName name="fsfs">#REF!</definedName>
    <definedName name="fsg" localSheetId="0">#REF!</definedName>
    <definedName name="fsg">#REF!</definedName>
    <definedName name="fslab" localSheetId="0">#REF!</definedName>
    <definedName name="fslab">#REF!</definedName>
    <definedName name="FSLAB1" localSheetId="0">#REF!</definedName>
    <definedName name="FSLAB1">#REF!</definedName>
    <definedName name="fslab10" localSheetId="0">#REF!</definedName>
    <definedName name="fslab10">#REF!</definedName>
    <definedName name="fslab11" localSheetId="0">#REF!</definedName>
    <definedName name="fslab11">#REF!</definedName>
    <definedName name="FSLAB12" localSheetId="0">#REF!</definedName>
    <definedName name="FSLAB12">#REF!</definedName>
    <definedName name="FSLAB13" localSheetId="0">#REF!</definedName>
    <definedName name="FSLAB13">#REF!</definedName>
    <definedName name="fslab2" localSheetId="0">#REF!</definedName>
    <definedName name="fslab2">#REF!</definedName>
    <definedName name="FSLAB23" localSheetId="0">#REF!</definedName>
    <definedName name="FSLAB23">#REF!</definedName>
    <definedName name="FSSDD" localSheetId="0">#REF!</definedName>
    <definedName name="FSSDD">#REF!</definedName>
    <definedName name="FT" localSheetId="0">#REF!</definedName>
    <definedName name="FT">#REF!</definedName>
    <definedName name="fto" localSheetId="0">#REF!</definedName>
    <definedName name="fto">#REF!</definedName>
    <definedName name="Full_Print" localSheetId="0">#REF!</definedName>
    <definedName name="Full_Print">#REF!</definedName>
    <definedName name="fullTl" localSheetId="0">#REF!</definedName>
    <definedName name="fullTl">#REF!</definedName>
    <definedName name="fullview" localSheetId="0">#REF!</definedName>
    <definedName name="fullview">#REF!</definedName>
    <definedName name="furn" localSheetId="0">#REF!</definedName>
    <definedName name="furn">#REF!</definedName>
    <definedName name="furniture" localSheetId="0">#REF!</definedName>
    <definedName name="furniture">#REF!</definedName>
    <definedName name="Furniture_Charge_Rate" localSheetId="0">#REF!</definedName>
    <definedName name="Furniture_Charge_Rate">#REF!</definedName>
    <definedName name="fusewire" localSheetId="0">#REF!</definedName>
    <definedName name="fusewire">#REF!</definedName>
    <definedName name="Fv" localSheetId="0">#REF!</definedName>
    <definedName name="Fv">#REF!</definedName>
    <definedName name="fy" localSheetId="0">#REF!</definedName>
    <definedName name="fy">#REF!</definedName>
    <definedName name="G" localSheetId="0">#REF!</definedName>
    <definedName name="G">#REF!</definedName>
    <definedName name="G_74" localSheetId="0">#REF!</definedName>
    <definedName name="G_74">#REF!</definedName>
    <definedName name="G_Ceilings" localSheetId="0">#REF!</definedName>
    <definedName name="G_Ceilings">#REF!</definedName>
    <definedName name="G_ÿ_P_" localSheetId="0">#REF!</definedName>
    <definedName name="G_ÿ_P_">#REF!</definedName>
    <definedName name="g1622." localSheetId="0">#REF!</definedName>
    <definedName name="g1622.">#REF!</definedName>
    <definedName name="g2810." localSheetId="0">#REF!</definedName>
    <definedName name="g2810.">#REF!</definedName>
    <definedName name="G31j1620" localSheetId="0">#REF!</definedName>
    <definedName name="G31j1620">#REF!</definedName>
    <definedName name="gama" localSheetId="0">#REF!</definedName>
    <definedName name="gama">#REF!</definedName>
    <definedName name="gamah" localSheetId="0">#REF!</definedName>
    <definedName name="gamah">#REF!</definedName>
    <definedName name="GAS" localSheetId="0">#REF!</definedName>
    <definedName name="GAS">#REF!</definedName>
    <definedName name="GATE" localSheetId="0">#REF!</definedName>
    <definedName name="GATE">#REF!</definedName>
    <definedName name="GBPtoDhs" localSheetId="0">#REF!</definedName>
    <definedName name="GBPtoDhs">#REF!</definedName>
    <definedName name="gbv" localSheetId="0">#REF!</definedName>
    <definedName name="gbv">#REF!</definedName>
    <definedName name="GCV" localSheetId="0">#REF!</definedName>
    <definedName name="GCV">#REF!</definedName>
    <definedName name="gdfgdfg" localSheetId="0">#REF!</definedName>
    <definedName name="gdfgdfg">#REF!</definedName>
    <definedName name="gdfh5" localSheetId="0">#REF!</definedName>
    <definedName name="gdfh5">#REF!</definedName>
    <definedName name="GDGSDGG" localSheetId="0">#REF!</definedName>
    <definedName name="GDGSDGG">#REF!</definedName>
    <definedName name="gelatine" localSheetId="0">#REF!</definedName>
    <definedName name="gelatine">#REF!</definedName>
    <definedName name="GEN_VALVE" localSheetId="0">#REF!</definedName>
    <definedName name="GEN_VALVE">#REF!</definedName>
    <definedName name="general" localSheetId="0">#REF!</definedName>
    <definedName name="general">#REF!</definedName>
    <definedName name="geo" localSheetId="0">#REF!</definedName>
    <definedName name="geo">#REF!</definedName>
    <definedName name="ger" localSheetId="0">#REF!</definedName>
    <definedName name="ger">#REF!</definedName>
    <definedName name="GFA" localSheetId="0">#REF!</definedName>
    <definedName name="GFA">#REF!</definedName>
    <definedName name="gferwgtret" localSheetId="0">#REF!</definedName>
    <definedName name="gferwgtret">#REF!</definedName>
    <definedName name="gfjgfj" localSheetId="0">#REF!</definedName>
    <definedName name="gfjgfj">#REF!</definedName>
    <definedName name="ggdf" localSheetId="0">#REF!</definedName>
    <definedName name="ggdf">#REF!</definedName>
    <definedName name="ggggggggggg" localSheetId="0">#REF!</definedName>
    <definedName name="ggggggggggg">#REF!</definedName>
    <definedName name="gggggggggggggggg" localSheetId="0">#REF!</definedName>
    <definedName name="gggggggggggggggg">#REF!</definedName>
    <definedName name="ggnhfhj" localSheetId="0">#REF!</definedName>
    <definedName name="ggnhfhj">#REF!</definedName>
    <definedName name="ggrtr" localSheetId="0">#REF!</definedName>
    <definedName name="ggrtr">#REF!</definedName>
    <definedName name="ggtfgg" localSheetId="0">#REF!</definedName>
    <definedName name="ggtfgg">#REF!</definedName>
    <definedName name="gh" localSheetId="0">#REF!</definedName>
    <definedName name="gh">#REF!</definedName>
    <definedName name="ghg" localSheetId="0">#REF!</definedName>
    <definedName name="ghg">#REF!</definedName>
    <definedName name="ghghgh" localSheetId="0">#REF!</definedName>
    <definedName name="ghghgh">#REF!</definedName>
    <definedName name="ghjfhfhl" localSheetId="0">#REF!</definedName>
    <definedName name="ghjfhfhl">#REF!</definedName>
    <definedName name="GHJT" localSheetId="0">#REF!</definedName>
    <definedName name="GHJT">#REF!</definedName>
    <definedName name="gi_100" localSheetId="0">#REF!</definedName>
    <definedName name="gi_100">#REF!</definedName>
    <definedName name="gi_150" localSheetId="0">#REF!</definedName>
    <definedName name="gi_150">#REF!</definedName>
    <definedName name="gi_200" localSheetId="0">#REF!</definedName>
    <definedName name="gi_200">#REF!</definedName>
    <definedName name="gi_25" localSheetId="0">#REF!</definedName>
    <definedName name="gi_25">#REF!</definedName>
    <definedName name="gi_250" localSheetId="0">#REF!</definedName>
    <definedName name="gi_250">#REF!</definedName>
    <definedName name="gi_300" localSheetId="0">#REF!</definedName>
    <definedName name="gi_300">#REF!</definedName>
    <definedName name="gi_32" localSheetId="0">#REF!</definedName>
    <definedName name="gi_32">#REF!</definedName>
    <definedName name="gi_40" localSheetId="0">#REF!</definedName>
    <definedName name="gi_40">#REF!</definedName>
    <definedName name="gi_400" localSheetId="0">#REF!</definedName>
    <definedName name="gi_400">#REF!</definedName>
    <definedName name="gi_50" localSheetId="0">#REF!</definedName>
    <definedName name="gi_50">#REF!</definedName>
    <definedName name="gi_500" localSheetId="0">#REF!</definedName>
    <definedName name="gi_500">#REF!</definedName>
    <definedName name="gi_600" localSheetId="0">#REF!</definedName>
    <definedName name="gi_600">#REF!</definedName>
    <definedName name="gi_65" localSheetId="0">#REF!</definedName>
    <definedName name="gi_65">#REF!</definedName>
    <definedName name="gi_80" localSheetId="0">#REF!</definedName>
    <definedName name="gi_80">#REF!</definedName>
    <definedName name="gj" localSheetId="0">#REF!</definedName>
    <definedName name="gj">#REF!</definedName>
    <definedName name="gk" localSheetId="0">#REF!</definedName>
    <definedName name="gk">#REF!</definedName>
    <definedName name="GL" localSheetId="0">#REF!</definedName>
    <definedName name="GL">#REF!</definedName>
    <definedName name="GLASS" localSheetId="0">#REF!</definedName>
    <definedName name="GLASS">#REF!</definedName>
    <definedName name="glassbeads" localSheetId="0">#REF!</definedName>
    <definedName name="glassbeads">#REF!</definedName>
    <definedName name="glb_100" localSheetId="0">#REF!</definedName>
    <definedName name="glb_100">#REF!</definedName>
    <definedName name="glb_150" localSheetId="0">#REF!</definedName>
    <definedName name="glb_150">#REF!</definedName>
    <definedName name="glb_200" localSheetId="0">#REF!</definedName>
    <definedName name="glb_200">#REF!</definedName>
    <definedName name="glb_25" localSheetId="0">#REF!</definedName>
    <definedName name="glb_25">#REF!</definedName>
    <definedName name="glb_250" localSheetId="0">#REF!</definedName>
    <definedName name="glb_250">#REF!</definedName>
    <definedName name="glb_300" localSheetId="0">#REF!</definedName>
    <definedName name="glb_300">#REF!</definedName>
    <definedName name="glb_32" localSheetId="0">#REF!</definedName>
    <definedName name="glb_32">#REF!</definedName>
    <definedName name="glb_40" localSheetId="0">#REF!</definedName>
    <definedName name="glb_40">#REF!</definedName>
    <definedName name="glb_50" localSheetId="0">#REF!</definedName>
    <definedName name="glb_50">#REF!</definedName>
    <definedName name="glb_65" localSheetId="0">#REF!</definedName>
    <definedName name="glb_65">#REF!</definedName>
    <definedName name="glb_80" localSheetId="0">#REF!</definedName>
    <definedName name="glb_80">#REF!</definedName>
    <definedName name="GLevel" localSheetId="0">#REF!</definedName>
    <definedName name="GLevel">#REF!</definedName>
    <definedName name="GLs" localSheetId="0">#REF!</definedName>
    <definedName name="GLs">#REF!</definedName>
    <definedName name="gm" localSheetId="0">#REF!</definedName>
    <definedName name="gm">#REF!</definedName>
    <definedName name="gn" localSheetId="0">#REF!</definedName>
    <definedName name="gn">#REF!</definedName>
    <definedName name="GOLF" localSheetId="0">#REF!</definedName>
    <definedName name="GOLF">#REF!</definedName>
    <definedName name="gopal" localSheetId="0">#REF!</definedName>
    <definedName name="gopal">#REF!</definedName>
    <definedName name="gopi" localSheetId="0">#REF!</definedName>
    <definedName name="gopi">#REF!</definedName>
    <definedName name="gound_rent" localSheetId="0">#REF!</definedName>
    <definedName name="gound_rent">#REF!</definedName>
    <definedName name="gov" localSheetId="0">#REF!</definedName>
    <definedName name="gov">#REF!</definedName>
    <definedName name="grader" localSheetId="0">#REF!</definedName>
    <definedName name="grader">#REF!</definedName>
    <definedName name="Gradeslab" localSheetId="0">#REF!</definedName>
    <definedName name="Gradeslab">#REF!</definedName>
    <definedName name="GridLengthTable" localSheetId="0">#REF!</definedName>
    <definedName name="GridLengthTable">#REF!</definedName>
    <definedName name="grinstone" localSheetId="0">#REF!</definedName>
    <definedName name="grinstone">#REF!</definedName>
    <definedName name="GRLvl" localSheetId="0">#REF!</definedName>
    <definedName name="GRLvl">#REF!</definedName>
    <definedName name="GROUND" localSheetId="0">#REF!</definedName>
    <definedName name="GROUND">#REF!</definedName>
    <definedName name="GROUND_WIRE" localSheetId="0">#REF!</definedName>
    <definedName name="GROUND_WIRE">#REF!</definedName>
    <definedName name="GROUNDING" localSheetId="0">#REF!</definedName>
    <definedName name="GROUNDING">#REF!</definedName>
    <definedName name="Group1" localSheetId="0">#REF!</definedName>
    <definedName name="Group1">#REF!</definedName>
    <definedName name="Group2" localSheetId="0">#REF!</definedName>
    <definedName name="Group2">#REF!</definedName>
    <definedName name="Group3" localSheetId="0">#REF!</definedName>
    <definedName name="Group3">#REF!</definedName>
    <definedName name="Group4" localSheetId="0">#REF!</definedName>
    <definedName name="Group4">#REF!</definedName>
    <definedName name="groutpump" localSheetId="0">#REF!</definedName>
    <definedName name="groutpump">#REF!</definedName>
    <definedName name="gs" localSheetId="0">#REF!</definedName>
    <definedName name="gs">#REF!</definedName>
    <definedName name="gsbplantrate" localSheetId="0">#REF!</definedName>
    <definedName name="gsbplantrate">#REF!</definedName>
    <definedName name="GSDFGFHGH" localSheetId="0">#REF!</definedName>
    <definedName name="GSDFGFHGH">#REF!</definedName>
    <definedName name="GSDFSDF" localSheetId="0">#REF!</definedName>
    <definedName name="GSDFSDF">#REF!</definedName>
    <definedName name="GSDGG" localSheetId="0">#REF!</definedName>
    <definedName name="GSDGG">#REF!</definedName>
    <definedName name="gsdjkfjk" localSheetId="0">#REF!</definedName>
    <definedName name="gsdjkfjk">#REF!</definedName>
    <definedName name="gspllant" localSheetId="0">#REF!</definedName>
    <definedName name="gspllant">#REF!</definedName>
    <definedName name="gt" localSheetId="0">#REF!</definedName>
    <definedName name="gt">#REF!</definedName>
    <definedName name="GT_ELECT" localSheetId="0">#REF!</definedName>
    <definedName name="GT_ELECT">#REF!</definedName>
    <definedName name="Guniting" localSheetId="0">#REF!</definedName>
    <definedName name="Guniting">#REF!</definedName>
    <definedName name="gv_100" localSheetId="0">#REF!</definedName>
    <definedName name="gv_100">#REF!</definedName>
    <definedName name="gv_150" localSheetId="0">#REF!</definedName>
    <definedName name="gv_150">#REF!</definedName>
    <definedName name="gv_200" localSheetId="0">#REF!</definedName>
    <definedName name="gv_200">#REF!</definedName>
    <definedName name="gv_25" localSheetId="0">#REF!</definedName>
    <definedName name="gv_25">#REF!</definedName>
    <definedName name="gv_250" localSheetId="0">#REF!</definedName>
    <definedName name="gv_250">#REF!</definedName>
    <definedName name="gv_300" localSheetId="0">#REF!</definedName>
    <definedName name="gv_300">#REF!</definedName>
    <definedName name="gv_32" localSheetId="0">#REF!</definedName>
    <definedName name="gv_32">#REF!</definedName>
    <definedName name="gv_40" localSheetId="0">#REF!</definedName>
    <definedName name="gv_40">#REF!</definedName>
    <definedName name="gv_400" localSheetId="0">#REF!</definedName>
    <definedName name="gv_400">#REF!</definedName>
    <definedName name="gv_50" localSheetId="0">#REF!</definedName>
    <definedName name="gv_50">#REF!</definedName>
    <definedName name="gv_500" localSheetId="0">#REF!</definedName>
    <definedName name="gv_500">#REF!</definedName>
    <definedName name="gv_65" localSheetId="0">#REF!</definedName>
    <definedName name="gv_65">#REF!</definedName>
    <definedName name="gv_80" localSheetId="0">#REF!</definedName>
    <definedName name="gv_80">#REF!</definedName>
    <definedName name="Gw" localSheetId="0">#REF!</definedName>
    <definedName name="Gw">#REF!</definedName>
    <definedName name="GY" localSheetId="0">#REF!</definedName>
    <definedName name="GY">#REF!</definedName>
    <definedName name="H" localSheetId="0">#REF!</definedName>
    <definedName name="H">#REF!</definedName>
    <definedName name="H___0" localSheetId="0">#REF!</definedName>
    <definedName name="H___0">#REF!</definedName>
    <definedName name="H___13" localSheetId="0">#REF!</definedName>
    <definedName name="H___13">#REF!</definedName>
    <definedName name="H_cov" localSheetId="0">#REF!</definedName>
    <definedName name="H_cov">#REF!</definedName>
    <definedName name="H_FloorCov" localSheetId="0">#REF!</definedName>
    <definedName name="H_FloorCov">#REF!</definedName>
    <definedName name="H_side_Len" localSheetId="0">#REF!</definedName>
    <definedName name="H_side_Len">#REF!</definedName>
    <definedName name="H0___0" localSheetId="0">#REF!</definedName>
    <definedName name="H0___0">#REF!</definedName>
    <definedName name="H0___13" localSheetId="0">#REF!</definedName>
    <definedName name="H0___13">#REF!</definedName>
    <definedName name="ha" localSheetId="0">#REF!</definedName>
    <definedName name="ha">#REF!</definedName>
    <definedName name="Hafeez" localSheetId="0">#REF!</definedName>
    <definedName name="Hafeez">#REF!</definedName>
    <definedName name="hahha" localSheetId="0">#REF!</definedName>
    <definedName name="hahha">#REF!</definedName>
    <definedName name="Hammerman" localSheetId="0">#REF!</definedName>
    <definedName name="Hammerman">#REF!</definedName>
    <definedName name="HAND_VLV_MANIF" localSheetId="0">#REF!</definedName>
    <definedName name="HAND_VLV_MANIF">#REF!</definedName>
    <definedName name="handrail" localSheetId="0">#REF!</definedName>
    <definedName name="handrail">#REF!</definedName>
    <definedName name="HARI" localSheetId="0">#REF!</definedName>
    <definedName name="HARI">#REF!</definedName>
    <definedName name="Hcbdw" localSheetId="0">#REF!</definedName>
    <definedName name="Hcbdw">#REF!</definedName>
    <definedName name="HCD_ALSLIGHTCOND_QTY" localSheetId="0">#REF!</definedName>
    <definedName name="HCD_ALSLIGHTCOND_QTY">#REF!</definedName>
    <definedName name="HCD_BUS_HRS" localSheetId="0">#REF!</definedName>
    <definedName name="HCD_BUS_HRS">#REF!</definedName>
    <definedName name="HCD_BUS_LAB" localSheetId="0">#REF!</definedName>
    <definedName name="HCD_BUS_LAB">#REF!</definedName>
    <definedName name="HCD_BUS_MAT" localSheetId="0">#REF!</definedName>
    <definedName name="HCD_BUS_MAT">#REF!</definedName>
    <definedName name="HCD_BUS_QTY" localSheetId="0">#REF!</definedName>
    <definedName name="HCD_BUS_QTY">#REF!</definedName>
    <definedName name="HCD_BUS_SC" localSheetId="0">#REF!</definedName>
    <definedName name="HCD_BUS_SC">#REF!</definedName>
    <definedName name="HCD_BUS_SCHRS" localSheetId="0">#REF!</definedName>
    <definedName name="HCD_BUS_SCHRS">#REF!</definedName>
    <definedName name="HCD_CBL_HRS" localSheetId="0">#REF!</definedName>
    <definedName name="HCD_CBL_HRS">#REF!</definedName>
    <definedName name="HCD_CBL_LAB" localSheetId="0">#REF!</definedName>
    <definedName name="HCD_CBL_LAB">#REF!</definedName>
    <definedName name="HCD_CBL_MAT" localSheetId="0">#REF!</definedName>
    <definedName name="HCD_CBL_MAT">#REF!</definedName>
    <definedName name="HCD_CBL_QTY" localSheetId="0">#REF!</definedName>
    <definedName name="HCD_CBL_QTY">#REF!</definedName>
    <definedName name="HCD_CBL_SC" localSheetId="0">#REF!</definedName>
    <definedName name="HCD_CBL_SC">#REF!</definedName>
    <definedName name="HCD_CBL_SCHRS" localSheetId="0">#REF!</definedName>
    <definedName name="HCD_CBL_SCHRS">#REF!</definedName>
    <definedName name="HCD_CKT_QTY" localSheetId="0">#REF!</definedName>
    <definedName name="HCD_CKT_QTY">#REF!</definedName>
    <definedName name="HCD_CONNECT_HRS" localSheetId="0">#REF!</definedName>
    <definedName name="HCD_CONNECT_HRS">#REF!</definedName>
    <definedName name="HCD_CONNECT_LAB" localSheetId="0">#REF!</definedName>
    <definedName name="HCD_CONNECT_LAB">#REF!</definedName>
    <definedName name="HCD_CONNECT_MAT" localSheetId="0">#REF!</definedName>
    <definedName name="HCD_CONNECT_MAT">#REF!</definedName>
    <definedName name="HCD_CONNECT_QTY" localSheetId="0">#REF!</definedName>
    <definedName name="HCD_CONNECT_QTY">#REF!</definedName>
    <definedName name="HCD_CONNECT_SC" localSheetId="0">#REF!</definedName>
    <definedName name="HCD_CONNECT_SC">#REF!</definedName>
    <definedName name="HCD_CONNECT_SCHRS" localSheetId="0">#REF!</definedName>
    <definedName name="HCD_CONNECT_SCHRS">#REF!</definedName>
    <definedName name="HCD_CSCBL_QTY" localSheetId="0">#REF!</definedName>
    <definedName name="HCD_CSCBL_QTY">#REF!</definedName>
    <definedName name="HCD_CSCOND_QTY" localSheetId="0">#REF!</definedName>
    <definedName name="HCD_CSCOND_QTY">#REF!</definedName>
    <definedName name="HCD_DBLGTCBL_QTY" localSheetId="0">#REF!</definedName>
    <definedName name="HCD_DBLGTCBL_QTY">#REF!</definedName>
    <definedName name="HCD_DCUPS_HRS" localSheetId="0">#REF!</definedName>
    <definedName name="HCD_DCUPS_HRS">#REF!</definedName>
    <definedName name="HCD_DCUPS_LAB" localSheetId="0">#REF!</definedName>
    <definedName name="HCD_DCUPS_LAB">#REF!</definedName>
    <definedName name="HCD_DCUPS_MAT" localSheetId="0">#REF!</definedName>
    <definedName name="HCD_DCUPS_MAT">#REF!</definedName>
    <definedName name="HCD_DCUPS_QTY" localSheetId="0">#REF!</definedName>
    <definedName name="HCD_DCUPS_QTY">#REF!</definedName>
    <definedName name="HCD_DCUPS_SC" localSheetId="0">#REF!</definedName>
    <definedName name="HCD_DCUPS_SC">#REF!</definedName>
    <definedName name="HCD_DCUPS_SCHRS" localSheetId="0">#REF!</definedName>
    <definedName name="HCD_DCUPS_SCHRS">#REF!</definedName>
    <definedName name="HCD_DEMO_HRS" localSheetId="0">#REF!</definedName>
    <definedName name="HCD_DEMO_HRS">#REF!</definedName>
    <definedName name="HCD_DEMO_LAB" localSheetId="0">#REF!</definedName>
    <definedName name="HCD_DEMO_LAB">#REF!</definedName>
    <definedName name="HCD_DEMO_MAT" localSheetId="0">#REF!</definedName>
    <definedName name="HCD_DEMO_MAT">#REF!</definedName>
    <definedName name="HCD_DEMO_QTY" localSheetId="0">#REF!</definedName>
    <definedName name="HCD_DEMO_QTY">#REF!</definedName>
    <definedName name="HCD_DEMO_SC" localSheetId="0">#REF!</definedName>
    <definedName name="HCD_DEMO_SC">#REF!</definedName>
    <definedName name="HCD_DEMO_SCHRS" localSheetId="0">#REF!</definedName>
    <definedName name="HCD_DEMO_SCHRS">#REF!</definedName>
    <definedName name="HCD_FIXT_QTY" localSheetId="0">#REF!</definedName>
    <definedName name="HCD_FIXT_QTY">#REF!</definedName>
    <definedName name="HCD_GNDCBL_QTY" localSheetId="0">#REF!</definedName>
    <definedName name="HCD_GNDCBL_QTY">#REF!</definedName>
    <definedName name="HCD_INDRFIXT_QTY" localSheetId="0">#REF!</definedName>
    <definedName name="HCD_INDRFIXT_QTY">#REF!</definedName>
    <definedName name="HCD_INSTRAUXPNL_HRS" localSheetId="0">#REF!</definedName>
    <definedName name="HCD_INSTRAUXPNL_HRS">#REF!</definedName>
    <definedName name="HCD_INSTRAUXPNL_LAB" localSheetId="0">#REF!</definedName>
    <definedName name="HCD_INSTRAUXPNL_LAB">#REF!</definedName>
    <definedName name="HCD_INSTRAUXPNL_MAT" localSheetId="0">#REF!</definedName>
    <definedName name="HCD_INSTRAUXPNL_MAT">#REF!</definedName>
    <definedName name="HCD_INSTRAUXPNL_QTY" localSheetId="0">#REF!</definedName>
    <definedName name="HCD_INSTRAUXPNL_QTY">#REF!</definedName>
    <definedName name="HCD_INSTRAUXPNL_SC" localSheetId="0">#REF!</definedName>
    <definedName name="HCD_INSTRAUXPNL_SC">#REF!</definedName>
    <definedName name="HCD_INSTRAUXPNL_SCHRS" localSheetId="0">#REF!</definedName>
    <definedName name="HCD_INSTRAUXPNL_SCHRS">#REF!</definedName>
    <definedName name="HCD_INSTRCEMS_HRS" localSheetId="0">#REF!</definedName>
    <definedName name="HCD_INSTRCEMS_HRS">#REF!</definedName>
    <definedName name="HCD_INSTRCEMS_LAB" localSheetId="0">#REF!</definedName>
    <definedName name="HCD_INSTRCEMS_LAB">#REF!</definedName>
    <definedName name="HCD_INSTRCEMS_MAT" localSheetId="0">#REF!</definedName>
    <definedName name="HCD_INSTRCEMS_MAT">#REF!</definedName>
    <definedName name="HCD_INSTRCEMS_QTY" localSheetId="0">#REF!</definedName>
    <definedName name="HCD_INSTRCEMS_QTY">#REF!</definedName>
    <definedName name="HCD_INSTRCEMS_SC" localSheetId="0">#REF!</definedName>
    <definedName name="HCD_INSTRCEMS_SC">#REF!</definedName>
    <definedName name="HCD_INSTRCEMS_SCHRS" localSheetId="0">#REF!</definedName>
    <definedName name="HCD_INSTRCEMS_SCHRS">#REF!</definedName>
    <definedName name="HCD_INSTRDCS_HRS" localSheetId="0">#REF!</definedName>
    <definedName name="HCD_INSTRDCS_HRS">#REF!</definedName>
    <definedName name="HCD_INSTRDCS_LAB" localSheetId="0">#REF!</definedName>
    <definedName name="HCD_INSTRDCS_LAB">#REF!</definedName>
    <definedName name="HCD_INSTRDCS_MAT" localSheetId="0">#REF!</definedName>
    <definedName name="HCD_INSTRDCS_MAT">#REF!</definedName>
    <definedName name="HCD_INSTRDCS_QTY" localSheetId="0">#REF!</definedName>
    <definedName name="HCD_INSTRDCS_QTY">#REF!</definedName>
    <definedName name="HCD_INSTRDCS_SC" localSheetId="0">#REF!</definedName>
    <definedName name="HCD_INSTRDCS_SC">#REF!</definedName>
    <definedName name="HCD_INSTRDCS_SCHRS" localSheetId="0">#REF!</definedName>
    <definedName name="HCD_INSTRDCS_SCHRS">#REF!</definedName>
    <definedName name="HCD_INSTRELEC_HRS" localSheetId="0">#REF!</definedName>
    <definedName name="HCD_INSTRELEC_HRS">#REF!</definedName>
    <definedName name="HCD_INSTRELEC_LAB" localSheetId="0">#REF!</definedName>
    <definedName name="HCD_INSTRELEC_LAB">#REF!</definedName>
    <definedName name="HCD_INSTRELEC_MAT" localSheetId="0">#REF!</definedName>
    <definedName name="HCD_INSTRELEC_MAT">#REF!</definedName>
    <definedName name="HCD_INSTRELEC_QTY" localSheetId="0">#REF!</definedName>
    <definedName name="HCD_INSTRELEC_QTY">#REF!</definedName>
    <definedName name="HCD_INSTRELEC_SC" localSheetId="0">#REF!</definedName>
    <definedName name="HCD_INSTRELEC_SC">#REF!</definedName>
    <definedName name="HCD_INSTRELEC_SCHRS" localSheetId="0">#REF!</definedName>
    <definedName name="HCD_INSTRELEC_SCHRS">#REF!</definedName>
    <definedName name="HCD_INSTRMECH_HRS" localSheetId="0">#REF!</definedName>
    <definedName name="HCD_INSTRMECH_HRS">#REF!</definedName>
    <definedName name="HCD_INSTRMECH_LAB" localSheetId="0">#REF!</definedName>
    <definedName name="HCD_INSTRMECH_LAB">#REF!</definedName>
    <definedName name="HCD_INSTRMECH_MAT" localSheetId="0">#REF!</definedName>
    <definedName name="HCD_INSTRMECH_MAT">#REF!</definedName>
    <definedName name="HCD_INSTRMECH_QTY" localSheetId="0">#REF!</definedName>
    <definedName name="HCD_INSTRMECH_QTY">#REF!</definedName>
    <definedName name="HCD_INSTRMECH_SC" localSheetId="0">#REF!</definedName>
    <definedName name="HCD_INSTRMECH_SC">#REF!</definedName>
    <definedName name="HCD_INSTRMECH_SCHRS" localSheetId="0">#REF!</definedName>
    <definedName name="HCD_INSTRMECH_SCHRS">#REF!</definedName>
    <definedName name="HCD_INSTRMECHMISC_HRS" localSheetId="0">#REF!</definedName>
    <definedName name="HCD_INSTRMECHMISC_HRS">#REF!</definedName>
    <definedName name="HCD_INSTRMECHMISC_LAB" localSheetId="0">#REF!</definedName>
    <definedName name="HCD_INSTRMECHMISC_LAB">#REF!</definedName>
    <definedName name="HCD_INSTRMECHMISC_MAT" localSheetId="0">#REF!</definedName>
    <definedName name="HCD_INSTRMECHMISC_MAT">#REF!</definedName>
    <definedName name="HCD_INSTRMECHMISC_QTY" localSheetId="0">#REF!</definedName>
    <definedName name="HCD_INSTRMECHMISC_QTY">#REF!</definedName>
    <definedName name="HCD_INSTRMECHMISC_SC" localSheetId="0">#REF!</definedName>
    <definedName name="HCD_INSTRMECHMISC_SC">#REF!</definedName>
    <definedName name="HCD_INSTRMECHMISC_SCHRS" localSheetId="0">#REF!</definedName>
    <definedName name="HCD_INSTRMECHMISC_SCHRS">#REF!</definedName>
    <definedName name="HCD_INSTRMISC_HRS" localSheetId="0">#REF!</definedName>
    <definedName name="HCD_INSTRMISC_HRS">#REF!</definedName>
    <definedName name="HCD_INSTRMISC_LAB" localSheetId="0">#REF!</definedName>
    <definedName name="HCD_INSTRMISC_LAB">#REF!</definedName>
    <definedName name="HCD_INSTRMISC_MAT" localSheetId="0">#REF!</definedName>
    <definedName name="HCD_INSTRMISC_MAT">#REF!</definedName>
    <definedName name="HCD_INSTRMISC_QTY" localSheetId="0">#REF!</definedName>
    <definedName name="HCD_INSTRMISC_QTY">#REF!</definedName>
    <definedName name="HCD_INSTRMISC_SC" localSheetId="0">#REF!</definedName>
    <definedName name="HCD_INSTRMISC_SC">#REF!</definedName>
    <definedName name="HCD_INSTRMISC_SCHRS" localSheetId="0">#REF!</definedName>
    <definedName name="HCD_INSTRMISC_SCHRS">#REF!</definedName>
    <definedName name="HCD_INSTRMODSTND_HRS" localSheetId="0">#REF!</definedName>
    <definedName name="HCD_INSTRMODSTND_HRS">#REF!</definedName>
    <definedName name="HCD_INSTRMODSTND_LAB" localSheetId="0">#REF!</definedName>
    <definedName name="HCD_INSTRMODSTND_LAB">#REF!</definedName>
    <definedName name="HCD_INSTRMODSTND_MAT" localSheetId="0">#REF!</definedName>
    <definedName name="HCD_INSTRMODSTND_MAT">#REF!</definedName>
    <definedName name="HCD_INSTRMODSTND_QTY" localSheetId="0">#REF!</definedName>
    <definedName name="HCD_INSTRMODSTND_QTY">#REF!</definedName>
    <definedName name="HCD_INSTRMODSTND_SC" localSheetId="0">#REF!</definedName>
    <definedName name="HCD_INSTRMODSTND_SC">#REF!</definedName>
    <definedName name="HCD_INSTRMODSTND_SCHRS" localSheetId="0">#REF!</definedName>
    <definedName name="HCD_INSTRMODSTND_SCHRS">#REF!</definedName>
    <definedName name="HCD_INSTRTUBE_HRS" localSheetId="0">#REF!</definedName>
    <definedName name="HCD_INSTRTUBE_HRS">#REF!</definedName>
    <definedName name="HCD_INSTRTUBE_LAB" localSheetId="0">#REF!</definedName>
    <definedName name="HCD_INSTRTUBE_LAB">#REF!</definedName>
    <definedName name="HCD_INSTRTUBE_MAT" localSheetId="0">#REF!</definedName>
    <definedName name="HCD_INSTRTUBE_MAT">#REF!</definedName>
    <definedName name="HCD_INSTRTUBE_QTY" localSheetId="0">#REF!</definedName>
    <definedName name="HCD_INSTRTUBE_QTY">#REF!</definedName>
    <definedName name="HCD_INSTRTUBE_SC" localSheetId="0">#REF!</definedName>
    <definedName name="HCD_INSTRTUBE_SC">#REF!</definedName>
    <definedName name="HCD_INSTRTUBE_SCHRS" localSheetId="0">#REF!</definedName>
    <definedName name="HCD_INSTRTUBE_SCHRS">#REF!</definedName>
    <definedName name="HCD_INSTRVLVS_HRS" localSheetId="0">#REF!</definedName>
    <definedName name="HCD_INSTRVLVS_HRS">#REF!</definedName>
    <definedName name="HCD_INSTRVLVS_LAB" localSheetId="0">#REF!</definedName>
    <definedName name="HCD_INSTRVLVS_LAB">#REF!</definedName>
    <definedName name="HCD_INSTRVLVS_MAT" localSheetId="0">#REF!</definedName>
    <definedName name="HCD_INSTRVLVS_MAT">#REF!</definedName>
    <definedName name="HCD_INSTRVLVS_QTY" localSheetId="0">#REF!</definedName>
    <definedName name="HCD_INSTRVLVS_QTY">#REF!</definedName>
    <definedName name="HCD_INSTRVLVS_SC" localSheetId="0">#REF!</definedName>
    <definedName name="HCD_INSTRVLVS_SC">#REF!</definedName>
    <definedName name="HCD_INSTRVLVS_SCHRS" localSheetId="0">#REF!</definedName>
    <definedName name="HCD_INSTRVLVS_SCHRS">#REF!</definedName>
    <definedName name="HCD_INSTRWRTAN_HRS" localSheetId="0">#REF!</definedName>
    <definedName name="HCD_INSTRWRTAN_HRS">#REF!</definedName>
    <definedName name="HCD_INSTRWRTAN_LAB" localSheetId="0">#REF!</definedName>
    <definedName name="HCD_INSTRWRTAN_LAB">#REF!</definedName>
    <definedName name="HCD_INSTRWRTAN_MAT" localSheetId="0">#REF!</definedName>
    <definedName name="HCD_INSTRWRTAN_MAT">#REF!</definedName>
    <definedName name="HCD_INSTRWRTAN_QTY" localSheetId="0">#REF!</definedName>
    <definedName name="HCD_INSTRWRTAN_QTY">#REF!</definedName>
    <definedName name="HCD_INSTRWRTAN_SC" localSheetId="0">#REF!</definedName>
    <definedName name="HCD_INSTRWRTAN_SC">#REF!</definedName>
    <definedName name="HCD_INSTRWRTAN_SCHRS" localSheetId="0">#REF!</definedName>
    <definedName name="HCD_INSTRWRTAN_SCHRS">#REF!</definedName>
    <definedName name="HCD_LGTCBL_QTY" localSheetId="0">#REF!</definedName>
    <definedName name="HCD_LGTCBL_QTY">#REF!</definedName>
    <definedName name="HCD_LGTCOND_QTY" localSheetId="0">#REF!</definedName>
    <definedName name="HCD_LGTCOND_QTY">#REF!</definedName>
    <definedName name="HCD_LIGHTCOND_QTY" localSheetId="0">#REF!</definedName>
    <definedName name="HCD_LIGHTCOND_QTY">#REF!</definedName>
    <definedName name="HCD_MCC480_HRS" localSheetId="0">#REF!</definedName>
    <definedName name="HCD_MCC480_HRS">#REF!</definedName>
    <definedName name="HCD_MCC480_LAB" localSheetId="0">#REF!</definedName>
    <definedName name="HCD_MCC480_LAB">#REF!</definedName>
    <definedName name="HCD_MCC480_MAT" localSheetId="0">#REF!</definedName>
    <definedName name="HCD_MCC480_MAT">#REF!</definedName>
    <definedName name="HCD_MCC480_QTY" localSheetId="0">#REF!</definedName>
    <definedName name="HCD_MCC480_QTY">#REF!</definedName>
    <definedName name="HCD_MCC480_SC" localSheetId="0">#REF!</definedName>
    <definedName name="HCD_MCC480_SC">#REF!</definedName>
    <definedName name="HCD_MCC480_SCHRS" localSheetId="0">#REF!</definedName>
    <definedName name="HCD_MCC480_SCHRS">#REF!</definedName>
    <definedName name="HCD_METCOND_HRS" localSheetId="0">#REF!</definedName>
    <definedName name="HCD_METCOND_HRS">#REF!</definedName>
    <definedName name="HCD_METCOND_LAB" localSheetId="0">#REF!</definedName>
    <definedName name="HCD_METCOND_LAB">#REF!</definedName>
    <definedName name="HCD_METCOND_MAT" localSheetId="0">#REF!</definedName>
    <definedName name="HCD_METCOND_MAT">#REF!</definedName>
    <definedName name="HCD_METCOND_QTY" localSheetId="0">#REF!</definedName>
    <definedName name="HCD_METCOND_QTY">#REF!</definedName>
    <definedName name="HCD_METCOND_SC" localSheetId="0">#REF!</definedName>
    <definedName name="HCD_METCOND_SC">#REF!</definedName>
    <definedName name="HCD_METCOND_SCHRS" localSheetId="0">#REF!</definedName>
    <definedName name="HCD_METCOND_SCHRS">#REF!</definedName>
    <definedName name="HCD_METEMBCOND_HRS" localSheetId="0">#REF!</definedName>
    <definedName name="HCD_METEMBCOND_HRS">#REF!</definedName>
    <definedName name="HCD_METEMBCOND_LAB" localSheetId="0">#REF!</definedName>
    <definedName name="HCD_METEMBCOND_LAB">#REF!</definedName>
    <definedName name="HCD_METEMBCOND_MAT" localSheetId="0">#REF!</definedName>
    <definedName name="HCD_METEMBCOND_MAT">#REF!</definedName>
    <definedName name="HCD_METEMBCOND_QTY" localSheetId="0">#REF!</definedName>
    <definedName name="HCD_METEMBCOND_QTY">#REF!</definedName>
    <definedName name="HCD_METEMBCOND_SC" localSheetId="0">#REF!</definedName>
    <definedName name="HCD_METEMBCOND_SC">#REF!</definedName>
    <definedName name="HCD_METEMBCOND_SCHRS" localSheetId="0">#REF!</definedName>
    <definedName name="HCD_METEMBCOND_SCHRS">#REF!</definedName>
    <definedName name="HCD_MISCPNLS_HRS" localSheetId="0">#REF!</definedName>
    <definedName name="HCD_MISCPNLS_HRS">#REF!</definedName>
    <definedName name="HCD_MISCPNLS_LAB" localSheetId="0">#REF!</definedName>
    <definedName name="HCD_MISCPNLS_LAB">#REF!</definedName>
    <definedName name="HCD_MISCPNLS_MAT" localSheetId="0">#REF!</definedName>
    <definedName name="HCD_MISCPNLS_MAT">#REF!</definedName>
    <definedName name="HCD_MISCPNLS_QTY" localSheetId="0">#REF!</definedName>
    <definedName name="HCD_MISCPNLS_QTY">#REF!</definedName>
    <definedName name="HCD_MISCPNLS_SC" localSheetId="0">#REF!</definedName>
    <definedName name="HCD_MISCPNLS_SC">#REF!</definedName>
    <definedName name="HCD_MISCPNLS_SCHRS" localSheetId="0">#REF!</definedName>
    <definedName name="HCD_MISCPNLS_SCHRS">#REF!</definedName>
    <definedName name="HCD_NMETCOND_HRS" localSheetId="0">#REF!</definedName>
    <definedName name="HCD_NMETCOND_HRS">#REF!</definedName>
    <definedName name="HCD_NMETCOND_LAB" localSheetId="0">#REF!</definedName>
    <definedName name="HCD_NMETCOND_LAB">#REF!</definedName>
    <definedName name="HCD_NMETCOND_MAT" localSheetId="0">#REF!</definedName>
    <definedName name="HCD_NMETCOND_MAT">#REF!</definedName>
    <definedName name="HCD_NMETCOND_QTY" localSheetId="0">#REF!</definedName>
    <definedName name="HCD_NMETCOND_QTY">#REF!</definedName>
    <definedName name="HCD_NMETCOND_SC" localSheetId="0">#REF!</definedName>
    <definedName name="HCD_NMETCOND_SC">#REF!</definedName>
    <definedName name="HCD_NMETCOND_SCHRS" localSheetId="0">#REF!</definedName>
    <definedName name="HCD_NMETCOND_SCHRS">#REF!</definedName>
    <definedName name="HCD_OTDRFIXT_QTY" localSheetId="0">#REF!</definedName>
    <definedName name="HCD_OTDRFIXT_QTY">#REF!</definedName>
    <definedName name="HCD_OTHEREQ_HRS" localSheetId="0">#REF!</definedName>
    <definedName name="HCD_OTHEREQ_HRS">#REF!</definedName>
    <definedName name="HCD_OTHEREQ_LAB" localSheetId="0">#REF!</definedName>
    <definedName name="HCD_OTHEREQ_LAB">#REF!</definedName>
    <definedName name="HCD_OTHEREQ_MAT" localSheetId="0">#REF!</definedName>
    <definedName name="HCD_OTHEREQ_MAT">#REF!</definedName>
    <definedName name="HCD_OTHEREQ_QTY" localSheetId="0">#REF!</definedName>
    <definedName name="HCD_OTHEREQ_QTY">#REF!</definedName>
    <definedName name="HCD_OTHEREQ_SC" localSheetId="0">#REF!</definedName>
    <definedName name="HCD_OTHEREQ_SC">#REF!</definedName>
    <definedName name="HCD_OTHEREQ_SCHRS" localSheetId="0">#REF!</definedName>
    <definedName name="HCD_OTHEREQ_SCHRS">#REF!</definedName>
    <definedName name="HCD_PNLS_QTY" localSheetId="0">#REF!</definedName>
    <definedName name="HCD_PNLS_QTY">#REF!</definedName>
    <definedName name="HCD_POLEFIXT_QTY" localSheetId="0">#REF!</definedName>
    <definedName name="HCD_POLEFIXT_QTY">#REF!</definedName>
    <definedName name="HCD_RACKTRAY_QTY" localSheetId="0">#REF!</definedName>
    <definedName name="HCD_RACKTRAY_QTY">#REF!</definedName>
    <definedName name="HCD_RECEPT_QTY" localSheetId="0">#REF!</definedName>
    <definedName name="HCD_RECEPT_QTY">#REF!</definedName>
    <definedName name="HCD_SCHCOND_HRS" localSheetId="0">#REF!</definedName>
    <definedName name="HCD_SCHCOND_HRS">#REF!</definedName>
    <definedName name="HCD_SCHCOND_LAB" localSheetId="0">#REF!</definedName>
    <definedName name="HCD_SCHCOND_LAB">#REF!</definedName>
    <definedName name="HCD_SCHCOND_MAT" localSheetId="0">#REF!</definedName>
    <definedName name="HCD_SCHCOND_MAT">#REF!</definedName>
    <definedName name="HCD_SCHCOND_SC" localSheetId="0">#REF!</definedName>
    <definedName name="HCD_SCHCOND_SC">#REF!</definedName>
    <definedName name="HCD_SCHCOND_SCHRS" localSheetId="0">#REF!</definedName>
    <definedName name="HCD_SCHCOND_SCHRS">#REF!</definedName>
    <definedName name="HCD_SWGR_HRS" localSheetId="0">#REF!</definedName>
    <definedName name="HCD_SWGR_HRS">#REF!</definedName>
    <definedName name="HCD_SWGR_LAB" localSheetId="0">#REF!</definedName>
    <definedName name="HCD_SWGR_LAB">#REF!</definedName>
    <definedName name="HCD_SWGR_MAT" localSheetId="0">#REF!</definedName>
    <definedName name="HCD_SWGR_MAT">#REF!</definedName>
    <definedName name="HCD_SWGR_QTY" localSheetId="0">#REF!</definedName>
    <definedName name="HCD_SWGR_QTY">#REF!</definedName>
    <definedName name="HCD_SWGR_SC" localSheetId="0">#REF!</definedName>
    <definedName name="HCD_SWGR_SC">#REF!</definedName>
    <definedName name="HCD_SWGR_SCHRS" localSheetId="0">#REF!</definedName>
    <definedName name="HCD_SWGR_SCHRS">#REF!</definedName>
    <definedName name="HCD_SWYD_HRS" localSheetId="0">#REF!</definedName>
    <definedName name="HCD_SWYD_HRS">#REF!</definedName>
    <definedName name="HCD_SWYD_LAB" localSheetId="0">#REF!</definedName>
    <definedName name="HCD_SWYD_LAB">#REF!</definedName>
    <definedName name="HCD_SWYD_MAT" localSheetId="0">#REF!</definedName>
    <definedName name="HCD_SWYD_MAT">#REF!</definedName>
    <definedName name="HCD_SWYD_QTY" localSheetId="0">#REF!</definedName>
    <definedName name="HCD_SWYD_QTY">#REF!</definedName>
    <definedName name="HCD_SWYD_SC" localSheetId="0">#REF!</definedName>
    <definedName name="HCD_SWYD_SC">#REF!</definedName>
    <definedName name="HCD_SWYD_SCHRS" localSheetId="0">#REF!</definedName>
    <definedName name="HCD_SWYD_SCHRS">#REF!</definedName>
    <definedName name="HCD_TL_HRS" localSheetId="0">#REF!</definedName>
    <definedName name="HCD_TL_HRS">#REF!</definedName>
    <definedName name="HCD_TL_LAB" localSheetId="0">#REF!</definedName>
    <definedName name="HCD_TL_LAB">#REF!</definedName>
    <definedName name="HCD_TL_MAT" localSheetId="0">#REF!</definedName>
    <definedName name="HCD_TL_MAT">#REF!</definedName>
    <definedName name="HCD_TL_QTY" localSheetId="0">#REF!</definedName>
    <definedName name="HCD_TL_QTY">#REF!</definedName>
    <definedName name="HCD_TL_SC" localSheetId="0">#REF!</definedName>
    <definedName name="HCD_TL_SC">#REF!</definedName>
    <definedName name="HCD_TL_SCHRS" localSheetId="0">#REF!</definedName>
    <definedName name="HCD_TL_SCHRS">#REF!</definedName>
    <definedName name="HCD_TRAY_HRS" localSheetId="0">#REF!</definedName>
    <definedName name="HCD_TRAY_HRS">#REF!</definedName>
    <definedName name="HCD_TRAY_LAB" localSheetId="0">#REF!</definedName>
    <definedName name="HCD_TRAY_LAB">#REF!</definedName>
    <definedName name="HCD_TRAY_MAT" localSheetId="0">#REF!</definedName>
    <definedName name="HCD_TRAY_MAT">#REF!</definedName>
    <definedName name="HCD_TRAY_QTY" localSheetId="0">#REF!</definedName>
    <definedName name="HCD_TRAY_QTY">#REF!</definedName>
    <definedName name="HCD_TRAY_SC" localSheetId="0">#REF!</definedName>
    <definedName name="HCD_TRAY_SC">#REF!</definedName>
    <definedName name="HCD_TRAY_SCHRS" localSheetId="0">#REF!</definedName>
    <definedName name="HCD_TRAY_SCHRS">#REF!</definedName>
    <definedName name="HCD_UNSCHCBL_HRS" localSheetId="0">#REF!</definedName>
    <definedName name="HCD_UNSCHCBL_HRS">#REF!</definedName>
    <definedName name="HCD_UNSCHCBL_LAB" localSheetId="0">#REF!</definedName>
    <definedName name="HCD_UNSCHCBL_LAB">#REF!</definedName>
    <definedName name="HCD_UNSCHCBL_MAT" localSheetId="0">#REF!</definedName>
    <definedName name="HCD_UNSCHCBL_MAT">#REF!</definedName>
    <definedName name="HCD_UNSCHCBL_QTY" localSheetId="0">#REF!</definedName>
    <definedName name="HCD_UNSCHCBL_QTY">#REF!</definedName>
    <definedName name="HCD_UNSCHCBL_SC" localSheetId="0">#REF!</definedName>
    <definedName name="HCD_UNSCHCBL_SC">#REF!</definedName>
    <definedName name="HCD_UNSCHCBL_SCHRS" localSheetId="0">#REF!</definedName>
    <definedName name="HCD_UNSCHCBL_SCHRS">#REF!</definedName>
    <definedName name="HCD_UNSCHCOND_HRS" localSheetId="0">#REF!</definedName>
    <definedName name="HCD_UNSCHCOND_HRS">#REF!</definedName>
    <definedName name="HCD_UNSCHCOND_LAB" localSheetId="0">#REF!</definedName>
    <definedName name="HCD_UNSCHCOND_LAB">#REF!</definedName>
    <definedName name="HCD_UNSCHCOND_MAT" localSheetId="0">#REF!</definedName>
    <definedName name="HCD_UNSCHCOND_MAT">#REF!</definedName>
    <definedName name="HCD_UNSCHCOND_QTY" localSheetId="0">#REF!</definedName>
    <definedName name="HCD_UNSCHCOND_QTY">#REF!</definedName>
    <definedName name="HCD_UNSCHCOND_SC" localSheetId="0">#REF!</definedName>
    <definedName name="HCD_UNSCHCOND_SC">#REF!</definedName>
    <definedName name="HCD_UNSCHCOND_SCHRS" localSheetId="0">#REF!</definedName>
    <definedName name="HCD_UNSCHCOND_SCHRS">#REF!</definedName>
    <definedName name="HCD_XFMR_HRS" localSheetId="0">#REF!</definedName>
    <definedName name="HCD_XFMR_HRS">#REF!</definedName>
    <definedName name="HCD_XFMR_LAB" localSheetId="0">#REF!</definedName>
    <definedName name="HCD_XFMR_LAB">#REF!</definedName>
    <definedName name="HCD_XFMR_MAT" localSheetId="0">#REF!</definedName>
    <definedName name="HCD_XFMR_MAT">#REF!</definedName>
    <definedName name="HCD_XFMR_QTY" localSheetId="0">#REF!</definedName>
    <definedName name="HCD_XFMR_QTY">#REF!</definedName>
    <definedName name="HCD_XFMR_SC" localSheetId="0">#REF!</definedName>
    <definedName name="HCD_XFMR_SC">#REF!</definedName>
    <definedName name="HCD_XFMR_SCHRS" localSheetId="0">#REF!</definedName>
    <definedName name="HCD_XFMR_SCHRS">#REF!</definedName>
    <definedName name="HCDNMETCOND_HRS" localSheetId="0">#REF!</definedName>
    <definedName name="HCDNMETCOND_HRS">#REF!</definedName>
    <definedName name="HCDNMETCOND_LAB" localSheetId="0">#REF!</definedName>
    <definedName name="HCDNMETCOND_LAB">#REF!</definedName>
    <definedName name="HCDNMETCOND_MAT" localSheetId="0">#REF!</definedName>
    <definedName name="HCDNMETCOND_MAT">#REF!</definedName>
    <definedName name="HCDNMETCOND_SC" localSheetId="0">#REF!</definedName>
    <definedName name="HCDNMETCOND_SC">#REF!</definedName>
    <definedName name="Hcw" localSheetId="0">#REF!</definedName>
    <definedName name="Hcw">#REF!</definedName>
    <definedName name="headblacksmith" localSheetId="0">#REF!</definedName>
    <definedName name="headblacksmith">#REF!</definedName>
    <definedName name="Header" localSheetId="0">#REF!</definedName>
    <definedName name="Header">#REF!</definedName>
    <definedName name="headmason" localSheetId="0">#REF!</definedName>
    <definedName name="headmason">#REF!</definedName>
    <definedName name="HEAT_TRACE" localSheetId="0">#REF!</definedName>
    <definedName name="HEAT_TRACE">#REF!</definedName>
    <definedName name="HEAT_TRACE_PROT" localSheetId="0">#REF!</definedName>
    <definedName name="HEAT_TRACE_PROT">#REF!</definedName>
    <definedName name="HEIGHT_SQCC" localSheetId="0">#REF!</definedName>
    <definedName name="HEIGHT_SQCC">#REF!</definedName>
    <definedName name="HEIGHT_SQCC_ONCOLOGY" localSheetId="0">#REF!</definedName>
    <definedName name="HEIGHT_SQCC_ONCOLOGY">#REF!</definedName>
    <definedName name="HEIGHT_SQCC_RESTUARENT" localSheetId="0">#REF!</definedName>
    <definedName name="HEIGHT_SQCC_RESTUARENT">#REF!</definedName>
    <definedName name="HeightSQCCV3" localSheetId="0">#REF!</definedName>
    <definedName name="HeightSQCCV3">#REF!</definedName>
    <definedName name="HeightV3" localSheetId="0">#REF!</definedName>
    <definedName name="HeightV3">#REF!</definedName>
    <definedName name="hello" localSheetId="0">#REF!</definedName>
    <definedName name="hello">#REF!</definedName>
    <definedName name="hf" localSheetId="0">#REF!</definedName>
    <definedName name="hf">#REF!</definedName>
    <definedName name="hfi" localSheetId="0">#REF!</definedName>
    <definedName name="hfi">#REF!</definedName>
    <definedName name="HFJ" localSheetId="0">#REF!</definedName>
    <definedName name="HFJ">#REF!</definedName>
    <definedName name="hgbkh" localSheetId="0">#REF!</definedName>
    <definedName name="hgbkh">#REF!</definedName>
    <definedName name="HGFHH" localSheetId="0">#REF!</definedName>
    <definedName name="HGFHH">#REF!</definedName>
    <definedName name="hgg" localSheetId="0">#REF!</definedName>
    <definedName name="hgg">#REF!</definedName>
    <definedName name="hgjhgj" localSheetId="0">#REF!</definedName>
    <definedName name="hgjhgj">#REF!</definedName>
    <definedName name="hgjjjgfj" localSheetId="0">#REF!</definedName>
    <definedName name="hgjjjgfj">#REF!</definedName>
    <definedName name="hgr" localSheetId="0">#REF!</definedName>
    <definedName name="hgr">#REF!</definedName>
    <definedName name="HH" localSheetId="0">#REF!</definedName>
    <definedName name="HH">#REF!</definedName>
    <definedName name="hh___0" localSheetId="0">#REF!</definedName>
    <definedName name="hh___0">#REF!</definedName>
    <definedName name="hh___13" localSheetId="0">#REF!</definedName>
    <definedName name="hh___13">#REF!</definedName>
    <definedName name="hhhhhhh" localSheetId="0">#REF!</definedName>
    <definedName name="hhhhhhh">#REF!</definedName>
    <definedName name="hhhhhhhhhhhhhhhhhh" localSheetId="0">#REF!</definedName>
    <definedName name="hhhhhhhhhhhhhhhhhh">#REF!</definedName>
    <definedName name="hhjhj" localSheetId="0">#REF!</definedName>
    <definedName name="hhjhj">#REF!</definedName>
    <definedName name="Hhpc" localSheetId="0">#REF!</definedName>
    <definedName name="Hhpc">#REF!</definedName>
    <definedName name="hhs" localSheetId="0">#REF!</definedName>
    <definedName name="hhs">#REF!</definedName>
    <definedName name="hi" localSheetId="0">#REF!</definedName>
    <definedName name="hi">#REF!</definedName>
    <definedName name="HiddenRows" localSheetId="0">#REF!</definedName>
    <definedName name="HiddenRows">#REF!</definedName>
    <definedName name="HINDHUSTAN" localSheetId="0">#REF!</definedName>
    <definedName name="HINDHUSTAN">#REF!</definedName>
    <definedName name="HIns" localSheetId="0">#REF!</definedName>
    <definedName name="HIns">#REF!</definedName>
    <definedName name="Hipc" localSheetId="0">#REF!</definedName>
    <definedName name="Hipc">#REF!</definedName>
    <definedName name="histogram_data" localSheetId="0">#REF!</definedName>
    <definedName name="histogram_data">#REF!</definedName>
    <definedName name="HJ" localSheetId="0">#REF!</definedName>
    <definedName name="HJ">#REF!</definedName>
    <definedName name="hjfkryjktrkfgk" localSheetId="0">#REF!</definedName>
    <definedName name="hjfkryjktrkfgk">#REF!</definedName>
    <definedName name="hjfshlkjhfdslkjhdsa" localSheetId="0">#REF!</definedName>
    <definedName name="hjfshlkjhfdslkjhdsa">#REF!</definedName>
    <definedName name="HJGFJSDGHJ" localSheetId="0">#REF!</definedName>
    <definedName name="HJGFJSDGHJ">#REF!</definedName>
    <definedName name="hjguyf" localSheetId="0">#REF!</definedName>
    <definedName name="hjguyf">#REF!</definedName>
    <definedName name="hjikjg" localSheetId="0">#REF!</definedName>
    <definedName name="hjikjg">#REF!</definedName>
    <definedName name="hjkhjk" localSheetId="0">#REF!</definedName>
    <definedName name="hjkhjk">#REF!</definedName>
    <definedName name="hjuj" localSheetId="0">#REF!</definedName>
    <definedName name="hjuj">#REF!</definedName>
    <definedName name="hkhkhkj" localSheetId="0">#REF!</definedName>
    <definedName name="hkhkhkj">#REF!</definedName>
    <definedName name="Hlp" localSheetId="0">#REF!</definedName>
    <definedName name="Hlp">#REF!</definedName>
    <definedName name="hmplant" localSheetId="0">#REF!</definedName>
    <definedName name="hmplant">#REF!</definedName>
    <definedName name="ho" localSheetId="0">#REF!</definedName>
    <definedName name="ho">#REF!</definedName>
    <definedName name="ho___0" localSheetId="0">#REF!</definedName>
    <definedName name="ho___0">#REF!</definedName>
    <definedName name="ho___13" localSheetId="0">#REF!</definedName>
    <definedName name="ho___13">#REF!</definedName>
    <definedName name="hoi" localSheetId="0">#REF!</definedName>
    <definedName name="hoi">#REF!</definedName>
    <definedName name="hollowblock100" localSheetId="0">#REF!</definedName>
    <definedName name="hollowblock100">#REF!</definedName>
    <definedName name="hollowblock150" localSheetId="0">#REF!</definedName>
    <definedName name="hollowblock150">#REF!</definedName>
    <definedName name="hollowblock200" localSheetId="0">#REF!</definedName>
    <definedName name="hollowblock200">#REF!</definedName>
    <definedName name="home" localSheetId="0">#REF!</definedName>
    <definedName name="home">#REF!</definedName>
    <definedName name="hone" localSheetId="0">#REF!</definedName>
    <definedName name="hone">#REF!</definedName>
    <definedName name="HorizontalArea" localSheetId="0">#REF!</definedName>
    <definedName name="HorizontalArea">#REF!</definedName>
    <definedName name="HOTEL" localSheetId="0">#REF!</definedName>
    <definedName name="HOTEL">#REF!</definedName>
    <definedName name="hotmixplant" localSheetId="0">#REF!</definedName>
    <definedName name="hotmixplant">#REF!</definedName>
    <definedName name="hotmixsmall" localSheetId="0">#REF!</definedName>
    <definedName name="hotmixsmall">#REF!</definedName>
    <definedName name="hotwo" localSheetId="0">#REF!</definedName>
    <definedName name="hotwo">#REF!</definedName>
    <definedName name="Hours_Per_Month_For_Recitals" localSheetId="0">#REF!</definedName>
    <definedName name="Hours_Per_Month_For_Recitals">#REF!</definedName>
    <definedName name="Hours_Per_Month_For_Ss_And_FCs" localSheetId="0">#REF!</definedName>
    <definedName name="Hours_Per_Month_For_Ss_And_FCs">#REF!</definedName>
    <definedName name="hr" localSheetId="0">#REF!</definedName>
    <definedName name="hr">#REF!</definedName>
    <definedName name="HRSG_Boiler_Conc" localSheetId="0">#REF!</definedName>
    <definedName name="HRSG_Boiler_Conc">#REF!</definedName>
    <definedName name="hS" localSheetId="0">#REF!</definedName>
    <definedName name="hS">#REF!</definedName>
    <definedName name="hS___0" localSheetId="0">#REF!</definedName>
    <definedName name="hS___0">#REF!</definedName>
    <definedName name="hS___13" localSheetId="0">#REF!</definedName>
    <definedName name="hS___13">#REF!</definedName>
    <definedName name="Hs_atm" localSheetId="0">#REF!</definedName>
    <definedName name="Hs_atm">#REF!</definedName>
    <definedName name="HSS" localSheetId="0">#REF!</definedName>
    <definedName name="HSS">#REF!</definedName>
    <definedName name="hthree" localSheetId="0">#REF!</definedName>
    <definedName name="hthree">#REF!</definedName>
    <definedName name="HTR_COUNT" localSheetId="0">#REF!</definedName>
    <definedName name="HTR_COUNT">#REF!</definedName>
    <definedName name="htth" localSheetId="0">#REF!</definedName>
    <definedName name="htth">#REF!</definedName>
    <definedName name="htwing" localSheetId="0">#REF!</definedName>
    <definedName name="htwing">#REF!</definedName>
    <definedName name="Hu" localSheetId="0">#REF!</definedName>
    <definedName name="Hu">#REF!</definedName>
    <definedName name="Hu___0" localSheetId="0">#REF!</definedName>
    <definedName name="Hu___0">#REF!</definedName>
    <definedName name="Hu___13" localSheetId="0">#REF!</definedName>
    <definedName name="Hu___13">#REF!</definedName>
    <definedName name="Humbird" localSheetId="0">#REF!</definedName>
    <definedName name="Humbird">#REF!</definedName>
    <definedName name="HV" localSheetId="0">#REF!</definedName>
    <definedName name="HV">#REF!</definedName>
    <definedName name="hvacrates" localSheetId="0">#REF!</definedName>
    <definedName name="hvacrates">#REF!</definedName>
    <definedName name="Hw" localSheetId="0">#REF!</definedName>
    <definedName name="Hw">#REF!</definedName>
    <definedName name="Hw_atm" localSheetId="0">#REF!</definedName>
    <definedName name="Hw_atm">#REF!</definedName>
    <definedName name="hxa" localSheetId="0">#REF!</definedName>
    <definedName name="hxa">#REF!</definedName>
    <definedName name="hxb" localSheetId="0">#REF!</definedName>
    <definedName name="hxb">#REF!</definedName>
    <definedName name="hxc" localSheetId="0">#REF!</definedName>
    <definedName name="hxc">#REF!</definedName>
    <definedName name="hxe" localSheetId="0">#REF!</definedName>
    <definedName name="hxe">#REF!</definedName>
    <definedName name="hxf" localSheetId="0">#REF!</definedName>
    <definedName name="hxf">#REF!</definedName>
    <definedName name="hxi" localSheetId="0">#REF!</definedName>
    <definedName name="hxi">#REF!</definedName>
    <definedName name="hydexcavator" localSheetId="0">#REF!</definedName>
    <definedName name="hydexcavator">#REF!</definedName>
    <definedName name="hysd" localSheetId="0">#REF!</definedName>
    <definedName name="hysd">#REF!</definedName>
    <definedName name="hysdpcc" localSheetId="0">#REF!</definedName>
    <definedName name="hysdpcc">#REF!</definedName>
    <definedName name="hz" localSheetId="0">#REF!</definedName>
    <definedName name="hz">#REF!</definedName>
    <definedName name="I.3.b.iii" localSheetId="0">#REF!</definedName>
    <definedName name="I.3.b.iii">#REF!</definedName>
    <definedName name="I.3.b.iv" localSheetId="0">#REF!</definedName>
    <definedName name="I.3.b.iv">#REF!</definedName>
    <definedName name="I.3.c" localSheetId="0">#REF!</definedName>
    <definedName name="I.3.c">#REF!</definedName>
    <definedName name="I___0" localSheetId="0">#REF!</definedName>
    <definedName name="I___0">#REF!</definedName>
    <definedName name="I___13" localSheetId="0">#REF!</definedName>
    <definedName name="I___13">#REF!</definedName>
    <definedName name="I_Steel" localSheetId="0">#REF!</definedName>
    <definedName name="I_Steel">#REF!</definedName>
    <definedName name="IAH" localSheetId="0">#REF!</definedName>
    <definedName name="IAH">#REF!</definedName>
    <definedName name="idpvol" localSheetId="0">#REF!</definedName>
    <definedName name="idpvol">#REF!</definedName>
    <definedName name="ie" localSheetId="0">#REF!</definedName>
    <definedName name="ie">#REF!</definedName>
    <definedName name="If" localSheetId="0">#REF!</definedName>
    <definedName name="If">#REF!</definedName>
    <definedName name="IFLIST" localSheetId="0">#REF!</definedName>
    <definedName name="IFLIST">#REF!</definedName>
    <definedName name="Ig" localSheetId="0">#REF!</definedName>
    <definedName name="Ig">#REF!</definedName>
    <definedName name="Ig___0" localSheetId="0">#REF!</definedName>
    <definedName name="Ig___0">#REF!</definedName>
    <definedName name="Ig___13" localSheetId="0">#REF!</definedName>
    <definedName name="Ig___13">#REF!</definedName>
    <definedName name="ihkjhkj" localSheetId="0">#REF!</definedName>
    <definedName name="ihkjhkj">#REF!</definedName>
    <definedName name="IIF__PAGE_NUM___5___BUILDING_COSTS____SITEWORK_COSTS" localSheetId="0">#REF!</definedName>
    <definedName name="IIF__PAGE_NUM___5___BUILDING_COSTS____SITEWORK_COSTS">#REF!</definedName>
    <definedName name="iii" localSheetId="0">#REF!</definedName>
    <definedName name="iii">#REF!</definedName>
    <definedName name="iiiiiiiiiii" localSheetId="0">#REF!</definedName>
    <definedName name="iiiiiiiiiii">#REF!</definedName>
    <definedName name="iiiiiiiiiiiiii" localSheetId="0">#REF!</definedName>
    <definedName name="iiiiiiiiiiiiii">#REF!</definedName>
    <definedName name="iju" localSheetId="0">#REF!</definedName>
    <definedName name="iju">#REF!</definedName>
    <definedName name="ik" localSheetId="0">#REF!</definedName>
    <definedName name="ik">#REF!</definedName>
    <definedName name="Im" localSheetId="0">#REF!</definedName>
    <definedName name="Im">#REF!</definedName>
    <definedName name="imported" localSheetId="0">#REF!</definedName>
    <definedName name="imported">#REF!</definedName>
    <definedName name="IMPROVEMENTS" localSheetId="0">#REF!</definedName>
    <definedName name="IMPROVEMENTS">#REF!</definedName>
    <definedName name="IN" localSheetId="0">#REF!</definedName>
    <definedName name="IN">#REF!</definedName>
    <definedName name="in_100" localSheetId="0">#REF!</definedName>
    <definedName name="in_100">#REF!</definedName>
    <definedName name="in_150" localSheetId="0">#REF!</definedName>
    <definedName name="in_150">#REF!</definedName>
    <definedName name="in_200" localSheetId="0">#REF!</definedName>
    <definedName name="in_200">#REF!</definedName>
    <definedName name="in_25" localSheetId="0">#REF!</definedName>
    <definedName name="in_25">#REF!</definedName>
    <definedName name="in_250" localSheetId="0">#REF!</definedName>
    <definedName name="in_250">#REF!</definedName>
    <definedName name="in_300" localSheetId="0">#REF!</definedName>
    <definedName name="in_300">#REF!</definedName>
    <definedName name="in_32" localSheetId="0">#REF!</definedName>
    <definedName name="in_32">#REF!</definedName>
    <definedName name="in_40" localSheetId="0">#REF!</definedName>
    <definedName name="in_40">#REF!</definedName>
    <definedName name="in_400" localSheetId="0">#REF!</definedName>
    <definedName name="in_400">#REF!</definedName>
    <definedName name="in_50" localSheetId="0">#REF!</definedName>
    <definedName name="in_50">#REF!</definedName>
    <definedName name="in_500" localSheetId="0">#REF!</definedName>
    <definedName name="in_500">#REF!</definedName>
    <definedName name="in_600" localSheetId="0">#REF!</definedName>
    <definedName name="in_600">#REF!</definedName>
    <definedName name="in_65" localSheetId="0">#REF!</definedName>
    <definedName name="in_65">#REF!</definedName>
    <definedName name="in_80" localSheetId="0">#REF!</definedName>
    <definedName name="in_80">#REF!</definedName>
    <definedName name="inAst1" localSheetId="0">#REF!</definedName>
    <definedName name="inAst1">#REF!</definedName>
    <definedName name="inAst3" localSheetId="0">#REF!</definedName>
    <definedName name="inAst3">#REF!</definedName>
    <definedName name="inAst4" localSheetId="0">#REF!</definedName>
    <definedName name="inAst4">#REF!</definedName>
    <definedName name="incgl" localSheetId="0">#REF!</definedName>
    <definedName name="incgl">#REF!</definedName>
    <definedName name="INCOME" localSheetId="0">#REF!</definedName>
    <definedName name="INCOME">#REF!</definedName>
    <definedName name="ind" localSheetId="0">#REF!</definedName>
    <definedName name="ind">#REF!</definedName>
    <definedName name="indf" localSheetId="0">#REF!</definedName>
    <definedName name="indf">#REF!</definedName>
    <definedName name="indices" localSheetId="0">#REF!</definedName>
    <definedName name="indices">#REF!</definedName>
    <definedName name="INDIRECT_CITY" localSheetId="0">#REF!</definedName>
    <definedName name="INDIRECT_CITY">#REF!</definedName>
    <definedName name="INDIRECT_ESC" localSheetId="0">#REF!</definedName>
    <definedName name="INDIRECT_ESC">#REF!</definedName>
    <definedName name="INDIRECT_OLD_CITY" localSheetId="0">#REF!</definedName>
    <definedName name="INDIRECT_OLD_CITY">#REF!</definedName>
    <definedName name="INDIRECT_OLD_ESC" localSheetId="0">#REF!</definedName>
    <definedName name="INDIRECT_OLD_ESC">#REF!</definedName>
    <definedName name="INDIRECT_OLD_PROD" localSheetId="0">#REF!</definedName>
    <definedName name="INDIRECT_OLD_PROD">#REF!</definedName>
    <definedName name="INDIRECT_OLD_WAGE" localSheetId="0">#REF!</definedName>
    <definedName name="INDIRECT_OLD_WAGE">#REF!</definedName>
    <definedName name="INDIRECT_PROD" localSheetId="0">#REF!</definedName>
    <definedName name="INDIRECT_PROD">#REF!</definedName>
    <definedName name="INDIRECT_WAGE" localSheetId="0">#REF!</definedName>
    <definedName name="INDIRECT_WAGE">#REF!</definedName>
    <definedName name="INDOOR_COND" localSheetId="0">#REF!</definedName>
    <definedName name="INDOOR_COND">#REF!</definedName>
    <definedName name="indu" localSheetId="0">#REF!</definedName>
    <definedName name="indu">#REF!</definedName>
    <definedName name="industry" localSheetId="0">#REF!</definedName>
    <definedName name="industry">#REF!</definedName>
    <definedName name="inexudl" localSheetId="0">#REF!</definedName>
    <definedName name="inexudl">#REF!</definedName>
    <definedName name="Inflation" localSheetId="0">#REF!</definedName>
    <definedName name="Inflation">#REF!</definedName>
    <definedName name="INFRASTRUCTURE_ENTRY" localSheetId="0">#REF!</definedName>
    <definedName name="INFRASTRUCTURE_ENTRY">#REF!</definedName>
    <definedName name="insertplate_and_exp_joint" localSheetId="0">#REF!</definedName>
    <definedName name="insertplate_and_exp_joint">#REF!</definedName>
    <definedName name="INST60_OLD_CITY" localSheetId="0">#REF!</definedName>
    <definedName name="INST60_OLD_CITY">#REF!</definedName>
    <definedName name="INST60_OLD_ESC" localSheetId="0">#REF!</definedName>
    <definedName name="INST60_OLD_ESC">#REF!</definedName>
    <definedName name="INST60_OLD_PROD" localSheetId="0">#REF!</definedName>
    <definedName name="INST60_OLD_PROD">#REF!</definedName>
    <definedName name="INST60_OLD_WAGE" localSheetId="0">#REF!</definedName>
    <definedName name="INST60_OLD_WAGE">#REF!</definedName>
    <definedName name="INSTR_REMARKS" localSheetId="0">#REF!</definedName>
    <definedName name="INSTR_REMARKS">#REF!</definedName>
    <definedName name="INSTR_STANDS" localSheetId="0">#REF!</definedName>
    <definedName name="INSTR_STANDS">#REF!</definedName>
    <definedName name="INSTR_TUBING" localSheetId="0">#REF!</definedName>
    <definedName name="INSTR_TUBING">#REF!</definedName>
    <definedName name="INSTR60_CITY" localSheetId="0">#REF!</definedName>
    <definedName name="INSTR60_CITY">#REF!</definedName>
    <definedName name="INSTR60_ESC" localSheetId="0">#REF!</definedName>
    <definedName name="INSTR60_ESC">#REF!</definedName>
    <definedName name="INSTR60_HRS" localSheetId="0">#REF!</definedName>
    <definedName name="INSTR60_HRS">#REF!</definedName>
    <definedName name="INSTR60_LAB" localSheetId="0">#REF!</definedName>
    <definedName name="INSTR60_LAB">#REF!</definedName>
    <definedName name="INSTR60_MAT" localSheetId="0">#REF!</definedName>
    <definedName name="INSTR60_MAT">#REF!</definedName>
    <definedName name="INSTR60_PROD" localSheetId="0">#REF!</definedName>
    <definedName name="INSTR60_PROD">#REF!</definedName>
    <definedName name="INSTR60_SC" localSheetId="0">#REF!</definedName>
    <definedName name="INSTR60_SC">#REF!</definedName>
    <definedName name="INSTR60_SCHRS" localSheetId="0">#REF!</definedName>
    <definedName name="INSTR60_SCHRS">#REF!</definedName>
    <definedName name="INSTR60_TOT" localSheetId="0">#REF!</definedName>
    <definedName name="INSTR60_TOT">#REF!</definedName>
    <definedName name="INSTR60_WAGE" localSheetId="0">#REF!</definedName>
    <definedName name="INSTR60_WAGE">#REF!</definedName>
    <definedName name="insulatedcb250" localSheetId="0">#REF!</definedName>
    <definedName name="insulatedcb250">#REF!</definedName>
    <definedName name="insulation" localSheetId="0">#REF!</definedName>
    <definedName name="insulation">#REF!</definedName>
    <definedName name="INSUQTY" localSheetId="0">#REF!</definedName>
    <definedName name="INSUQTY">#REF!</definedName>
    <definedName name="Int" localSheetId="0">#REF!</definedName>
    <definedName name="Int">#REF!</definedName>
    <definedName name="inter" localSheetId="0">#REF!</definedName>
    <definedName name="inter">#REF!</definedName>
    <definedName name="Interest" localSheetId="0">#REF!</definedName>
    <definedName name="Interest">#REF!</definedName>
    <definedName name="Interest_Rate" localSheetId="0">#REF!</definedName>
    <definedName name="Interest_Rate">#REF!</definedName>
    <definedName name="InterestAppraised" localSheetId="0">#REF!</definedName>
    <definedName name="InterestAppraised">#REF!</definedName>
    <definedName name="Interior" localSheetId="0">#REF!</definedName>
    <definedName name="Interior">#REF!</definedName>
    <definedName name="interlock60grey" localSheetId="0">#REF!</definedName>
    <definedName name="interlock60grey">#REF!</definedName>
    <definedName name="interlock60red" localSheetId="0">#REF!</definedName>
    <definedName name="interlock60red">#REF!</definedName>
    <definedName name="interlock80grey" localSheetId="0">#REF!</definedName>
    <definedName name="interlock80grey">#REF!</definedName>
    <definedName name="interlock80red" localSheetId="0">#REF!</definedName>
    <definedName name="interlock80red">#REF!</definedName>
    <definedName name="internalceilingplaster" localSheetId="0">#REF!</definedName>
    <definedName name="internalceilingplaster">#REF!</definedName>
    <definedName name="internalwallplaster" localSheetId="0">#REF!</definedName>
    <definedName name="internalwallplaster">#REF!</definedName>
    <definedName name="INV_SCH" localSheetId="0">#REF!</definedName>
    <definedName name="INV_SCH">#REF!</definedName>
    <definedName name="investment" localSheetId="0">#REF!</definedName>
    <definedName name="investment">#REF!</definedName>
    <definedName name="ioio" localSheetId="0">#REF!</definedName>
    <definedName name="ioio">#REF!</definedName>
    <definedName name="iop" localSheetId="0">#REF!</definedName>
    <definedName name="iop">#REF!</definedName>
    <definedName name="ip" localSheetId="0">#REF!</definedName>
    <definedName name="ip">#REF!</definedName>
    <definedName name="ipc" localSheetId="0">#REF!</definedName>
    <definedName name="ipc">#REF!</definedName>
    <definedName name="ipsgsghsrhr" localSheetId="0">#REF!</definedName>
    <definedName name="ipsgsghsrhr">#REF!</definedName>
    <definedName name="ipu" localSheetId="0">#REF!</definedName>
    <definedName name="ipu">#REF!</definedName>
    <definedName name="ipu___0" localSheetId="0">#REF!</definedName>
    <definedName name="ipu___0">#REF!</definedName>
    <definedName name="ipu___13" localSheetId="0">#REF!</definedName>
    <definedName name="ipu___13">#REF!</definedName>
    <definedName name="iri" localSheetId="0">#REF!</definedName>
    <definedName name="iri">#REF!</definedName>
    <definedName name="iris" localSheetId="0">#REF!</definedName>
    <definedName name="iris">#REF!</definedName>
    <definedName name="IS" localSheetId="0">#REF!</definedName>
    <definedName name="IS">#REF!</definedName>
    <definedName name="isec12" localSheetId="0">#REF!</definedName>
    <definedName name="isec12">#REF!</definedName>
    <definedName name="ISEC22" localSheetId="0">#REF!</definedName>
    <definedName name="ISEC22">#REF!</definedName>
    <definedName name="ISEC7" localSheetId="0">#REF!</definedName>
    <definedName name="ISEC7">#REF!</definedName>
    <definedName name="isec71" localSheetId="0">#REF!</definedName>
    <definedName name="isec71">#REF!</definedName>
    <definedName name="ISEC72" localSheetId="0">#REF!</definedName>
    <definedName name="ISEC72">#REF!</definedName>
    <definedName name="ISEC77" localSheetId="0">#REF!</definedName>
    <definedName name="ISEC77">#REF!</definedName>
    <definedName name="ISEC78" localSheetId="0">#REF!</definedName>
    <definedName name="ISEC78">#REF!</definedName>
    <definedName name="isec8" localSheetId="0">#REF!</definedName>
    <definedName name="isec8">#REF!</definedName>
    <definedName name="ISO" localSheetId="0">#REF!</definedName>
    <definedName name="ISO">#REF!</definedName>
    <definedName name="isolator" localSheetId="0">#REF!</definedName>
    <definedName name="isolator">#REF!</definedName>
    <definedName name="Issue" localSheetId="0">#REF!</definedName>
    <definedName name="Issue">#REF!</definedName>
    <definedName name="IssuedFlag" localSheetId="0">#REF!</definedName>
    <definedName name="IssuedFlag">#REF!</definedName>
    <definedName name="IT" localSheetId="0">#REF!</definedName>
    <definedName name="IT">#REF!</definedName>
    <definedName name="Item" localSheetId="0">#REF!</definedName>
    <definedName name="Item">#REF!</definedName>
    <definedName name="Item_Mast" localSheetId="0">#REF!</definedName>
    <definedName name="Item_Mast">#REF!</definedName>
    <definedName name="ITT" localSheetId="0">#REF!</definedName>
    <definedName name="ITT">#REF!</definedName>
    <definedName name="iv66666_1" localSheetId="0">#REF!</definedName>
    <definedName name="iv66666_1">#REF!</definedName>
    <definedName name="IWT" localSheetId="0">#REF!</definedName>
    <definedName name="IWT">#REF!</definedName>
    <definedName name="J" localSheetId="0">#REF!</definedName>
    <definedName name="J">#REF!</definedName>
    <definedName name="J.2" localSheetId="0">#REF!</definedName>
    <definedName name="J.2">#REF!</definedName>
    <definedName name="J.5" localSheetId="0">#REF!</definedName>
    <definedName name="J.5">#REF!</definedName>
    <definedName name="J_Metalwork" localSheetId="0">#REF!</definedName>
    <definedName name="J_Metalwork">#REF!</definedName>
    <definedName name="jack" localSheetId="0">#REF!</definedName>
    <definedName name="jack">#REF!</definedName>
    <definedName name="jacson" localSheetId="0">#REF!</definedName>
    <definedName name="jacson">#REF!</definedName>
    <definedName name="jacu" localSheetId="0">#REF!</definedName>
    <definedName name="jacu">#REF!</definedName>
    <definedName name="JAI" localSheetId="0">#REF!</definedName>
    <definedName name="JAI">#REF!</definedName>
    <definedName name="jas" localSheetId="0">#REF!</definedName>
    <definedName name="jas">#REF!</definedName>
    <definedName name="jaspre" localSheetId="0">#REF!</definedName>
    <definedName name="jaspre">#REF!</definedName>
    <definedName name="JAYA" localSheetId="0">#REF!</definedName>
    <definedName name="JAYA">#REF!</definedName>
    <definedName name="JAYAGANESH" localSheetId="0">#REF!</definedName>
    <definedName name="JAYAGANESH">#REF!</definedName>
    <definedName name="jbhjb" localSheetId="0">#REF!</definedName>
    <definedName name="jbhjb">#REF!</definedName>
    <definedName name="jbvhbvh" localSheetId="0">#REF!</definedName>
    <definedName name="jbvhbvh">#REF!</definedName>
    <definedName name="JEJS" localSheetId="0">#REF!</definedName>
    <definedName name="JEJS">#REF!</definedName>
    <definedName name="JEJS___0" localSheetId="0">#REF!</definedName>
    <definedName name="JEJS___0">#REF!</definedName>
    <definedName name="JEJS___11" localSheetId="0">#REF!</definedName>
    <definedName name="JEJS___11">#REF!</definedName>
    <definedName name="JEJS___12" localSheetId="0">#REF!</definedName>
    <definedName name="JEJS___12">#REF!</definedName>
    <definedName name="JEJS___13" localSheetId="0">#REF!</definedName>
    <definedName name="JEJS___13">#REF!</definedName>
    <definedName name="JEJS___4" localSheetId="0">#REF!</definedName>
    <definedName name="JEJS___4">#REF!</definedName>
    <definedName name="jen" localSheetId="0">#REF!</definedName>
    <definedName name="jen">#REF!</definedName>
    <definedName name="jeri" localSheetId="0">#REF!</definedName>
    <definedName name="jeri">#REF!</definedName>
    <definedName name="jgjk" localSheetId="0">#REF!</definedName>
    <definedName name="jgjk">#REF!</definedName>
    <definedName name="jgk" localSheetId="0">#REF!</definedName>
    <definedName name="jgk">#REF!</definedName>
    <definedName name="jhkl" localSheetId="0">#REF!</definedName>
    <definedName name="jhkl">#REF!</definedName>
    <definedName name="jhsdfjbjhuhfjhfuiasf" localSheetId="0">#REF!</definedName>
    <definedName name="jhsdfjbjhuhfjhfuiasf">#REF!</definedName>
    <definedName name="jjj" localSheetId="0">#REF!</definedName>
    <definedName name="jjj">#REF!</definedName>
    <definedName name="jjjjj" localSheetId="0">#REF!</definedName>
    <definedName name="jjjjj">#REF!</definedName>
    <definedName name="jjjjjjjjjj" localSheetId="0">#REF!</definedName>
    <definedName name="jjjjjjjjjj">#REF!</definedName>
    <definedName name="jjjjjjjjjjjjjjj" localSheetId="0">#REF!</definedName>
    <definedName name="jjjjjjjjjjjjjjj">#REF!</definedName>
    <definedName name="jkjkjkj" localSheetId="0">#REF!</definedName>
    <definedName name="jkjkjkj">#REF!</definedName>
    <definedName name="jkkkj" localSheetId="0">#REF!</definedName>
    <definedName name="jkkkj">#REF!</definedName>
    <definedName name="jkl" localSheetId="0">#REF!</definedName>
    <definedName name="jkl">#REF!</definedName>
    <definedName name="jnnnmklnkl" localSheetId="0">#REF!</definedName>
    <definedName name="jnnnmklnkl">#REF!</definedName>
    <definedName name="job" localSheetId="0">#REF!</definedName>
    <definedName name="job">#REF!</definedName>
    <definedName name="job___0" localSheetId="0">#REF!</definedName>
    <definedName name="job___0">#REF!</definedName>
    <definedName name="job___11" localSheetId="0">#REF!</definedName>
    <definedName name="job___11">#REF!</definedName>
    <definedName name="job___12" localSheetId="0">#REF!</definedName>
    <definedName name="job___12">#REF!</definedName>
    <definedName name="Job_No" localSheetId="0">#REF!</definedName>
    <definedName name="Job_No">#REF!</definedName>
    <definedName name="JobDate" localSheetId="0">#REF!</definedName>
    <definedName name="JobDate">#REF!</definedName>
    <definedName name="JobID" localSheetId="0">#REF!</definedName>
    <definedName name="JobID">#REF!</definedName>
    <definedName name="JobNo" localSheetId="0">#REF!</definedName>
    <definedName name="JobNo">#REF!</definedName>
    <definedName name="johnson1" localSheetId="0">#REF!</definedName>
    <definedName name="johnson1">#REF!</definedName>
    <definedName name="joined_by_cord_welding_to_make_it_seamless__at_all_levels__as_per" localSheetId="0">#REF!</definedName>
    <definedName name="joined_by_cord_welding_to_make_it_seamless__at_all_levels__as_per">#REF!</definedName>
    <definedName name="jon" localSheetId="0">#REF!</definedName>
    <definedName name="jon">#REF!</definedName>
    <definedName name="jui" localSheetId="0">#REF!</definedName>
    <definedName name="jui">#REF!</definedName>
    <definedName name="june" localSheetId="0">#REF!</definedName>
    <definedName name="june">#REF!</definedName>
    <definedName name="june_5" localSheetId="0">#REF!</definedName>
    <definedName name="june_5">#REF!</definedName>
    <definedName name="june_7" localSheetId="0">#REF!</definedName>
    <definedName name="june_7">#REF!</definedName>
    <definedName name="K" localSheetId="0">#REF!</definedName>
    <definedName name="K">#REF!</definedName>
    <definedName name="K___0" localSheetId="0">#REF!</definedName>
    <definedName name="K___0">#REF!</definedName>
    <definedName name="K___13" localSheetId="0">#REF!</definedName>
    <definedName name="K___13">#REF!</definedName>
    <definedName name="K_10R" localSheetId="0">#REF!</definedName>
    <definedName name="K_10R">#REF!</definedName>
    <definedName name="K_15R" localSheetId="0">#REF!</definedName>
    <definedName name="K_15R">#REF!</definedName>
    <definedName name="K_20R" localSheetId="0">#REF!</definedName>
    <definedName name="K_20R">#REF!</definedName>
    <definedName name="K_Plastering" localSheetId="0">#REF!</definedName>
    <definedName name="K_Plastering">#REF!</definedName>
    <definedName name="k1_table" localSheetId="0">#REF!</definedName>
    <definedName name="k1_table">#REF!</definedName>
    <definedName name="K10R" localSheetId="0">#REF!</definedName>
    <definedName name="K10R">#REF!</definedName>
    <definedName name="k1l" localSheetId="0">#REF!</definedName>
    <definedName name="k1l">#REF!</definedName>
    <definedName name="k1s" localSheetId="0">#REF!</definedName>
    <definedName name="k1s">#REF!</definedName>
    <definedName name="K20R" localSheetId="0">#REF!</definedName>
    <definedName name="K20R">#REF!</definedName>
    <definedName name="K25R" localSheetId="0">#REF!</definedName>
    <definedName name="K25R">#REF!</definedName>
    <definedName name="k2s" localSheetId="0">#REF!</definedName>
    <definedName name="k2s">#REF!</definedName>
    <definedName name="k50r" localSheetId="0">#REF!</definedName>
    <definedName name="k50r">#REF!</definedName>
    <definedName name="K50RA" localSheetId="0">#REF!</definedName>
    <definedName name="K50RA">#REF!</definedName>
    <definedName name="ka" localSheetId="0">#REF!</definedName>
    <definedName name="ka">#REF!</definedName>
    <definedName name="kaja" localSheetId="0">#REF!</definedName>
    <definedName name="kaja">#REF!</definedName>
    <definedName name="KAJLJ" localSheetId="0">#REF!</definedName>
    <definedName name="KAJLJ">#REF!</definedName>
    <definedName name="KAJLJ1" localSheetId="0">#REF!</definedName>
    <definedName name="KAJLJ1">#REF!</definedName>
    <definedName name="kal" localSheetId="0">#REF!</definedName>
    <definedName name="kal">#REF!</definedName>
    <definedName name="kalais" localSheetId="0">#REF!</definedName>
    <definedName name="kalais">#REF!</definedName>
    <definedName name="kalaiselvi" localSheetId="0">#REF!</definedName>
    <definedName name="kalaiselvi">#REF!</definedName>
    <definedName name="kan" localSheetId="0">#REF!</definedName>
    <definedName name="kan">#REF!</definedName>
    <definedName name="KARNA" localSheetId="0">#REF!</definedName>
    <definedName name="KARNA">#REF!</definedName>
    <definedName name="kb" localSheetId="0">#REF!</definedName>
    <definedName name="kb">#REF!</definedName>
    <definedName name="kc" localSheetId="0">#REF!</definedName>
    <definedName name="kc">#REF!</definedName>
    <definedName name="Kerbcast" localSheetId="0">#REF!</definedName>
    <definedName name="Kerbcast">#REF!</definedName>
    <definedName name="Kh___0" localSheetId="0">#REF!</definedName>
    <definedName name="Kh___0">#REF!</definedName>
    <definedName name="Kh___13" localSheetId="0">#REF!</definedName>
    <definedName name="Kh___13">#REF!</definedName>
    <definedName name="khalasi" localSheetId="0">#REF!</definedName>
    <definedName name="khalasi">#REF!</definedName>
    <definedName name="khd" localSheetId="0">#REF!</definedName>
    <definedName name="khd">#REF!</definedName>
    <definedName name="khf" localSheetId="0">#REF!</definedName>
    <definedName name="khf">#REF!</definedName>
    <definedName name="Ki" localSheetId="0">#REF!</definedName>
    <definedName name="Ki">#REF!</definedName>
    <definedName name="Ki___0" localSheetId="0">#REF!</definedName>
    <definedName name="Ki___0">#REF!</definedName>
    <definedName name="Ki___13" localSheetId="0">#REF!</definedName>
    <definedName name="Ki___13">#REF!</definedName>
    <definedName name="Ki1___0" localSheetId="0">#REF!</definedName>
    <definedName name="Ki1___0">#REF!</definedName>
    <definedName name="Ki1___13" localSheetId="0">#REF!</definedName>
    <definedName name="Ki1___13">#REF!</definedName>
    <definedName name="Ki2___0" localSheetId="0">#REF!</definedName>
    <definedName name="Ki2___0">#REF!</definedName>
    <definedName name="Ki2___13" localSheetId="0">#REF!</definedName>
    <definedName name="Ki2___13">#REF!</definedName>
    <definedName name="Kii" localSheetId="0">#REF!</definedName>
    <definedName name="Kii">#REF!</definedName>
    <definedName name="Kii___0" localSheetId="0">#REF!</definedName>
    <definedName name="Kii___0">#REF!</definedName>
    <definedName name="Kii___13" localSheetId="0">#REF!</definedName>
    <definedName name="Kii___13">#REF!</definedName>
    <definedName name="king" localSheetId="0">#REF!</definedName>
    <definedName name="king">#REF!</definedName>
    <definedName name="kiosk_abb_fab" localSheetId="0">#REF!</definedName>
    <definedName name="kiosk_abb_fab">#REF!</definedName>
    <definedName name="kiosk_abb_mat" localSheetId="0">#REF!</definedName>
    <definedName name="kiosk_abb_mat">#REF!</definedName>
    <definedName name="kiosk_mg_fab" localSheetId="0">#REF!</definedName>
    <definedName name="kiosk_mg_fab">#REF!</definedName>
    <definedName name="KIOSK_mg_mat" localSheetId="0">#REF!</definedName>
    <definedName name="KIOSK_mg_mat">#REF!</definedName>
    <definedName name="kjbkjh" localSheetId="0">#REF!</definedName>
    <definedName name="kjbkjh">#REF!</definedName>
    <definedName name="kjdnfdf" localSheetId="0">#REF!</definedName>
    <definedName name="kjdnfdf">#REF!</definedName>
    <definedName name="KJGLG" localSheetId="0">#REF!</definedName>
    <definedName name="KJGLG">#REF!</definedName>
    <definedName name="kjh" localSheetId="0">#REF!</definedName>
    <definedName name="kjh">#REF!</definedName>
    <definedName name="kkkj" localSheetId="0">#REF!</definedName>
    <definedName name="kkkj">#REF!</definedName>
    <definedName name="kkkkkkkkkkkkkk" localSheetId="0">#REF!</definedName>
    <definedName name="kkkkkkkkkkkkkk">#REF!</definedName>
    <definedName name="kkp" localSheetId="0">#REF!</definedName>
    <definedName name="kkp">#REF!</definedName>
    <definedName name="kljhkadgjsgkjkdjgkljg" localSheetId="0">#REF!</definedName>
    <definedName name="kljhkadgjsgkjkdjgkljg">#REF!</definedName>
    <definedName name="Km" localSheetId="0">#REF!</definedName>
    <definedName name="Km">#REF!</definedName>
    <definedName name="Km___0" localSheetId="0">#REF!</definedName>
    <definedName name="Km___0">#REF!</definedName>
    <definedName name="Km___13" localSheetId="0">#REF!</definedName>
    <definedName name="Km___13">#REF!</definedName>
    <definedName name="Ks" localSheetId="0">#REF!</definedName>
    <definedName name="Ks">#REF!</definedName>
    <definedName name="Ks___0" localSheetId="0">#REF!</definedName>
    <definedName name="Ks___0">#REF!</definedName>
    <definedName name="Ks___13" localSheetId="0">#REF!</definedName>
    <definedName name="Ks___13">#REF!</definedName>
    <definedName name="ksd" localSheetId="0">#REF!</definedName>
    <definedName name="ksd">#REF!</definedName>
    <definedName name="ksf" localSheetId="0">#REF!</definedName>
    <definedName name="ksf">#REF!</definedName>
    <definedName name="ksr" localSheetId="0">#REF!</definedName>
    <definedName name="ksr">#REF!</definedName>
    <definedName name="KVAR10" localSheetId="0">#REF!</definedName>
    <definedName name="KVAR10">#REF!</definedName>
    <definedName name="KVAR10S" localSheetId="0">#REF!</definedName>
    <definedName name="KVAR10S">#REF!</definedName>
    <definedName name="KVAR15" localSheetId="0">#REF!</definedName>
    <definedName name="KVAR15">#REF!</definedName>
    <definedName name="KVAR15S" localSheetId="0">#REF!</definedName>
    <definedName name="KVAR15S">#REF!</definedName>
    <definedName name="KVAR20" localSheetId="0">#REF!</definedName>
    <definedName name="KVAR20">#REF!</definedName>
    <definedName name="KVAR20S" localSheetId="0">#REF!</definedName>
    <definedName name="KVAR20S">#REF!</definedName>
    <definedName name="kvar25" localSheetId="0">#REF!</definedName>
    <definedName name="kvar25">#REF!</definedName>
    <definedName name="KVAR251" localSheetId="0">#REF!</definedName>
    <definedName name="KVAR251">#REF!</definedName>
    <definedName name="kvar34" localSheetId="0">#REF!</definedName>
    <definedName name="kvar34">#REF!</definedName>
    <definedName name="kwh" localSheetId="0">#REF!</definedName>
    <definedName name="kwh">#REF!</definedName>
    <definedName name="kxljbkcccccccccccccccczb" localSheetId="0">#REF!</definedName>
    <definedName name="kxljbkcccccccccccccccczb">#REF!</definedName>
    <definedName name="L" localSheetId="0">#REF!</definedName>
    <definedName name="L">#REF!</definedName>
    <definedName name="L.WALL" localSheetId="0">#REF!</definedName>
    <definedName name="L.WALL">#REF!</definedName>
    <definedName name="L___0" localSheetId="0">#REF!</definedName>
    <definedName name="L___0">#REF!</definedName>
    <definedName name="L___13" localSheetId="0">#REF!</definedName>
    <definedName name="L___13">#REF!</definedName>
    <definedName name="L_1" localSheetId="0">#REF!</definedName>
    <definedName name="L_1">#REF!</definedName>
    <definedName name="L_2" localSheetId="0">#REF!</definedName>
    <definedName name="L_2">#REF!</definedName>
    <definedName name="L_3" localSheetId="0">#REF!</definedName>
    <definedName name="L_3">#REF!</definedName>
    <definedName name="L_Tiling" localSheetId="0">#REF!</definedName>
    <definedName name="L_Tiling">#REF!</definedName>
    <definedName name="laaa" localSheetId="0">#REF!</definedName>
    <definedName name="laaa">#REF!</definedName>
    <definedName name="labor" localSheetId="0">#REF!</definedName>
    <definedName name="labor">#REF!</definedName>
    <definedName name="labourrecon" localSheetId="0">#REF!</definedName>
    <definedName name="labourrecon">#REF!</definedName>
    <definedName name="LAbrec" localSheetId="0">#REF!</definedName>
    <definedName name="LAbrec">#REF!</definedName>
    <definedName name="lamda" localSheetId="0">#REF!</definedName>
    <definedName name="lamda">#REF!</definedName>
    <definedName name="LAMP" localSheetId="0">#REF!</definedName>
    <definedName name="LAMP">#REF!</definedName>
    <definedName name="LAMP___0" localSheetId="0">#REF!</definedName>
    <definedName name="LAMP___0">#REF!</definedName>
    <definedName name="LAMP___13" localSheetId="0">#REF!</definedName>
    <definedName name="LAMP___13">#REF!</definedName>
    <definedName name="LAND" localSheetId="0">#REF!</definedName>
    <definedName name="LAND">#REF!</definedName>
    <definedName name="LAND_" localSheetId="0">#REF!</definedName>
    <definedName name="LAND_">#REF!</definedName>
    <definedName name="Land_adv" localSheetId="0">#REF!</definedName>
    <definedName name="Land_adv">#REF!</definedName>
    <definedName name="Land_Payments" localSheetId="0">#REF!</definedName>
    <definedName name="Land_Payments">#REF!</definedName>
    <definedName name="landacqcost" localSheetId="0">#REF!</definedName>
    <definedName name="landacqcost">#REF!</definedName>
    <definedName name="Landscape" localSheetId="0">#REF!</definedName>
    <definedName name="Landscape">#REF!</definedName>
    <definedName name="landscpe" localSheetId="0">#REF!</definedName>
    <definedName name="landscpe">#REF!</definedName>
    <definedName name="Larsen___Toubro_Limited___ECC_Construction_Division" localSheetId="0">#REF!</definedName>
    <definedName name="Larsen___Toubro_Limited___ECC_Construction_Division">#REF!</definedName>
    <definedName name="LAST_LINE_SUBMITTALS" localSheetId="0">#REF!</definedName>
    <definedName name="LAST_LINE_SUBMITTALS">#REF!</definedName>
    <definedName name="Last_Row" localSheetId="0">#REF!</definedName>
    <definedName name="Last_Row">#REF!</definedName>
    <definedName name="LastCell" localSheetId="0">#REF!</definedName>
    <definedName name="LastCell">#REF!</definedName>
    <definedName name="LateUplift" localSheetId="0">#REF!</definedName>
    <definedName name="LateUplift">#REF!</definedName>
    <definedName name="Lc" localSheetId="0">#REF!</definedName>
    <definedName name="Lc">#REF!</definedName>
    <definedName name="Lc___0" localSheetId="0">#REF!</definedName>
    <definedName name="Lc___0">#REF!</definedName>
    <definedName name="Lc___13" localSheetId="0">#REF!</definedName>
    <definedName name="Lc___13">#REF!</definedName>
    <definedName name="Lcant" localSheetId="0">#REF!</definedName>
    <definedName name="Lcant">#REF!</definedName>
    <definedName name="LCAR100" localSheetId="0">#REF!</definedName>
    <definedName name="LCAR100">#REF!</definedName>
    <definedName name="lcs" localSheetId="0">#REF!</definedName>
    <definedName name="lcs">#REF!</definedName>
    <definedName name="le" localSheetId="0">#REF!</definedName>
    <definedName name="le">#REF!</definedName>
    <definedName name="Lead" localSheetId="0">#REF!</definedName>
    <definedName name="Lead">#REF!</definedName>
    <definedName name="leanconcrete" localSheetId="0">#REF!</definedName>
    <definedName name="leanconcrete">#REF!</definedName>
    <definedName name="leela" localSheetId="0">#REF!</definedName>
    <definedName name="leela">#REF!</definedName>
    <definedName name="lef" localSheetId="0">#REF!</definedName>
    <definedName name="lef">#REF!</definedName>
    <definedName name="lel" localSheetId="0">#REF!</definedName>
    <definedName name="lel">#REF!</definedName>
    <definedName name="len" localSheetId="0">#REF!</definedName>
    <definedName name="len">#REF!</definedName>
    <definedName name="Length" localSheetId="0">#REF!</definedName>
    <definedName name="Length">#REF!</definedName>
    <definedName name="LENGTH_SQCC" localSheetId="0">#REF!</definedName>
    <definedName name="LENGTH_SQCC">#REF!</definedName>
    <definedName name="LENGTH_SQCC_ONCOLOGY" localSheetId="0">#REF!</definedName>
    <definedName name="LENGTH_SQCC_ONCOLOGY">#REF!</definedName>
    <definedName name="LENGTH_SQCC_RESTUARENT" localSheetId="0">#REF!</definedName>
    <definedName name="LENGTH_SQCC_RESTUARENT">#REF!</definedName>
    <definedName name="Length1" localSheetId="0">#REF!</definedName>
    <definedName name="Length1">#REF!</definedName>
    <definedName name="Level2" localSheetId="0">#REF!</definedName>
    <definedName name="Level2">#REF!</definedName>
    <definedName name="levelling" localSheetId="0">#REF!</definedName>
    <definedName name="levelling">#REF!</definedName>
    <definedName name="lex" localSheetId="0">#REF!</definedName>
    <definedName name="lex">#REF!</definedName>
    <definedName name="ley" localSheetId="0">#REF!</definedName>
    <definedName name="ley">#REF!</definedName>
    <definedName name="Lf" localSheetId="0">#REF!</definedName>
    <definedName name="Lf">#REF!</definedName>
    <definedName name="LG" localSheetId="0">#REF!</definedName>
    <definedName name="LG">#REF!</definedName>
    <definedName name="li" localSheetId="0">#REF!</definedName>
    <definedName name="li">#REF!</definedName>
    <definedName name="LIB" localSheetId="0">#REF!</definedName>
    <definedName name="LIB">#REF!</definedName>
    <definedName name="library" localSheetId="0">#REF!</definedName>
    <definedName name="library">#REF!</definedName>
    <definedName name="LIFT" localSheetId="0">#REF!</definedName>
    <definedName name="LIFT">#REF!</definedName>
    <definedName name="light" localSheetId="0">#REF!</definedName>
    <definedName name="light">#REF!</definedName>
    <definedName name="LIGHTING" localSheetId="0">#REF!</definedName>
    <definedName name="LIGHTING">#REF!</definedName>
    <definedName name="LIGHTNING_MEAS" localSheetId="0">#REF!</definedName>
    <definedName name="LIGHTNING_MEAS">#REF!</definedName>
    <definedName name="lightweightconc" localSheetId="0">#REF!</definedName>
    <definedName name="lightweightconc">#REF!</definedName>
    <definedName name="LINE" localSheetId="0">#REF!</definedName>
    <definedName name="LINE">#REF!</definedName>
    <definedName name="LinkRef" localSheetId="0">#REF!</definedName>
    <definedName name="LinkRef">#REF!</definedName>
    <definedName name="LISTCABLE" localSheetId="0">#REF!</definedName>
    <definedName name="LISTCABLE">#REF!</definedName>
    <definedName name="lk" localSheetId="0">#REF!</definedName>
    <definedName name="lk">#REF!</definedName>
    <definedName name="LKLKLKLKLKL" localSheetId="0">#REF!</definedName>
    <definedName name="LKLKLKLKLKL">#REF!</definedName>
    <definedName name="LL" localSheetId="0">#REF!</definedName>
    <definedName name="LL">#REF!</definedName>
    <definedName name="lll" localSheetId="0">#REF!</definedName>
    <definedName name="lll">#REF!</definedName>
    <definedName name="llllllllllllll" localSheetId="0">#REF!</definedName>
    <definedName name="llllllllllllll">#REF!</definedName>
    <definedName name="lm" localSheetId="0">#REF!</definedName>
    <definedName name="lm">#REF!</definedName>
    <definedName name="lmfa" localSheetId="0">#REF!</definedName>
    <definedName name="lmfa">#REF!</definedName>
    <definedName name="lmfr" localSheetId="0">#REF!</definedName>
    <definedName name="lmfr">#REF!</definedName>
    <definedName name="lo" localSheetId="0">#REF!</definedName>
    <definedName name="lo">#REF!</definedName>
    <definedName name="loader" localSheetId="0">#REF!</definedName>
    <definedName name="loader">#REF!</definedName>
    <definedName name="LOAN" localSheetId="0">#REF!</definedName>
    <definedName name="LOAN">#REF!</definedName>
    <definedName name="Loan_Amount" localSheetId="0">#REF!</definedName>
    <definedName name="Loan_Amount">#REF!</definedName>
    <definedName name="Loan_Start" localSheetId="0">#REF!</definedName>
    <definedName name="Loan_Start">#REF!</definedName>
    <definedName name="Loan_Years" localSheetId="0">#REF!</definedName>
    <definedName name="Loan_Years">#REF!</definedName>
    <definedName name="loans_adv" localSheetId="0">#REF!</definedName>
    <definedName name="loans_adv">#REF!</definedName>
    <definedName name="LOC" localSheetId="0">#REF!</definedName>
    <definedName name="LOC">#REF!</definedName>
    <definedName name="Local_Currency" localSheetId="0">#REF!</definedName>
    <definedName name="Local_Currency">#REF!</definedName>
    <definedName name="LOCAL_STAFF" localSheetId="0">#REF!</definedName>
    <definedName name="LOCAL_STAFF">#REF!</definedName>
    <definedName name="LOCAL_STAFF_ENTRY" localSheetId="0">#REF!</definedName>
    <definedName name="LOCAL_STAFF_ENTRY">#REF!</definedName>
    <definedName name="Location" localSheetId="0">#REF!</definedName>
    <definedName name="Location">#REF!</definedName>
    <definedName name="Location___0" localSheetId="0">#REF!</definedName>
    <definedName name="Location___0">#REF!</definedName>
    <definedName name="Location___10" localSheetId="0">#REF!</definedName>
    <definedName name="Location___10">#REF!</definedName>
    <definedName name="Location___11" localSheetId="0">#REF!</definedName>
    <definedName name="Location___11">#REF!</definedName>
    <definedName name="Location___16" localSheetId="0">#REF!</definedName>
    <definedName name="Location___16">#REF!</definedName>
    <definedName name="Location___17" localSheetId="0">#REF!</definedName>
    <definedName name="Location___17">#REF!</definedName>
    <definedName name="Location___20" localSheetId="0">#REF!</definedName>
    <definedName name="Location___20">#REF!</definedName>
    <definedName name="Location___22" localSheetId="0">#REF!</definedName>
    <definedName name="Location___22">#REF!</definedName>
    <definedName name="Location___23" localSheetId="0">#REF!</definedName>
    <definedName name="Location___23">#REF!</definedName>
    <definedName name="Location___24" localSheetId="0">#REF!</definedName>
    <definedName name="Location___24">#REF!</definedName>
    <definedName name="Location___25" localSheetId="0">#REF!</definedName>
    <definedName name="Location___25">#REF!</definedName>
    <definedName name="Location___31" localSheetId="0">#REF!</definedName>
    <definedName name="Location___31">#REF!</definedName>
    <definedName name="Location___6" localSheetId="0">#REF!</definedName>
    <definedName name="Location___6">#REF!</definedName>
    <definedName name="look" localSheetId="0">#REF!</definedName>
    <definedName name="look">#REF!</definedName>
    <definedName name="LookupPump" localSheetId="0">#REF!</definedName>
    <definedName name="LookupPump">#REF!</definedName>
    <definedName name="Lp" localSheetId="0">#REF!</definedName>
    <definedName name="Lp">#REF!</definedName>
    <definedName name="Lr" localSheetId="0">#REF!</definedName>
    <definedName name="Lr">#REF!</definedName>
    <definedName name="Lr___0" localSheetId="0">#REF!</definedName>
    <definedName name="Lr___0">#REF!</definedName>
    <definedName name="Lr___13" localSheetId="0">#REF!</definedName>
    <definedName name="Lr___13">#REF!</definedName>
    <definedName name="ls" localSheetId="0">#REF!</definedName>
    <definedName name="ls">#REF!</definedName>
    <definedName name="LS_Payment_Term" localSheetId="0">#REF!</definedName>
    <definedName name="LS_Payment_Term">#REF!</definedName>
    <definedName name="LS_Sales_Absorption" localSheetId="0">#REF!</definedName>
    <definedName name="LS_Sales_Absorption">#REF!</definedName>
    <definedName name="lsec" localSheetId="0">#REF!</definedName>
    <definedName name="lsec">#REF!</definedName>
    <definedName name="Lsec1" localSheetId="0">#REF!</definedName>
    <definedName name="Lsec1">#REF!</definedName>
    <definedName name="lsec12" localSheetId="0">#REF!</definedName>
    <definedName name="lsec12">#REF!</definedName>
    <definedName name="LSEC13" localSheetId="0">#REF!</definedName>
    <definedName name="LSEC13">#REF!</definedName>
    <definedName name="Lsec2" localSheetId="0">#REF!</definedName>
    <definedName name="Lsec2">#REF!</definedName>
    <definedName name="lsec22" localSheetId="0">#REF!</definedName>
    <definedName name="lsec22">#REF!</definedName>
    <definedName name="LSEC23" localSheetId="0">#REF!</definedName>
    <definedName name="LSEC23">#REF!</definedName>
    <definedName name="Lsec3" localSheetId="0">#REF!</definedName>
    <definedName name="Lsec3">#REF!</definedName>
    <definedName name="LSEC31" localSheetId="0">#REF!</definedName>
    <definedName name="LSEC31">#REF!</definedName>
    <definedName name="lsec33" localSheetId="0">#REF!</definedName>
    <definedName name="lsec33">#REF!</definedName>
    <definedName name="Lsec4" localSheetId="0">#REF!</definedName>
    <definedName name="Lsec4">#REF!</definedName>
    <definedName name="LSEC45" localSheetId="0">#REF!</definedName>
    <definedName name="LSEC45">#REF!</definedName>
    <definedName name="Lsec5" localSheetId="0">#REF!</definedName>
    <definedName name="Lsec5">#REF!</definedName>
    <definedName name="LSEC54" localSheetId="0">#REF!</definedName>
    <definedName name="LSEC54">#REF!</definedName>
    <definedName name="lsec55" localSheetId="0">#REF!</definedName>
    <definedName name="lsec55">#REF!</definedName>
    <definedName name="Lsec6" localSheetId="0">#REF!</definedName>
    <definedName name="Lsec6">#REF!</definedName>
    <definedName name="lsec66" localSheetId="0">#REF!</definedName>
    <definedName name="lsec66">#REF!</definedName>
    <definedName name="LSEC67" localSheetId="0">#REF!</definedName>
    <definedName name="LSEC67">#REF!</definedName>
    <definedName name="lsec7" localSheetId="0">#REF!</definedName>
    <definedName name="lsec7">#REF!</definedName>
    <definedName name="lsec77" localSheetId="0">#REF!</definedName>
    <definedName name="lsec77">#REF!</definedName>
    <definedName name="lsest" localSheetId="0">#REF!</definedName>
    <definedName name="lsest">#REF!</definedName>
    <definedName name="lshead" localSheetId="0">#REF!</definedName>
    <definedName name="lshead">#REF!</definedName>
    <definedName name="lso" localSheetId="0">#REF!</definedName>
    <definedName name="lso">#REF!</definedName>
    <definedName name="LT" localSheetId="0">#REF!</definedName>
    <definedName name="LT">#REF!</definedName>
    <definedName name="ltf" localSheetId="0">#REF!</definedName>
    <definedName name="ltf">#REF!</definedName>
    <definedName name="LTG_ALS" localSheetId="0">#REF!</definedName>
    <definedName name="LTG_ALS">#REF!</definedName>
    <definedName name="LTG_CONDUIT" localSheetId="0">#REF!</definedName>
    <definedName name="LTG_CONDUIT">#REF!</definedName>
    <definedName name="LTG_INDOOR" localSheetId="0">#REF!</definedName>
    <definedName name="LTG_INDOOR">#REF!</definedName>
    <definedName name="LTG_OUTDOOR" localSheetId="0">#REF!</definedName>
    <definedName name="LTG_OUTDOOR">#REF!</definedName>
    <definedName name="LTG_POLES" localSheetId="0">#REF!</definedName>
    <definedName name="LTG_POLES">#REF!</definedName>
    <definedName name="LTG_PWR_EQUIP" localSheetId="0">#REF!</definedName>
    <definedName name="LTG_PWR_EQUIP">#REF!</definedName>
    <definedName name="LTG_WIRE" localSheetId="0">#REF!</definedName>
    <definedName name="LTG_WIRE">#REF!</definedName>
    <definedName name="LTR" localSheetId="0">#REF!</definedName>
    <definedName name="LTR">#REF!</definedName>
    <definedName name="LTV" localSheetId="0">#REF!</definedName>
    <definedName name="LTV">#REF!</definedName>
    <definedName name="LUMEN" localSheetId="0">#REF!</definedName>
    <definedName name="LUMEN">#REF!</definedName>
    <definedName name="LUMEN___0" localSheetId="0">#REF!</definedName>
    <definedName name="LUMEN___0">#REF!</definedName>
    <definedName name="LUMEN___13" localSheetId="0">#REF!</definedName>
    <definedName name="LUMEN___13">#REF!</definedName>
    <definedName name="LUX" localSheetId="0">#REF!</definedName>
    <definedName name="LUX">#REF!</definedName>
    <definedName name="LUX___0" localSheetId="0">#REF!</definedName>
    <definedName name="LUX___0">#REF!</definedName>
    <definedName name="LUX___13" localSheetId="0">#REF!</definedName>
    <definedName name="LUX___13">#REF!</definedName>
    <definedName name="Lw" localSheetId="0">#REF!</definedName>
    <definedName name="Lw">#REF!</definedName>
    <definedName name="Lweld" localSheetId="0">#REF!</definedName>
    <definedName name="Lweld">#REF!</definedName>
    <definedName name="Lx" localSheetId="0">#REF!</definedName>
    <definedName name="Lx">#REF!</definedName>
    <definedName name="Lx___0" localSheetId="0">#REF!</definedName>
    <definedName name="Lx___0">#REF!</definedName>
    <definedName name="Lx___13" localSheetId="0">#REF!</definedName>
    <definedName name="Lx___13">#REF!</definedName>
    <definedName name="ly" localSheetId="0">#REF!</definedName>
    <definedName name="ly">#REF!</definedName>
    <definedName name="M" localSheetId="0">#REF!</definedName>
    <definedName name="M">#REF!</definedName>
    <definedName name="m___0" localSheetId="0">#REF!</definedName>
    <definedName name="m___0">#REF!</definedName>
    <definedName name="m___13" localSheetId="0">#REF!</definedName>
    <definedName name="m___13">#REF!</definedName>
    <definedName name="m_100" localSheetId="0">#REF!</definedName>
    <definedName name="m_100">#REF!</definedName>
    <definedName name="m_100_16KA" localSheetId="0">#REF!</definedName>
    <definedName name="m_100_16KA">#REF!</definedName>
    <definedName name="m_100_25kA" localSheetId="0">#REF!</definedName>
    <definedName name="m_100_25kA">#REF!</definedName>
    <definedName name="m_125_25kA" localSheetId="0">#REF!</definedName>
    <definedName name="m_125_25kA">#REF!</definedName>
    <definedName name="m_160_st" localSheetId="0">#REF!</definedName>
    <definedName name="m_160_st">#REF!</definedName>
    <definedName name="M_25_box_Culvert" localSheetId="0">#REF!</definedName>
    <definedName name="M_25_box_Culvert">#REF!</definedName>
    <definedName name="m_250_st" localSheetId="0">#REF!</definedName>
    <definedName name="m_250_st">#REF!</definedName>
    <definedName name="m_400_4p_mt" localSheetId="0">#REF!</definedName>
    <definedName name="m_400_4p_mt">#REF!</definedName>
    <definedName name="M_63_3N" localSheetId="0">#REF!</definedName>
    <definedName name="M_63_3N">#REF!</definedName>
    <definedName name="M_Paintwork" localSheetId="0">#REF!</definedName>
    <definedName name="M_Paintwork">#REF!</definedName>
    <definedName name="M100B" localSheetId="0">#REF!</definedName>
    <definedName name="M100B">#REF!</definedName>
    <definedName name="M100IL" localSheetId="0">#REF!</definedName>
    <definedName name="M100IL">#REF!</definedName>
    <definedName name="m125b" localSheetId="0">#REF!</definedName>
    <definedName name="m125b">#REF!</definedName>
    <definedName name="M125IL" localSheetId="0">#REF!</definedName>
    <definedName name="M125IL">#REF!</definedName>
    <definedName name="m15flooring" localSheetId="0">#REF!</definedName>
    <definedName name="m15flooring">#REF!</definedName>
    <definedName name="M160B" localSheetId="0">#REF!</definedName>
    <definedName name="M160B">#REF!</definedName>
    <definedName name="M200B" localSheetId="0">#REF!</definedName>
    <definedName name="M200B">#REF!</definedName>
    <definedName name="m20deckpcc" localSheetId="0">#REF!</definedName>
    <definedName name="m20deckpcc">#REF!</definedName>
    <definedName name="m250b" localSheetId="0">#REF!</definedName>
    <definedName name="m250b">#REF!</definedName>
    <definedName name="M250IL" localSheetId="0">#REF!</definedName>
    <definedName name="M250IL">#REF!</definedName>
    <definedName name="M30_BEAMS" localSheetId="0">#REF!</definedName>
    <definedName name="M30_BEAMS">#REF!</definedName>
    <definedName name="M32F" localSheetId="0">#REF!</definedName>
    <definedName name="M32F">#REF!</definedName>
    <definedName name="m35pile" localSheetId="0">#REF!</definedName>
    <definedName name="m35pile">#REF!</definedName>
    <definedName name="m400b" localSheetId="0">#REF!</definedName>
    <definedName name="m400b">#REF!</definedName>
    <definedName name="m400bs" localSheetId="0">#REF!</definedName>
    <definedName name="m400bs">#REF!</definedName>
    <definedName name="M400IL" localSheetId="0">#REF!</definedName>
    <definedName name="M400IL">#REF!</definedName>
    <definedName name="M4D" localSheetId="0">#REF!</definedName>
    <definedName name="M4D">#REF!</definedName>
    <definedName name="M4F" localSheetId="0">#REF!</definedName>
    <definedName name="M4F">#REF!</definedName>
    <definedName name="M630B" localSheetId="0">#REF!</definedName>
    <definedName name="M630B">#REF!</definedName>
    <definedName name="M630IL" localSheetId="0">#REF!</definedName>
    <definedName name="M630IL">#REF!</definedName>
    <definedName name="M63F" localSheetId="0">#REF!</definedName>
    <definedName name="M63F">#REF!</definedName>
    <definedName name="m800b" localSheetId="0">#REF!</definedName>
    <definedName name="m800b">#REF!</definedName>
    <definedName name="M800BS" localSheetId="0">#REF!</definedName>
    <definedName name="M800BS">#REF!</definedName>
    <definedName name="M800IL" localSheetId="0">#REF!</definedName>
    <definedName name="M800IL">#REF!</definedName>
    <definedName name="Ma_v" localSheetId="0">#REF!</definedName>
    <definedName name="Ma_v">#REF!</definedName>
    <definedName name="machine_Bdown" localSheetId="0">#REF!</definedName>
    <definedName name="machine_Bdown">#REF!</definedName>
    <definedName name="MACHINE_EQUIPMENT" localSheetId="0">#REF!</definedName>
    <definedName name="MACHINE_EQUIPMENT">#REF!</definedName>
    <definedName name="MACHINE_EQUIPMENT_ENTRY" localSheetId="0">#REF!</definedName>
    <definedName name="MACHINE_EQUIPMENT_ENTRY">#REF!</definedName>
    <definedName name="MACROS" localSheetId="0">#REF!</definedName>
    <definedName name="MACROS">#REF!</definedName>
    <definedName name="MAIL" localSheetId="0">#REF!</definedName>
    <definedName name="MAIL">#REF!</definedName>
    <definedName name="MainRelay" localSheetId="0">#REF!</definedName>
    <definedName name="MainRelay">#REF!</definedName>
    <definedName name="major" localSheetId="0">#REF!</definedName>
    <definedName name="major">#REF!</definedName>
    <definedName name="mak" localSheetId="0">#REF!</definedName>
    <definedName name="mak">#REF!</definedName>
    <definedName name="man" localSheetId="0">#REF!</definedName>
    <definedName name="man">#REF!</definedName>
    <definedName name="man___0" localSheetId="0">#REF!</definedName>
    <definedName name="man___0">#REF!</definedName>
    <definedName name="man___11" localSheetId="0">#REF!</definedName>
    <definedName name="man___11">#REF!</definedName>
    <definedName name="man___12" localSheetId="0">#REF!</definedName>
    <definedName name="man___12">#REF!</definedName>
    <definedName name="man_power_sum" localSheetId="0">#REF!</definedName>
    <definedName name="man_power_sum">#REF!</definedName>
    <definedName name="Manager_1" localSheetId="0">#REF!</definedName>
    <definedName name="Manager_1">#REF!</definedName>
    <definedName name="manday1" localSheetId="0">#REF!</definedName>
    <definedName name="manday1">#REF!</definedName>
    <definedName name="manday1___0" localSheetId="0">#REF!</definedName>
    <definedName name="manday1___0">#REF!</definedName>
    <definedName name="manday1___11" localSheetId="0">#REF!</definedName>
    <definedName name="manday1___11">#REF!</definedName>
    <definedName name="manday1___12" localSheetId="0">#REF!</definedName>
    <definedName name="manday1___12">#REF!</definedName>
    <definedName name="manhole" localSheetId="0">#REF!</definedName>
    <definedName name="manhole">#REF!</definedName>
    <definedName name="manpower_details" localSheetId="0">#REF!</definedName>
    <definedName name="manpower_details">#REF!</definedName>
    <definedName name="manufacturers_specifications_including_coving_rounded_junction_between" localSheetId="0">#REF!</definedName>
    <definedName name="manufacturers_specifications_including_coving_rounded_junction_between">#REF!</definedName>
    <definedName name="manure" localSheetId="0">#REF!</definedName>
    <definedName name="manure">#REF!</definedName>
    <definedName name="march_qty" localSheetId="0">#REF!</definedName>
    <definedName name="march_qty">#REF!</definedName>
    <definedName name="markingmachine" localSheetId="0">#REF!</definedName>
    <definedName name="markingmachine">#REF!</definedName>
    <definedName name="markup" localSheetId="0">#REF!</definedName>
    <definedName name="markup">#REF!</definedName>
    <definedName name="mason" localSheetId="0">#REF!</definedName>
    <definedName name="mason">#REF!</definedName>
    <definedName name="masonhelper" localSheetId="0">#REF!</definedName>
    <definedName name="masonhelper">#REF!</definedName>
    <definedName name="MASS" localSheetId="0">#REF!</definedName>
    <definedName name="MASS">#REF!</definedName>
    <definedName name="MASSEXCAVATION" localSheetId="0">#REF!</definedName>
    <definedName name="MASSEXCAVATION">#REF!</definedName>
    <definedName name="MASSEXCAVTION" localSheetId="0">#REF!</definedName>
    <definedName name="MASSEXCAVTION">#REF!</definedName>
    <definedName name="MASSS" localSheetId="0">#REF!</definedName>
    <definedName name="MASSS">#REF!</definedName>
    <definedName name="MASSSS" localSheetId="0">#REF!</definedName>
    <definedName name="MASSSS">#REF!</definedName>
    <definedName name="mastcooker" localSheetId="0">#REF!</definedName>
    <definedName name="mastcooker">#REF!</definedName>
    <definedName name="masterlist" localSheetId="0">#REF!</definedName>
    <definedName name="masterlist">#REF!</definedName>
    <definedName name="MatAR" localSheetId="0">#REF!</definedName>
    <definedName name="MatAR">#REF!</definedName>
    <definedName name="Mate" localSheetId="0">#REF!</definedName>
    <definedName name="Mate">#REF!</definedName>
    <definedName name="material" localSheetId="0">#REF!</definedName>
    <definedName name="material">#REF!</definedName>
    <definedName name="Material_rate_entry" localSheetId="0">#REF!</definedName>
    <definedName name="Material_rate_entry">#REF!</definedName>
    <definedName name="MATH_CHK_AFTER_ELEC" localSheetId="0">#REF!</definedName>
    <definedName name="MATH_CHK_AFTER_ELEC">#REF!</definedName>
    <definedName name="MATH_CHK_BEFORE_ELEC" localSheetId="0">#REF!</definedName>
    <definedName name="MATH_CHK_BEFORE_ELEC">#REF!</definedName>
    <definedName name="MATH_CHK_BOX_ELEC" localSheetId="0">#REF!</definedName>
    <definedName name="MATH_CHK_BOX_ELEC">#REF!</definedName>
    <definedName name="MATH_CHK_DATE_ELEC" localSheetId="0">#REF!</definedName>
    <definedName name="MATH_CHK_DATE_ELEC">#REF!</definedName>
    <definedName name="MATH_CHK_DELTA_ELEC" localSheetId="0">#REF!</definedName>
    <definedName name="MATH_CHK_DELTA_ELEC">#REF!</definedName>
    <definedName name="MATH_CHK_STAT_ELEC" localSheetId="0">#REF!</definedName>
    <definedName name="MATH_CHK_STAT_ELEC">#REF!</definedName>
    <definedName name="MATL_DISC_AG_COND" localSheetId="0">#REF!</definedName>
    <definedName name="MATL_DISC_AG_COND">#REF!</definedName>
    <definedName name="MATL_DISC_DB" localSheetId="0">#REF!</definedName>
    <definedName name="MATL_DISC_DB">#REF!</definedName>
    <definedName name="MATL_DISC_EMB_COND" localSheetId="0">#REF!</definedName>
    <definedName name="MATL_DISC_EMB_COND">#REF!</definedName>
    <definedName name="MATL_DISC_MV" localSheetId="0">#REF!</definedName>
    <definedName name="MATL_DISC_MV">#REF!</definedName>
    <definedName name="MATL_DISC_OTHER" localSheetId="0">#REF!</definedName>
    <definedName name="MATL_DISC_OTHER">#REF!</definedName>
    <definedName name="MATL_DISC_TRAY" localSheetId="0">#REF!</definedName>
    <definedName name="MATL_DISC_TRAY">#REF!</definedName>
    <definedName name="MATV" localSheetId="0">#REF!</definedName>
    <definedName name="MATV">#REF!</definedName>
    <definedName name="MAY03PH2" localSheetId="0">#REF!</definedName>
    <definedName name="MAY03PH2">#REF!</definedName>
    <definedName name="mayflower" localSheetId="0">#REF!</definedName>
    <definedName name="mayflower">#REF!</definedName>
    <definedName name="Mazdoor" localSheetId="0">#REF!</definedName>
    <definedName name="Mazdoor">#REF!</definedName>
    <definedName name="Mb" localSheetId="0">#REF!</definedName>
    <definedName name="Mb">#REF!</definedName>
    <definedName name="Mb_v" localSheetId="0">#REF!</definedName>
    <definedName name="Mb_v">#REF!</definedName>
    <definedName name="MB1000F" localSheetId="0">#REF!</definedName>
    <definedName name="MB1000F">#REF!</definedName>
    <definedName name="MB1000M" localSheetId="0">#REF!</definedName>
    <definedName name="MB1000M">#REF!</definedName>
    <definedName name="MB1000M1" localSheetId="0">#REF!</definedName>
    <definedName name="MB1000M1">#REF!</definedName>
    <definedName name="MB1000MA" localSheetId="0">#REF!</definedName>
    <definedName name="MB1000MA">#REF!</definedName>
    <definedName name="MB100A" localSheetId="0">#REF!</definedName>
    <definedName name="MB100A">#REF!</definedName>
    <definedName name="MB100AS" localSheetId="0">#REF!</definedName>
    <definedName name="MB100AS">#REF!</definedName>
    <definedName name="MB100F" localSheetId="0">#REF!</definedName>
    <definedName name="MB100F">#REF!</definedName>
    <definedName name="MB100FFS" localSheetId="0">#REF!</definedName>
    <definedName name="MB100FFS">#REF!</definedName>
    <definedName name="mb100fs" localSheetId="0">#REF!</definedName>
    <definedName name="mb100fs">#REF!</definedName>
    <definedName name="mb100fsS" localSheetId="0">#REF!</definedName>
    <definedName name="mb100fsS">#REF!</definedName>
    <definedName name="mb100p" localSheetId="0">#REF!</definedName>
    <definedName name="mb100p">#REF!</definedName>
    <definedName name="MB100PA" localSheetId="0">#REF!</definedName>
    <definedName name="MB100PA">#REF!</definedName>
    <definedName name="MB100S" localSheetId="0">#REF!</definedName>
    <definedName name="MB100S">#REF!</definedName>
    <definedName name="MB100S1" localSheetId="0">#REF!</definedName>
    <definedName name="MB100S1">#REF!</definedName>
    <definedName name="MB100S1S" localSheetId="0">#REF!</definedName>
    <definedName name="MB100S1S">#REF!</definedName>
    <definedName name="MB100SF" localSheetId="0">#REF!</definedName>
    <definedName name="MB100SF">#REF!</definedName>
    <definedName name="MB100SS" localSheetId="0">#REF!</definedName>
    <definedName name="MB100SS">#REF!</definedName>
    <definedName name="MB100T" localSheetId="0">#REF!</definedName>
    <definedName name="MB100T">#REF!</definedName>
    <definedName name="MB100T1" localSheetId="0">#REF!</definedName>
    <definedName name="MB100T1">#REF!</definedName>
    <definedName name="MB100TS" localSheetId="0">#REF!</definedName>
    <definedName name="MB100TS">#REF!</definedName>
    <definedName name="MB100TSS" localSheetId="0">#REF!</definedName>
    <definedName name="MB100TSS">#REF!</definedName>
    <definedName name="MB100W" localSheetId="0">#REF!</definedName>
    <definedName name="MB100W">#REF!</definedName>
    <definedName name="MB100WA" localSheetId="0">#REF!</definedName>
    <definedName name="MB100WA">#REF!</definedName>
    <definedName name="MB100WF" localSheetId="0">#REF!</definedName>
    <definedName name="MB100WF">#REF!</definedName>
    <definedName name="MB100WFA" localSheetId="0">#REF!</definedName>
    <definedName name="MB100WFA">#REF!</definedName>
    <definedName name="MB1200M1" localSheetId="0">#REF!</definedName>
    <definedName name="MB1200M1">#REF!</definedName>
    <definedName name="MB125A" localSheetId="0">#REF!</definedName>
    <definedName name="MB125A">#REF!</definedName>
    <definedName name="MB125AS" localSheetId="0">#REF!</definedName>
    <definedName name="MB125AS">#REF!</definedName>
    <definedName name="MB125C" localSheetId="0">#REF!</definedName>
    <definedName name="MB125C">#REF!</definedName>
    <definedName name="MB125Cs" localSheetId="0">#REF!</definedName>
    <definedName name="MB125Cs">#REF!</definedName>
    <definedName name="mb125fs" localSheetId="0">#REF!</definedName>
    <definedName name="mb125fs">#REF!</definedName>
    <definedName name="mb125fsS" localSheetId="0">#REF!</definedName>
    <definedName name="mb125fsS">#REF!</definedName>
    <definedName name="MB125M" localSheetId="0">#REF!</definedName>
    <definedName name="MB125M">#REF!</definedName>
    <definedName name="MB125Ms" localSheetId="0">#REF!</definedName>
    <definedName name="MB125Ms">#REF!</definedName>
    <definedName name="MB125S" localSheetId="0">#REF!</definedName>
    <definedName name="MB125S">#REF!</definedName>
    <definedName name="MB125SS" localSheetId="0">#REF!</definedName>
    <definedName name="MB125SS">#REF!</definedName>
    <definedName name="MB125TS" localSheetId="0">#REF!</definedName>
    <definedName name="MB125TS">#REF!</definedName>
    <definedName name="MB125TSS" localSheetId="0">#REF!</definedName>
    <definedName name="MB125TSS">#REF!</definedName>
    <definedName name="MB160A" localSheetId="0">#REF!</definedName>
    <definedName name="MB160A">#REF!</definedName>
    <definedName name="MB160AS" localSheetId="0">#REF!</definedName>
    <definedName name="MB160AS">#REF!</definedName>
    <definedName name="mb160p" localSheetId="0">#REF!</definedName>
    <definedName name="mb160p">#REF!</definedName>
    <definedName name="MB160PA" localSheetId="0">#REF!</definedName>
    <definedName name="MB160PA">#REF!</definedName>
    <definedName name="mb160sf" localSheetId="0">#REF!</definedName>
    <definedName name="mb160sf">#REF!</definedName>
    <definedName name="MB160SS" localSheetId="0">#REF!</definedName>
    <definedName name="MB160SS">#REF!</definedName>
    <definedName name="MB160T" localSheetId="0">#REF!</definedName>
    <definedName name="MB160T">#REF!</definedName>
    <definedName name="MB200A" localSheetId="0">#REF!</definedName>
    <definedName name="MB200A">#REF!</definedName>
    <definedName name="MB200AS" localSheetId="0">#REF!</definedName>
    <definedName name="MB200AS">#REF!</definedName>
    <definedName name="MB200C" localSheetId="0">#REF!</definedName>
    <definedName name="MB200C">#REF!</definedName>
    <definedName name="MB200Cs" localSheetId="0">#REF!</definedName>
    <definedName name="MB200Cs">#REF!</definedName>
    <definedName name="MB200FS" localSheetId="0">#REF!</definedName>
    <definedName name="MB200FS">#REF!</definedName>
    <definedName name="MB200M" localSheetId="0">#REF!</definedName>
    <definedName name="MB200M">#REF!</definedName>
    <definedName name="MB200M1" localSheetId="0">#REF!</definedName>
    <definedName name="MB200M1">#REF!</definedName>
    <definedName name="MB200S" localSheetId="0">#REF!</definedName>
    <definedName name="MB200S">#REF!</definedName>
    <definedName name="MB200SS" localSheetId="0">#REF!</definedName>
    <definedName name="MB200SS">#REF!</definedName>
    <definedName name="MB200T" localSheetId="0">#REF!</definedName>
    <definedName name="MB200T">#REF!</definedName>
    <definedName name="MB200T1" localSheetId="0">#REF!</definedName>
    <definedName name="MB200T1">#REF!</definedName>
    <definedName name="MB200TS" localSheetId="0">#REF!</definedName>
    <definedName name="MB200TS">#REF!</definedName>
    <definedName name="MB200TSS" localSheetId="0">#REF!</definedName>
    <definedName name="MB200TSS">#REF!</definedName>
    <definedName name="MB250A" localSheetId="0">#REF!</definedName>
    <definedName name="MB250A">#REF!</definedName>
    <definedName name="MB250AS" localSheetId="0">#REF!</definedName>
    <definedName name="MB250AS">#REF!</definedName>
    <definedName name="MB250C" localSheetId="0">#REF!</definedName>
    <definedName name="MB250C">#REF!</definedName>
    <definedName name="MB250Cs" localSheetId="0">#REF!</definedName>
    <definedName name="MB250Cs">#REF!</definedName>
    <definedName name="mb250f" localSheetId="0">#REF!</definedName>
    <definedName name="mb250f">#REF!</definedName>
    <definedName name="MB250M" localSheetId="0">#REF!</definedName>
    <definedName name="MB250M">#REF!</definedName>
    <definedName name="MB250M1" localSheetId="0">#REF!</definedName>
    <definedName name="MB250M1">#REF!</definedName>
    <definedName name="MB250MC" localSheetId="0">#REF!</definedName>
    <definedName name="MB250MC">#REF!</definedName>
    <definedName name="MB250MCA" localSheetId="0">#REF!</definedName>
    <definedName name="MB250MCA">#REF!</definedName>
    <definedName name="MB250Ms" localSheetId="0">#REF!</definedName>
    <definedName name="MB250Ms">#REF!</definedName>
    <definedName name="MB250S" localSheetId="0">#REF!</definedName>
    <definedName name="MB250S">#REF!</definedName>
    <definedName name="MB250SS" localSheetId="0">#REF!</definedName>
    <definedName name="MB250SS">#REF!</definedName>
    <definedName name="MB250T" localSheetId="0">#REF!</definedName>
    <definedName name="MB250T">#REF!</definedName>
    <definedName name="MB250T1" localSheetId="0">#REF!</definedName>
    <definedName name="MB250T1">#REF!</definedName>
    <definedName name="MB250TA" localSheetId="0">#REF!</definedName>
    <definedName name="MB250TA">#REF!</definedName>
    <definedName name="MB250TAS" localSheetId="0">#REF!</definedName>
    <definedName name="MB250TAS">#REF!</definedName>
    <definedName name="MB250TS" localSheetId="0">#REF!</definedName>
    <definedName name="MB250TS">#REF!</definedName>
    <definedName name="MB250TSS" localSheetId="0">#REF!</definedName>
    <definedName name="MB250TSS">#REF!</definedName>
    <definedName name="MB400A" localSheetId="0">#REF!</definedName>
    <definedName name="MB400A">#REF!</definedName>
    <definedName name="MB400AS" localSheetId="0">#REF!</definedName>
    <definedName name="MB400AS">#REF!</definedName>
    <definedName name="mb400c" localSheetId="0">#REF!</definedName>
    <definedName name="mb400c">#REF!</definedName>
    <definedName name="mb400c1" localSheetId="0">#REF!</definedName>
    <definedName name="mb400c1">#REF!</definedName>
    <definedName name="MB400CS" localSheetId="0">#REF!</definedName>
    <definedName name="MB400CS">#REF!</definedName>
    <definedName name="mb400e" localSheetId="0">#REF!</definedName>
    <definedName name="mb400e">#REF!</definedName>
    <definedName name="mb400eS" localSheetId="0">#REF!</definedName>
    <definedName name="mb400eS">#REF!</definedName>
    <definedName name="mb400f" localSheetId="0">#REF!</definedName>
    <definedName name="mb400f">#REF!</definedName>
    <definedName name="mb400ff" localSheetId="0">#REF!</definedName>
    <definedName name="mb400ff">#REF!</definedName>
    <definedName name="mb400ffS" localSheetId="0">#REF!</definedName>
    <definedName name="mb400ffS">#REF!</definedName>
    <definedName name="MB400FS" localSheetId="0">#REF!</definedName>
    <definedName name="MB400FS">#REF!</definedName>
    <definedName name="mb400fsS" localSheetId="0">#REF!</definedName>
    <definedName name="mb400fsS">#REF!</definedName>
    <definedName name="MB400M" localSheetId="0">#REF!</definedName>
    <definedName name="MB400M">#REF!</definedName>
    <definedName name="MB400M1" localSheetId="0">#REF!</definedName>
    <definedName name="MB400M1">#REF!</definedName>
    <definedName name="MB400MA" localSheetId="0">#REF!</definedName>
    <definedName name="MB400MA">#REF!</definedName>
    <definedName name="MB400MC" localSheetId="0">#REF!</definedName>
    <definedName name="MB400MC">#REF!</definedName>
    <definedName name="MB400MCA" localSheetId="0">#REF!</definedName>
    <definedName name="MB400MCA">#REF!</definedName>
    <definedName name="MB400Ms" localSheetId="0">#REF!</definedName>
    <definedName name="MB400Ms">#REF!</definedName>
    <definedName name="MB400S" localSheetId="0">#REF!</definedName>
    <definedName name="MB400S">#REF!</definedName>
    <definedName name="MB400SA" localSheetId="0">#REF!</definedName>
    <definedName name="MB400SA">#REF!</definedName>
    <definedName name="MB400SS" localSheetId="0">#REF!</definedName>
    <definedName name="MB400SS">#REF!</definedName>
    <definedName name="mb400t1" localSheetId="0">#REF!</definedName>
    <definedName name="mb400t1">#REF!</definedName>
    <definedName name="MB400TA" localSheetId="0">#REF!</definedName>
    <definedName name="MB400TA">#REF!</definedName>
    <definedName name="MB400TAS" localSheetId="0">#REF!</definedName>
    <definedName name="MB400TAS">#REF!</definedName>
    <definedName name="MB400TS" localSheetId="0">#REF!</definedName>
    <definedName name="MB400TS">#REF!</definedName>
    <definedName name="MB400TSS" localSheetId="0">#REF!</definedName>
    <definedName name="MB400TSS">#REF!</definedName>
    <definedName name="MB630A" localSheetId="0">#REF!</definedName>
    <definedName name="MB630A">#REF!</definedName>
    <definedName name="MB630AS" localSheetId="0">#REF!</definedName>
    <definedName name="MB630AS">#REF!</definedName>
    <definedName name="mb630ds" localSheetId="0">#REF!</definedName>
    <definedName name="mb630ds">#REF!</definedName>
    <definedName name="mb630e" localSheetId="0">#REF!</definedName>
    <definedName name="mb630e">#REF!</definedName>
    <definedName name="mb630eS" localSheetId="0">#REF!</definedName>
    <definedName name="mb630eS">#REF!</definedName>
    <definedName name="MB630F" localSheetId="0">#REF!</definedName>
    <definedName name="MB630F">#REF!</definedName>
    <definedName name="MB630FA" localSheetId="0">#REF!</definedName>
    <definedName name="MB630FA">#REF!</definedName>
    <definedName name="MB630M" localSheetId="0">#REF!</definedName>
    <definedName name="MB630M">#REF!</definedName>
    <definedName name="MB630MA" localSheetId="0">#REF!</definedName>
    <definedName name="MB630MA">#REF!</definedName>
    <definedName name="MB630MC" localSheetId="0">#REF!</definedName>
    <definedName name="MB630MC">#REF!</definedName>
    <definedName name="MB630MCA" localSheetId="0">#REF!</definedName>
    <definedName name="MB630MCA">#REF!</definedName>
    <definedName name="MB630S" localSheetId="0">#REF!</definedName>
    <definedName name="MB630S">#REF!</definedName>
    <definedName name="MB630SA" localSheetId="0">#REF!</definedName>
    <definedName name="MB630SA">#REF!</definedName>
    <definedName name="MB630SS" localSheetId="0">#REF!</definedName>
    <definedName name="MB630SS">#REF!</definedName>
    <definedName name="MB630U" localSheetId="0">#REF!</definedName>
    <definedName name="MB630U">#REF!</definedName>
    <definedName name="MB630UA" localSheetId="0">#REF!</definedName>
    <definedName name="MB630UA">#REF!</definedName>
    <definedName name="MB63T" localSheetId="0">#REF!</definedName>
    <definedName name="MB63T">#REF!</definedName>
    <definedName name="MB800A" localSheetId="0">#REF!</definedName>
    <definedName name="MB800A">#REF!</definedName>
    <definedName name="MB800AS" localSheetId="0">#REF!</definedName>
    <definedName name="MB800AS">#REF!</definedName>
    <definedName name="MB800M" localSheetId="0">#REF!</definedName>
    <definedName name="MB800M">#REF!</definedName>
    <definedName name="MB800M1" localSheetId="0">#REF!</definedName>
    <definedName name="MB800M1">#REF!</definedName>
    <definedName name="MB800MA" localSheetId="0">#REF!</definedName>
    <definedName name="MB800MA">#REF!</definedName>
    <definedName name="MB800S" localSheetId="0">#REF!</definedName>
    <definedName name="MB800S">#REF!</definedName>
    <definedName name="MB800SS" localSheetId="0">#REF!</definedName>
    <definedName name="MB800SS">#REF!</definedName>
    <definedName name="MB800T" localSheetId="0">#REF!</definedName>
    <definedName name="MB800T">#REF!</definedName>
    <definedName name="Mbp" localSheetId="0">#REF!</definedName>
    <definedName name="Mbp">#REF!</definedName>
    <definedName name="Mc" localSheetId="0">#REF!</definedName>
    <definedName name="Mc">#REF!</definedName>
    <definedName name="Mc_v" localSheetId="0">#REF!</definedName>
    <definedName name="Mc_v">#REF!</definedName>
    <definedName name="MC20D" localSheetId="0">#REF!</definedName>
    <definedName name="MC20D">#REF!</definedName>
    <definedName name="MC32F" localSheetId="0">#REF!</definedName>
    <definedName name="MC32F">#REF!</definedName>
    <definedName name="mcb32f" localSheetId="0">#REF!</definedName>
    <definedName name="mcb32f">#REF!</definedName>
    <definedName name="MCB32S" localSheetId="0">#REF!</definedName>
    <definedName name="MCB32S">#REF!</definedName>
    <definedName name="MCB32T" localSheetId="0">#REF!</definedName>
    <definedName name="MCB32T">#REF!</definedName>
    <definedName name="mcb40f" localSheetId="0">#REF!</definedName>
    <definedName name="mcb40f">#REF!</definedName>
    <definedName name="MCB4D" localSheetId="0">#REF!</definedName>
    <definedName name="MCB4D">#REF!</definedName>
    <definedName name="MCB4F" localSheetId="0">#REF!</definedName>
    <definedName name="MCB4F">#REF!</definedName>
    <definedName name="mcb63f" localSheetId="0">#REF!</definedName>
    <definedName name="mcb63f">#REF!</definedName>
    <definedName name="MCB63T" localSheetId="0">#REF!</definedName>
    <definedName name="MCB63T">#REF!</definedName>
    <definedName name="Mcbdo" localSheetId="0">#REF!</definedName>
    <definedName name="Mcbdo">#REF!</definedName>
    <definedName name="mclo" localSheetId="0">#REF!</definedName>
    <definedName name="mclo">#REF!</definedName>
    <definedName name="Mcwc" localSheetId="0">#REF!</definedName>
    <definedName name="Mcwc">#REF!</definedName>
    <definedName name="Mcws" localSheetId="0">#REF!</definedName>
    <definedName name="Mcws">#REF!</definedName>
    <definedName name="Md" localSheetId="0">#REF!</definedName>
    <definedName name="Md">#REF!</definedName>
    <definedName name="Md_v" localSheetId="0">#REF!</definedName>
    <definedName name="Md_v">#REF!</definedName>
    <definedName name="MDM" localSheetId="0">#REF!</definedName>
    <definedName name="MDM">#REF!</definedName>
    <definedName name="MDMK" localSheetId="0">#REF!</definedName>
    <definedName name="MDMK">#REF!</definedName>
    <definedName name="MDMP" localSheetId="0">#REF!</definedName>
    <definedName name="MDMP">#REF!</definedName>
    <definedName name="mdpl" localSheetId="0">#REF!</definedName>
    <definedName name="mdpl">#REF!</definedName>
    <definedName name="Me" localSheetId="0">#REF!</definedName>
    <definedName name="Me">#REF!</definedName>
    <definedName name="Me_v" localSheetId="0">#REF!</definedName>
    <definedName name="Me_v">#REF!</definedName>
    <definedName name="MECH" localSheetId="0">#REF!</definedName>
    <definedName name="MECH">#REF!</definedName>
    <definedName name="MECH_INSTR" localSheetId="0">#REF!</definedName>
    <definedName name="MECH_INSTR">#REF!</definedName>
    <definedName name="MECH30_CITY" localSheetId="0">#REF!</definedName>
    <definedName name="MECH30_CITY">#REF!</definedName>
    <definedName name="MECH30_ESC" localSheetId="0">#REF!</definedName>
    <definedName name="MECH30_ESC">#REF!</definedName>
    <definedName name="MECH30_OLD_CITY" localSheetId="0">#REF!</definedName>
    <definedName name="MECH30_OLD_CITY">#REF!</definedName>
    <definedName name="MECH30_OLD_ESC" localSheetId="0">#REF!</definedName>
    <definedName name="MECH30_OLD_ESC">#REF!</definedName>
    <definedName name="MECH30_OLD_PROD" localSheetId="0">#REF!</definedName>
    <definedName name="MECH30_OLD_PROD">#REF!</definedName>
    <definedName name="MECH30_OLD_WAGE" localSheetId="0">#REF!</definedName>
    <definedName name="MECH30_OLD_WAGE">#REF!</definedName>
    <definedName name="MECH30_PROD" localSheetId="0">#REF!</definedName>
    <definedName name="MECH30_PROD">#REF!</definedName>
    <definedName name="MECH30_WAGE" localSheetId="0">#REF!</definedName>
    <definedName name="MECH30_WAGE">#REF!</definedName>
    <definedName name="mechanical" localSheetId="0">#REF!</definedName>
    <definedName name="mechanical">#REF!</definedName>
    <definedName name="mechbroom" localSheetId="0">#REF!</definedName>
    <definedName name="mechbroom">#REF!</definedName>
    <definedName name="meest" localSheetId="0">#REF!</definedName>
    <definedName name="meest">#REF!</definedName>
    <definedName name="mehead" localSheetId="0">#REF!</definedName>
    <definedName name="mehead">#REF!</definedName>
    <definedName name="MemberTitle" localSheetId="0">#REF!</definedName>
    <definedName name="MemberTitle">#REF!</definedName>
    <definedName name="mena" localSheetId="0">#REF!</definedName>
    <definedName name="mena">#REF!</definedName>
    <definedName name="meshA142" localSheetId="0">#REF!</definedName>
    <definedName name="meshA142">#REF!</definedName>
    <definedName name="meshA252" localSheetId="0">#REF!</definedName>
    <definedName name="meshA252">#REF!</definedName>
    <definedName name="meshA393" localSheetId="0">#REF!</definedName>
    <definedName name="meshA393">#REF!</definedName>
    <definedName name="MF" localSheetId="0">#REF!</definedName>
    <definedName name="MF">#REF!</definedName>
    <definedName name="MF___0" localSheetId="0">#REF!</definedName>
    <definedName name="MF___0">#REF!</definedName>
    <definedName name="MF___13" localSheetId="0">#REF!</definedName>
    <definedName name="MF___13">#REF!</definedName>
    <definedName name="Mf_v" localSheetId="0">#REF!</definedName>
    <definedName name="Mf_v">#REF!</definedName>
    <definedName name="mff" localSheetId="0">#REF!</definedName>
    <definedName name="mff">#REF!</definedName>
    <definedName name="Mfour" localSheetId="0">#REF!</definedName>
    <definedName name="Mfour">#REF!</definedName>
    <definedName name="Mg" localSheetId="0">#REF!</definedName>
    <definedName name="Mg">#REF!</definedName>
    <definedName name="Mg_v" localSheetId="0">#REF!</definedName>
    <definedName name="Mg_v">#REF!</definedName>
    <definedName name="MG125TPMCCB" localSheetId="0">#REF!</definedName>
    <definedName name="MG125TPMCCB">#REF!</definedName>
    <definedName name="MG12ACON" localSheetId="0">#REF!</definedName>
    <definedName name="MG12ACON">#REF!</definedName>
    <definedName name="MG18ACON" localSheetId="0">#REF!</definedName>
    <definedName name="MG18ACON">#REF!</definedName>
    <definedName name="MG1TO3" localSheetId="0">#REF!</definedName>
    <definedName name="MG1TO3">#REF!</definedName>
    <definedName name="MG25ACON" localSheetId="0">#REF!</definedName>
    <definedName name="MG25ACON">#REF!</definedName>
    <definedName name="MG7.5" localSheetId="0">#REF!</definedName>
    <definedName name="MG7.5">#REF!</definedName>
    <definedName name="MG9ACON" localSheetId="0">#REF!</definedName>
    <definedName name="MG9ACON">#REF!</definedName>
    <definedName name="mgf" localSheetId="0">#REF!</definedName>
    <definedName name="mgf">#REF!</definedName>
    <definedName name="Mh" localSheetId="0">#REF!</definedName>
    <definedName name="Mh">#REF!</definedName>
    <definedName name="MH_HH" localSheetId="0">#REF!</definedName>
    <definedName name="MH_HH">#REF!</definedName>
    <definedName name="Mh_v" localSheetId="0">#REF!</definedName>
    <definedName name="Mh_v">#REF!</definedName>
    <definedName name="Mhpipd" localSheetId="0">#REF!</definedName>
    <definedName name="Mhpipd">#REF!</definedName>
    <definedName name="Mhps" localSheetId="0">#REF!</definedName>
    <definedName name="Mhps">#REF!</definedName>
    <definedName name="MHRS_CONDENSER" localSheetId="0">#REF!</definedName>
    <definedName name="MHRS_CONDENSER">#REF!</definedName>
    <definedName name="MHRS_GTG" localSheetId="0">#REF!</definedName>
    <definedName name="MHRS_GTG">#REF!</definedName>
    <definedName name="MHRS_STG" localSheetId="0">#REF!</definedName>
    <definedName name="MHRS_STG">#REF!</definedName>
    <definedName name="MI_100" localSheetId="0">#REF!</definedName>
    <definedName name="MI_100">#REF!</definedName>
    <definedName name="MI_160" localSheetId="0">#REF!</definedName>
    <definedName name="MI_160">#REF!</definedName>
    <definedName name="MI_250" localSheetId="0">#REF!</definedName>
    <definedName name="MI_250">#REF!</definedName>
    <definedName name="mico3485" localSheetId="0">#REF!</definedName>
    <definedName name="mico3485">#REF!</definedName>
    <definedName name="MIL" localSheetId="0">#REF!</definedName>
    <definedName name="MIL">#REF!</definedName>
    <definedName name="Mips" localSheetId="0">#REF!</definedName>
    <definedName name="Mips">#REF!</definedName>
    <definedName name="MISC" localSheetId="0">#REF!</definedName>
    <definedName name="MISC">#REF!</definedName>
    <definedName name="Misc_Steel_1" localSheetId="0">#REF!</definedName>
    <definedName name="Misc_Steel_1">#REF!</definedName>
    <definedName name="MIsc_Steel_10" localSheetId="0">#REF!</definedName>
    <definedName name="MIsc_Steel_10">#REF!</definedName>
    <definedName name="Misc_Steel_100" localSheetId="0">#REF!</definedName>
    <definedName name="Misc_Steel_100">#REF!</definedName>
    <definedName name="MIsc_Steel_20" localSheetId="0">#REF!</definedName>
    <definedName name="MIsc_Steel_20">#REF!</definedName>
    <definedName name="Misc_Steel_30" localSheetId="0">#REF!</definedName>
    <definedName name="Misc_Steel_30">#REF!</definedName>
    <definedName name="MIsc_Steel_40" localSheetId="0">#REF!</definedName>
    <definedName name="MIsc_Steel_40">#REF!</definedName>
    <definedName name="Misc_Steel_50" localSheetId="0">#REF!</definedName>
    <definedName name="Misc_Steel_50">#REF!</definedName>
    <definedName name="Misc_Steel_60" localSheetId="0">#REF!</definedName>
    <definedName name="Misc_Steel_60">#REF!</definedName>
    <definedName name="MIsc_Steel_70" localSheetId="0">#REF!</definedName>
    <definedName name="MIsc_Steel_70">#REF!</definedName>
    <definedName name="Misc_Steel_80" localSheetId="0">#REF!</definedName>
    <definedName name="Misc_Steel_80">#REF!</definedName>
    <definedName name="Misc_Steel_90" localSheetId="0">#REF!</definedName>
    <definedName name="Misc_Steel_90">#REF!</definedName>
    <definedName name="mix_M30" localSheetId="0">#REF!</definedName>
    <definedName name="mix_M30">#REF!</definedName>
    <definedName name="mixer" localSheetId="0">#REF!</definedName>
    <definedName name="mixer">#REF!</definedName>
    <definedName name="mixer4028" localSheetId="0">#REF!</definedName>
    <definedName name="mixer4028">#REF!</definedName>
    <definedName name="mjhytqudh" localSheetId="0">#REF!</definedName>
    <definedName name="mjhytqudh">#REF!</definedName>
    <definedName name="MK" localSheetId="0">#REF!</definedName>
    <definedName name="MK">#REF!</definedName>
    <definedName name="mlbs" localSheetId="0">#REF!</definedName>
    <definedName name="mlbs">#REF!</definedName>
    <definedName name="mld" localSheetId="0">#REF!</definedName>
    <definedName name="mld">#REF!</definedName>
    <definedName name="MLKJ2" localSheetId="0">#REF!</definedName>
    <definedName name="MLKJ2">#REF!</definedName>
    <definedName name="mll" localSheetId="0">#REF!</definedName>
    <definedName name="mll">#REF!</definedName>
    <definedName name="Mlpc" localSheetId="0">#REF!</definedName>
    <definedName name="Mlpc">#REF!</definedName>
    <definedName name="Mlpd" localSheetId="0">#REF!</definedName>
    <definedName name="Mlpd">#REF!</definedName>
    <definedName name="Mlps" localSheetId="0">#REF!</definedName>
    <definedName name="Mlps">#REF!</definedName>
    <definedName name="mlt" localSheetId="0">#REF!</definedName>
    <definedName name="mlt">#REF!</definedName>
    <definedName name="mm" localSheetId="0">#REF!</definedName>
    <definedName name="mm">#REF!</definedName>
    <definedName name="mmm" localSheetId="0">#REF!</definedName>
    <definedName name="mmm">#REF!</definedName>
    <definedName name="MMMMM" localSheetId="0">#REF!</definedName>
    <definedName name="MMMMM">#REF!</definedName>
    <definedName name="mmmmmmmmmm" localSheetId="0">#REF!</definedName>
    <definedName name="mmmmmmmmmm">#REF!</definedName>
    <definedName name="mmmmmmmmmmmmm" localSheetId="0">#REF!</definedName>
    <definedName name="mmmmmmmmmmmmm">#REF!</definedName>
    <definedName name="mnk" localSheetId="0">#REF!</definedName>
    <definedName name="mnk">#REF!</definedName>
    <definedName name="mnvgdg" localSheetId="0">#REF!</definedName>
    <definedName name="mnvgdg">#REF!</definedName>
    <definedName name="mobi" localSheetId="0">#REF!</definedName>
    <definedName name="mobi">#REF!</definedName>
    <definedName name="Mobilization" localSheetId="0">#REF!</definedName>
    <definedName name="Mobilization">#REF!</definedName>
    <definedName name="Mone" localSheetId="0">#REF!</definedName>
    <definedName name="Mone">#REF!</definedName>
    <definedName name="month" localSheetId="0">#REF!</definedName>
    <definedName name="month">#REF!</definedName>
    <definedName name="MONTH_CONDITION" localSheetId="0">#REF!</definedName>
    <definedName name="MONTH_CONDITION">#REF!</definedName>
    <definedName name="Month_details" localSheetId="0">#REF!</definedName>
    <definedName name="Month_details">#REF!</definedName>
    <definedName name="Month1_Ending_Bal" localSheetId="0">#REF!</definedName>
    <definedName name="Month1_Ending_Bal">#REF!</definedName>
    <definedName name="monthly_invoice_to_wc" localSheetId="0">#REF!</definedName>
    <definedName name="monthly_invoice_to_wc">#REF!</definedName>
    <definedName name="MOP" localSheetId="0">#REF!</definedName>
    <definedName name="MOP">#REF!</definedName>
    <definedName name="Mot250mccb_a" localSheetId="0">#REF!</definedName>
    <definedName name="Mot250mccb_a">#REF!</definedName>
    <definedName name="Motor_Hp" localSheetId="0">#REF!</definedName>
    <definedName name="Motor_Hp">#REF!</definedName>
    <definedName name="MOTOR_HP_OFFSITE" localSheetId="0">#REF!</definedName>
    <definedName name="MOTOR_HP_OFFSITE">#REF!</definedName>
    <definedName name="MOTOR_HP_PB" localSheetId="0">#REF!</definedName>
    <definedName name="MOTOR_HP_PB">#REF!</definedName>
    <definedName name="MOTOR_HP_PB10" localSheetId="0">#REF!</definedName>
    <definedName name="MOTOR_HP_PB10">#REF!</definedName>
    <definedName name="MOTOR_HP_PB100" localSheetId="0">#REF!</definedName>
    <definedName name="MOTOR_HP_PB100">#REF!</definedName>
    <definedName name="MOTOR_HP_PB1000" localSheetId="0">#REF!</definedName>
    <definedName name="MOTOR_HP_PB1000">#REF!</definedName>
    <definedName name="MOTOR_HP_PB10000" localSheetId="0">#REF!</definedName>
    <definedName name="MOTOR_HP_PB10000">#REF!</definedName>
    <definedName name="MOTOR_HP_PB15000" localSheetId="0">#REF!</definedName>
    <definedName name="MOTOR_HP_PB15000">#REF!</definedName>
    <definedName name="MOTOR_HP_PB200" localSheetId="0">#REF!</definedName>
    <definedName name="MOTOR_HP_PB200">#REF!</definedName>
    <definedName name="MOTOR_HP_PB2000" localSheetId="0">#REF!</definedName>
    <definedName name="MOTOR_HP_PB2000">#REF!</definedName>
    <definedName name="MOTOR_HP_PB25" localSheetId="0">#REF!</definedName>
    <definedName name="MOTOR_HP_PB25">#REF!</definedName>
    <definedName name="MOTOR_HP_PB3000" localSheetId="0">#REF!</definedName>
    <definedName name="MOTOR_HP_PB3000">#REF!</definedName>
    <definedName name="MOTOR_HP_PB400" localSheetId="0">#REF!</definedName>
    <definedName name="MOTOR_HP_PB400">#REF!</definedName>
    <definedName name="MOTOR_HP_PB4000" localSheetId="0">#REF!</definedName>
    <definedName name="MOTOR_HP_PB4000">#REF!</definedName>
    <definedName name="MOTOR_HP_PB50" localSheetId="0">#REF!</definedName>
    <definedName name="MOTOR_HP_PB50">#REF!</definedName>
    <definedName name="MOTOR_HP_PB500" localSheetId="0">#REF!</definedName>
    <definedName name="MOTOR_HP_PB500">#REF!</definedName>
    <definedName name="MOTOR_HP_PB5000" localSheetId="0">#REF!</definedName>
    <definedName name="MOTOR_HP_PB5000">#REF!</definedName>
    <definedName name="MOTOR_HP_PB7500" localSheetId="0">#REF!</definedName>
    <definedName name="MOTOR_HP_PB7500">#REF!</definedName>
    <definedName name="MOTOR_HP_YARD" localSheetId="0">#REF!</definedName>
    <definedName name="MOTOR_HP_YARD">#REF!</definedName>
    <definedName name="MOTOR_HP_YARD10" localSheetId="0">#REF!</definedName>
    <definedName name="MOTOR_HP_YARD10">#REF!</definedName>
    <definedName name="MOTOR_HP_YARD100" localSheetId="0">#REF!</definedName>
    <definedName name="MOTOR_HP_YARD100">#REF!</definedName>
    <definedName name="MOTOR_HP_YARD1000" localSheetId="0">#REF!</definedName>
    <definedName name="MOTOR_HP_YARD1000">#REF!</definedName>
    <definedName name="MOTOR_HP_YARD10000" localSheetId="0">#REF!</definedName>
    <definedName name="MOTOR_HP_YARD10000">#REF!</definedName>
    <definedName name="MOTOR_HP_YARD15000" localSheetId="0">#REF!</definedName>
    <definedName name="MOTOR_HP_YARD15000">#REF!</definedName>
    <definedName name="MOTOR_HP_YARD200" localSheetId="0">#REF!</definedName>
    <definedName name="MOTOR_HP_YARD200">#REF!</definedName>
    <definedName name="MOTOR_HP_YARD2000" localSheetId="0">#REF!</definedName>
    <definedName name="MOTOR_HP_YARD2000">#REF!</definedName>
    <definedName name="MOTOR_HP_YARD25" localSheetId="0">#REF!</definedName>
    <definedName name="MOTOR_HP_YARD25">#REF!</definedName>
    <definedName name="MOTOR_HP_YARD3000" localSheetId="0">#REF!</definedName>
    <definedName name="MOTOR_HP_YARD3000">#REF!</definedName>
    <definedName name="MOTOR_HP_YARD400" localSheetId="0">#REF!</definedName>
    <definedName name="MOTOR_HP_YARD400">#REF!</definedName>
    <definedName name="MOTOR_HP_YARD4000" localSheetId="0">#REF!</definedName>
    <definedName name="MOTOR_HP_YARD4000">#REF!</definedName>
    <definedName name="MOTOR_HP_YARD50" localSheetId="0">#REF!</definedName>
    <definedName name="MOTOR_HP_YARD50">#REF!</definedName>
    <definedName name="MOTOR_HP_YARD500" localSheetId="0">#REF!</definedName>
    <definedName name="MOTOR_HP_YARD500">#REF!</definedName>
    <definedName name="MOTOR_HP_YARD5000" localSheetId="0">#REF!</definedName>
    <definedName name="MOTOR_HP_YARD5000">#REF!</definedName>
    <definedName name="MOTOR_HP_YARD7500" localSheetId="0">#REF!</definedName>
    <definedName name="MOTOR_HP_YARD7500">#REF!</definedName>
    <definedName name="MP" localSheetId="0">#REF!</definedName>
    <definedName name="MP">#REF!</definedName>
    <definedName name="MP1.2" localSheetId="0">#REF!</definedName>
    <definedName name="MP1.2">#REF!</definedName>
    <definedName name="MP10A" localSheetId="0">#REF!</definedName>
    <definedName name="MP10A">#REF!</definedName>
    <definedName name="MP11A" localSheetId="0">#REF!</definedName>
    <definedName name="MP11A">#REF!</definedName>
    <definedName name="MP11S" localSheetId="0">#REF!</definedName>
    <definedName name="MP11S">#REF!</definedName>
    <definedName name="MP15S" localSheetId="0">#REF!</definedName>
    <definedName name="MP15S">#REF!</definedName>
    <definedName name="MP1A" localSheetId="0">#REF!</definedName>
    <definedName name="MP1A">#REF!</definedName>
    <definedName name="MP2.5" localSheetId="0">#REF!</definedName>
    <definedName name="MP2.5">#REF!</definedName>
    <definedName name="MP2.5S" localSheetId="0">#REF!</definedName>
    <definedName name="MP2.5S">#REF!</definedName>
    <definedName name="MP3.7" localSheetId="0">#REF!</definedName>
    <definedName name="MP3.7">#REF!</definedName>
    <definedName name="MP3.7S" localSheetId="0">#REF!</definedName>
    <definedName name="MP3.7S">#REF!</definedName>
    <definedName name="MP5A" localSheetId="0">#REF!</definedName>
    <definedName name="MP5A">#REF!</definedName>
    <definedName name="MP7.5" localSheetId="0">#REF!</definedName>
    <definedName name="MP7.5">#REF!</definedName>
    <definedName name="MP7.5S" localSheetId="0">#REF!</definedName>
    <definedName name="MP7.5S">#REF!</definedName>
    <definedName name="mr" localSheetId="0">#REF!</definedName>
    <definedName name="mr">#REF!</definedName>
    <definedName name="ms" localSheetId="0">#REF!</definedName>
    <definedName name="ms">#REF!</definedName>
    <definedName name="MS200202rev2" localSheetId="0">#REF!</definedName>
    <definedName name="MS200202rev2">#REF!</definedName>
    <definedName name="ms200203rev03" localSheetId="0">#REF!</definedName>
    <definedName name="ms200203rev03">#REF!</definedName>
    <definedName name="ms2002june1706" localSheetId="0">#REF!</definedName>
    <definedName name="ms2002june1706">#REF!</definedName>
    <definedName name="ms2002may1706" localSheetId="0">#REF!</definedName>
    <definedName name="ms2002may1706">#REF!</definedName>
    <definedName name="msbars" localSheetId="0">#REF!</definedName>
    <definedName name="msbars">#REF!</definedName>
    <definedName name="Msbdo" localSheetId="0">#REF!</definedName>
    <definedName name="Msbdo">#REF!</definedName>
    <definedName name="msc" localSheetId="0">#REF!</definedName>
    <definedName name="msc">#REF!</definedName>
    <definedName name="msjune1807" localSheetId="0">#REF!</definedName>
    <definedName name="msjune1807">#REF!</definedName>
    <definedName name="msjunerev" localSheetId="0">#REF!</definedName>
    <definedName name="msjunerev">#REF!</definedName>
    <definedName name="mssplantrate" localSheetId="0">#REF!</definedName>
    <definedName name="mssplantrate">#REF!</definedName>
    <definedName name="Mthree" localSheetId="0">#REF!</definedName>
    <definedName name="Mthree">#REF!</definedName>
    <definedName name="MTV" localSheetId="0">#REF!</definedName>
    <definedName name="MTV">#REF!</definedName>
    <definedName name="MUP" localSheetId="0">#REF!</definedName>
    <definedName name="MUP">#REF!</definedName>
    <definedName name="MUP_" localSheetId="0">#REF!</definedName>
    <definedName name="MUP_">#REF!</definedName>
    <definedName name="Muram" localSheetId="0">#REF!</definedName>
    <definedName name="Muram">#REF!</definedName>
    <definedName name="muramfillpcc" localSheetId="0">#REF!</definedName>
    <definedName name="muramfillpcc">#REF!</definedName>
    <definedName name="MUTHU" localSheetId="0">#REF!</definedName>
    <definedName name="MUTHU">#REF!</definedName>
    <definedName name="MWeGross" localSheetId="0">#REF!</definedName>
    <definedName name="MWeGross">#REF!</definedName>
    <definedName name="MWeNet" localSheetId="0">#REF!</definedName>
    <definedName name="MWeNet">#REF!</definedName>
    <definedName name="N" localSheetId="0">#REF!</definedName>
    <definedName name="N">#REF!</definedName>
    <definedName name="N___0" localSheetId="0">#REF!</definedName>
    <definedName name="N___0">#REF!</definedName>
    <definedName name="N___13" localSheetId="0">#REF!</definedName>
    <definedName name="N___13">#REF!</definedName>
    <definedName name="N_ExternalWork" localSheetId="0">#REF!</definedName>
    <definedName name="N_ExternalWork">#REF!</definedName>
    <definedName name="na" localSheetId="0">#REF!</definedName>
    <definedName name="na">#REF!</definedName>
    <definedName name="nachi" localSheetId="0">#REF!</definedName>
    <definedName name="nachi">#REF!</definedName>
    <definedName name="Name" localSheetId="0">#REF!</definedName>
    <definedName name="Name">#REF!</definedName>
    <definedName name="NAMT" localSheetId="0">#REF!</definedName>
    <definedName name="NAMT">#REF!</definedName>
    <definedName name="NAR" localSheetId="0">#REF!</definedName>
    <definedName name="NAR">#REF!</definedName>
    <definedName name="Nariman_Point_Car_Parking_Site" localSheetId="0">#REF!</definedName>
    <definedName name="Nariman_Point_Car_Parking_Site">#REF!</definedName>
    <definedName name="nb" localSheetId="0">#REF!</definedName>
    <definedName name="nb">#REF!</definedName>
    <definedName name="Nbars" localSheetId="0">#REF!</definedName>
    <definedName name="Nbars">#REF!</definedName>
    <definedName name="NBMF" localSheetId="0">#REF!</definedName>
    <definedName name="NBMF">#REF!</definedName>
    <definedName name="nc" localSheetId="0">#REF!</definedName>
    <definedName name="nc">#REF!</definedName>
    <definedName name="ncompier" localSheetId="0">#REF!</definedName>
    <definedName name="ncompier">#REF!</definedName>
    <definedName name="NCV" localSheetId="0">#REF!</definedName>
    <definedName name="NCV">#REF!</definedName>
    <definedName name="ND" localSheetId="0">#REF!</definedName>
    <definedName name="ND">#REF!</definedName>
    <definedName name="ne" localSheetId="0">#REF!</definedName>
    <definedName name="ne">#REF!</definedName>
    <definedName name="neoprene" localSheetId="0">#REF!</definedName>
    <definedName name="neoprene">#REF!</definedName>
    <definedName name="NET" localSheetId="0">#REF!</definedName>
    <definedName name="NET">#REF!</definedName>
    <definedName name="net_cost_list" localSheetId="0">#REF!</definedName>
    <definedName name="net_cost_list">#REF!</definedName>
    <definedName name="NETT_SUBMITTED" localSheetId="0">#REF!</definedName>
    <definedName name="NETT_SUBMITTED">#REF!</definedName>
    <definedName name="new" localSheetId="0">#REF!</definedName>
    <definedName name="new">#REF!</definedName>
    <definedName name="NF" localSheetId="0">#REF!</definedName>
    <definedName name="NF">#REF!</definedName>
    <definedName name="ngfngfh" localSheetId="0">#REF!</definedName>
    <definedName name="ngfngfh">#REF!</definedName>
    <definedName name="NH4hume600" localSheetId="0">#REF!</definedName>
    <definedName name="NH4hume600">#REF!</definedName>
    <definedName name="NIA" localSheetId="0">#REF!</definedName>
    <definedName name="NIA">#REF!</definedName>
    <definedName name="Nicol" localSheetId="0">#REF!</definedName>
    <definedName name="Nicol">#REF!</definedName>
    <definedName name="nm" localSheetId="0">#REF!</definedName>
    <definedName name="nm">#REF!</definedName>
    <definedName name="nmk" localSheetId="0">#REF!</definedName>
    <definedName name="nmk">#REF!</definedName>
    <definedName name="nmmn" localSheetId="0">#REF!</definedName>
    <definedName name="nmmn">#REF!</definedName>
    <definedName name="NN" localSheetId="0">#REF!</definedName>
    <definedName name="NN">#REF!</definedName>
    <definedName name="NN___0" localSheetId="0">#REF!</definedName>
    <definedName name="NN___0">#REF!</definedName>
    <definedName name="NN___13" localSheetId="0">#REF!</definedName>
    <definedName name="NN___13">#REF!</definedName>
    <definedName name="nnnnm" localSheetId="0">#REF!</definedName>
    <definedName name="nnnnm">#REF!</definedName>
    <definedName name="nnnnnnnnnnnnn" localSheetId="0">#REF!</definedName>
    <definedName name="nnnnnnnnnnnnn">#REF!</definedName>
    <definedName name="NNPPOO" localSheetId="0">#REF!</definedName>
    <definedName name="NNPPOO">#REF!</definedName>
    <definedName name="NO" localSheetId="0">#REF!</definedName>
    <definedName name="NO">#REF!</definedName>
    <definedName name="NO." localSheetId="0">#REF!</definedName>
    <definedName name="NO.">#REF!</definedName>
    <definedName name="No_of_Hollidays" localSheetId="0">#REF!</definedName>
    <definedName name="No_of_Hollidays">#REF!</definedName>
    <definedName name="no_of_spac_on_B_for_angl" localSheetId="0">#REF!</definedName>
    <definedName name="no_of_spac_on_B_for_angl">#REF!</definedName>
    <definedName name="No_of_spac_on_H_for_angl" localSheetId="0">#REF!</definedName>
    <definedName name="No_of_spac_on_H_for_angl">#REF!</definedName>
    <definedName name="No_Ramadan_Days" localSheetId="0">#REF!</definedName>
    <definedName name="No_Ramadan_Days">#REF!</definedName>
    <definedName name="No_Week_Days" localSheetId="0">#REF!</definedName>
    <definedName name="No_Week_Days">#REF!</definedName>
    <definedName name="No_Weekend_Days" localSheetId="0">#REF!</definedName>
    <definedName name="No_Weekend_Days">#REF!</definedName>
    <definedName name="nolanes" localSheetId="0">#REF!</definedName>
    <definedName name="nolanes">#REF!</definedName>
    <definedName name="NONI" localSheetId="0">#REF!</definedName>
    <definedName name="NONI">#REF!</definedName>
    <definedName name="normal_chi" localSheetId="0">#REF!</definedName>
    <definedName name="normal_chi">#REF!</definedName>
    <definedName name="NOS" localSheetId="0">#REF!</definedName>
    <definedName name="NOS">#REF!</definedName>
    <definedName name="notes" localSheetId="0">#REF!</definedName>
    <definedName name="notes">#REF!</definedName>
    <definedName name="notoilet" localSheetId="0">#REF!</definedName>
    <definedName name="notoilet">#REF!</definedName>
    <definedName name="notok" localSheetId="0">#REF!</definedName>
    <definedName name="notok">#REF!</definedName>
    <definedName name="np2hp300" localSheetId="0">#REF!</definedName>
    <definedName name="np2hp300">#REF!</definedName>
    <definedName name="np3hp450" localSheetId="0">#REF!</definedName>
    <definedName name="np3hp450">#REF!</definedName>
    <definedName name="NP3HP600" localSheetId="0">#REF!</definedName>
    <definedName name="NP3HP600">#REF!</definedName>
    <definedName name="NP3HP750" localSheetId="0">#REF!</definedName>
    <definedName name="NP3HP750">#REF!</definedName>
    <definedName name="NP4hume1.2" localSheetId="0">#REF!</definedName>
    <definedName name="NP4hume1.2">#REF!</definedName>
    <definedName name="NP4hume1000" localSheetId="0">#REF!</definedName>
    <definedName name="NP4hume1000">#REF!</definedName>
    <definedName name="NP4hume300" localSheetId="0">#REF!</definedName>
    <definedName name="NP4hume300">#REF!</definedName>
    <definedName name="NP4hume450" localSheetId="0">#REF!</definedName>
    <definedName name="NP4hume450">#REF!</definedName>
    <definedName name="NP4hume900" localSheetId="0">#REF!</definedName>
    <definedName name="NP4hume900">#REF!</definedName>
    <definedName name="Npiers" localSheetId="0">#REF!</definedName>
    <definedName name="Npiers">#REF!</definedName>
    <definedName name="npile2" localSheetId="0">#REF!</definedName>
    <definedName name="npile2">#REF!</definedName>
    <definedName name="npile3" localSheetId="0">#REF!</definedName>
    <definedName name="npile3">#REF!</definedName>
    <definedName name="Nrows" localSheetId="0">#REF!</definedName>
    <definedName name="Nrows">#REF!</definedName>
    <definedName name="NS" localSheetId="0">#REF!</definedName>
    <definedName name="NS">#REF!</definedName>
    <definedName name="NSA" localSheetId="0">#REF!</definedName>
    <definedName name="NSA">#REF!</definedName>
    <definedName name="Nspans" localSheetId="0">#REF!</definedName>
    <definedName name="Nspans">#REF!</definedName>
    <definedName name="NSSR1" localSheetId="0">#REF!</definedName>
    <definedName name="NSSR1">#REF!</definedName>
    <definedName name="NSSR10" localSheetId="0">#REF!</definedName>
    <definedName name="NSSR10">#REF!</definedName>
    <definedName name="NSSR100" localSheetId="0">#REF!</definedName>
    <definedName name="NSSR100">#REF!</definedName>
    <definedName name="NSSR101" localSheetId="0">#REF!</definedName>
    <definedName name="NSSR101">#REF!</definedName>
    <definedName name="NSSR102" localSheetId="0">#REF!</definedName>
    <definedName name="NSSR102">#REF!</definedName>
    <definedName name="NSSR103" localSheetId="0">#REF!</definedName>
    <definedName name="NSSR103">#REF!</definedName>
    <definedName name="NSSR104" localSheetId="0">#REF!</definedName>
    <definedName name="NSSR104">#REF!</definedName>
    <definedName name="NSSR105" localSheetId="0">#REF!</definedName>
    <definedName name="NSSR105">#REF!</definedName>
    <definedName name="NSSR106" localSheetId="0">#REF!</definedName>
    <definedName name="NSSR106">#REF!</definedName>
    <definedName name="NSSR107" localSheetId="0">#REF!</definedName>
    <definedName name="NSSR107">#REF!</definedName>
    <definedName name="NSSR108" localSheetId="0">#REF!</definedName>
    <definedName name="NSSR108">#REF!</definedName>
    <definedName name="NSSR109" localSheetId="0">#REF!</definedName>
    <definedName name="NSSR109">#REF!</definedName>
    <definedName name="NSSR11" localSheetId="0">#REF!</definedName>
    <definedName name="NSSR11">#REF!</definedName>
    <definedName name="NSSR110" localSheetId="0">#REF!</definedName>
    <definedName name="NSSR110">#REF!</definedName>
    <definedName name="NSSR111" localSheetId="0">#REF!</definedName>
    <definedName name="NSSR111">#REF!</definedName>
    <definedName name="NSSR112" localSheetId="0">#REF!</definedName>
    <definedName name="NSSR112">#REF!</definedName>
    <definedName name="NSSR113" localSheetId="0">#REF!</definedName>
    <definedName name="NSSR113">#REF!</definedName>
    <definedName name="NSSR114" localSheetId="0">#REF!</definedName>
    <definedName name="NSSR114">#REF!</definedName>
    <definedName name="NSSR115" localSheetId="0">#REF!</definedName>
    <definedName name="NSSR115">#REF!</definedName>
    <definedName name="NSSR116" localSheetId="0">#REF!</definedName>
    <definedName name="NSSR116">#REF!</definedName>
    <definedName name="NSSR117" localSheetId="0">#REF!</definedName>
    <definedName name="NSSR117">#REF!</definedName>
    <definedName name="NSSR118" localSheetId="0">#REF!</definedName>
    <definedName name="NSSR118">#REF!</definedName>
    <definedName name="NSSR119" localSheetId="0">#REF!</definedName>
    <definedName name="NSSR119">#REF!</definedName>
    <definedName name="NSSR12" localSheetId="0">#REF!</definedName>
    <definedName name="NSSR12">#REF!</definedName>
    <definedName name="NSSR120" localSheetId="0">#REF!</definedName>
    <definedName name="NSSR120">#REF!</definedName>
    <definedName name="NSSR121" localSheetId="0">#REF!</definedName>
    <definedName name="NSSR121">#REF!</definedName>
    <definedName name="NSSR122" localSheetId="0">#REF!</definedName>
    <definedName name="NSSR122">#REF!</definedName>
    <definedName name="NSSR123" localSheetId="0">#REF!</definedName>
    <definedName name="NSSR123">#REF!</definedName>
    <definedName name="NSSR124" localSheetId="0">#REF!</definedName>
    <definedName name="NSSR124">#REF!</definedName>
    <definedName name="NSSR125" localSheetId="0">#REF!</definedName>
    <definedName name="NSSR125">#REF!</definedName>
    <definedName name="NSSR126" localSheetId="0">#REF!</definedName>
    <definedName name="NSSR126">#REF!</definedName>
    <definedName name="NSSR127" localSheetId="0">#REF!</definedName>
    <definedName name="NSSR127">#REF!</definedName>
    <definedName name="NSSR128" localSheetId="0">#REF!</definedName>
    <definedName name="NSSR128">#REF!</definedName>
    <definedName name="NSSR129" localSheetId="0">#REF!</definedName>
    <definedName name="NSSR129">#REF!</definedName>
    <definedName name="NSSR13" localSheetId="0">#REF!</definedName>
    <definedName name="NSSR13">#REF!</definedName>
    <definedName name="NSSR130" localSheetId="0">#REF!</definedName>
    <definedName name="NSSR130">#REF!</definedName>
    <definedName name="NSSR131" localSheetId="0">#REF!</definedName>
    <definedName name="NSSR131">#REF!</definedName>
    <definedName name="NSSR132" localSheetId="0">#REF!</definedName>
    <definedName name="NSSR132">#REF!</definedName>
    <definedName name="NSSR133" localSheetId="0">#REF!</definedName>
    <definedName name="NSSR133">#REF!</definedName>
    <definedName name="NSSR134" localSheetId="0">#REF!</definedName>
    <definedName name="NSSR134">#REF!</definedName>
    <definedName name="NSSR135" localSheetId="0">#REF!</definedName>
    <definedName name="NSSR135">#REF!</definedName>
    <definedName name="NSSR136" localSheetId="0">#REF!</definedName>
    <definedName name="NSSR136">#REF!</definedName>
    <definedName name="NSSR137" localSheetId="0">#REF!</definedName>
    <definedName name="NSSR137">#REF!</definedName>
    <definedName name="NSSR138" localSheetId="0">#REF!</definedName>
    <definedName name="NSSR138">#REF!</definedName>
    <definedName name="NSSR139" localSheetId="0">#REF!</definedName>
    <definedName name="NSSR139">#REF!</definedName>
    <definedName name="NSSR14" localSheetId="0">#REF!</definedName>
    <definedName name="NSSR14">#REF!</definedName>
    <definedName name="NSSR140" localSheetId="0">#REF!</definedName>
    <definedName name="NSSR140">#REF!</definedName>
    <definedName name="NSSR141" localSheetId="0">#REF!</definedName>
    <definedName name="NSSR141">#REF!</definedName>
    <definedName name="NSSR142" localSheetId="0">#REF!</definedName>
    <definedName name="NSSR142">#REF!</definedName>
    <definedName name="NSSR143" localSheetId="0">#REF!</definedName>
    <definedName name="NSSR143">#REF!</definedName>
    <definedName name="NSSR144" localSheetId="0">#REF!</definedName>
    <definedName name="NSSR144">#REF!</definedName>
    <definedName name="NSSR145" localSheetId="0">#REF!</definedName>
    <definedName name="NSSR145">#REF!</definedName>
    <definedName name="NSSR146" localSheetId="0">#REF!</definedName>
    <definedName name="NSSR146">#REF!</definedName>
    <definedName name="NSSR147" localSheetId="0">#REF!</definedName>
    <definedName name="NSSR147">#REF!</definedName>
    <definedName name="NSSR148" localSheetId="0">#REF!</definedName>
    <definedName name="NSSR148">#REF!</definedName>
    <definedName name="NSSR149" localSheetId="0">#REF!</definedName>
    <definedName name="NSSR149">#REF!</definedName>
    <definedName name="NSSR15" localSheetId="0">#REF!</definedName>
    <definedName name="NSSR15">#REF!</definedName>
    <definedName name="NSSR150" localSheetId="0">#REF!</definedName>
    <definedName name="NSSR150">#REF!</definedName>
    <definedName name="NSSR151" localSheetId="0">#REF!</definedName>
    <definedName name="NSSR151">#REF!</definedName>
    <definedName name="NSSR152" localSheetId="0">#REF!</definedName>
    <definedName name="NSSR152">#REF!</definedName>
    <definedName name="NSSR153" localSheetId="0">#REF!</definedName>
    <definedName name="NSSR153">#REF!</definedName>
    <definedName name="NSSR154" localSheetId="0">#REF!</definedName>
    <definedName name="NSSR154">#REF!</definedName>
    <definedName name="NSSR155" localSheetId="0">#REF!</definedName>
    <definedName name="NSSR155">#REF!</definedName>
    <definedName name="NSSR156" localSheetId="0">#REF!</definedName>
    <definedName name="NSSR156">#REF!</definedName>
    <definedName name="NSSR157" localSheetId="0">#REF!</definedName>
    <definedName name="NSSR157">#REF!</definedName>
    <definedName name="NSSR158" localSheetId="0">#REF!</definedName>
    <definedName name="NSSR158">#REF!</definedName>
    <definedName name="NSSR159" localSheetId="0">#REF!</definedName>
    <definedName name="NSSR159">#REF!</definedName>
    <definedName name="NSSR16" localSheetId="0">#REF!</definedName>
    <definedName name="NSSR16">#REF!</definedName>
    <definedName name="NSSR160" localSheetId="0">#REF!</definedName>
    <definedName name="NSSR160">#REF!</definedName>
    <definedName name="NSSR161" localSheetId="0">#REF!</definedName>
    <definedName name="NSSR161">#REF!</definedName>
    <definedName name="NSSR162" localSheetId="0">#REF!</definedName>
    <definedName name="NSSR162">#REF!</definedName>
    <definedName name="NSSR163" localSheetId="0">#REF!</definedName>
    <definedName name="NSSR163">#REF!</definedName>
    <definedName name="NSSR164" localSheetId="0">#REF!</definedName>
    <definedName name="NSSR164">#REF!</definedName>
    <definedName name="NSSR165" localSheetId="0">#REF!</definedName>
    <definedName name="NSSR165">#REF!</definedName>
    <definedName name="NSSR166" localSheetId="0">#REF!</definedName>
    <definedName name="NSSR166">#REF!</definedName>
    <definedName name="NSSR167" localSheetId="0">#REF!</definedName>
    <definedName name="NSSR167">#REF!</definedName>
    <definedName name="NSSR168" localSheetId="0">#REF!</definedName>
    <definedName name="NSSR168">#REF!</definedName>
    <definedName name="NSSR169" localSheetId="0">#REF!</definedName>
    <definedName name="NSSR169">#REF!</definedName>
    <definedName name="NSSR17" localSheetId="0">#REF!</definedName>
    <definedName name="NSSR17">#REF!</definedName>
    <definedName name="NSSR170" localSheetId="0">#REF!</definedName>
    <definedName name="NSSR170">#REF!</definedName>
    <definedName name="NSSR171" localSheetId="0">#REF!</definedName>
    <definedName name="NSSR171">#REF!</definedName>
    <definedName name="NSSR172" localSheetId="0">#REF!</definedName>
    <definedName name="NSSR172">#REF!</definedName>
    <definedName name="NSSR173" localSheetId="0">#REF!</definedName>
    <definedName name="NSSR173">#REF!</definedName>
    <definedName name="NSSR174" localSheetId="0">#REF!</definedName>
    <definedName name="NSSR174">#REF!</definedName>
    <definedName name="NSSR18" localSheetId="0">#REF!</definedName>
    <definedName name="NSSR18">#REF!</definedName>
    <definedName name="NSSR19" localSheetId="0">#REF!</definedName>
    <definedName name="NSSR19">#REF!</definedName>
    <definedName name="NSSR2" localSheetId="0">#REF!</definedName>
    <definedName name="NSSR2">#REF!</definedName>
    <definedName name="NSSR20" localSheetId="0">#REF!</definedName>
    <definedName name="NSSR20">#REF!</definedName>
    <definedName name="NSSR21" localSheetId="0">#REF!</definedName>
    <definedName name="NSSR21">#REF!</definedName>
    <definedName name="NSSR22" localSheetId="0">#REF!</definedName>
    <definedName name="NSSR22">#REF!</definedName>
    <definedName name="NSSR23" localSheetId="0">#REF!</definedName>
    <definedName name="NSSR23">#REF!</definedName>
    <definedName name="NSSR24" localSheetId="0">#REF!</definedName>
    <definedName name="NSSR24">#REF!</definedName>
    <definedName name="NSSR25" localSheetId="0">#REF!</definedName>
    <definedName name="NSSR25">#REF!</definedName>
    <definedName name="NSSR26" localSheetId="0">#REF!</definedName>
    <definedName name="NSSR26">#REF!</definedName>
    <definedName name="NSSR27" localSheetId="0">#REF!</definedName>
    <definedName name="NSSR27">#REF!</definedName>
    <definedName name="NSSR28" localSheetId="0">#REF!</definedName>
    <definedName name="NSSR28">#REF!</definedName>
    <definedName name="NSSR29" localSheetId="0">#REF!</definedName>
    <definedName name="NSSR29">#REF!</definedName>
    <definedName name="NSSR3" localSheetId="0">#REF!</definedName>
    <definedName name="NSSR3">#REF!</definedName>
    <definedName name="NSSR30" localSheetId="0">#REF!</definedName>
    <definedName name="NSSR30">#REF!</definedName>
    <definedName name="NSSR31" localSheetId="0">#REF!</definedName>
    <definedName name="NSSR31">#REF!</definedName>
    <definedName name="NSSR32" localSheetId="0">#REF!</definedName>
    <definedName name="NSSR32">#REF!</definedName>
    <definedName name="NSSR33" localSheetId="0">#REF!</definedName>
    <definedName name="NSSR33">#REF!</definedName>
    <definedName name="NSSR34" localSheetId="0">#REF!</definedName>
    <definedName name="NSSR34">#REF!</definedName>
    <definedName name="NSSR35" localSheetId="0">#REF!</definedName>
    <definedName name="NSSR35">#REF!</definedName>
    <definedName name="NSSR36" localSheetId="0">#REF!</definedName>
    <definedName name="NSSR36">#REF!</definedName>
    <definedName name="NSSR37" localSheetId="0">#REF!</definedName>
    <definedName name="NSSR37">#REF!</definedName>
    <definedName name="NSSR38" localSheetId="0">#REF!</definedName>
    <definedName name="NSSR38">#REF!</definedName>
    <definedName name="NSSR39" localSheetId="0">#REF!</definedName>
    <definedName name="NSSR39">#REF!</definedName>
    <definedName name="NSSR4" localSheetId="0">#REF!</definedName>
    <definedName name="NSSR4">#REF!</definedName>
    <definedName name="NSSR40" localSheetId="0">#REF!</definedName>
    <definedName name="NSSR40">#REF!</definedName>
    <definedName name="NSSR41" localSheetId="0">#REF!</definedName>
    <definedName name="NSSR41">#REF!</definedName>
    <definedName name="NSSR42" localSheetId="0">#REF!</definedName>
    <definedName name="NSSR42">#REF!</definedName>
    <definedName name="NSSR43" localSheetId="0">#REF!</definedName>
    <definedName name="NSSR43">#REF!</definedName>
    <definedName name="NSSR44" localSheetId="0">#REF!</definedName>
    <definedName name="NSSR44">#REF!</definedName>
    <definedName name="NSSR45" localSheetId="0">#REF!</definedName>
    <definedName name="NSSR45">#REF!</definedName>
    <definedName name="NSSR46" localSheetId="0">#REF!</definedName>
    <definedName name="NSSR46">#REF!</definedName>
    <definedName name="NSSR47" localSheetId="0">#REF!</definedName>
    <definedName name="NSSR47">#REF!</definedName>
    <definedName name="NSSR48" localSheetId="0">#REF!</definedName>
    <definedName name="NSSR48">#REF!</definedName>
    <definedName name="NSSR49" localSheetId="0">#REF!</definedName>
    <definedName name="NSSR49">#REF!</definedName>
    <definedName name="NSSR5" localSheetId="0">#REF!</definedName>
    <definedName name="NSSR5">#REF!</definedName>
    <definedName name="NSSR50" localSheetId="0">#REF!</definedName>
    <definedName name="NSSR50">#REF!</definedName>
    <definedName name="NSSR51" localSheetId="0">#REF!</definedName>
    <definedName name="NSSR51">#REF!</definedName>
    <definedName name="NSSR52" localSheetId="0">#REF!</definedName>
    <definedName name="NSSR52">#REF!</definedName>
    <definedName name="NSSR53" localSheetId="0">#REF!</definedName>
    <definedName name="NSSR53">#REF!</definedName>
    <definedName name="NSSR54" localSheetId="0">#REF!</definedName>
    <definedName name="NSSR54">#REF!</definedName>
    <definedName name="NSSR55" localSheetId="0">#REF!</definedName>
    <definedName name="NSSR55">#REF!</definedName>
    <definedName name="NSSR56" localSheetId="0">#REF!</definedName>
    <definedName name="NSSR56">#REF!</definedName>
    <definedName name="NSSR57" localSheetId="0">#REF!</definedName>
    <definedName name="NSSR57">#REF!</definedName>
    <definedName name="NSSR58" localSheetId="0">#REF!</definedName>
    <definedName name="NSSR58">#REF!</definedName>
    <definedName name="NSSR59" localSheetId="0">#REF!</definedName>
    <definedName name="NSSR59">#REF!</definedName>
    <definedName name="NSSR6" localSheetId="0">#REF!</definedName>
    <definedName name="NSSR6">#REF!</definedName>
    <definedName name="NSSR60" localSheetId="0">#REF!</definedName>
    <definedName name="NSSR60">#REF!</definedName>
    <definedName name="NSSR61" localSheetId="0">#REF!</definedName>
    <definedName name="NSSR61">#REF!</definedName>
    <definedName name="NSSR62" localSheetId="0">#REF!</definedName>
    <definedName name="NSSR62">#REF!</definedName>
    <definedName name="NSSR63" localSheetId="0">#REF!</definedName>
    <definedName name="NSSR63">#REF!</definedName>
    <definedName name="NSSR64" localSheetId="0">#REF!</definedName>
    <definedName name="NSSR64">#REF!</definedName>
    <definedName name="NSSR65" localSheetId="0">#REF!</definedName>
    <definedName name="NSSR65">#REF!</definedName>
    <definedName name="NSSR66" localSheetId="0">#REF!</definedName>
    <definedName name="NSSR66">#REF!</definedName>
    <definedName name="NSSR67" localSheetId="0">#REF!</definedName>
    <definedName name="NSSR67">#REF!</definedName>
    <definedName name="NSSR68" localSheetId="0">#REF!</definedName>
    <definedName name="NSSR68">#REF!</definedName>
    <definedName name="NSSR69" localSheetId="0">#REF!</definedName>
    <definedName name="NSSR69">#REF!</definedName>
    <definedName name="NSSR7" localSheetId="0">#REF!</definedName>
    <definedName name="NSSR7">#REF!</definedName>
    <definedName name="NSSR70" localSheetId="0">#REF!</definedName>
    <definedName name="NSSR70">#REF!</definedName>
    <definedName name="NSSR71" localSheetId="0">#REF!</definedName>
    <definedName name="NSSR71">#REF!</definedName>
    <definedName name="NSSR72" localSheetId="0">#REF!</definedName>
    <definedName name="NSSR72">#REF!</definedName>
    <definedName name="NSSR73" localSheetId="0">#REF!</definedName>
    <definedName name="NSSR73">#REF!</definedName>
    <definedName name="NSSR74" localSheetId="0">#REF!</definedName>
    <definedName name="NSSR74">#REF!</definedName>
    <definedName name="NSSR75" localSheetId="0">#REF!</definedName>
    <definedName name="NSSR75">#REF!</definedName>
    <definedName name="NSSR76" localSheetId="0">#REF!</definedName>
    <definedName name="NSSR76">#REF!</definedName>
    <definedName name="NSSR77" localSheetId="0">#REF!</definedName>
    <definedName name="NSSR77">#REF!</definedName>
    <definedName name="NSSR78" localSheetId="0">#REF!</definedName>
    <definedName name="NSSR78">#REF!</definedName>
    <definedName name="NSSR79" localSheetId="0">#REF!</definedName>
    <definedName name="NSSR79">#REF!</definedName>
    <definedName name="NSSR8" localSheetId="0">#REF!</definedName>
    <definedName name="NSSR8">#REF!</definedName>
    <definedName name="NSSR80" localSheetId="0">#REF!</definedName>
    <definedName name="NSSR80">#REF!</definedName>
    <definedName name="NSSR81" localSheetId="0">#REF!</definedName>
    <definedName name="NSSR81">#REF!</definedName>
    <definedName name="NSSR82" localSheetId="0">#REF!</definedName>
    <definedName name="NSSR82">#REF!</definedName>
    <definedName name="NSSR83" localSheetId="0">#REF!</definedName>
    <definedName name="NSSR83">#REF!</definedName>
    <definedName name="NSSR84" localSheetId="0">#REF!</definedName>
    <definedName name="NSSR84">#REF!</definedName>
    <definedName name="NSSR85" localSheetId="0">#REF!</definedName>
    <definedName name="NSSR85">#REF!</definedName>
    <definedName name="NSSR86" localSheetId="0">#REF!</definedName>
    <definedName name="NSSR86">#REF!</definedName>
    <definedName name="NSSR87" localSheetId="0">#REF!</definedName>
    <definedName name="NSSR87">#REF!</definedName>
    <definedName name="NSSR88" localSheetId="0">#REF!</definedName>
    <definedName name="NSSR88">#REF!</definedName>
    <definedName name="NSSR89" localSheetId="0">#REF!</definedName>
    <definedName name="NSSR89">#REF!</definedName>
    <definedName name="NSSR9" localSheetId="0">#REF!</definedName>
    <definedName name="NSSR9">#REF!</definedName>
    <definedName name="NSSR90" localSheetId="0">#REF!</definedName>
    <definedName name="NSSR90">#REF!</definedName>
    <definedName name="NSSR91" localSheetId="0">#REF!</definedName>
    <definedName name="NSSR91">#REF!</definedName>
    <definedName name="NSSR92" localSheetId="0">#REF!</definedName>
    <definedName name="NSSR92">#REF!</definedName>
    <definedName name="NSSR93" localSheetId="0">#REF!</definedName>
    <definedName name="NSSR93">#REF!</definedName>
    <definedName name="NSSR94" localSheetId="0">#REF!</definedName>
    <definedName name="NSSR94">#REF!</definedName>
    <definedName name="NSSR95" localSheetId="0">#REF!</definedName>
    <definedName name="NSSR95">#REF!</definedName>
    <definedName name="NSSR96" localSheetId="0">#REF!</definedName>
    <definedName name="NSSR96">#REF!</definedName>
    <definedName name="NSSR97" localSheetId="0">#REF!</definedName>
    <definedName name="NSSR97">#REF!</definedName>
    <definedName name="NSSR98" localSheetId="0">#REF!</definedName>
    <definedName name="NSSR98">#REF!</definedName>
    <definedName name="NSSR99" localSheetId="0">#REF!</definedName>
    <definedName name="NSSR99">#REF!</definedName>
    <definedName name="ntesu" localSheetId="0">#REF!</definedName>
    <definedName name="ntesu">#REF!</definedName>
    <definedName name="ntfrf" localSheetId="0">#REF!</definedName>
    <definedName name="ntfrf">#REF!</definedName>
    <definedName name="Num_Pmt_Per_Year" localSheetId="0">#REF!</definedName>
    <definedName name="Num_Pmt_Per_Year">#REF!</definedName>
    <definedName name="Number" localSheetId="0">#REF!</definedName>
    <definedName name="Number">#REF!</definedName>
    <definedName name="Number_of_Payments" localSheetId="0">#REF!</definedName>
    <definedName name="Number_of_Payments">#REF!</definedName>
    <definedName name="numf" localSheetId="0">#REF!</definedName>
    <definedName name="numf">#REF!</definedName>
    <definedName name="nut" localSheetId="0">#REF!</definedName>
    <definedName name="nut">#REF!</definedName>
    <definedName name="NW" localSheetId="0">#REF!</definedName>
    <definedName name="NW">#REF!</definedName>
    <definedName name="Nwebs" localSheetId="0">#REF!</definedName>
    <definedName name="Nwebs">#REF!</definedName>
    <definedName name="Nx" localSheetId="0">#REF!</definedName>
    <definedName name="Nx">#REF!</definedName>
    <definedName name="Nx___0" localSheetId="0">#REF!</definedName>
    <definedName name="Nx___0">#REF!</definedName>
    <definedName name="Nx___13" localSheetId="0">#REF!</definedName>
    <definedName name="Nx___13">#REF!</definedName>
    <definedName name="nxs" localSheetId="0">#REF!</definedName>
    <definedName name="nxs">#REF!</definedName>
    <definedName name="Ny" localSheetId="0">#REF!</definedName>
    <definedName name="Ny">#REF!</definedName>
    <definedName name="Ny___0" localSheetId="0">#REF!</definedName>
    <definedName name="Ny___0">#REF!</definedName>
    <definedName name="Ny___13" localSheetId="0">#REF!</definedName>
    <definedName name="Ny___13">#REF!</definedName>
    <definedName name="nys" localSheetId="0">#REF!</definedName>
    <definedName name="nys">#REF!</definedName>
    <definedName name="O" localSheetId="0">#REF!</definedName>
    <definedName name="O">#REF!</definedName>
    <definedName name="oAst1" localSheetId="0">#REF!</definedName>
    <definedName name="oAst1">#REF!</definedName>
    <definedName name="oAst2" localSheetId="0">#REF!</definedName>
    <definedName name="oAst2">#REF!</definedName>
    <definedName name="oAst3" localSheetId="0">#REF!</definedName>
    <definedName name="oAst3">#REF!</definedName>
    <definedName name="oAst4" localSheetId="0">#REF!</definedName>
    <definedName name="oAst4">#REF!</definedName>
    <definedName name="obpl" localSheetId="0">#REF!</definedName>
    <definedName name="obpl">#REF!</definedName>
    <definedName name="Occupancy" localSheetId="0">#REF!</definedName>
    <definedName name="Occupancy">#REF!</definedName>
    <definedName name="Occupancy_Rate" localSheetId="0">#REF!</definedName>
    <definedName name="Occupancy_Rate">#REF!</definedName>
    <definedName name="ocgl" localSheetId="0">#REF!</definedName>
    <definedName name="ocgl">#REF!</definedName>
    <definedName name="OCT_ALLSITES" localSheetId="0">#REF!</definedName>
    <definedName name="OCT_ALLSITES">#REF!</definedName>
    <definedName name="OD_FACTOR" localSheetId="0">#REF!</definedName>
    <definedName name="OD_FACTOR">#REF!</definedName>
    <definedName name="ODC_Allowance_Rates" localSheetId="0">#REF!</definedName>
    <definedName name="ODC_Allowance_Rates">#REF!</definedName>
    <definedName name="oexudl" localSheetId="0">#REF!</definedName>
    <definedName name="oexudl">#REF!</definedName>
    <definedName name="ofcablescost" localSheetId="0">#REF!</definedName>
    <definedName name="ofcablescost">#REF!</definedName>
    <definedName name="Off_Stry_Ht" localSheetId="0">#REF!</definedName>
    <definedName name="Off_Stry_Ht">#REF!</definedName>
    <definedName name="Office_Charge_Rate" localSheetId="0">#REF!</definedName>
    <definedName name="Office_Charge_Rate">#REF!</definedName>
    <definedName name="Office_Supplies_Unit_Rate" localSheetId="0">#REF!</definedName>
    <definedName name="Office_Supplies_Unit_Rate">#REF!</definedName>
    <definedName name="Offices" localSheetId="0">#REF!</definedName>
    <definedName name="Offices">#REF!</definedName>
    <definedName name="oio" localSheetId="0">#REF!</definedName>
    <definedName name="oio">#REF!</definedName>
    <definedName name="oirr" localSheetId="0">#REF!</definedName>
    <definedName name="oirr">#REF!</definedName>
    <definedName name="oiuo" localSheetId="0">#REF!</definedName>
    <definedName name="oiuo">#REF!</definedName>
    <definedName name="OLE_LINK1_1" localSheetId="0">#REF!</definedName>
    <definedName name="OLE_LINK1_1">#REF!</definedName>
    <definedName name="OLE_LINK2" localSheetId="0">#REF!</definedName>
    <definedName name="OLE_LINK2">#REF!</definedName>
    <definedName name="OLE_LINK2___1" localSheetId="0">#REF!</definedName>
    <definedName name="OLE_LINK2___1">#REF!</definedName>
    <definedName name="OLE_LINK2___8" localSheetId="0">#REF!</definedName>
    <definedName name="OLE_LINK2___8">#REF!</definedName>
    <definedName name="OLR" localSheetId="0">#REF!</definedName>
    <definedName name="OLR">#REF!</definedName>
    <definedName name="OLR15_lt" localSheetId="0">#REF!</definedName>
    <definedName name="OLR15_lt">#REF!</definedName>
    <definedName name="OLR150_lt" localSheetId="0">#REF!</definedName>
    <definedName name="OLR150_lt">#REF!</definedName>
    <definedName name="OLR1S" localSheetId="0">#REF!</definedName>
    <definedName name="OLR1S">#REF!</definedName>
    <definedName name="OLR225_lt" localSheetId="0">#REF!</definedName>
    <definedName name="OLR225_lt">#REF!</definedName>
    <definedName name="OLR2S" localSheetId="0">#REF!</definedName>
    <definedName name="OLR2S">#REF!</definedName>
    <definedName name="OLR3S" localSheetId="0">#REF!</definedName>
    <definedName name="OLR3S">#REF!</definedName>
    <definedName name="OLR75_lt" localSheetId="0">#REF!</definedName>
    <definedName name="OLR75_lt">#REF!</definedName>
    <definedName name="omaxm1" localSheetId="0">#REF!</definedName>
    <definedName name="omaxm1">#REF!</definedName>
    <definedName name="omaxm2" localSheetId="0">#REF!</definedName>
    <definedName name="omaxm2">#REF!</definedName>
    <definedName name="omaxm3" localSheetId="0">#REF!</definedName>
    <definedName name="omaxm3">#REF!</definedName>
    <definedName name="omaxm4" localSheetId="0">#REF!</definedName>
    <definedName name="omaxm4">#REF!</definedName>
    <definedName name="OMI" localSheetId="0">#REF!</definedName>
    <definedName name="OMI">#REF!</definedName>
    <definedName name="ool" localSheetId="0">#REF!</definedName>
    <definedName name="ool">#REF!</definedName>
    <definedName name="OOOOO" localSheetId="0">#REF!</definedName>
    <definedName name="OOOOO">#REF!</definedName>
    <definedName name="ooooooooo" localSheetId="0">#REF!</definedName>
    <definedName name="ooooooooo">#REF!</definedName>
    <definedName name="ooooooooooooooo" localSheetId="0">#REF!</definedName>
    <definedName name="ooooooooooooooo">#REF!</definedName>
    <definedName name="Open" localSheetId="0">#REF!</definedName>
    <definedName name="Open">#REF!</definedName>
    <definedName name="opoi" localSheetId="0">#REF!</definedName>
    <definedName name="opoi">#REF!</definedName>
    <definedName name="option22" localSheetId="0">#REF!</definedName>
    <definedName name="option22">#REF!</definedName>
    <definedName name="OrderTable" localSheetId="0">#REF!</definedName>
    <definedName name="OrderTable">#REF!</definedName>
    <definedName name="OrdinaryRodBinder" localSheetId="0">#REF!</definedName>
    <definedName name="OrdinaryRodBinder">#REF!</definedName>
    <definedName name="OrgDate_1" localSheetId="0">#REF!</definedName>
    <definedName name="OrgDate_1">#REF!</definedName>
    <definedName name="origin" localSheetId="0">#REF!</definedName>
    <definedName name="origin">#REF!</definedName>
    <definedName name="OSBL_Costs" localSheetId="0">#REF!</definedName>
    <definedName name="OSBL_Costs">#REF!</definedName>
    <definedName name="OSBL_Mhrs" localSheetId="0">#REF!</definedName>
    <definedName name="OSBL_Mhrs">#REF!</definedName>
    <definedName name="OTHER" localSheetId="0">#REF!</definedName>
    <definedName name="OTHER">#REF!</definedName>
    <definedName name="OTHER_PRICING" localSheetId="0">#REF!</definedName>
    <definedName name="OTHER_PRICING">#REF!</definedName>
    <definedName name="OTHER_VALVES" localSheetId="0">#REF!</definedName>
    <definedName name="OTHER_VALVES">#REF!</definedName>
    <definedName name="OTHERASSUM" localSheetId="0">#REF!</definedName>
    <definedName name="OTHERASSUM">#REF!</definedName>
    <definedName name="oudl" localSheetId="0">#REF!</definedName>
    <definedName name="oudl">#REF!</definedName>
    <definedName name="OUTDOOR_COND" localSheetId="0">#REF!</definedName>
    <definedName name="OUTDOOR_COND">#REF!</definedName>
    <definedName name="OV" localSheetId="0">#REF!</definedName>
    <definedName name="OV">#REF!</definedName>
    <definedName name="OVER_HEADS_ENTRY" localSheetId="0">#REF!</definedName>
    <definedName name="OVER_HEADS_ENTRY">#REF!</definedName>
    <definedName name="Overall_Summary_Title" localSheetId="0">#REF!</definedName>
    <definedName name="Overall_Summary_Title">#REF!</definedName>
    <definedName name="OVERHEADS" localSheetId="0">#REF!</definedName>
    <definedName name="OVERHEADS">#REF!</definedName>
    <definedName name="OYI" localSheetId="0">#REF!</definedName>
    <definedName name="OYI">#REF!</definedName>
    <definedName name="P" localSheetId="0">#REF!</definedName>
    <definedName name="P">#REF!</definedName>
    <definedName name="p___0" localSheetId="0">#REF!</definedName>
    <definedName name="p___0">#REF!</definedName>
    <definedName name="p___13" localSheetId="0">#REF!</definedName>
    <definedName name="p___13">#REF!</definedName>
    <definedName name="P_21Mech_S" localSheetId="0">#REF!</definedName>
    <definedName name="P_21Mech_S">#REF!</definedName>
    <definedName name="P_22" localSheetId="0">#REF!</definedName>
    <definedName name="P_22">#REF!</definedName>
    <definedName name="P_23" localSheetId="0">#REF!</definedName>
    <definedName name="P_23">#REF!</definedName>
    <definedName name="P_24" localSheetId="0">#REF!</definedName>
    <definedName name="P_24">#REF!</definedName>
    <definedName name="P_25" localSheetId="0">#REF!</definedName>
    <definedName name="P_25">#REF!</definedName>
    <definedName name="P_26" localSheetId="0">#REF!</definedName>
    <definedName name="P_26">#REF!</definedName>
    <definedName name="P_27" localSheetId="0">#REF!</definedName>
    <definedName name="P_27">#REF!</definedName>
    <definedName name="P_28" localSheetId="0">#REF!</definedName>
    <definedName name="P_28">#REF!</definedName>
    <definedName name="P_29" localSheetId="0">#REF!</definedName>
    <definedName name="P_29">#REF!</definedName>
    <definedName name="P_30" localSheetId="0">#REF!</definedName>
    <definedName name="P_30">#REF!</definedName>
    <definedName name="P_31" localSheetId="0">#REF!</definedName>
    <definedName name="P_31">#REF!</definedName>
    <definedName name="P12_5PAGE266" localSheetId="0">#REF!</definedName>
    <definedName name="P12_5PAGE266">#REF!</definedName>
    <definedName name="P1M" localSheetId="0">#REF!</definedName>
    <definedName name="P1M">#REF!</definedName>
    <definedName name="P1N" localSheetId="0">#REF!</definedName>
    <definedName name="P1N">#REF!</definedName>
    <definedName name="pa" localSheetId="0">#REF!</definedName>
    <definedName name="pa">#REF!</definedName>
    <definedName name="pa___0" localSheetId="0">#REF!</definedName>
    <definedName name="pa___0">#REF!</definedName>
    <definedName name="pa___13" localSheetId="0">#REF!</definedName>
    <definedName name="pa___13">#REF!</definedName>
    <definedName name="PA_CABLE" localSheetId="0">#REF!</definedName>
    <definedName name="PA_CABLE">#REF!</definedName>
    <definedName name="PA_CONDUIT" localSheetId="0">#REF!</definedName>
    <definedName name="PA_CONDUIT">#REF!</definedName>
    <definedName name="PA_EQUIP" localSheetId="0">#REF!</definedName>
    <definedName name="PA_EQUIP">#REF!</definedName>
    <definedName name="pack_name" localSheetId="0">#REF!</definedName>
    <definedName name="pack_name">#REF!</definedName>
    <definedName name="PAD" localSheetId="0">#REF!</definedName>
    <definedName name="PAD">#REF!</definedName>
    <definedName name="page" localSheetId="0">#REF!</definedName>
    <definedName name="page">#REF!</definedName>
    <definedName name="PAGE1" localSheetId="0">#REF!</definedName>
    <definedName name="PAGE1">#REF!</definedName>
    <definedName name="page10" localSheetId="0">#REF!</definedName>
    <definedName name="page10">#REF!</definedName>
    <definedName name="page100" localSheetId="0">#REF!</definedName>
    <definedName name="page100">#REF!</definedName>
    <definedName name="page101" localSheetId="0">#REF!</definedName>
    <definedName name="page101">#REF!</definedName>
    <definedName name="page102" localSheetId="0">#REF!</definedName>
    <definedName name="page102">#REF!</definedName>
    <definedName name="page103" localSheetId="0">#REF!</definedName>
    <definedName name="page103">#REF!</definedName>
    <definedName name="page104" localSheetId="0">#REF!</definedName>
    <definedName name="page104">#REF!</definedName>
    <definedName name="page105" localSheetId="0">#REF!</definedName>
    <definedName name="page105">#REF!</definedName>
    <definedName name="page106" localSheetId="0">#REF!</definedName>
    <definedName name="page106">#REF!</definedName>
    <definedName name="page11" localSheetId="0">#REF!</definedName>
    <definedName name="page11">#REF!</definedName>
    <definedName name="page12" localSheetId="0">#REF!</definedName>
    <definedName name="page12">#REF!</definedName>
    <definedName name="Page1234" localSheetId="0">#REF!</definedName>
    <definedName name="Page1234">#REF!</definedName>
    <definedName name="page13" localSheetId="0">#REF!</definedName>
    <definedName name="page13">#REF!</definedName>
    <definedName name="page14" localSheetId="0">#REF!</definedName>
    <definedName name="page14">#REF!</definedName>
    <definedName name="page15" localSheetId="0">#REF!</definedName>
    <definedName name="page15">#REF!</definedName>
    <definedName name="page16" localSheetId="0">#REF!</definedName>
    <definedName name="page16">#REF!</definedName>
    <definedName name="page1601" localSheetId="0">#REF!</definedName>
    <definedName name="page1601">#REF!</definedName>
    <definedName name="page1602" localSheetId="0">#REF!</definedName>
    <definedName name="page1602">#REF!</definedName>
    <definedName name="page1603" localSheetId="0">#REF!</definedName>
    <definedName name="page1603">#REF!</definedName>
    <definedName name="page1604" localSheetId="0">#REF!</definedName>
    <definedName name="page1604">#REF!</definedName>
    <definedName name="page1605" localSheetId="0">#REF!</definedName>
    <definedName name="page1605">#REF!</definedName>
    <definedName name="page1606" localSheetId="0">#REF!</definedName>
    <definedName name="page1606">#REF!</definedName>
    <definedName name="page1607" localSheetId="0">#REF!</definedName>
    <definedName name="page1607">#REF!</definedName>
    <definedName name="page1608" localSheetId="0">#REF!</definedName>
    <definedName name="page1608">#REF!</definedName>
    <definedName name="page1609" localSheetId="0">#REF!</definedName>
    <definedName name="page1609">#REF!</definedName>
    <definedName name="page1610" localSheetId="0">#REF!</definedName>
    <definedName name="page1610">#REF!</definedName>
    <definedName name="page1611" localSheetId="0">#REF!</definedName>
    <definedName name="page1611">#REF!</definedName>
    <definedName name="page1612" localSheetId="0">#REF!</definedName>
    <definedName name="page1612">#REF!</definedName>
    <definedName name="page1613" localSheetId="0">#REF!</definedName>
    <definedName name="page1613">#REF!</definedName>
    <definedName name="page1614" localSheetId="0">#REF!</definedName>
    <definedName name="page1614">#REF!</definedName>
    <definedName name="page1615" localSheetId="0">#REF!</definedName>
    <definedName name="page1615">#REF!</definedName>
    <definedName name="page1616" localSheetId="0">#REF!</definedName>
    <definedName name="page1616">#REF!</definedName>
    <definedName name="page1617" localSheetId="0">#REF!</definedName>
    <definedName name="page1617">#REF!</definedName>
    <definedName name="page1618" localSheetId="0">#REF!</definedName>
    <definedName name="page1618">#REF!</definedName>
    <definedName name="page1619" localSheetId="0">#REF!</definedName>
    <definedName name="page1619">#REF!</definedName>
    <definedName name="page1620" localSheetId="0">#REF!</definedName>
    <definedName name="page1620">#REF!</definedName>
    <definedName name="page1621" localSheetId="0">#REF!</definedName>
    <definedName name="page1621">#REF!</definedName>
    <definedName name="page1622" localSheetId="0">#REF!</definedName>
    <definedName name="page1622">#REF!</definedName>
    <definedName name="page1623" localSheetId="0">#REF!</definedName>
    <definedName name="page1623">#REF!</definedName>
    <definedName name="page1624" localSheetId="0">#REF!</definedName>
    <definedName name="page1624">#REF!</definedName>
    <definedName name="page1625" localSheetId="0">#REF!</definedName>
    <definedName name="page1625">#REF!</definedName>
    <definedName name="page1626" localSheetId="0">#REF!</definedName>
    <definedName name="page1626">#REF!</definedName>
    <definedName name="page1627" localSheetId="0">#REF!</definedName>
    <definedName name="page1627">#REF!</definedName>
    <definedName name="page1628" localSheetId="0">#REF!</definedName>
    <definedName name="page1628">#REF!</definedName>
    <definedName name="page1629" localSheetId="0">#REF!</definedName>
    <definedName name="page1629">#REF!</definedName>
    <definedName name="page1630" localSheetId="0">#REF!</definedName>
    <definedName name="page1630">#REF!</definedName>
    <definedName name="page1631" localSheetId="0">#REF!</definedName>
    <definedName name="page1631">#REF!</definedName>
    <definedName name="page1632" localSheetId="0">#REF!</definedName>
    <definedName name="page1632">#REF!</definedName>
    <definedName name="page1633" localSheetId="0">#REF!</definedName>
    <definedName name="page1633">#REF!</definedName>
    <definedName name="page1634" localSheetId="0">#REF!</definedName>
    <definedName name="page1634">#REF!</definedName>
    <definedName name="page1635" localSheetId="0">#REF!</definedName>
    <definedName name="page1635">#REF!</definedName>
    <definedName name="page1636" localSheetId="0">#REF!</definedName>
    <definedName name="page1636">#REF!</definedName>
    <definedName name="page1637" localSheetId="0">#REF!</definedName>
    <definedName name="page1637">#REF!</definedName>
    <definedName name="page1638" localSheetId="0">#REF!</definedName>
    <definedName name="page1638">#REF!</definedName>
    <definedName name="page17" localSheetId="0">#REF!</definedName>
    <definedName name="page17">#REF!</definedName>
    <definedName name="page18" localSheetId="0">#REF!</definedName>
    <definedName name="page18">#REF!</definedName>
    <definedName name="page19" localSheetId="0">#REF!</definedName>
    <definedName name="page19">#REF!</definedName>
    <definedName name="PAGE2" localSheetId="0">#REF!</definedName>
    <definedName name="PAGE2">#REF!</definedName>
    <definedName name="page20" localSheetId="0">#REF!</definedName>
    <definedName name="page20">#REF!</definedName>
    <definedName name="page21" localSheetId="0">#REF!</definedName>
    <definedName name="page21">#REF!</definedName>
    <definedName name="page22" localSheetId="0">#REF!</definedName>
    <definedName name="page22">#REF!</definedName>
    <definedName name="page23" localSheetId="0">#REF!</definedName>
    <definedName name="page23">#REF!</definedName>
    <definedName name="page24" localSheetId="0">#REF!</definedName>
    <definedName name="page24">#REF!</definedName>
    <definedName name="page25" localSheetId="0">#REF!</definedName>
    <definedName name="page25">#REF!</definedName>
    <definedName name="page26" localSheetId="0">#REF!</definedName>
    <definedName name="page26">#REF!</definedName>
    <definedName name="page27" localSheetId="0">#REF!</definedName>
    <definedName name="page27">#REF!</definedName>
    <definedName name="page28" localSheetId="0">#REF!</definedName>
    <definedName name="page28">#REF!</definedName>
    <definedName name="page29" localSheetId="0">#REF!</definedName>
    <definedName name="page29">#REF!</definedName>
    <definedName name="PAGE3" localSheetId="0">#REF!</definedName>
    <definedName name="PAGE3">#REF!</definedName>
    <definedName name="page30" localSheetId="0">#REF!</definedName>
    <definedName name="page30">#REF!</definedName>
    <definedName name="page31" localSheetId="0">#REF!</definedName>
    <definedName name="page31">#REF!</definedName>
    <definedName name="page32" localSheetId="0">#REF!</definedName>
    <definedName name="page32">#REF!</definedName>
    <definedName name="page33" localSheetId="0">#REF!</definedName>
    <definedName name="page33">#REF!</definedName>
    <definedName name="page34" localSheetId="0">#REF!</definedName>
    <definedName name="page34">#REF!</definedName>
    <definedName name="page35" localSheetId="0">#REF!</definedName>
    <definedName name="page35">#REF!</definedName>
    <definedName name="page36" localSheetId="0">#REF!</definedName>
    <definedName name="page36">#REF!</definedName>
    <definedName name="page37" localSheetId="0">#REF!</definedName>
    <definedName name="page37">#REF!</definedName>
    <definedName name="page38" localSheetId="0">#REF!</definedName>
    <definedName name="page38">#REF!</definedName>
    <definedName name="page39" localSheetId="0">#REF!</definedName>
    <definedName name="page39">#REF!</definedName>
    <definedName name="PAGE4" localSheetId="0">#REF!</definedName>
    <definedName name="PAGE4">#REF!</definedName>
    <definedName name="page40" localSheetId="0">#REF!</definedName>
    <definedName name="page40">#REF!</definedName>
    <definedName name="page41" localSheetId="0">#REF!</definedName>
    <definedName name="page41">#REF!</definedName>
    <definedName name="page42" localSheetId="0">#REF!</definedName>
    <definedName name="page42">#REF!</definedName>
    <definedName name="page43" localSheetId="0">#REF!</definedName>
    <definedName name="page43">#REF!</definedName>
    <definedName name="page44" localSheetId="0">#REF!</definedName>
    <definedName name="page44">#REF!</definedName>
    <definedName name="page45" localSheetId="0">#REF!</definedName>
    <definedName name="page45">#REF!</definedName>
    <definedName name="page46" localSheetId="0">#REF!</definedName>
    <definedName name="page46">#REF!</definedName>
    <definedName name="page47" localSheetId="0">#REF!</definedName>
    <definedName name="page47">#REF!</definedName>
    <definedName name="page48" localSheetId="0">#REF!</definedName>
    <definedName name="page48">#REF!</definedName>
    <definedName name="page49" localSheetId="0">#REF!</definedName>
    <definedName name="page49">#REF!</definedName>
    <definedName name="PAGE5" localSheetId="0">#REF!</definedName>
    <definedName name="PAGE5">#REF!</definedName>
    <definedName name="page50" localSheetId="0">#REF!</definedName>
    <definedName name="page50">#REF!</definedName>
    <definedName name="page51" localSheetId="0">#REF!</definedName>
    <definedName name="page51">#REF!</definedName>
    <definedName name="page52" localSheetId="0">#REF!</definedName>
    <definedName name="page52">#REF!</definedName>
    <definedName name="page53" localSheetId="0">#REF!</definedName>
    <definedName name="page53">#REF!</definedName>
    <definedName name="page54" localSheetId="0">#REF!</definedName>
    <definedName name="page54">#REF!</definedName>
    <definedName name="page55" localSheetId="0">#REF!</definedName>
    <definedName name="page55">#REF!</definedName>
    <definedName name="page56" localSheetId="0">#REF!</definedName>
    <definedName name="page56">#REF!</definedName>
    <definedName name="page57" localSheetId="0">#REF!</definedName>
    <definedName name="page57">#REF!</definedName>
    <definedName name="page58" localSheetId="0">#REF!</definedName>
    <definedName name="page58">#REF!</definedName>
    <definedName name="page59" localSheetId="0">#REF!</definedName>
    <definedName name="page59">#REF!</definedName>
    <definedName name="PAGE6" localSheetId="0">#REF!</definedName>
    <definedName name="PAGE6">#REF!</definedName>
    <definedName name="page60" localSheetId="0">#REF!</definedName>
    <definedName name="page60">#REF!</definedName>
    <definedName name="page61" localSheetId="0">#REF!</definedName>
    <definedName name="page61">#REF!</definedName>
    <definedName name="page62" localSheetId="0">#REF!</definedName>
    <definedName name="page62">#REF!</definedName>
    <definedName name="page63" localSheetId="0">#REF!</definedName>
    <definedName name="page63">#REF!</definedName>
    <definedName name="page64" localSheetId="0">#REF!</definedName>
    <definedName name="page64">#REF!</definedName>
    <definedName name="page65" localSheetId="0">#REF!</definedName>
    <definedName name="page65">#REF!</definedName>
    <definedName name="page66" localSheetId="0">#REF!</definedName>
    <definedName name="page66">#REF!</definedName>
    <definedName name="page67" localSheetId="0">#REF!</definedName>
    <definedName name="page67">#REF!</definedName>
    <definedName name="page68" localSheetId="0">#REF!</definedName>
    <definedName name="page68">#REF!</definedName>
    <definedName name="page69" localSheetId="0">#REF!</definedName>
    <definedName name="page69">#REF!</definedName>
    <definedName name="page7" localSheetId="0">#REF!</definedName>
    <definedName name="page7">#REF!</definedName>
    <definedName name="page70" localSheetId="0">#REF!</definedName>
    <definedName name="page70">#REF!</definedName>
    <definedName name="page71" localSheetId="0">#REF!</definedName>
    <definedName name="page71">#REF!</definedName>
    <definedName name="page72" localSheetId="0">#REF!</definedName>
    <definedName name="page72">#REF!</definedName>
    <definedName name="page73" localSheetId="0">#REF!</definedName>
    <definedName name="page73">#REF!</definedName>
    <definedName name="page74" localSheetId="0">#REF!</definedName>
    <definedName name="page74">#REF!</definedName>
    <definedName name="page75" localSheetId="0">#REF!</definedName>
    <definedName name="page75">#REF!</definedName>
    <definedName name="page76" localSheetId="0">#REF!</definedName>
    <definedName name="page76">#REF!</definedName>
    <definedName name="page77" localSheetId="0">#REF!</definedName>
    <definedName name="page77">#REF!</definedName>
    <definedName name="page78" localSheetId="0">#REF!</definedName>
    <definedName name="page78">#REF!</definedName>
    <definedName name="page79" localSheetId="0">#REF!</definedName>
    <definedName name="page79">#REF!</definedName>
    <definedName name="page8" localSheetId="0">#REF!</definedName>
    <definedName name="page8">#REF!</definedName>
    <definedName name="page80" localSheetId="0">#REF!</definedName>
    <definedName name="page80">#REF!</definedName>
    <definedName name="page81" localSheetId="0">#REF!</definedName>
    <definedName name="page81">#REF!</definedName>
    <definedName name="page82" localSheetId="0">#REF!</definedName>
    <definedName name="page82">#REF!</definedName>
    <definedName name="page83" localSheetId="0">#REF!</definedName>
    <definedName name="page83">#REF!</definedName>
    <definedName name="page84" localSheetId="0">#REF!</definedName>
    <definedName name="page84">#REF!</definedName>
    <definedName name="page85" localSheetId="0">#REF!</definedName>
    <definedName name="page85">#REF!</definedName>
    <definedName name="page86" localSheetId="0">#REF!</definedName>
    <definedName name="page86">#REF!</definedName>
    <definedName name="page87" localSheetId="0">#REF!</definedName>
    <definedName name="page87">#REF!</definedName>
    <definedName name="page88" localSheetId="0">#REF!</definedName>
    <definedName name="page88">#REF!</definedName>
    <definedName name="page89" localSheetId="0">#REF!</definedName>
    <definedName name="page89">#REF!</definedName>
    <definedName name="page9" localSheetId="0">#REF!</definedName>
    <definedName name="page9">#REF!</definedName>
    <definedName name="page90" localSheetId="0">#REF!</definedName>
    <definedName name="page90">#REF!</definedName>
    <definedName name="page91" localSheetId="0">#REF!</definedName>
    <definedName name="page91">#REF!</definedName>
    <definedName name="page92" localSheetId="0">#REF!</definedName>
    <definedName name="page92">#REF!</definedName>
    <definedName name="page93" localSheetId="0">#REF!</definedName>
    <definedName name="page93">#REF!</definedName>
    <definedName name="page94" localSheetId="0">#REF!</definedName>
    <definedName name="page94">#REF!</definedName>
    <definedName name="page95" localSheetId="0">#REF!</definedName>
    <definedName name="page95">#REF!</definedName>
    <definedName name="page96" localSheetId="0">#REF!</definedName>
    <definedName name="page96">#REF!</definedName>
    <definedName name="page97" localSheetId="0">#REF!</definedName>
    <definedName name="page97">#REF!</definedName>
    <definedName name="page98" localSheetId="0">#REF!</definedName>
    <definedName name="page98">#REF!</definedName>
    <definedName name="page99" localSheetId="0">#REF!</definedName>
    <definedName name="page99">#REF!</definedName>
    <definedName name="painter" localSheetId="0">#REF!</definedName>
    <definedName name="painter">#REF!</definedName>
    <definedName name="painting" localSheetId="0">#REF!</definedName>
    <definedName name="painting">#REF!</definedName>
    <definedName name="pamworking" localSheetId="0">#REF!</definedName>
    <definedName name="pamworking">#REF!</definedName>
    <definedName name="Pane2" localSheetId="0">#REF!</definedName>
    <definedName name="Pane2">#REF!</definedName>
    <definedName name="Pane2___0" localSheetId="0">#REF!</definedName>
    <definedName name="Pane2___0">#REF!</definedName>
    <definedName name="Pane2___13" localSheetId="0">#REF!</definedName>
    <definedName name="Pane2___13">#REF!</definedName>
    <definedName name="PANEL" localSheetId="0">#REF!</definedName>
    <definedName name="PANEL">#REF!</definedName>
    <definedName name="PAR_1" localSheetId="0">#REF!</definedName>
    <definedName name="PAR_1">#REF!</definedName>
    <definedName name="PAR_2" localSheetId="0">#REF!</definedName>
    <definedName name="PAR_2">#REF!</definedName>
    <definedName name="PAR_3" localSheetId="0">#REF!</definedName>
    <definedName name="PAR_3">#REF!</definedName>
    <definedName name="PAR_4" localSheetId="0">#REF!</definedName>
    <definedName name="PAR_4">#REF!</definedName>
    <definedName name="PAR_5" localSheetId="0">#REF!</definedName>
    <definedName name="PAR_5">#REF!</definedName>
    <definedName name="PAR_6" localSheetId="0">#REF!</definedName>
    <definedName name="PAR_6">#REF!</definedName>
    <definedName name="PAR_7" localSheetId="0">#REF!</definedName>
    <definedName name="PAR_7">#REF!</definedName>
    <definedName name="PARAMETERS" localSheetId="0">#REF!</definedName>
    <definedName name="PARAMETERS">#REF!</definedName>
    <definedName name="parapet" localSheetId="0">#REF!</definedName>
    <definedName name="parapet">#REF!</definedName>
    <definedName name="Parle_ME_MERLIN_GERIN_List" localSheetId="0">#REF!</definedName>
    <definedName name="Parle_ME_MERLIN_GERIN_List">#REF!</definedName>
    <definedName name="Parm_Civil_Build_01" localSheetId="0">#REF!</definedName>
    <definedName name="Parm_Civil_Build_01">#REF!</definedName>
    <definedName name="Parm_Civil_Build_02" localSheetId="0">#REF!</definedName>
    <definedName name="Parm_Civil_Build_02">#REF!</definedName>
    <definedName name="Parm_Civil_Build_03" localSheetId="0">#REF!</definedName>
    <definedName name="Parm_Civil_Build_03">#REF!</definedName>
    <definedName name="Parm_Civil_Build_04" localSheetId="0">#REF!</definedName>
    <definedName name="Parm_Civil_Build_04">#REF!</definedName>
    <definedName name="Parm_Civil_Build_05" localSheetId="0">#REF!</definedName>
    <definedName name="Parm_Civil_Build_05">#REF!</definedName>
    <definedName name="Parm_Civil_Build_06" localSheetId="0">#REF!</definedName>
    <definedName name="Parm_Civil_Build_06">#REF!</definedName>
    <definedName name="Parm_Civil_Build_07" localSheetId="0">#REF!</definedName>
    <definedName name="Parm_Civil_Build_07">#REF!</definedName>
    <definedName name="Parm_Civil_Build_08" localSheetId="0">#REF!</definedName>
    <definedName name="Parm_Civil_Build_08">#REF!</definedName>
    <definedName name="Parm_Civil_Build_09" localSheetId="0">#REF!</definedName>
    <definedName name="Parm_Civil_Build_09">#REF!</definedName>
    <definedName name="Parm_Civil_Build_10" localSheetId="0">#REF!</definedName>
    <definedName name="Parm_Civil_Build_10">#REF!</definedName>
    <definedName name="Parm_Civil_Build_11" localSheetId="0">#REF!</definedName>
    <definedName name="Parm_Civil_Build_11">#REF!</definedName>
    <definedName name="Parm_Civil_Build_12" localSheetId="0">#REF!</definedName>
    <definedName name="Parm_Civil_Build_12">#REF!</definedName>
    <definedName name="Parm_Civil_Build_13" localSheetId="0">#REF!</definedName>
    <definedName name="Parm_Civil_Build_13">#REF!</definedName>
    <definedName name="Parm_Civil_Build_14" localSheetId="0">#REF!</definedName>
    <definedName name="Parm_Civil_Build_14">#REF!</definedName>
    <definedName name="Parm_Civil_Build_15" localSheetId="0">#REF!</definedName>
    <definedName name="Parm_Civil_Build_15">#REF!</definedName>
    <definedName name="Parm_Civil_Build_16" localSheetId="0">#REF!</definedName>
    <definedName name="Parm_Civil_Build_16">#REF!</definedName>
    <definedName name="Parm_Civil_Build_17" localSheetId="0">#REF!</definedName>
    <definedName name="Parm_Civil_Build_17">#REF!</definedName>
    <definedName name="Parm_Civil_Build_18" localSheetId="0">#REF!</definedName>
    <definedName name="Parm_Civil_Build_18">#REF!</definedName>
    <definedName name="Parm_Civil_Build_19" localSheetId="0">#REF!</definedName>
    <definedName name="Parm_Civil_Build_19">#REF!</definedName>
    <definedName name="Parm_Civil_Build_20" localSheetId="0">#REF!</definedName>
    <definedName name="Parm_Civil_Build_20">#REF!</definedName>
    <definedName name="Parm_Civil_Build_21" localSheetId="0">#REF!</definedName>
    <definedName name="Parm_Civil_Build_21">#REF!</definedName>
    <definedName name="Parm_Civil_Parm_01" localSheetId="0">#REF!</definedName>
    <definedName name="Parm_Civil_Parm_01">#REF!</definedName>
    <definedName name="Parm_Civil_Parm_02" localSheetId="0">#REF!</definedName>
    <definedName name="Parm_Civil_Parm_02">#REF!</definedName>
    <definedName name="Parm_Civil_Parm_03" localSheetId="0">#REF!</definedName>
    <definedName name="Parm_Civil_Parm_03">#REF!</definedName>
    <definedName name="Parm_Civil_Parm_04" localSheetId="0">#REF!</definedName>
    <definedName name="Parm_Civil_Parm_04">#REF!</definedName>
    <definedName name="Parm_Civil_Parm_05" localSheetId="0">#REF!</definedName>
    <definedName name="Parm_Civil_Parm_05">#REF!</definedName>
    <definedName name="Parm_Civil_Parm_06" localSheetId="0">#REF!</definedName>
    <definedName name="Parm_Civil_Parm_06">#REF!</definedName>
    <definedName name="Parm_Civil_Parm_07" localSheetId="0">#REF!</definedName>
    <definedName name="Parm_Civil_Parm_07">#REF!</definedName>
    <definedName name="Parm_Civil_Parm_08" localSheetId="0">#REF!</definedName>
    <definedName name="Parm_Civil_Parm_08">#REF!</definedName>
    <definedName name="Parm_Civil_Parm_09" localSheetId="0">#REF!</definedName>
    <definedName name="Parm_Civil_Parm_09">#REF!</definedName>
    <definedName name="Parm_Civil_Parm_10" localSheetId="0">#REF!</definedName>
    <definedName name="Parm_Civil_Parm_10">#REF!</definedName>
    <definedName name="Parm_Civil_Parm_11" localSheetId="0">#REF!</definedName>
    <definedName name="Parm_Civil_Parm_11">#REF!</definedName>
    <definedName name="Parm_Civil_Parm_12" localSheetId="0">#REF!</definedName>
    <definedName name="Parm_Civil_Parm_12">#REF!</definedName>
    <definedName name="Parm_Civil_Parm_13" localSheetId="0">#REF!</definedName>
    <definedName name="Parm_Civil_Parm_13">#REF!</definedName>
    <definedName name="Parm_Civil_Parm_14" localSheetId="0">#REF!</definedName>
    <definedName name="Parm_Civil_Parm_14">#REF!</definedName>
    <definedName name="Parm_Civil_Parm_15" localSheetId="0">#REF!</definedName>
    <definedName name="Parm_Civil_Parm_15">#REF!</definedName>
    <definedName name="Parm_Civil_Parm_16" localSheetId="0">#REF!</definedName>
    <definedName name="Parm_Civil_Parm_16">#REF!</definedName>
    <definedName name="Parm_Civil_Parm_17" localSheetId="0">#REF!</definedName>
    <definedName name="Parm_Civil_Parm_17">#REF!</definedName>
    <definedName name="Parm_Civil_Parm_18" localSheetId="0">#REF!</definedName>
    <definedName name="Parm_Civil_Parm_18">#REF!</definedName>
    <definedName name="Parm_Civil_Site_01" localSheetId="0">#REF!</definedName>
    <definedName name="Parm_Civil_Site_01">#REF!</definedName>
    <definedName name="Parm_Civil_Site_02" localSheetId="0">#REF!</definedName>
    <definedName name="Parm_Civil_Site_02">#REF!</definedName>
    <definedName name="Parm_Civil_Site_03" localSheetId="0">#REF!</definedName>
    <definedName name="Parm_Civil_Site_03">#REF!</definedName>
    <definedName name="Parm_Civil_Site_04" localSheetId="0">#REF!</definedName>
    <definedName name="Parm_Civil_Site_04">#REF!</definedName>
    <definedName name="Parm_Civil_Site_05" localSheetId="0">#REF!</definedName>
    <definedName name="Parm_Civil_Site_05">#REF!</definedName>
    <definedName name="Parm_Civil_Site_06" localSheetId="0">#REF!</definedName>
    <definedName name="Parm_Civil_Site_06">#REF!</definedName>
    <definedName name="Parm_Civil_Site_07" localSheetId="0">#REF!</definedName>
    <definedName name="Parm_Civil_Site_07">#REF!</definedName>
    <definedName name="Parm_Civil_Site_08" localSheetId="0">#REF!</definedName>
    <definedName name="Parm_Civil_Site_08">#REF!</definedName>
    <definedName name="Parm_Civil_Site_09" localSheetId="0">#REF!</definedName>
    <definedName name="Parm_Civil_Site_09">#REF!</definedName>
    <definedName name="Parm_Civil_Site_10" localSheetId="0">#REF!</definedName>
    <definedName name="Parm_Civil_Site_10">#REF!</definedName>
    <definedName name="Parm_Civil_Site_11" localSheetId="0">#REF!</definedName>
    <definedName name="Parm_Civil_Site_11">#REF!</definedName>
    <definedName name="Parm_Civil_Site_12" localSheetId="0">#REF!</definedName>
    <definedName name="Parm_Civil_Site_12">#REF!</definedName>
    <definedName name="Parm_Civil_Site_13" localSheetId="0">#REF!</definedName>
    <definedName name="Parm_Civil_Site_13">#REF!</definedName>
    <definedName name="Parm_Civil_Site_14" localSheetId="0">#REF!</definedName>
    <definedName name="Parm_Civil_Site_14">#REF!</definedName>
    <definedName name="Parm_Civil_Site_15" localSheetId="0">#REF!</definedName>
    <definedName name="Parm_Civil_Site_15">#REF!</definedName>
    <definedName name="Parm_Civil_Site_16" localSheetId="0">#REF!</definedName>
    <definedName name="Parm_Civil_Site_16">#REF!</definedName>
    <definedName name="Parm_Civil_Site_17" localSheetId="0">#REF!</definedName>
    <definedName name="Parm_Civil_Site_17">#REF!</definedName>
    <definedName name="Parm_Civil_Site_18" localSheetId="0">#REF!</definedName>
    <definedName name="Parm_Civil_Site_18">#REF!</definedName>
    <definedName name="Parm_Civil_Site_19" localSheetId="0">#REF!</definedName>
    <definedName name="Parm_Civil_Site_19">#REF!</definedName>
    <definedName name="Parm_Civil_Site_20" localSheetId="0">#REF!</definedName>
    <definedName name="Parm_Civil_Site_20">#REF!</definedName>
    <definedName name="Parm_Civil_Site_21" localSheetId="0">#REF!</definedName>
    <definedName name="Parm_Civil_Site_21">#REF!</definedName>
    <definedName name="Parm_Civil_Site_22" localSheetId="0">#REF!</definedName>
    <definedName name="Parm_Civil_Site_22">#REF!</definedName>
    <definedName name="Parm_Civil_Site_23" localSheetId="0">#REF!</definedName>
    <definedName name="Parm_Civil_Site_23">#REF!</definedName>
    <definedName name="Parm_Elect_Switchgear_01" localSheetId="0">#REF!</definedName>
    <definedName name="Parm_Elect_Switchgear_01">#REF!</definedName>
    <definedName name="Parm_Elect_Switchgear_02" localSheetId="0">#REF!</definedName>
    <definedName name="Parm_Elect_Switchgear_02">#REF!</definedName>
    <definedName name="Parm_Elect_Switchgear_03" localSheetId="0">#REF!</definedName>
    <definedName name="Parm_Elect_Switchgear_03">#REF!</definedName>
    <definedName name="Parm_Elect_Switchgear_04" localSheetId="0">#REF!</definedName>
    <definedName name="Parm_Elect_Switchgear_04">#REF!</definedName>
    <definedName name="Parm_Elect_Switchgear_05" localSheetId="0">#REF!</definedName>
    <definedName name="Parm_Elect_Switchgear_05">#REF!</definedName>
    <definedName name="Parm_Elect_Switchgear_06" localSheetId="0">#REF!</definedName>
    <definedName name="Parm_Elect_Switchgear_06">#REF!</definedName>
    <definedName name="Parm_Elect_Switchgear_07" localSheetId="0">#REF!</definedName>
    <definedName name="Parm_Elect_Switchgear_07">#REF!</definedName>
    <definedName name="Parm_Elect_Switchgear_08" localSheetId="0">#REF!</definedName>
    <definedName name="Parm_Elect_Switchgear_08">#REF!</definedName>
    <definedName name="Parm_Elect_Switchgear_09" localSheetId="0">#REF!</definedName>
    <definedName name="Parm_Elect_Switchgear_09">#REF!</definedName>
    <definedName name="Parm_Elect_Switchgear_10" localSheetId="0">#REF!</definedName>
    <definedName name="Parm_Elect_Switchgear_10">#REF!</definedName>
    <definedName name="Parm_Elect_Switchgear_11" localSheetId="0">#REF!</definedName>
    <definedName name="Parm_Elect_Switchgear_11">#REF!</definedName>
    <definedName name="Parm_Elect_Switchgear_12" localSheetId="0">#REF!</definedName>
    <definedName name="Parm_Elect_Switchgear_12">#REF!</definedName>
    <definedName name="Parm_Elect_Switchgear_13" localSheetId="0">#REF!</definedName>
    <definedName name="Parm_Elect_Switchgear_13">#REF!</definedName>
    <definedName name="Parm_Elect_Switchgear_14" localSheetId="0">#REF!</definedName>
    <definedName name="Parm_Elect_Switchgear_14">#REF!</definedName>
    <definedName name="Parm_Elect_Switchgear_15" localSheetId="0">#REF!</definedName>
    <definedName name="Parm_Elect_Switchgear_15">#REF!</definedName>
    <definedName name="Parm_Elect_Switchgear_16" localSheetId="0">#REF!</definedName>
    <definedName name="Parm_Elect_Switchgear_16">#REF!</definedName>
    <definedName name="Parm_Elect_Switchgear_17" localSheetId="0">#REF!</definedName>
    <definedName name="Parm_Elect_Switchgear_17">#REF!</definedName>
    <definedName name="Parm_Elect_Switchgear_18" localSheetId="0">#REF!</definedName>
    <definedName name="Parm_Elect_Switchgear_18">#REF!</definedName>
    <definedName name="Parm_Elect_Switchgear_19" localSheetId="0">#REF!</definedName>
    <definedName name="Parm_Elect_Switchgear_19">#REF!</definedName>
    <definedName name="Parm_Elect_Switchgear_20" localSheetId="0">#REF!</definedName>
    <definedName name="Parm_Elect_Switchgear_20">#REF!</definedName>
    <definedName name="Parm_Elect_Switchgear_21" localSheetId="0">#REF!</definedName>
    <definedName name="Parm_Elect_Switchgear_21">#REF!</definedName>
    <definedName name="Parm_Elect_Switchyd_01" localSheetId="0">#REF!</definedName>
    <definedName name="Parm_Elect_Switchyd_01">#REF!</definedName>
    <definedName name="Parm_Elect_Switchyd_02" localSheetId="0">#REF!</definedName>
    <definedName name="Parm_Elect_Switchyd_02">#REF!</definedName>
    <definedName name="Parm_Elect_Switchyd_03" localSheetId="0">#REF!</definedName>
    <definedName name="Parm_Elect_Switchyd_03">#REF!</definedName>
    <definedName name="Parm_Elect_Switchyd_04" localSheetId="0">#REF!</definedName>
    <definedName name="Parm_Elect_Switchyd_04">#REF!</definedName>
    <definedName name="Parm_Elect_Switchyd_05" localSheetId="0">#REF!</definedName>
    <definedName name="Parm_Elect_Switchyd_05">#REF!</definedName>
    <definedName name="Parm_Elect_Switchyd_06" localSheetId="0">#REF!</definedName>
    <definedName name="Parm_Elect_Switchyd_06">#REF!</definedName>
    <definedName name="Parm_Elect_Switchyd_07" localSheetId="0">#REF!</definedName>
    <definedName name="Parm_Elect_Switchyd_07">#REF!</definedName>
    <definedName name="Parm_Elect_Switchyd_08" localSheetId="0">#REF!</definedName>
    <definedName name="Parm_Elect_Switchyd_08">#REF!</definedName>
    <definedName name="Parm_Elect_Switchyd_09" localSheetId="0">#REF!</definedName>
    <definedName name="Parm_Elect_Switchyd_09">#REF!</definedName>
    <definedName name="Parm_Elect_Switchyd_10" localSheetId="0">#REF!</definedName>
    <definedName name="Parm_Elect_Switchyd_10">#REF!</definedName>
    <definedName name="Parm_Elect_Switchyd_11" localSheetId="0">#REF!</definedName>
    <definedName name="Parm_Elect_Switchyd_11">#REF!</definedName>
    <definedName name="Parm_Elect_Switchyd_12" localSheetId="0">#REF!</definedName>
    <definedName name="Parm_Elect_Switchyd_12">#REF!</definedName>
    <definedName name="Parm_Elect_Switchyd_13" localSheetId="0">#REF!</definedName>
    <definedName name="Parm_Elect_Switchyd_13">#REF!</definedName>
    <definedName name="Parm_Elect_Switchyd_14" localSheetId="0">#REF!</definedName>
    <definedName name="Parm_Elect_Switchyd_14">#REF!</definedName>
    <definedName name="Parm_Elect_Switchyd_15" localSheetId="0">#REF!</definedName>
    <definedName name="Parm_Elect_Switchyd_15">#REF!</definedName>
    <definedName name="Parm_Elect_Switchyd_16" localSheetId="0">#REF!</definedName>
    <definedName name="Parm_Elect_Switchyd_16">#REF!</definedName>
    <definedName name="Parm_Elect_Switchyd_17" localSheetId="0">#REF!</definedName>
    <definedName name="Parm_Elect_Switchyd_17">#REF!</definedName>
    <definedName name="Parm_Elect_Switchyd_18" localSheetId="0">#REF!</definedName>
    <definedName name="Parm_Elect_Switchyd_18">#REF!</definedName>
    <definedName name="Parm_Elect_Switchyd_19" localSheetId="0">#REF!</definedName>
    <definedName name="Parm_Elect_Switchyd_19">#REF!</definedName>
    <definedName name="Parm_Elect_Switchyd_20" localSheetId="0">#REF!</definedName>
    <definedName name="Parm_Elect_Switchyd_20">#REF!</definedName>
    <definedName name="Parm_Elect_Switchyd_21" localSheetId="0">#REF!</definedName>
    <definedName name="Parm_Elect_Switchyd_21">#REF!</definedName>
    <definedName name="Parm_Elect_Transfmr_01" localSheetId="0">#REF!</definedName>
    <definedName name="Parm_Elect_Transfmr_01">#REF!</definedName>
    <definedName name="Parm_Elect_Transfmr_02" localSheetId="0">#REF!</definedName>
    <definedName name="Parm_Elect_Transfmr_02">#REF!</definedName>
    <definedName name="Parm_Elect_Transfmr_03" localSheetId="0">#REF!</definedName>
    <definedName name="Parm_Elect_Transfmr_03">#REF!</definedName>
    <definedName name="Parm_Elect_Transfmr_04" localSheetId="0">#REF!</definedName>
    <definedName name="Parm_Elect_Transfmr_04">#REF!</definedName>
    <definedName name="Parm_Elect_Transfmr_05" localSheetId="0">#REF!</definedName>
    <definedName name="Parm_Elect_Transfmr_05">#REF!</definedName>
    <definedName name="Parm_Elect_Transfmr_06" localSheetId="0">#REF!</definedName>
    <definedName name="Parm_Elect_Transfmr_06">#REF!</definedName>
    <definedName name="Parm_Elect_Transfmr_07" localSheetId="0">#REF!</definedName>
    <definedName name="Parm_Elect_Transfmr_07">#REF!</definedName>
    <definedName name="Parm_Elect_Transfmr_08" localSheetId="0">#REF!</definedName>
    <definedName name="Parm_Elect_Transfmr_08">#REF!</definedName>
    <definedName name="Parm_Elect_Transfmr_09" localSheetId="0">#REF!</definedName>
    <definedName name="Parm_Elect_Transfmr_09">#REF!</definedName>
    <definedName name="Parm_Elect_Transfmr_10" localSheetId="0">#REF!</definedName>
    <definedName name="Parm_Elect_Transfmr_10">#REF!</definedName>
    <definedName name="Parm_Elect_Transfmr_11" localSheetId="0">#REF!</definedName>
    <definedName name="Parm_Elect_Transfmr_11">#REF!</definedName>
    <definedName name="Parm_Elect_Transfmr_12" localSheetId="0">#REF!</definedName>
    <definedName name="Parm_Elect_Transfmr_12">#REF!</definedName>
    <definedName name="Parm_Elect_Transfmr_13" localSheetId="0">#REF!</definedName>
    <definedName name="Parm_Elect_Transfmr_13">#REF!</definedName>
    <definedName name="Parm_Elect_Transfmr_14" localSheetId="0">#REF!</definedName>
    <definedName name="Parm_Elect_Transfmr_14">#REF!</definedName>
    <definedName name="Parm_Elect_Transfmr_15" localSheetId="0">#REF!</definedName>
    <definedName name="Parm_Elect_Transfmr_15">#REF!</definedName>
    <definedName name="Parm_Elect_Transfmr_16" localSheetId="0">#REF!</definedName>
    <definedName name="Parm_Elect_Transfmr_16">#REF!</definedName>
    <definedName name="Parm_Elect_Transfmr_17" localSheetId="0">#REF!</definedName>
    <definedName name="Parm_Elect_Transfmr_17">#REF!</definedName>
    <definedName name="Parm_Elect_Transfmr_18" localSheetId="0">#REF!</definedName>
    <definedName name="Parm_Elect_Transfmr_18">#REF!</definedName>
    <definedName name="Parm_Elect_Transfmr_19" localSheetId="0">#REF!</definedName>
    <definedName name="Parm_Elect_Transfmr_19">#REF!</definedName>
    <definedName name="Parm_Elect_Transfmr_20" localSheetId="0">#REF!</definedName>
    <definedName name="Parm_Elect_Transfmr_20">#REF!</definedName>
    <definedName name="Parm_Elect_Transfmr_21" localSheetId="0">#REF!</definedName>
    <definedName name="Parm_Elect_Transfmr_21">#REF!</definedName>
    <definedName name="Parm_Elect_Transfmr_22" localSheetId="0">#REF!</definedName>
    <definedName name="Parm_Elect_Transfmr_22">#REF!</definedName>
    <definedName name="Parm_Elect_Transfmr_23" localSheetId="0">#REF!</definedName>
    <definedName name="Parm_Elect_Transfmr_23">#REF!</definedName>
    <definedName name="Parm_Elect_Transfmr_24" localSheetId="0">#REF!</definedName>
    <definedName name="Parm_Elect_Transfmr_24">#REF!</definedName>
    <definedName name="Parm_Elect_Transfmr_25" localSheetId="0">#REF!</definedName>
    <definedName name="Parm_Elect_Transfmr_25">#REF!</definedName>
    <definedName name="Parm_Elect_Transfmr_26" localSheetId="0">#REF!</definedName>
    <definedName name="Parm_Elect_Transfmr_26">#REF!</definedName>
    <definedName name="Parm_Elect_Transfmr_27" localSheetId="0">#REF!</definedName>
    <definedName name="Parm_Elect_Transfmr_27">#REF!</definedName>
    <definedName name="Parm_Elect_Transfmr_28" localSheetId="0">#REF!</definedName>
    <definedName name="Parm_Elect_Transfmr_28">#REF!</definedName>
    <definedName name="Parm_Elect_Transfmr_29" localSheetId="0">#REF!</definedName>
    <definedName name="Parm_Elect_Transfmr_29">#REF!</definedName>
    <definedName name="Parm_Elect_Transfmr_30" localSheetId="0">#REF!</definedName>
    <definedName name="Parm_Elect_Transfmr_30">#REF!</definedName>
    <definedName name="Parm_Elect_Transfmr_31" localSheetId="0">#REF!</definedName>
    <definedName name="Parm_Elect_Transfmr_31">#REF!</definedName>
    <definedName name="Parm_Elect_Transfmr_32" localSheetId="0">#REF!</definedName>
    <definedName name="Parm_Elect_Transfmr_32">#REF!</definedName>
    <definedName name="Parm_Elect_Transfmr_33" localSheetId="0">#REF!</definedName>
    <definedName name="Parm_Elect_Transfmr_33">#REF!</definedName>
    <definedName name="Parm_Elect_Transfmr_34" localSheetId="0">#REF!</definedName>
    <definedName name="Parm_Elect_Transfmr_34">#REF!</definedName>
    <definedName name="Parm_Elect_Transfmr_35" localSheetId="0">#REF!</definedName>
    <definedName name="Parm_Elect_Transfmr_35">#REF!</definedName>
    <definedName name="Parm_Elect_Transfmr_36" localSheetId="0">#REF!</definedName>
    <definedName name="Parm_Elect_Transfmr_36">#REF!</definedName>
    <definedName name="Parm_Elect_Transfmr_37" localSheetId="0">#REF!</definedName>
    <definedName name="Parm_Elect_Transfmr_37">#REF!</definedName>
    <definedName name="Parm_Elect_Transfmr_38" localSheetId="0">#REF!</definedName>
    <definedName name="Parm_Elect_Transfmr_38">#REF!</definedName>
    <definedName name="Parm_Elect_Transfmr_39" localSheetId="0">#REF!</definedName>
    <definedName name="Parm_Elect_Transfmr_39">#REF!</definedName>
    <definedName name="Parm_Elect_Transfmr_40" localSheetId="0">#REF!</definedName>
    <definedName name="Parm_Elect_Transfmr_40">#REF!</definedName>
    <definedName name="Parm_Elect_Transfmr_41" localSheetId="0">#REF!</definedName>
    <definedName name="Parm_Elect_Transfmr_41">#REF!</definedName>
    <definedName name="Parm_Elect_Transfmr_42" localSheetId="0">#REF!</definedName>
    <definedName name="Parm_Elect_Transfmr_42">#REF!</definedName>
    <definedName name="Parm_Elect_Transfmr_43" localSheetId="0">#REF!</definedName>
    <definedName name="Parm_Elect_Transfmr_43">#REF!</definedName>
    <definedName name="Parm_Elect_Transfmr_44" localSheetId="0">#REF!</definedName>
    <definedName name="Parm_Elect_Transfmr_44">#REF!</definedName>
    <definedName name="Parm_Elect_Transfmr_45" localSheetId="0">#REF!</definedName>
    <definedName name="Parm_Elect_Transfmr_45">#REF!</definedName>
    <definedName name="Parm_Elect_Transfmr_46" localSheetId="0">#REF!</definedName>
    <definedName name="Parm_Elect_Transfmr_46">#REF!</definedName>
    <definedName name="Parm_Elect_Transfmr_47" localSheetId="0">#REF!</definedName>
    <definedName name="Parm_Elect_Transfmr_47">#REF!</definedName>
    <definedName name="Parm_Elect_Transfmr_48" localSheetId="0">#REF!</definedName>
    <definedName name="Parm_Elect_Transfmr_48">#REF!</definedName>
    <definedName name="Parm_Elect_Transfmr_49" localSheetId="0">#REF!</definedName>
    <definedName name="Parm_Elect_Transfmr_49">#REF!</definedName>
    <definedName name="Parm_Elect_Transfmr_50" localSheetId="0">#REF!</definedName>
    <definedName name="Parm_Elect_Transfmr_50">#REF!</definedName>
    <definedName name="Parm_Elect_Transfmr_51" localSheetId="0">#REF!</definedName>
    <definedName name="Parm_Elect_Transfmr_51">#REF!</definedName>
    <definedName name="Parm_Elect_Transfmr_52" localSheetId="0">#REF!</definedName>
    <definedName name="Parm_Elect_Transfmr_52">#REF!</definedName>
    <definedName name="Parm_Elect_Transfmr_53" localSheetId="0">#REF!</definedName>
    <definedName name="Parm_Elect_Transfmr_53">#REF!</definedName>
    <definedName name="Parm_Elect_Transfmr_54" localSheetId="0">#REF!</definedName>
    <definedName name="Parm_Elect_Transfmr_54">#REF!</definedName>
    <definedName name="Parm_Elect_Transfmr_55" localSheetId="0">#REF!</definedName>
    <definedName name="Parm_Elect_Transfmr_55">#REF!</definedName>
    <definedName name="Parm_Elect_Transfmr_56" localSheetId="0">#REF!</definedName>
    <definedName name="Parm_Elect_Transfmr_56">#REF!</definedName>
    <definedName name="Parm_Elect_Transfmr_57" localSheetId="0">#REF!</definedName>
    <definedName name="Parm_Elect_Transfmr_57">#REF!</definedName>
    <definedName name="Parm_Elect_Transfmr_58" localSheetId="0">#REF!</definedName>
    <definedName name="Parm_Elect_Transfmr_58">#REF!</definedName>
    <definedName name="Parm_Elect_Transfmr_59" localSheetId="0">#REF!</definedName>
    <definedName name="Parm_Elect_Transfmr_59">#REF!</definedName>
    <definedName name="Parm_Elect_Transfmr_60" localSheetId="0">#REF!</definedName>
    <definedName name="Parm_Elect_Transfmr_60">#REF!</definedName>
    <definedName name="Parm_Elect_Transfmr_61" localSheetId="0">#REF!</definedName>
    <definedName name="Parm_Elect_Transfmr_61">#REF!</definedName>
    <definedName name="Parm_Elect_Transfmr_62" localSheetId="0">#REF!</definedName>
    <definedName name="Parm_Elect_Transfmr_62">#REF!</definedName>
    <definedName name="Parm_Elect_Transfmr_63" localSheetId="0">#REF!</definedName>
    <definedName name="Parm_Elect_Transfmr_63">#REF!</definedName>
    <definedName name="Parm_Elect_Transfmr_64" localSheetId="0">#REF!</definedName>
    <definedName name="Parm_Elect_Transfmr_64">#REF!</definedName>
    <definedName name="Parm_Elect_Transfmr_65" localSheetId="0">#REF!</definedName>
    <definedName name="Parm_Elect_Transfmr_65">#REF!</definedName>
    <definedName name="Parm_Elect_Transfmr_66" localSheetId="0">#REF!</definedName>
    <definedName name="Parm_Elect_Transfmr_66">#REF!</definedName>
    <definedName name="Parm_Elect_Transfmr_67" localSheetId="0">#REF!</definedName>
    <definedName name="Parm_Elect_Transfmr_67">#REF!</definedName>
    <definedName name="Parm_Elect_Transm_01" localSheetId="0">#REF!</definedName>
    <definedName name="Parm_Elect_Transm_01">#REF!</definedName>
    <definedName name="Parm_Elect_Transm_02" localSheetId="0">#REF!</definedName>
    <definedName name="Parm_Elect_Transm_02">#REF!</definedName>
    <definedName name="Parm_Elect_Transm_03" localSheetId="0">#REF!</definedName>
    <definedName name="Parm_Elect_Transm_03">#REF!</definedName>
    <definedName name="Parm_Elect_Transm_04" localSheetId="0">#REF!</definedName>
    <definedName name="Parm_Elect_Transm_04">#REF!</definedName>
    <definedName name="Parm_Elect_Transm_05" localSheetId="0">#REF!</definedName>
    <definedName name="Parm_Elect_Transm_05">#REF!</definedName>
    <definedName name="Parm_Elect_Transm_06" localSheetId="0">#REF!</definedName>
    <definedName name="Parm_Elect_Transm_06">#REF!</definedName>
    <definedName name="Parm_Elect_Transm_07" localSheetId="0">#REF!</definedName>
    <definedName name="Parm_Elect_Transm_07">#REF!</definedName>
    <definedName name="Parm_Elect_Transm_08" localSheetId="0">#REF!</definedName>
    <definedName name="Parm_Elect_Transm_08">#REF!</definedName>
    <definedName name="Parm_General_01" localSheetId="0">#REF!</definedName>
    <definedName name="Parm_General_01">#REF!</definedName>
    <definedName name="Parm_General_02" localSheetId="0">#REF!</definedName>
    <definedName name="Parm_General_02">#REF!</definedName>
    <definedName name="Parm_General_03" localSheetId="0">#REF!</definedName>
    <definedName name="Parm_General_03">#REF!</definedName>
    <definedName name="Parm_General_04" localSheetId="0">#REF!</definedName>
    <definedName name="Parm_General_04">#REF!</definedName>
    <definedName name="Parm_General_05" localSheetId="0">#REF!</definedName>
    <definedName name="Parm_General_05">#REF!</definedName>
    <definedName name="Parm_General_06" localSheetId="0">#REF!</definedName>
    <definedName name="Parm_General_06">#REF!</definedName>
    <definedName name="Parm_General_07" localSheetId="0">#REF!</definedName>
    <definedName name="Parm_General_07">#REF!</definedName>
    <definedName name="Parm_General_08" localSheetId="0">#REF!</definedName>
    <definedName name="Parm_General_08">#REF!</definedName>
    <definedName name="Parm_General_09" localSheetId="0">#REF!</definedName>
    <definedName name="Parm_General_09">#REF!</definedName>
    <definedName name="Parm_Guar_Envirmt_01" localSheetId="0">#REF!</definedName>
    <definedName name="Parm_Guar_Envirmt_01">#REF!</definedName>
    <definedName name="Parm_Guar_Envirmt_02" localSheetId="0">#REF!</definedName>
    <definedName name="Parm_Guar_Envirmt_02">#REF!</definedName>
    <definedName name="Parm_Guar_Envirmt_03" localSheetId="0">#REF!</definedName>
    <definedName name="Parm_Guar_Envirmt_03">#REF!</definedName>
    <definedName name="Parm_Guar_Envirmt_04" localSheetId="0">#REF!</definedName>
    <definedName name="Parm_Guar_Envirmt_04">#REF!</definedName>
    <definedName name="Parm_Guar_Envirmt_05" localSheetId="0">#REF!</definedName>
    <definedName name="Parm_Guar_Envirmt_05">#REF!</definedName>
    <definedName name="Parm_Guar_Envirmt_06" localSheetId="0">#REF!</definedName>
    <definedName name="Parm_Guar_Envirmt_06">#REF!</definedName>
    <definedName name="Parm_Guar_Envirmt_07" localSheetId="0">#REF!</definedName>
    <definedName name="Parm_Guar_Envirmt_07">#REF!</definedName>
    <definedName name="Parm_Guar_Envirmt_08" localSheetId="0">#REF!</definedName>
    <definedName name="Parm_Guar_Envirmt_08">#REF!</definedName>
    <definedName name="Parm_Guar_Envirmt_09" localSheetId="0">#REF!</definedName>
    <definedName name="Parm_Guar_Envirmt_09">#REF!</definedName>
    <definedName name="Parm_Guar_Envirmt_10" localSheetId="0">#REF!</definedName>
    <definedName name="Parm_Guar_Envirmt_10">#REF!</definedName>
    <definedName name="Parm_Guar_Envirmt_11" localSheetId="0">#REF!</definedName>
    <definedName name="Parm_Guar_Envirmt_11">#REF!</definedName>
    <definedName name="Parm_Guar_Envirmt_12" localSheetId="0">#REF!</definedName>
    <definedName name="Parm_Guar_Envirmt_12">#REF!</definedName>
    <definedName name="Parm_Guar_Perf_01" localSheetId="0">#REF!</definedName>
    <definedName name="Parm_Guar_Perf_01">#REF!</definedName>
    <definedName name="Parm_Guar_Perf_02" localSheetId="0">#REF!</definedName>
    <definedName name="Parm_Guar_Perf_02">#REF!</definedName>
    <definedName name="Parm_Guar_Perf_03" localSheetId="0">#REF!</definedName>
    <definedName name="Parm_Guar_Perf_03">#REF!</definedName>
    <definedName name="Parm_Guar_Perf_04" localSheetId="0">#REF!</definedName>
    <definedName name="Parm_Guar_Perf_04">#REF!</definedName>
    <definedName name="Parm_Guar_Perf_05" localSheetId="0">#REF!</definedName>
    <definedName name="Parm_Guar_Perf_05">#REF!</definedName>
    <definedName name="Parm_Guar_Perf_06" localSheetId="0">#REF!</definedName>
    <definedName name="Parm_Guar_Perf_06">#REF!</definedName>
    <definedName name="Parm_Guar_Perf_07" localSheetId="0">#REF!</definedName>
    <definedName name="Parm_Guar_Perf_07">#REF!</definedName>
    <definedName name="Parm_Guar_Perf_08" localSheetId="0">#REF!</definedName>
    <definedName name="Parm_Guar_Perf_08">#REF!</definedName>
    <definedName name="Parm_Guar_Perf_09" localSheetId="0">#REF!</definedName>
    <definedName name="Parm_Guar_Perf_09">#REF!</definedName>
    <definedName name="Parm_Guar_Perf_10" localSheetId="0">#REF!</definedName>
    <definedName name="Parm_Guar_Perf_10">#REF!</definedName>
    <definedName name="Parm_Guar_Perf_11" localSheetId="0">#REF!</definedName>
    <definedName name="Parm_Guar_Perf_11">#REF!</definedName>
    <definedName name="Parm_Guar_Perf_Marg_01" localSheetId="0">#REF!</definedName>
    <definedName name="Parm_Guar_Perf_Marg_01">#REF!</definedName>
    <definedName name="Parm_Guar_Perf_Marg_02" localSheetId="0">#REF!</definedName>
    <definedName name="Parm_Guar_Perf_Marg_02">#REF!</definedName>
    <definedName name="Parm_Guar_Perf_Marg_03" localSheetId="0">#REF!</definedName>
    <definedName name="Parm_Guar_Perf_Marg_03">#REF!</definedName>
    <definedName name="Parm_Guar_Perf_Marg_04" localSheetId="0">#REF!</definedName>
    <definedName name="Parm_Guar_Perf_Marg_04">#REF!</definedName>
    <definedName name="Parm_Guar_Perf_Marg_05" localSheetId="0">#REF!</definedName>
    <definedName name="Parm_Guar_Perf_Marg_05">#REF!</definedName>
    <definedName name="Parm_Guar_Perf_Marg_06" localSheetId="0">#REF!</definedName>
    <definedName name="Parm_Guar_Perf_Marg_06">#REF!</definedName>
    <definedName name="Parm_Guar_Perf_Marg_07" localSheetId="0">#REF!</definedName>
    <definedName name="Parm_Guar_Perf_Marg_07">#REF!</definedName>
    <definedName name="Parm_Guar_Perf_Marg_08" localSheetId="0">#REF!</definedName>
    <definedName name="Parm_Guar_Perf_Marg_08">#REF!</definedName>
    <definedName name="Parm_Guar_Perf_Marg_09" localSheetId="0">#REF!</definedName>
    <definedName name="Parm_Guar_Perf_Marg_09">#REF!</definedName>
    <definedName name="Parm_Guar_Perf_Marg_10" localSheetId="0">#REF!</definedName>
    <definedName name="Parm_Guar_Perf_Marg_10">#REF!</definedName>
    <definedName name="Parm_Guar_Perf_Marg_11" localSheetId="0">#REF!</definedName>
    <definedName name="Parm_Guar_Perf_Marg_11">#REF!</definedName>
    <definedName name="Parm_Mech_Boiler_01" localSheetId="0">#REF!</definedName>
    <definedName name="Parm_Mech_Boiler_01">#REF!</definedName>
    <definedName name="Parm_Mech_Boiler_02" localSheetId="0">#REF!</definedName>
    <definedName name="Parm_Mech_Boiler_02">#REF!</definedName>
    <definedName name="Parm_Mech_Boiler_03" localSheetId="0">#REF!</definedName>
    <definedName name="Parm_Mech_Boiler_03">#REF!</definedName>
    <definedName name="Parm_Mech_Boiler_04" localSheetId="0">#REF!</definedName>
    <definedName name="Parm_Mech_Boiler_04">#REF!</definedName>
    <definedName name="Parm_Mech_Boiler_05" localSheetId="0">#REF!</definedName>
    <definedName name="Parm_Mech_Boiler_05">#REF!</definedName>
    <definedName name="Parm_Mech_Boiler_06" localSheetId="0">#REF!</definedName>
    <definedName name="Parm_Mech_Boiler_06">#REF!</definedName>
    <definedName name="Parm_Mech_Boiler_07" localSheetId="0">#REF!</definedName>
    <definedName name="Parm_Mech_Boiler_07">#REF!</definedName>
    <definedName name="Parm_Mech_Boiler_08" localSheetId="0">#REF!</definedName>
    <definedName name="Parm_Mech_Boiler_08">#REF!</definedName>
    <definedName name="Parm_Mech_Boiler_09" localSheetId="0">#REF!</definedName>
    <definedName name="Parm_Mech_Boiler_09">#REF!</definedName>
    <definedName name="Parm_Mech_Boiler_10" localSheetId="0">#REF!</definedName>
    <definedName name="Parm_Mech_Boiler_10">#REF!</definedName>
    <definedName name="Parm_Mech_Boiler_11" localSheetId="0">#REF!</definedName>
    <definedName name="Parm_Mech_Boiler_11">#REF!</definedName>
    <definedName name="Parm_Mech_Boiler_12" localSheetId="0">#REF!</definedName>
    <definedName name="Parm_Mech_Boiler_12">#REF!</definedName>
    <definedName name="Parm_Mech_Boiler_13" localSheetId="0">#REF!</definedName>
    <definedName name="Parm_Mech_Boiler_13">#REF!</definedName>
    <definedName name="Parm_Mech_Boiler_14" localSheetId="0">#REF!</definedName>
    <definedName name="Parm_Mech_Boiler_14">#REF!</definedName>
    <definedName name="Parm_Mech_Boiler_15" localSheetId="0">#REF!</definedName>
    <definedName name="Parm_Mech_Boiler_15">#REF!</definedName>
    <definedName name="Parm_Mech_Boiler_16" localSheetId="0">#REF!</definedName>
    <definedName name="Parm_Mech_Boiler_16">#REF!</definedName>
    <definedName name="Parm_Mech_Boiler_17" localSheetId="0">#REF!</definedName>
    <definedName name="Parm_Mech_Boiler_17">#REF!</definedName>
    <definedName name="Parm_Mech_Boiler_18" localSheetId="0">#REF!</definedName>
    <definedName name="Parm_Mech_Boiler_18">#REF!</definedName>
    <definedName name="Parm_Mech_Boiler_19" localSheetId="0">#REF!</definedName>
    <definedName name="Parm_Mech_Boiler_19">#REF!</definedName>
    <definedName name="Parm_Mech_Boiler_20" localSheetId="0">#REF!</definedName>
    <definedName name="Parm_Mech_Boiler_20">#REF!</definedName>
    <definedName name="Parm_Mech_Boiler_21" localSheetId="0">#REF!</definedName>
    <definedName name="Parm_Mech_Boiler_21">#REF!</definedName>
    <definedName name="Parm_Mech_Boiler_22" localSheetId="0">#REF!</definedName>
    <definedName name="Parm_Mech_Boiler_22">#REF!</definedName>
    <definedName name="Parm_Mech_Boiler_23" localSheetId="0">#REF!</definedName>
    <definedName name="Parm_Mech_Boiler_23">#REF!</definedName>
    <definedName name="Parm_Mech_Boiler_24" localSheetId="0">#REF!</definedName>
    <definedName name="Parm_Mech_Boiler_24">#REF!</definedName>
    <definedName name="Parm_Mech_BOP_01" localSheetId="0">#REF!</definedName>
    <definedName name="Parm_Mech_BOP_01">#REF!</definedName>
    <definedName name="Parm_Mech_BOP_02" localSheetId="0">#REF!</definedName>
    <definedName name="Parm_Mech_BOP_02">#REF!</definedName>
    <definedName name="Parm_Mech_BOP_03" localSheetId="0">#REF!</definedName>
    <definedName name="Parm_Mech_BOP_03">#REF!</definedName>
    <definedName name="Parm_Mech_BOP_04" localSheetId="0">#REF!</definedName>
    <definedName name="Parm_Mech_BOP_04">#REF!</definedName>
    <definedName name="Parm_Mech_BOP_05" localSheetId="0">#REF!</definedName>
    <definedName name="Parm_Mech_BOP_05">#REF!</definedName>
    <definedName name="Parm_Mech_BOP_06" localSheetId="0">#REF!</definedName>
    <definedName name="Parm_Mech_BOP_06">#REF!</definedName>
    <definedName name="Parm_Mech_BOP_07" localSheetId="0">#REF!</definedName>
    <definedName name="Parm_Mech_BOP_07">#REF!</definedName>
    <definedName name="Parm_Mech_BOP_08" localSheetId="0">#REF!</definedName>
    <definedName name="Parm_Mech_BOP_08">#REF!</definedName>
    <definedName name="Parm_Mech_BOP_09" localSheetId="0">#REF!</definedName>
    <definedName name="Parm_Mech_BOP_09">#REF!</definedName>
    <definedName name="Parm_Mech_BOP_10" localSheetId="0">#REF!</definedName>
    <definedName name="Parm_Mech_BOP_10">#REF!</definedName>
    <definedName name="Parm_Mech_BOP_11" localSheetId="0">#REF!</definedName>
    <definedName name="Parm_Mech_BOP_11">#REF!</definedName>
    <definedName name="Parm_Mech_BOP_12" localSheetId="0">#REF!</definedName>
    <definedName name="Parm_Mech_BOP_12">#REF!</definedName>
    <definedName name="Parm_Mech_BOP_13" localSheetId="0">#REF!</definedName>
    <definedName name="Parm_Mech_BOP_13">#REF!</definedName>
    <definedName name="Parm_Mech_BOP_14" localSheetId="0">#REF!</definedName>
    <definedName name="Parm_Mech_BOP_14">#REF!</definedName>
    <definedName name="Parm_Mech_BOP_15" localSheetId="0">#REF!</definedName>
    <definedName name="Parm_Mech_BOP_15">#REF!</definedName>
    <definedName name="Parm_Mech_BOP_16" localSheetId="0">#REF!</definedName>
    <definedName name="Parm_Mech_BOP_16">#REF!</definedName>
    <definedName name="Parm_Mech_BOP_17" localSheetId="0">#REF!</definedName>
    <definedName name="Parm_Mech_BOP_17">#REF!</definedName>
    <definedName name="Parm_Mech_BOP_18" localSheetId="0">#REF!</definedName>
    <definedName name="Parm_Mech_BOP_18">#REF!</definedName>
    <definedName name="Parm_Mech_BOP_19" localSheetId="0">#REF!</definedName>
    <definedName name="Parm_Mech_BOP_19">#REF!</definedName>
    <definedName name="Parm_Mech_BOP_20" localSheetId="0">#REF!</definedName>
    <definedName name="Parm_Mech_BOP_20">#REF!</definedName>
    <definedName name="Parm_Mech_BOP_21" localSheetId="0">#REF!</definedName>
    <definedName name="Parm_Mech_BOP_21">#REF!</definedName>
    <definedName name="Parm_Mech_BOP_22" localSheetId="0">#REF!</definedName>
    <definedName name="Parm_Mech_BOP_22">#REF!</definedName>
    <definedName name="Parm_Mech_BOP_23" localSheetId="0">#REF!</definedName>
    <definedName name="Parm_Mech_BOP_23">#REF!</definedName>
    <definedName name="Parm_Mech_BOP_24" localSheetId="0">#REF!</definedName>
    <definedName name="Parm_Mech_BOP_24">#REF!</definedName>
    <definedName name="Parm_Mech_BOP_25" localSheetId="0">#REF!</definedName>
    <definedName name="Parm_Mech_BOP_25">#REF!</definedName>
    <definedName name="Parm_Mech_BOP_26" localSheetId="0">#REF!</definedName>
    <definedName name="Parm_Mech_BOP_26">#REF!</definedName>
    <definedName name="Parm_Mech_BOP_27" localSheetId="0">#REF!</definedName>
    <definedName name="Parm_Mech_BOP_27">#REF!</definedName>
    <definedName name="Parm_Mech_BOP_28" localSheetId="0">#REF!</definedName>
    <definedName name="Parm_Mech_BOP_28">#REF!</definedName>
    <definedName name="Parm_Mech_BOP_29" localSheetId="0">#REF!</definedName>
    <definedName name="Parm_Mech_BOP_29">#REF!</definedName>
    <definedName name="Parm_Mech_BOP_30" localSheetId="0">#REF!</definedName>
    <definedName name="Parm_Mech_BOP_30">#REF!</definedName>
    <definedName name="Parm_Mech_BOP_31" localSheetId="0">#REF!</definedName>
    <definedName name="Parm_Mech_BOP_31">#REF!</definedName>
    <definedName name="Parm_Mech_Emissions_01" localSheetId="0">#REF!</definedName>
    <definedName name="Parm_Mech_Emissions_01">#REF!</definedName>
    <definedName name="Parm_Mech_Emissions_02" localSheetId="0">#REF!</definedName>
    <definedName name="Parm_Mech_Emissions_02">#REF!</definedName>
    <definedName name="Parm_Mech_Emissions_03" localSheetId="0">#REF!</definedName>
    <definedName name="Parm_Mech_Emissions_03">#REF!</definedName>
    <definedName name="Parm_Mech_Emissions_04" localSheetId="0">#REF!</definedName>
    <definedName name="Parm_Mech_Emissions_04">#REF!</definedName>
    <definedName name="Parm_Mech_Emissions_05" localSheetId="0">#REF!</definedName>
    <definedName name="Parm_Mech_Emissions_05">#REF!</definedName>
    <definedName name="Parm_Mech_Emissions_06" localSheetId="0">#REF!</definedName>
    <definedName name="Parm_Mech_Emissions_06">#REF!</definedName>
    <definedName name="Parm_Mech_Emissions_07" localSheetId="0">#REF!</definedName>
    <definedName name="Parm_Mech_Emissions_07">#REF!</definedName>
    <definedName name="Parm_Mech_Emissions_08" localSheetId="0">#REF!</definedName>
    <definedName name="Parm_Mech_Emissions_08">#REF!</definedName>
    <definedName name="Parm_Mech_Emissions_09" localSheetId="0">#REF!</definedName>
    <definedName name="Parm_Mech_Emissions_09">#REF!</definedName>
    <definedName name="Parm_Mech_Emissions_10" localSheetId="0">#REF!</definedName>
    <definedName name="Parm_Mech_Emissions_10">#REF!</definedName>
    <definedName name="Parm_Mech_Emissions_11" localSheetId="0">#REF!</definedName>
    <definedName name="Parm_Mech_Emissions_11">#REF!</definedName>
    <definedName name="Parm_Mech_Emissions_12" localSheetId="0">#REF!</definedName>
    <definedName name="Parm_Mech_Emissions_12">#REF!</definedName>
    <definedName name="Parm_Mech_Emissions_13" localSheetId="0">#REF!</definedName>
    <definedName name="Parm_Mech_Emissions_13">#REF!</definedName>
    <definedName name="Parm_Mech_Emissions_14" localSheetId="0">#REF!</definedName>
    <definedName name="Parm_Mech_Emissions_14">#REF!</definedName>
    <definedName name="Parm_Mech_Emissions_15" localSheetId="0">#REF!</definedName>
    <definedName name="Parm_Mech_Emissions_15">#REF!</definedName>
    <definedName name="Parm_Mech_Emissions_16" localSheetId="0">#REF!</definedName>
    <definedName name="Parm_Mech_Emissions_16">#REF!</definedName>
    <definedName name="Parm_Mech_Emissions_17" localSheetId="0">#REF!</definedName>
    <definedName name="Parm_Mech_Emissions_17">#REF!</definedName>
    <definedName name="Parm_Mech_Emissions_18" localSheetId="0">#REF!</definedName>
    <definedName name="Parm_Mech_Emissions_18">#REF!</definedName>
    <definedName name="Parm_Mech_Emissions_19" localSheetId="0">#REF!</definedName>
    <definedName name="Parm_Mech_Emissions_19">#REF!</definedName>
    <definedName name="Parm_Mech_Emissions_20" localSheetId="0">#REF!</definedName>
    <definedName name="Parm_Mech_Emissions_20">#REF!</definedName>
    <definedName name="Parm_Mech_Emissions_21" localSheetId="0">#REF!</definedName>
    <definedName name="Parm_Mech_Emissions_21">#REF!</definedName>
    <definedName name="Parm_Mech_Emissions_22" localSheetId="0">#REF!</definedName>
    <definedName name="Parm_Mech_Emissions_22">#REF!</definedName>
    <definedName name="Parm_Mech_Emissions_23" localSheetId="0">#REF!</definedName>
    <definedName name="Parm_Mech_Emissions_23">#REF!</definedName>
    <definedName name="Parm_Mech_Emissions_24" localSheetId="0">#REF!</definedName>
    <definedName name="Parm_Mech_Emissions_24">#REF!</definedName>
    <definedName name="Parm_Mech_Emissions_25" localSheetId="0">#REF!</definedName>
    <definedName name="Parm_Mech_Emissions_25">#REF!</definedName>
    <definedName name="Parm_Mech_Emissions_26" localSheetId="0">#REF!</definedName>
    <definedName name="Parm_Mech_Emissions_26">#REF!</definedName>
    <definedName name="Parm_Mech_Emissions_27" localSheetId="0">#REF!</definedName>
    <definedName name="Parm_Mech_Emissions_27">#REF!</definedName>
    <definedName name="Parm_Mech_Emissions_28" localSheetId="0">#REF!</definedName>
    <definedName name="Parm_Mech_Emissions_28">#REF!</definedName>
    <definedName name="Parm_Mech_Emissions_29" localSheetId="0">#REF!</definedName>
    <definedName name="Parm_Mech_Emissions_29">#REF!</definedName>
    <definedName name="Parm_Mech_Emissions_30" localSheetId="0">#REF!</definedName>
    <definedName name="Parm_Mech_Emissions_30">#REF!</definedName>
    <definedName name="Parm_Mech_Fuel_01" localSheetId="0">#REF!</definedName>
    <definedName name="Parm_Mech_Fuel_01">#REF!</definedName>
    <definedName name="Parm_Mech_Fuel_02" localSheetId="0">#REF!</definedName>
    <definedName name="Parm_Mech_Fuel_02">#REF!</definedName>
    <definedName name="Parm_Mech_Fuel_03" localSheetId="0">#REF!</definedName>
    <definedName name="Parm_Mech_Fuel_03">#REF!</definedName>
    <definedName name="Parm_Mech_Fuel_04" localSheetId="0">#REF!</definedName>
    <definedName name="Parm_Mech_Fuel_04">#REF!</definedName>
    <definedName name="Parm_Mech_Fuel_05" localSheetId="0">#REF!</definedName>
    <definedName name="Parm_Mech_Fuel_05">#REF!</definedName>
    <definedName name="Parm_Mech_Fuel_06" localSheetId="0">#REF!</definedName>
    <definedName name="Parm_Mech_Fuel_06">#REF!</definedName>
    <definedName name="Parm_Mech_Fuel_07" localSheetId="0">#REF!</definedName>
    <definedName name="Parm_Mech_Fuel_07">#REF!</definedName>
    <definedName name="Parm_Mech_Fuel_08" localSheetId="0">#REF!</definedName>
    <definedName name="Parm_Mech_Fuel_08">#REF!</definedName>
    <definedName name="Parm_Mech_Fuel_09" localSheetId="0">#REF!</definedName>
    <definedName name="Parm_Mech_Fuel_09">#REF!</definedName>
    <definedName name="Parm_Mech_Fuel_10" localSheetId="0">#REF!</definedName>
    <definedName name="Parm_Mech_Fuel_10">#REF!</definedName>
    <definedName name="Parm_Mech_Fuel_11" localSheetId="0">#REF!</definedName>
    <definedName name="Parm_Mech_Fuel_11">#REF!</definedName>
    <definedName name="Parm_Mech_Fuel_12" localSheetId="0">#REF!</definedName>
    <definedName name="Parm_Mech_Fuel_12">#REF!</definedName>
    <definedName name="Parm_Mech_Fuel_13" localSheetId="0">#REF!</definedName>
    <definedName name="Parm_Mech_Fuel_13">#REF!</definedName>
    <definedName name="Parm_Mech_Fuel_14" localSheetId="0">#REF!</definedName>
    <definedName name="Parm_Mech_Fuel_14">#REF!</definedName>
    <definedName name="Parm_Mech_Fuel_15" localSheetId="0">#REF!</definedName>
    <definedName name="Parm_Mech_Fuel_15">#REF!</definedName>
    <definedName name="Parm_Mech_Fuel_16" localSheetId="0">#REF!</definedName>
    <definedName name="Parm_Mech_Fuel_16">#REF!</definedName>
    <definedName name="Parm_Mech_Mtlhd_01" localSheetId="0">#REF!</definedName>
    <definedName name="Parm_Mech_Mtlhd_01">#REF!</definedName>
    <definedName name="Parm_Mech_Mtlhd_02" localSheetId="0">#REF!</definedName>
    <definedName name="Parm_Mech_Mtlhd_02">#REF!</definedName>
    <definedName name="Parm_Mech_Mtlhd_03" localSheetId="0">#REF!</definedName>
    <definedName name="Parm_Mech_Mtlhd_03">#REF!</definedName>
    <definedName name="Parm_Mech_Mtlhd_04" localSheetId="0">#REF!</definedName>
    <definedName name="Parm_Mech_Mtlhd_04">#REF!</definedName>
    <definedName name="Parm_Mech_Mtlhd_05" localSheetId="0">#REF!</definedName>
    <definedName name="Parm_Mech_Mtlhd_05">#REF!</definedName>
    <definedName name="Parm_Mech_Mtlhd_06" localSheetId="0">#REF!</definedName>
    <definedName name="Parm_Mech_Mtlhd_06">#REF!</definedName>
    <definedName name="Parm_Mech_Mtlhd_07" localSheetId="0">#REF!</definedName>
    <definedName name="Parm_Mech_Mtlhd_07">#REF!</definedName>
    <definedName name="Parm_Mech_Mtlhd_08" localSheetId="0">#REF!</definedName>
    <definedName name="Parm_Mech_Mtlhd_08">#REF!</definedName>
    <definedName name="Parm_Mech_Mtlhd_09" localSheetId="0">#REF!</definedName>
    <definedName name="Parm_Mech_Mtlhd_09">#REF!</definedName>
    <definedName name="Parm_Mech_Mtlhd_10" localSheetId="0">#REF!</definedName>
    <definedName name="Parm_Mech_Mtlhd_10">#REF!</definedName>
    <definedName name="Parm_Mech_Mtlhd_11" localSheetId="0">#REF!</definedName>
    <definedName name="Parm_Mech_Mtlhd_11">#REF!</definedName>
    <definedName name="Parm_Mech_Mtlhd_12" localSheetId="0">#REF!</definedName>
    <definedName name="Parm_Mech_Mtlhd_12">#REF!</definedName>
    <definedName name="Parm_Mech_Mtlhd_13" localSheetId="0">#REF!</definedName>
    <definedName name="Parm_Mech_Mtlhd_13">#REF!</definedName>
    <definedName name="Parm_Mech_Mtlhd_14" localSheetId="0">#REF!</definedName>
    <definedName name="Parm_Mech_Mtlhd_14">#REF!</definedName>
    <definedName name="Parm_Mech_Mtlhd_15" localSheetId="0">#REF!</definedName>
    <definedName name="Parm_Mech_Mtlhd_15">#REF!</definedName>
    <definedName name="Parm_Mech_Mtlhd_16" localSheetId="0">#REF!</definedName>
    <definedName name="Parm_Mech_Mtlhd_16">#REF!</definedName>
    <definedName name="Parm_Mech_Mtlhd_17" localSheetId="0">#REF!</definedName>
    <definedName name="Parm_Mech_Mtlhd_17">#REF!</definedName>
    <definedName name="Parm_Mech_STG_01" localSheetId="0">#REF!</definedName>
    <definedName name="Parm_Mech_STG_01">#REF!</definedName>
    <definedName name="Parm_Mech_STG_02" localSheetId="0">#REF!</definedName>
    <definedName name="Parm_Mech_STG_02">#REF!</definedName>
    <definedName name="Parm_Mech_STG_03" localSheetId="0">#REF!</definedName>
    <definedName name="Parm_Mech_STG_03">#REF!</definedName>
    <definedName name="Parm_Mech_STG_04" localSheetId="0">#REF!</definedName>
    <definedName name="Parm_Mech_STG_04">#REF!</definedName>
    <definedName name="Parm_Mech_STG_05" localSheetId="0">#REF!</definedName>
    <definedName name="Parm_Mech_STG_05">#REF!</definedName>
    <definedName name="Parm_Mech_STG_06" localSheetId="0">#REF!</definedName>
    <definedName name="Parm_Mech_STG_06">#REF!</definedName>
    <definedName name="Parm_Mech_STG_07" localSheetId="0">#REF!</definedName>
    <definedName name="Parm_Mech_STG_07">#REF!</definedName>
    <definedName name="Parm_Mech_STG_08" localSheetId="0">#REF!</definedName>
    <definedName name="Parm_Mech_STG_08">#REF!</definedName>
    <definedName name="Parm_Mech_STG_09" localSheetId="0">#REF!</definedName>
    <definedName name="Parm_Mech_STG_09">#REF!</definedName>
    <definedName name="Parm_Mech_STG_10" localSheetId="0">#REF!</definedName>
    <definedName name="Parm_Mech_STG_10">#REF!</definedName>
    <definedName name="Parm_Mech_STG_11" localSheetId="0">#REF!</definedName>
    <definedName name="Parm_Mech_STG_11">#REF!</definedName>
    <definedName name="Parm_Mech_STG_12" localSheetId="0">#REF!</definedName>
    <definedName name="Parm_Mech_STG_12">#REF!</definedName>
    <definedName name="Parm_Mech_STG_13" localSheetId="0">#REF!</definedName>
    <definedName name="Parm_Mech_STG_13">#REF!</definedName>
    <definedName name="Parm_Mech_STG_14" localSheetId="0">#REF!</definedName>
    <definedName name="Parm_Mech_STG_14">#REF!</definedName>
    <definedName name="Parm_Mech_STG_15" localSheetId="0">#REF!</definedName>
    <definedName name="Parm_Mech_STG_15">#REF!</definedName>
    <definedName name="Parm_Mech_STG_16" localSheetId="0">#REF!</definedName>
    <definedName name="Parm_Mech_STG_16">#REF!</definedName>
    <definedName name="Parm_Mech_STG_17" localSheetId="0">#REF!</definedName>
    <definedName name="Parm_Mech_STG_17">#REF!</definedName>
    <definedName name="Parm_Mech_STG_18" localSheetId="0">#REF!</definedName>
    <definedName name="Parm_Mech_STG_18">#REF!</definedName>
    <definedName name="Parm_Mech_STG_19" localSheetId="0">#REF!</definedName>
    <definedName name="Parm_Mech_STG_19">#REF!</definedName>
    <definedName name="Parm_Mech_STG_20" localSheetId="0">#REF!</definedName>
    <definedName name="Parm_Mech_STG_20">#REF!</definedName>
    <definedName name="Parm_Mech_STG_21" localSheetId="0">#REF!</definedName>
    <definedName name="Parm_Mech_STG_21">#REF!</definedName>
    <definedName name="Parm_Mech_Storage_01" localSheetId="0">#REF!</definedName>
    <definedName name="Parm_Mech_Storage_01">#REF!</definedName>
    <definedName name="Parm_Mech_Storage_02" localSheetId="0">#REF!</definedName>
    <definedName name="Parm_Mech_Storage_02">#REF!</definedName>
    <definedName name="Parm_Mech_Storage_03" localSheetId="0">#REF!</definedName>
    <definedName name="Parm_Mech_Storage_03">#REF!</definedName>
    <definedName name="Parm_Mech_Storage_04" localSheetId="0">#REF!</definedName>
    <definedName name="Parm_Mech_Storage_04">#REF!</definedName>
    <definedName name="Parm_Mech_Storage_05" localSheetId="0">#REF!</definedName>
    <definedName name="Parm_Mech_Storage_05">#REF!</definedName>
    <definedName name="Parm_Mech_Storage_06" localSheetId="0">#REF!</definedName>
    <definedName name="Parm_Mech_Storage_06">#REF!</definedName>
    <definedName name="Parm_Mech_Storage_07" localSheetId="0">#REF!</definedName>
    <definedName name="Parm_Mech_Storage_07">#REF!</definedName>
    <definedName name="Parm_Mech_Storage_08" localSheetId="0">#REF!</definedName>
    <definedName name="Parm_Mech_Storage_08">#REF!</definedName>
    <definedName name="Parm_Mech_Storage_09" localSheetId="0">#REF!</definedName>
    <definedName name="Parm_Mech_Storage_09">#REF!</definedName>
    <definedName name="Parm_Mech_Storage_10" localSheetId="0">#REF!</definedName>
    <definedName name="Parm_Mech_Storage_10">#REF!</definedName>
    <definedName name="Parm_Mech_Storage_11" localSheetId="0">#REF!</definedName>
    <definedName name="Parm_Mech_Storage_11">#REF!</definedName>
    <definedName name="Parm_Plant_Design_01" localSheetId="0">#REF!</definedName>
    <definedName name="Parm_Plant_Design_01">#REF!</definedName>
    <definedName name="Parm_Plant_Design_02" localSheetId="0">#REF!</definedName>
    <definedName name="Parm_Plant_Design_02">#REF!</definedName>
    <definedName name="Parm_Plant_Design_03" localSheetId="0">#REF!</definedName>
    <definedName name="Parm_Plant_Design_03">#REF!</definedName>
    <definedName name="Parm_Plant_Design_04" localSheetId="0">#REF!</definedName>
    <definedName name="Parm_Plant_Design_04">#REF!</definedName>
    <definedName name="Parm_Plant_Design_05" localSheetId="0">#REF!</definedName>
    <definedName name="Parm_Plant_Design_05">#REF!</definedName>
    <definedName name="Parm_Plant_Design_06" localSheetId="0">#REF!</definedName>
    <definedName name="Parm_Plant_Design_06">#REF!</definedName>
    <definedName name="Parm_Plant_Design_07" localSheetId="0">#REF!</definedName>
    <definedName name="Parm_Plant_Design_07">#REF!</definedName>
    <definedName name="Parm_Plant_Design_08" localSheetId="0">#REF!</definedName>
    <definedName name="Parm_Plant_Design_08">#REF!</definedName>
    <definedName name="Parm_Plant_Design_09" localSheetId="0">#REF!</definedName>
    <definedName name="Parm_Plant_Design_09">#REF!</definedName>
    <definedName name="Parm_Plant_Design_10" localSheetId="0">#REF!</definedName>
    <definedName name="Parm_Plant_Design_10">#REF!</definedName>
    <definedName name="Parm_Plant_Design_11" localSheetId="0">#REF!</definedName>
    <definedName name="Parm_Plant_Design_11">#REF!</definedName>
    <definedName name="Parm_Plant_Design_12" localSheetId="0">#REF!</definedName>
    <definedName name="Parm_Plant_Design_12">#REF!</definedName>
    <definedName name="Parm_Plant_Design_13" localSheetId="0">#REF!</definedName>
    <definedName name="Parm_Plant_Design_13">#REF!</definedName>
    <definedName name="Parm_Plant_Design_14" localSheetId="0">#REF!</definedName>
    <definedName name="Parm_Plant_Design_14">#REF!</definedName>
    <definedName name="Parm_Plant_Design_15" localSheetId="0">#REF!</definedName>
    <definedName name="Parm_Plant_Design_15">#REF!</definedName>
    <definedName name="Parm_Plant_Design_16" localSheetId="0">#REF!</definedName>
    <definedName name="Parm_Plant_Design_16">#REF!</definedName>
    <definedName name="Parm_Plant_Design_17" localSheetId="0">#REF!</definedName>
    <definedName name="Parm_Plant_Design_17">#REF!</definedName>
    <definedName name="Parm_Plant_Design_18" localSheetId="0">#REF!</definedName>
    <definedName name="Parm_Plant_Design_18">#REF!</definedName>
    <definedName name="Parm_Plant_Design_19" localSheetId="0">#REF!</definedName>
    <definedName name="Parm_Plant_Design_19">#REF!</definedName>
    <definedName name="Parm_Plant_Design_20" localSheetId="0">#REF!</definedName>
    <definedName name="Parm_Plant_Design_20">#REF!</definedName>
    <definedName name="Parm_Plant_Design_21" localSheetId="0">#REF!</definedName>
    <definedName name="Parm_Plant_Design_21">#REF!</definedName>
    <definedName name="Parm_Plant_Design_22" localSheetId="0">#REF!</definedName>
    <definedName name="Parm_Plant_Design_22">#REF!</definedName>
    <definedName name="Parm_Plant_Design_23" localSheetId="0">#REF!</definedName>
    <definedName name="Parm_Plant_Design_23">#REF!</definedName>
    <definedName name="Parm_Plant_Design_24" localSheetId="0">#REF!</definedName>
    <definedName name="Parm_Plant_Design_24">#REF!</definedName>
    <definedName name="Parm_Plant_Design_25" localSheetId="0">#REF!</definedName>
    <definedName name="Parm_Plant_Design_25">#REF!</definedName>
    <definedName name="Parm_Plant_Design_26" localSheetId="0">#REF!</definedName>
    <definedName name="Parm_Plant_Design_26">#REF!</definedName>
    <definedName name="Parm_Plant_Design_27" localSheetId="0">#REF!</definedName>
    <definedName name="Parm_Plant_Design_27">#REF!</definedName>
    <definedName name="Parm_Plant_Design_28" localSheetId="0">#REF!</definedName>
    <definedName name="Parm_Plant_Design_28">#REF!</definedName>
    <definedName name="Parm_Plant_Design_29" localSheetId="0">#REF!</definedName>
    <definedName name="Parm_Plant_Design_29">#REF!</definedName>
    <definedName name="part5" localSheetId="0">#REF!</definedName>
    <definedName name="part5">#REF!</definedName>
    <definedName name="participation_rents" localSheetId="0">#REF!</definedName>
    <definedName name="participation_rents">#REF!</definedName>
    <definedName name="paver" localSheetId="0">#REF!</definedName>
    <definedName name="paver">#REF!</definedName>
    <definedName name="pavpaint" localSheetId="0">#REF!</definedName>
    <definedName name="pavpaint">#REF!</definedName>
    <definedName name="PAY" localSheetId="0">#REF!</definedName>
    <definedName name="PAY">#REF!</definedName>
    <definedName name="Pay_Date" localSheetId="0">#REF!</definedName>
    <definedName name="Pay_Date">#REF!</definedName>
    <definedName name="Pay_Num" localSheetId="0">#REF!</definedName>
    <definedName name="Pay_Num">#REF!</definedName>
    <definedName name="PAYCRIT" localSheetId="0">#REF!</definedName>
    <definedName name="PAYCRIT">#REF!</definedName>
    <definedName name="PAYITEM" localSheetId="0">#REF!</definedName>
    <definedName name="PAYITEM">#REF!</definedName>
    <definedName name="Payment_Date" localSheetId="0">#REF!</definedName>
    <definedName name="Payment_Date">#REF!</definedName>
    <definedName name="PAYROLL" localSheetId="0">#REF!</definedName>
    <definedName name="PAYROLL">#REF!</definedName>
    <definedName name="pb" localSheetId="0">#REF!</definedName>
    <definedName name="pb">#REF!</definedName>
    <definedName name="pb___0" localSheetId="0">#REF!</definedName>
    <definedName name="pb___0">#REF!</definedName>
    <definedName name="pb___11" localSheetId="0">#REF!</definedName>
    <definedName name="pb___11">#REF!</definedName>
    <definedName name="pb___12" localSheetId="0">#REF!</definedName>
    <definedName name="pb___12">#REF!</definedName>
    <definedName name="pc" localSheetId="0">#REF!</definedName>
    <definedName name="pc">#REF!</definedName>
    <definedName name="PC_9SUMR12" localSheetId="0">#REF!</definedName>
    <definedName name="PC_9SUMR12">#REF!</definedName>
    <definedName name="PC_9SUMR16" localSheetId="0">#REF!</definedName>
    <definedName name="PC_9SUMR16">#REF!</definedName>
    <definedName name="PC_9SUMR20" localSheetId="0">#REF!</definedName>
    <definedName name="PC_9SUMR20">#REF!</definedName>
    <definedName name="PC_9SUMR25" localSheetId="0">#REF!</definedName>
    <definedName name="PC_9SUMR25">#REF!</definedName>
    <definedName name="PC_9SUMR32" localSheetId="0">#REF!</definedName>
    <definedName name="PC_9SUMR32">#REF!</definedName>
    <definedName name="PC_9SUMR40" localSheetId="0">#REF!</definedName>
    <definedName name="PC_9SUMR40">#REF!</definedName>
    <definedName name="PC_9SUMR6" localSheetId="0">#REF!</definedName>
    <definedName name="PC_9SUMR6">#REF!</definedName>
    <definedName name="PC_9SUMR8" localSheetId="0">#REF!</definedName>
    <definedName name="PC_9SUMR8">#REF!</definedName>
    <definedName name="PC_9SUMT10" localSheetId="0">#REF!</definedName>
    <definedName name="PC_9SUMT10">#REF!</definedName>
    <definedName name="PC_9SUMT12" localSheetId="0">#REF!</definedName>
    <definedName name="PC_9SUMT12">#REF!</definedName>
    <definedName name="PC_9SUMT16" localSheetId="0">#REF!</definedName>
    <definedName name="PC_9SUMT16">#REF!</definedName>
    <definedName name="PC_9SUMT20" localSheetId="0">#REF!</definedName>
    <definedName name="PC_9SUMT20">#REF!</definedName>
    <definedName name="PC_9SUMT25" localSheetId="0">#REF!</definedName>
    <definedName name="PC_9SUMT25">#REF!</definedName>
    <definedName name="PC_9SUMT32" localSheetId="0">#REF!</definedName>
    <definedName name="PC_9SUMT32">#REF!</definedName>
    <definedName name="PC_9SUMT40" localSheetId="0">#REF!</definedName>
    <definedName name="PC_9SUMT40">#REF!</definedName>
    <definedName name="PC_9SUMT6" localSheetId="0">#REF!</definedName>
    <definedName name="PC_9SUMT6">#REF!</definedName>
    <definedName name="PC_9SUMTT" localSheetId="0">#REF!</definedName>
    <definedName name="PC_9SUMTT">#REF!</definedName>
    <definedName name="PC_Hrs1" localSheetId="0">#REF!</definedName>
    <definedName name="PC_Hrs1">#REF!</definedName>
    <definedName name="PC_HRS2" localSheetId="0">#REF!</definedName>
    <definedName name="PC_HRS2">#REF!</definedName>
    <definedName name="pcc1.3.6pcc" localSheetId="0">#REF!</definedName>
    <definedName name="pcc1.3.6pcc">#REF!</definedName>
    <definedName name="pccm15foundnpcc" localSheetId="0">#REF!</definedName>
    <definedName name="pccm15foundnpcc">#REF!</definedName>
    <definedName name="pccp" localSheetId="0">#REF!</definedName>
    <definedName name="pccp">#REF!</definedName>
    <definedName name="pccproj" localSheetId="0">#REF!</definedName>
    <definedName name="pccproj">#REF!</definedName>
    <definedName name="pcct" localSheetId="0">#REF!</definedName>
    <definedName name="pcct">#REF!</definedName>
    <definedName name="pccthk" localSheetId="0">#REF!</definedName>
    <definedName name="pccthk">#REF!</definedName>
    <definedName name="pccut" localSheetId="0">#REF!</definedName>
    <definedName name="pccut">#REF!</definedName>
    <definedName name="PCforecastfinal" localSheetId="0">#REF!</definedName>
    <definedName name="PCforecastfinal">#REF!</definedName>
    <definedName name="PCT" localSheetId="0">#REF!</definedName>
    <definedName name="PCT">#REF!</definedName>
    <definedName name="pdvol" localSheetId="0">#REF!</definedName>
    <definedName name="pdvol">#REF!</definedName>
    <definedName name="PEDESTAL" localSheetId="0">#REF!</definedName>
    <definedName name="PEDESTAL">#REF!</definedName>
    <definedName name="PEM" localSheetId="0">#REF!</definedName>
    <definedName name="PEM">#REF!</definedName>
    <definedName name="perbox" localSheetId="0">#REF!</definedName>
    <definedName name="perbox">#REF!</definedName>
    <definedName name="Percent_Text" localSheetId="0">#REF!</definedName>
    <definedName name="Percent_Text">#REF!</definedName>
    <definedName name="Percent_Value" localSheetId="0">#REF!</definedName>
    <definedName name="Percent_Value">#REF!</definedName>
    <definedName name="periimported" localSheetId="0">#REF!</definedName>
    <definedName name="periimported">#REF!</definedName>
    <definedName name="Perimeter" localSheetId="0">#REF!</definedName>
    <definedName name="Perimeter">#REF!</definedName>
    <definedName name="pf" localSheetId="0">#REF!</definedName>
    <definedName name="pf">#REF!</definedName>
    <definedName name="PFSR" localSheetId="0">#REF!</definedName>
    <definedName name="PFSR">#REF!</definedName>
    <definedName name="pg" localSheetId="0">#REF!</definedName>
    <definedName name="pg">#REF!</definedName>
    <definedName name="PGLabt" localSheetId="0">#REF!</definedName>
    <definedName name="PGLabt">#REF!</definedName>
    <definedName name="pgone" localSheetId="0">#REF!</definedName>
    <definedName name="pgone">#REF!</definedName>
    <definedName name="pgtwo" localSheetId="0">#REF!</definedName>
    <definedName name="pgtwo">#REF!</definedName>
    <definedName name="pH" localSheetId="0">#REF!</definedName>
    <definedName name="pH">#REF!</definedName>
    <definedName name="pH___0" localSheetId="0">#REF!</definedName>
    <definedName name="pH___0">#REF!</definedName>
    <definedName name="pH___13" localSheetId="0">#REF!</definedName>
    <definedName name="pH___13">#REF!</definedName>
    <definedName name="PhaseCode" localSheetId="0">#REF!</definedName>
    <definedName name="PhaseCode">#REF!</definedName>
    <definedName name="Phasing" localSheetId="0">#REF!</definedName>
    <definedName name="Phasing">#REF!</definedName>
    <definedName name="phi" localSheetId="0">#REF!</definedName>
    <definedName name="phi">#REF!</definedName>
    <definedName name="phis" localSheetId="0">#REF!</definedName>
    <definedName name="phis">#REF!</definedName>
    <definedName name="phit" localSheetId="0">#REF!</definedName>
    <definedName name="phit">#REF!</definedName>
    <definedName name="Phone" localSheetId="0">#REF!</definedName>
    <definedName name="Phone">#REF!</definedName>
    <definedName name="PhonesQty" localSheetId="0">#REF!</definedName>
    <definedName name="PhonesQty">#REF!</definedName>
    <definedName name="Pier" localSheetId="0">#REF!</definedName>
    <definedName name="Pier">#REF!</definedName>
    <definedName name="pier2" localSheetId="0">#REF!</definedName>
    <definedName name="pier2">#REF!</definedName>
    <definedName name="piercap" localSheetId="0">#REF!</definedName>
    <definedName name="piercap">#REF!</definedName>
    <definedName name="pierpiles" localSheetId="0">#REF!</definedName>
    <definedName name="pierpiles">#REF!</definedName>
    <definedName name="piervol1" localSheetId="0">#REF!</definedName>
    <definedName name="piervol1">#REF!</definedName>
    <definedName name="piervol2" localSheetId="0">#REF!</definedName>
    <definedName name="piervol2">#REF!</definedName>
    <definedName name="pile" localSheetId="0">#REF!</definedName>
    <definedName name="pile">#REF!</definedName>
    <definedName name="pilecap" localSheetId="0">#REF!</definedName>
    <definedName name="pilecap">#REF!</definedName>
    <definedName name="piledia1" localSheetId="0">#REF!</definedName>
    <definedName name="piledia1">#REF!</definedName>
    <definedName name="piledia2" localSheetId="0">#REF!</definedName>
    <definedName name="piledia2">#REF!</definedName>
    <definedName name="piledia3" localSheetId="0">#REF!</definedName>
    <definedName name="piledia3">#REF!</definedName>
    <definedName name="pileinraftCount" localSheetId="0">#REF!</definedName>
    <definedName name="pileinraftCount">#REF!</definedName>
    <definedName name="Piletipele" localSheetId="0">#REF!</definedName>
    <definedName name="Piletipele">#REF!</definedName>
    <definedName name="PILING" localSheetId="0">#REF!</definedName>
    <definedName name="PILING">#REF!</definedName>
    <definedName name="pilingrig" localSheetId="0">#REF!</definedName>
    <definedName name="pilingrig">#REF!</definedName>
    <definedName name="pioi" localSheetId="0">#REF!</definedName>
    <definedName name="pioi">#REF!</definedName>
    <definedName name="PIPE_CLASS" localSheetId="0">#REF!</definedName>
    <definedName name="PIPE_CLASS">#REF!</definedName>
    <definedName name="PIPE_RACK_TRAY" localSheetId="0">#REF!</definedName>
    <definedName name="PIPE_RACK_TRAY">#REF!</definedName>
    <definedName name="PIPE50_CITY" localSheetId="0">#REF!</definedName>
    <definedName name="PIPE50_CITY">#REF!</definedName>
    <definedName name="PIPE50_ESC" localSheetId="0">#REF!</definedName>
    <definedName name="PIPE50_ESC">#REF!</definedName>
    <definedName name="PIPE50_OLD_CITY" localSheetId="0">#REF!</definedName>
    <definedName name="PIPE50_OLD_CITY">#REF!</definedName>
    <definedName name="PIPE50_OLD_ESC" localSheetId="0">#REF!</definedName>
    <definedName name="PIPE50_OLD_ESC">#REF!</definedName>
    <definedName name="PIPE50_OLD_PROD" localSheetId="0">#REF!</definedName>
    <definedName name="PIPE50_OLD_PROD">#REF!</definedName>
    <definedName name="PIPE50_OLD_WAGE" localSheetId="0">#REF!</definedName>
    <definedName name="PIPE50_OLD_WAGE">#REF!</definedName>
    <definedName name="PIPE50_PROD" localSheetId="0">#REF!</definedName>
    <definedName name="PIPE50_PROD">#REF!</definedName>
    <definedName name="PIPE50_WAGE" localSheetId="0">#REF!</definedName>
    <definedName name="PIPE50_WAGE">#REF!</definedName>
    <definedName name="pitching" localSheetId="0">#REF!</definedName>
    <definedName name="pitching">#REF!</definedName>
    <definedName name="PKOKPO" localSheetId="0">#REF!</definedName>
    <definedName name="PKOKPO">#REF!</definedName>
    <definedName name="PL" localSheetId="0">#REF!</definedName>
    <definedName name="PL">#REF!</definedName>
    <definedName name="plan" localSheetId="0">#REF!</definedName>
    <definedName name="plan">#REF!</definedName>
    <definedName name="Plant" localSheetId="0">#REF!</definedName>
    <definedName name="Plant">#REF!</definedName>
    <definedName name="PLANTCOST" localSheetId="0">#REF!</definedName>
    <definedName name="PLANTCOST">#REF!</definedName>
    <definedName name="PlantName" localSheetId="0">#REF!</definedName>
    <definedName name="PlantName">#REF!</definedName>
    <definedName name="PlantPPH" localSheetId="0">#REF!</definedName>
    <definedName name="PlantPPH">#REF!</definedName>
    <definedName name="plants" localSheetId="0">#REF!</definedName>
    <definedName name="plants">#REF!</definedName>
    <definedName name="PlantType" localSheetId="0">#REF!</definedName>
    <definedName name="PlantType">#REF!</definedName>
    <definedName name="plast1.3pcc" localSheetId="0">#REF!</definedName>
    <definedName name="plast1.3pcc">#REF!</definedName>
    <definedName name="PLASTER" localSheetId="0">#REF!</definedName>
    <definedName name="PLASTER">#REF!</definedName>
    <definedName name="platecompactor" localSheetId="0">#REF!</definedName>
    <definedName name="platecompactor">#REF!</definedName>
    <definedName name="plbeams" localSheetId="0">#REF!</definedName>
    <definedName name="plbeams">#REF!</definedName>
    <definedName name="plumber" localSheetId="0">#REF!</definedName>
    <definedName name="plumber">#REF!</definedName>
    <definedName name="Plumbing" localSheetId="0">#REF!</definedName>
    <definedName name="Plumbing">#REF!</definedName>
    <definedName name="PM_Hrs" localSheetId="0">#REF!</definedName>
    <definedName name="PM_Hrs">#REF!</definedName>
    <definedName name="PM_Rev" localSheetId="0">#REF!</definedName>
    <definedName name="PM_Rev">#REF!</definedName>
    <definedName name="pmc" localSheetId="0">#REF!</definedName>
    <definedName name="pmc">#REF!</definedName>
    <definedName name="pmt" localSheetId="0">#REF!</definedName>
    <definedName name="pmt">#REF!</definedName>
    <definedName name="po" localSheetId="0">#REF!</definedName>
    <definedName name="po">#REF!</definedName>
    <definedName name="Podium" localSheetId="0">#REF!</definedName>
    <definedName name="Podium">#REF!</definedName>
    <definedName name="points" localSheetId="0">#REF!</definedName>
    <definedName name="points">#REF!</definedName>
    <definedName name="pop" localSheetId="0">#REF!</definedName>
    <definedName name="pop">#REF!</definedName>
    <definedName name="pot" localSheetId="0">#REF!</definedName>
    <definedName name="pot">#REF!</definedName>
    <definedName name="pow" localSheetId="0">#REF!</definedName>
    <definedName name="pow">#REF!</definedName>
    <definedName name="POWER" localSheetId="0">#REF!</definedName>
    <definedName name="POWER">#REF!</definedName>
    <definedName name="pp" localSheetId="0">#REF!</definedName>
    <definedName name="pp">#REF!</definedName>
    <definedName name="pppppppppp" localSheetId="0">#REF!</definedName>
    <definedName name="pppppppppp">#REF!</definedName>
    <definedName name="ppppppppppppp" localSheetId="0">#REF!</definedName>
    <definedName name="ppppppppppppp">#REF!</definedName>
    <definedName name="ppppppppppppppp" localSheetId="0">#REF!</definedName>
    <definedName name="ppppppppppppppp">#REF!</definedName>
    <definedName name="PPPPPPPPPPPPPPPPPPPPPPP" localSheetId="0">#REF!</definedName>
    <definedName name="PPPPPPPPPPPPPPPPPPPPPPP">#REF!</definedName>
    <definedName name="pqr" localSheetId="0">#REF!</definedName>
    <definedName name="pqr">#REF!</definedName>
    <definedName name="PR" localSheetId="0">#REF!</definedName>
    <definedName name="PR">#REF!</definedName>
    <definedName name="PRA" localSheetId="0">#REF!</definedName>
    <definedName name="PRA">#REF!</definedName>
    <definedName name="pradeep" localSheetId="0">#REF!</definedName>
    <definedName name="pradeep">#REF!</definedName>
    <definedName name="pre" localSheetId="0">#REF!</definedName>
    <definedName name="pre">#REF!</definedName>
    <definedName name="PRE_TRACED_TUBE" localSheetId="0">#REF!</definedName>
    <definedName name="PRE_TRACED_TUBE">#REF!</definedName>
    <definedName name="PRECAST" localSheetId="0">#REF!</definedName>
    <definedName name="PRECAST">#REF!</definedName>
    <definedName name="PRELIM" localSheetId="0">#REF!</definedName>
    <definedName name="PRELIM">#REF!</definedName>
    <definedName name="Preliminaries" localSheetId="0">#REF!</definedName>
    <definedName name="Preliminaries">#REF!</definedName>
    <definedName name="preliminary" localSheetId="0">#REF!</definedName>
    <definedName name="preliminary">#REF!</definedName>
    <definedName name="Prelm_Exp" localSheetId="0">#REF!</definedName>
    <definedName name="Prelm_Exp">#REF!</definedName>
    <definedName name="premoulded" localSheetId="0">#REF!</definedName>
    <definedName name="premoulded">#REF!</definedName>
    <definedName name="PreparedBy" localSheetId="0">#REF!</definedName>
    <definedName name="PreparedBy">#REF!</definedName>
    <definedName name="PreparedON" localSheetId="0">#REF!</definedName>
    <definedName name="PreparedON">#REF!</definedName>
    <definedName name="PREVIOUS" localSheetId="0">#REF!</definedName>
    <definedName name="PREVIOUS">#REF!</definedName>
    <definedName name="price" localSheetId="0">#REF!</definedName>
    <definedName name="price">#REF!</definedName>
    <definedName name="Price_menu" localSheetId="0">#REF!</definedName>
    <definedName name="Price_menu">#REF!</definedName>
    <definedName name="PRICESCH" localSheetId="0">#REF!</definedName>
    <definedName name="PRICESCH">#REF!</definedName>
    <definedName name="PricesMdUp" localSheetId="0">#REF!</definedName>
    <definedName name="PricesMdUp">#REF!</definedName>
    <definedName name="Pril" localSheetId="0">#REF!</definedName>
    <definedName name="Pril">#REF!</definedName>
    <definedName name="Princ" localSheetId="0">#REF!</definedName>
    <definedName name="Princ">#REF!</definedName>
    <definedName name="prince" localSheetId="0">#REF!</definedName>
    <definedName name="prince">#REF!</definedName>
    <definedName name="prince1" localSheetId="0">#REF!</definedName>
    <definedName name="prince1">#REF!</definedName>
    <definedName name="PRINCE2" localSheetId="0">#REF!</definedName>
    <definedName name="PRINCE2">#REF!</definedName>
    <definedName name="PRINCE22" localSheetId="0">#REF!</definedName>
    <definedName name="PRINCE22">#REF!</definedName>
    <definedName name="prince25" localSheetId="0">#REF!</definedName>
    <definedName name="prince25">#REF!</definedName>
    <definedName name="Principal" localSheetId="0">#REF!</definedName>
    <definedName name="Principal">#REF!</definedName>
    <definedName name="PRINT" localSheetId="0">#REF!</definedName>
    <definedName name="PRINT">#REF!</definedName>
    <definedName name="_xlnm.Print_Area" localSheetId="5">'Bill No. 4 Ancillary'!$A$1:$H$35</definedName>
    <definedName name="_xlnm.Print_Area" localSheetId="6">'Bill No.5 Electrical &amp; ELV'!$A$1:$H$592</definedName>
    <definedName name="_xlnm.Print_Area" localSheetId="7">'Bill No.6 Plumbing'!$A$1:$H$212</definedName>
    <definedName name="_xlnm.Print_Area" localSheetId="8">'BILL NO.9 PROVISIONAL'!$A$1:$H$38</definedName>
    <definedName name="_xlnm.Print_Area" localSheetId="2">'C_Bill No. 3 Main bld (2)'!$A$1:$H$367</definedName>
    <definedName name="_xlnm.Print_Area" localSheetId="1">GS!$A$1:$E$49</definedName>
    <definedName name="_xlnm.Print_Area" localSheetId="0">'Misk Format'!$A$1:$L$450</definedName>
    <definedName name="PRINT_area_M" localSheetId="0">#REF!</definedName>
    <definedName name="PRINT_area_M">#REF!</definedName>
    <definedName name="Print_Area_MI" localSheetId="0">#REF!</definedName>
    <definedName name="Print_Area_MI">#REF!</definedName>
    <definedName name="PRINT_AREA_MI___0" localSheetId="0">#REF!</definedName>
    <definedName name="PRINT_AREA_MI___0">#REF!</definedName>
    <definedName name="Print_Area_MI_15" localSheetId="0">#REF!</definedName>
    <definedName name="Print_Area_MI_15">#REF!</definedName>
    <definedName name="Print_Area_MI_17" localSheetId="0">#REF!</definedName>
    <definedName name="Print_Area_MI_17">#REF!</definedName>
    <definedName name="PRINT_AREA_MI1" localSheetId="0">#REF!</definedName>
    <definedName name="PRINT_AREA_MI1">#REF!</definedName>
    <definedName name="Print_Area_Reset" localSheetId="0">#REF!</definedName>
    <definedName name="Print_Area_Reset">#REF!</definedName>
    <definedName name="Print_Areas" localSheetId="0">#REF!</definedName>
    <definedName name="Print_Areas">#REF!</definedName>
    <definedName name="Print_Checklist" localSheetId="0">#REF!</definedName>
    <definedName name="Print_Checklist">#REF!</definedName>
    <definedName name="Print_Cover" localSheetId="0">#REF!</definedName>
    <definedName name="Print_Cover">#REF!</definedName>
    <definedName name="Print_ITR" localSheetId="0">#REF!</definedName>
    <definedName name="Print_ITR">#REF!</definedName>
    <definedName name="Print_Range" localSheetId="0">#REF!</definedName>
    <definedName name="Print_Range">#REF!</definedName>
    <definedName name="Print_Settlement" localSheetId="0">#REF!</definedName>
    <definedName name="Print_Settlement">#REF!</definedName>
    <definedName name="_xlnm.Print_Titles" localSheetId="0">'Misk Format'!$1:$2</definedName>
    <definedName name="Print_Titles_MI" localSheetId="0">#REF!</definedName>
    <definedName name="Print_Titles_MI">#REF!</definedName>
    <definedName name="Print_TRA" localSheetId="0">#REF!</definedName>
    <definedName name="Print_TRA">#REF!</definedName>
    <definedName name="PRINT1" localSheetId="0">#REF!</definedName>
    <definedName name="PRINT1">#REF!</definedName>
    <definedName name="PRINTALL" localSheetId="0">#REF!</definedName>
    <definedName name="PRINTALL">#REF!</definedName>
    <definedName name="PrintArea" localSheetId="0">#REF!</definedName>
    <definedName name="PrintArea">#REF!</definedName>
    <definedName name="printareaconc" localSheetId="0">#REF!</definedName>
    <definedName name="printareaconc">#REF!</definedName>
    <definedName name="priya" localSheetId="0">#REF!</definedName>
    <definedName name="priya">#REF!</definedName>
    <definedName name="PRJ_ELBK_CST_EDITBY" localSheetId="0">#REF!</definedName>
    <definedName name="PRJ_ELBK_CST_EDITBY">#REF!</definedName>
    <definedName name="PRJ_ELBK_CST_EDITDATE" localSheetId="0">#REF!</definedName>
    <definedName name="PRJ_ELBK_CST_EDITDATE">#REF!</definedName>
    <definedName name="PRJ_ELEQ_CST_EDITBY" localSheetId="0">#REF!</definedName>
    <definedName name="PRJ_ELEQ_CST_EDITBY">#REF!</definedName>
    <definedName name="PRJ_ELEQ_CST_EDITDATE" localSheetId="0">#REF!</definedName>
    <definedName name="PRJ_ELEQ_CST_EDITDATE">#REF!</definedName>
    <definedName name="PRJ_INSTR_CST_EDITBY" localSheetId="0">#REF!</definedName>
    <definedName name="PRJ_INSTR_CST_EDITBY">#REF!</definedName>
    <definedName name="PRJ_INSTR_CST_EDITDATE" localSheetId="0">#REF!</definedName>
    <definedName name="PRJ_INSTR_CST_EDITDATE">#REF!</definedName>
    <definedName name="pro" localSheetId="0">#REF!</definedName>
    <definedName name="pro">#REF!</definedName>
    <definedName name="pro_title" localSheetId="0">#REF!</definedName>
    <definedName name="pro_title">#REF!</definedName>
    <definedName name="Proc_Hrs" localSheetId="0">#REF!</definedName>
    <definedName name="Proc_Hrs">#REF!</definedName>
    <definedName name="Proc_Rev" localSheetId="0">#REF!</definedName>
    <definedName name="Proc_Rev">#REF!</definedName>
    <definedName name="ProdForm" localSheetId="0">#REF!</definedName>
    <definedName name="ProdForm">#REF!</definedName>
    <definedName name="Product" localSheetId="0">#REF!</definedName>
    <definedName name="Product">#REF!</definedName>
    <definedName name="Prof" localSheetId="0">#REF!</definedName>
    <definedName name="Prof">#REF!</definedName>
    <definedName name="Prof_fees" localSheetId="0">#REF!</definedName>
    <definedName name="Prof_fees">#REF!</definedName>
    <definedName name="Prof_fees1" localSheetId="0">#REF!</definedName>
    <definedName name="Prof_fees1">#REF!</definedName>
    <definedName name="Program_Plan" localSheetId="0">#REF!</definedName>
    <definedName name="Program_Plan">#REF!</definedName>
    <definedName name="ProgRpt_in" localSheetId="0">#REF!</definedName>
    <definedName name="ProgRpt_in">#REF!</definedName>
    <definedName name="proj" localSheetId="0">#REF!</definedName>
    <definedName name="proj">#REF!</definedName>
    <definedName name="projcum" localSheetId="0">#REF!</definedName>
    <definedName name="projcum">#REF!</definedName>
    <definedName name="ProjDay" localSheetId="0">#REF!</definedName>
    <definedName name="ProjDay">#REF!</definedName>
    <definedName name="project" localSheetId="0">#REF!</definedName>
    <definedName name="project">#REF!</definedName>
    <definedName name="PROJECT_Description" localSheetId="0">#REF!</definedName>
    <definedName name="PROJECT_Description">#REF!</definedName>
    <definedName name="PROJECT_Description1" localSheetId="0">#REF!</definedName>
    <definedName name="PROJECT_Description1">#REF!</definedName>
    <definedName name="PROJECT_Description2" localSheetId="0">#REF!</definedName>
    <definedName name="PROJECT_Description2">#REF!</definedName>
    <definedName name="Project_Start_Year" localSheetId="0">#REF!</definedName>
    <definedName name="Project_Start_Year">#REF!</definedName>
    <definedName name="project1" localSheetId="0">#REF!</definedName>
    <definedName name="project1">#REF!</definedName>
    <definedName name="ProjectLocation" localSheetId="0">#REF!</definedName>
    <definedName name="ProjectLocation">#REF!</definedName>
    <definedName name="ProjectNo_1" localSheetId="0">#REF!</definedName>
    <definedName name="ProjectNo_1">#REF!</definedName>
    <definedName name="ProjectNumber" localSheetId="0">#REF!</definedName>
    <definedName name="ProjectNumber">#REF!</definedName>
    <definedName name="ProjectSubtitle" localSheetId="0">#REF!</definedName>
    <definedName name="ProjectSubtitle">#REF!</definedName>
    <definedName name="ProjectTitle" localSheetId="0">#REF!</definedName>
    <definedName name="ProjectTitle">#REF!</definedName>
    <definedName name="ProjMonth" localSheetId="0">#REF!</definedName>
    <definedName name="ProjMonth">#REF!</definedName>
    <definedName name="projmonthly" localSheetId="0">#REF!</definedName>
    <definedName name="projmonthly">#REF!</definedName>
    <definedName name="ProjYear" localSheetId="0">#REF!</definedName>
    <definedName name="ProjYear">#REF!</definedName>
    <definedName name="Proname" localSheetId="0">#REF!</definedName>
    <definedName name="Proname">#REF!</definedName>
    <definedName name="Property_Name" localSheetId="0">#REF!</definedName>
    <definedName name="Property_Name">#REF!</definedName>
    <definedName name="PropStat" localSheetId="0">#REF!</definedName>
    <definedName name="PropStat">#REF!</definedName>
    <definedName name="Provforecastfinal" localSheetId="0">#REF!</definedName>
    <definedName name="Provforecastfinal">#REF!</definedName>
    <definedName name="Providing_and_laying_3mm_thick_Vinyl_flooring_in_roll_form_of_width_not_less" localSheetId="0">#REF!</definedName>
    <definedName name="Providing_and_laying_3mm_thick_Vinyl_flooring_in_roll_form_of_width_not_less">#REF!</definedName>
    <definedName name="PS" localSheetId="0">#REF!</definedName>
    <definedName name="PS">#REF!</definedName>
    <definedName name="PS___0" localSheetId="0">#REF!</definedName>
    <definedName name="PS___0">#REF!</definedName>
    <definedName name="PS___13" localSheetId="0">#REF!</definedName>
    <definedName name="PS___13">#REF!</definedName>
    <definedName name="ptgroutcost" localSheetId="0">#REF!</definedName>
    <definedName name="ptgroutcost">#REF!</definedName>
    <definedName name="Ptroller" localSheetId="0">#REF!</definedName>
    <definedName name="Ptroller">#REF!</definedName>
    <definedName name="ptslabs" localSheetId="0">#REF!</definedName>
    <definedName name="ptslabs">#REF!</definedName>
    <definedName name="Pu" localSheetId="0">#REF!</definedName>
    <definedName name="Pu">#REF!</definedName>
    <definedName name="PVatTotIRR" localSheetId="0">#REF!</definedName>
    <definedName name="PVatTotIRR">#REF!</definedName>
    <definedName name="pvc_100" localSheetId="0">#REF!</definedName>
    <definedName name="pvc_100">#REF!</definedName>
    <definedName name="pvc_15" localSheetId="0">#REF!</definedName>
    <definedName name="pvc_15">#REF!</definedName>
    <definedName name="pvc_150" localSheetId="0">#REF!</definedName>
    <definedName name="pvc_150">#REF!</definedName>
    <definedName name="pvc_20" localSheetId="0">#REF!</definedName>
    <definedName name="pvc_20">#REF!</definedName>
    <definedName name="pvc_200" localSheetId="0">#REF!</definedName>
    <definedName name="pvc_200">#REF!</definedName>
    <definedName name="pvc_25" localSheetId="0">#REF!</definedName>
    <definedName name="pvc_25">#REF!</definedName>
    <definedName name="pvc_250" localSheetId="0">#REF!</definedName>
    <definedName name="pvc_250">#REF!</definedName>
    <definedName name="pvc_300" localSheetId="0">#REF!</definedName>
    <definedName name="pvc_300">#REF!</definedName>
    <definedName name="pvc_32" localSheetId="0">#REF!</definedName>
    <definedName name="pvc_32">#REF!</definedName>
    <definedName name="pvc_40" localSheetId="0">#REF!</definedName>
    <definedName name="pvc_40">#REF!</definedName>
    <definedName name="pvc_400" localSheetId="0">#REF!</definedName>
    <definedName name="pvc_400">#REF!</definedName>
    <definedName name="pvc_50" localSheetId="0">#REF!</definedName>
    <definedName name="pvc_50">#REF!</definedName>
    <definedName name="pvc_600" localSheetId="0">#REF!</definedName>
    <definedName name="pvc_600">#REF!</definedName>
    <definedName name="pvc_65" localSheetId="0">#REF!</definedName>
    <definedName name="pvc_65">#REF!</definedName>
    <definedName name="pvc_80" localSheetId="0">#REF!</definedName>
    <definedName name="pvc_80">#REF!</definedName>
    <definedName name="pvcpipe100" localSheetId="0">#REF!</definedName>
    <definedName name="pvcpipe100">#REF!</definedName>
    <definedName name="pvcpipe150" localSheetId="0">#REF!</definedName>
    <definedName name="pvcpipe150">#REF!</definedName>
    <definedName name="pvcpipe50" localSheetId="0">#REF!</definedName>
    <definedName name="pvcpipe50">#REF!</definedName>
    <definedName name="PWR_BLK_TRAY" localSheetId="0">#REF!</definedName>
    <definedName name="PWR_BLK_TRAY">#REF!</definedName>
    <definedName name="py" localSheetId="0">#REF!</definedName>
    <definedName name="py">#REF!</definedName>
    <definedName name="Q" localSheetId="0">#REF!</definedName>
    <definedName name="Q">#REF!</definedName>
    <definedName name="Qc" localSheetId="0">#REF!</definedName>
    <definedName name="Qc">#REF!</definedName>
    <definedName name="Qc___0" localSheetId="0">#REF!</definedName>
    <definedName name="Qc___0">#REF!</definedName>
    <definedName name="Qc___13" localSheetId="0">#REF!</definedName>
    <definedName name="Qc___13">#REF!</definedName>
    <definedName name="qewrretydrtw" localSheetId="0">#REF!</definedName>
    <definedName name="qewrretydrtw">#REF!</definedName>
    <definedName name="Qf" localSheetId="0">#REF!</definedName>
    <definedName name="Qf">#REF!</definedName>
    <definedName name="Qf___0" localSheetId="0">#REF!</definedName>
    <definedName name="Qf___0">#REF!</definedName>
    <definedName name="Qf___13" localSheetId="0">#REF!</definedName>
    <definedName name="Qf___13">#REF!</definedName>
    <definedName name="Qi" localSheetId="0">#REF!</definedName>
    <definedName name="Qi">#REF!</definedName>
    <definedName name="Qi___0" localSheetId="0">#REF!</definedName>
    <definedName name="Qi___0">#REF!</definedName>
    <definedName name="Qi___13" localSheetId="0">#REF!</definedName>
    <definedName name="Qi___13">#REF!</definedName>
    <definedName name="Ql" localSheetId="0">#REF!</definedName>
    <definedName name="Ql">#REF!</definedName>
    <definedName name="Ql___0" localSheetId="0">#REF!</definedName>
    <definedName name="Ql___0">#REF!</definedName>
    <definedName name="Ql___13" localSheetId="0">#REF!</definedName>
    <definedName name="Ql___13">#REF!</definedName>
    <definedName name="qq" localSheetId="0">#REF!</definedName>
    <definedName name="qq">#REF!</definedName>
    <definedName name="QQQQQQQQQQQQQ" localSheetId="0">#REF!</definedName>
    <definedName name="QQQQQQQQQQQQQ">#REF!</definedName>
    <definedName name="qqqqqqqqqqqqqqqq" localSheetId="0">#REF!</definedName>
    <definedName name="qqqqqqqqqqqqqqqq">#REF!</definedName>
    <definedName name="QRQWD" localSheetId="0">#REF!</definedName>
    <definedName name="QRQWD">#REF!</definedName>
    <definedName name="qs" localSheetId="0">#REF!</definedName>
    <definedName name="qs">#REF!</definedName>
    <definedName name="Qspan" localSheetId="0">#REF!</definedName>
    <definedName name="Qspan">#REF!</definedName>
    <definedName name="QTY" localSheetId="0">#REF!</definedName>
    <definedName name="QTY">#REF!</definedName>
    <definedName name="Qty." localSheetId="0">#REF!</definedName>
    <definedName name="Qty.">#REF!</definedName>
    <definedName name="Qty_as_on" localSheetId="0">#REF!</definedName>
    <definedName name="Qty_as_on">#REF!</definedName>
    <definedName name="Qty_as_on_apr" localSheetId="0">#REF!</definedName>
    <definedName name="Qty_as_on_apr">#REF!</definedName>
    <definedName name="QTY_DISC_MV" localSheetId="0">#REF!</definedName>
    <definedName name="QTY_DISC_MV">#REF!</definedName>
    <definedName name="QtyAlu" localSheetId="0">#REF!</definedName>
    <definedName name="QtyAlu">#REF!</definedName>
    <definedName name="qtyunitsum" localSheetId="0">#REF!</definedName>
    <definedName name="qtyunitsum">#REF!</definedName>
    <definedName name="qua" localSheetId="0">#REF!</definedName>
    <definedName name="qua">#REF!</definedName>
    <definedName name="Quantity" localSheetId="0">#REF!</definedName>
    <definedName name="Quantity">#REF!</definedName>
    <definedName name="QUANTITY1" localSheetId="0">#REF!</definedName>
    <definedName name="QUANTITY1">#REF!</definedName>
    <definedName name="quar" localSheetId="0">#REF!</definedName>
    <definedName name="quar">#REF!</definedName>
    <definedName name="quarter_1" localSheetId="0">#REF!</definedName>
    <definedName name="quarter_1">#REF!</definedName>
    <definedName name="quarter_2" localSheetId="0">#REF!</definedName>
    <definedName name="quarter_2">#REF!</definedName>
    <definedName name="quarter_3" localSheetId="0">#REF!</definedName>
    <definedName name="quarter_3">#REF!</definedName>
    <definedName name="quarter_4" localSheetId="0">#REF!</definedName>
    <definedName name="quarter_4">#REF!</definedName>
    <definedName name="quarterly_report" localSheetId="0">#REF!</definedName>
    <definedName name="quarterly_report">#REF!</definedName>
    <definedName name="QUARTZ" localSheetId="0">#REF!</definedName>
    <definedName name="QUARTZ">#REF!</definedName>
    <definedName name="Qv" localSheetId="0">#REF!</definedName>
    <definedName name="Qv">#REF!</definedName>
    <definedName name="qw" localSheetId="0">#REF!</definedName>
    <definedName name="qw">#REF!</definedName>
    <definedName name="qwerwqerwe" localSheetId="0">#REF!</definedName>
    <definedName name="qwerwqerwe">#REF!</definedName>
    <definedName name="qzqzqz10" localSheetId="0">#REF!</definedName>
    <definedName name="qzqzqz10">#REF!</definedName>
    <definedName name="qzqzqz11" localSheetId="0">#REF!</definedName>
    <definedName name="qzqzqz11">#REF!</definedName>
    <definedName name="qzqzqz12" localSheetId="0">#REF!</definedName>
    <definedName name="qzqzqz12">#REF!</definedName>
    <definedName name="qzqzqz13" localSheetId="0">#REF!</definedName>
    <definedName name="qzqzqz13">#REF!</definedName>
    <definedName name="qzqzqz14" localSheetId="0">#REF!</definedName>
    <definedName name="qzqzqz14">#REF!</definedName>
    <definedName name="qzqzqz15" localSheetId="0">#REF!</definedName>
    <definedName name="qzqzqz15">#REF!</definedName>
    <definedName name="qzqzqz16" localSheetId="0">#REF!</definedName>
    <definedName name="qzqzqz16">#REF!</definedName>
    <definedName name="qzqzqz17" localSheetId="0">#REF!</definedName>
    <definedName name="qzqzqz17">#REF!</definedName>
    <definedName name="qzqzqz18" localSheetId="0">#REF!</definedName>
    <definedName name="qzqzqz18">#REF!</definedName>
    <definedName name="qzqzqz19" localSheetId="0">#REF!</definedName>
    <definedName name="qzqzqz19">#REF!</definedName>
    <definedName name="qzqzqz20" localSheetId="0">#REF!</definedName>
    <definedName name="qzqzqz20">#REF!</definedName>
    <definedName name="qzqzqz21" localSheetId="0">#REF!</definedName>
    <definedName name="qzqzqz21">#REF!</definedName>
    <definedName name="qzqzqz22" localSheetId="0">#REF!</definedName>
    <definedName name="qzqzqz22">#REF!</definedName>
    <definedName name="qzqzqz23" localSheetId="0">#REF!</definedName>
    <definedName name="qzqzqz23">#REF!</definedName>
    <definedName name="qzqzqz24" localSheetId="0">#REF!</definedName>
    <definedName name="qzqzqz24">#REF!</definedName>
    <definedName name="qzqzqz25" localSheetId="0">#REF!</definedName>
    <definedName name="qzqzqz25">#REF!</definedName>
    <definedName name="qzqzqz26" localSheetId="0">#REF!</definedName>
    <definedName name="qzqzqz26">#REF!</definedName>
    <definedName name="qzqzqz27" localSheetId="0">#REF!</definedName>
    <definedName name="qzqzqz27">#REF!</definedName>
    <definedName name="qzqzqz28" localSheetId="0">#REF!</definedName>
    <definedName name="qzqzqz28">#REF!</definedName>
    <definedName name="qzqzqz29" localSheetId="0">#REF!</definedName>
    <definedName name="qzqzqz29">#REF!</definedName>
    <definedName name="qzqzqz30" localSheetId="0">#REF!</definedName>
    <definedName name="qzqzqz30">#REF!</definedName>
    <definedName name="qzqzqz31" localSheetId="0">#REF!</definedName>
    <definedName name="qzqzqz31">#REF!</definedName>
    <definedName name="qzqzqz32" localSheetId="0">#REF!</definedName>
    <definedName name="qzqzqz32">#REF!</definedName>
    <definedName name="qzqzqz6" localSheetId="0">#REF!</definedName>
    <definedName name="qzqzqz6">#REF!</definedName>
    <definedName name="qzqzqz7" localSheetId="0">#REF!</definedName>
    <definedName name="qzqzqz7">#REF!</definedName>
    <definedName name="qzqzqz8" localSheetId="0">#REF!</definedName>
    <definedName name="qzqzqz8">#REF!</definedName>
    <definedName name="qzqzqz9" localSheetId="0">#REF!</definedName>
    <definedName name="qzqzqz9">#REF!</definedName>
    <definedName name="r.1" localSheetId="0">#REF!</definedName>
    <definedName name="r.1">#REF!</definedName>
    <definedName name="R_" localSheetId="0">#REF!</definedName>
    <definedName name="R_">#REF!</definedName>
    <definedName name="R___variation_factor_in_capacity_per_degree_Celcius" localSheetId="0">#REF!</definedName>
    <definedName name="R___variation_factor_in_capacity_per_degree_Celcius">#REF!</definedName>
    <definedName name="R_DATA" localSheetId="0">#REF!</definedName>
    <definedName name="R_DATA">#REF!</definedName>
    <definedName name="raams" localSheetId="0">#REF!</definedName>
    <definedName name="raams">#REF!</definedName>
    <definedName name="RAAMS12" localSheetId="0">#REF!</definedName>
    <definedName name="RAAMS12">#REF!</definedName>
    <definedName name="raams23" localSheetId="0">#REF!</definedName>
    <definedName name="raams23">#REF!</definedName>
    <definedName name="raftconc" localSheetId="0">#REF!</definedName>
    <definedName name="raftconc">#REF!</definedName>
    <definedName name="RaftD" localSheetId="0">#REF!</definedName>
    <definedName name="RaftD">#REF!</definedName>
    <definedName name="RaftSlbThk" localSheetId="0">#REF!</definedName>
    <definedName name="RaftSlbThk">#REF!</definedName>
    <definedName name="rafttogfopcconcrete" localSheetId="0">#REF!</definedName>
    <definedName name="rafttogfopcconcrete">#REF!</definedName>
    <definedName name="railing" localSheetId="0">#REF!</definedName>
    <definedName name="railing">#REF!</definedName>
    <definedName name="raj" localSheetId="0">#REF!</definedName>
    <definedName name="raj">#REF!</definedName>
    <definedName name="raja" localSheetId="0">#REF!</definedName>
    <definedName name="raja">#REF!</definedName>
    <definedName name="RAJESH" localSheetId="0">#REF!</definedName>
    <definedName name="RAJESH">#REF!</definedName>
    <definedName name="RANGE" localSheetId="0">#REF!</definedName>
    <definedName name="RANGE">#REF!</definedName>
    <definedName name="range_mix_M30" localSheetId="0">#REF!</definedName>
    <definedName name="range_mix_M30">#REF!</definedName>
    <definedName name="range1" localSheetId="0">#REF!</definedName>
    <definedName name="range1">#REF!</definedName>
    <definedName name="RASH" localSheetId="0">#REF!</definedName>
    <definedName name="RASH">#REF!</definedName>
    <definedName name="RatAna" localSheetId="0">#REF!</definedName>
    <definedName name="RatAna">#REF!</definedName>
    <definedName name="rate" localSheetId="0">#REF!</definedName>
    <definedName name="rate">#REF!</definedName>
    <definedName name="RATIO" localSheetId="0">#REF!</definedName>
    <definedName name="RATIO">#REF!</definedName>
    <definedName name="ratio_theorical_to_actual_weight_reinforcement" localSheetId="0">#REF!</definedName>
    <definedName name="ratio_theorical_to_actual_weight_reinforcement">#REF!</definedName>
    <definedName name="Rc_Costs" localSheetId="0">#REF!</definedName>
    <definedName name="Rc_Costs">#REF!</definedName>
    <definedName name="RC_Mhrs" localSheetId="0">#REF!</definedName>
    <definedName name="RC_Mhrs">#REF!</definedName>
    <definedName name="RCArea" localSheetId="0">#REF!</definedName>
    <definedName name="RCArea">#REF!</definedName>
    <definedName name="rccm20pcc" localSheetId="0">#REF!</definedName>
    <definedName name="rccm20pcc">#REF!</definedName>
    <definedName name="rccm30pcc" localSheetId="0">#REF!</definedName>
    <definedName name="rccm30pcc">#REF!</definedName>
    <definedName name="RCT" localSheetId="0">#REF!</definedName>
    <definedName name="RCT">#REF!</definedName>
    <definedName name="RCVFINAL" localSheetId="0">#REF!</definedName>
    <definedName name="RCVFINAL">#REF!</definedName>
    <definedName name="rcwbgl" localSheetId="0">#REF!</definedName>
    <definedName name="rcwbgl">#REF!</definedName>
    <definedName name="rcwbgl2" localSheetId="0">#REF!</definedName>
    <definedName name="rcwbgl2">#REF!</definedName>
    <definedName name="RDGBWSGBTBTGBSHBEG" localSheetId="0">#REF!</definedName>
    <definedName name="RDGBWSGBTBTGBSHBEG">#REF!</definedName>
    <definedName name="rdtd" localSheetId="0">#REF!</definedName>
    <definedName name="rdtd">#REF!</definedName>
    <definedName name="Re" localSheetId="0">#REF!</definedName>
    <definedName name="Re">#REF!</definedName>
    <definedName name="Re___0" localSheetId="0">#REF!</definedName>
    <definedName name="Re___0">#REF!</definedName>
    <definedName name="Re___13" localSheetId="0">#REF!</definedName>
    <definedName name="Re___13">#REF!</definedName>
    <definedName name="rebar" localSheetId="0">#REF!</definedName>
    <definedName name="rebar">#REF!</definedName>
    <definedName name="Rebar_Qty._for_Bottom_L" localSheetId="0">#REF!</definedName>
    <definedName name="Rebar_Qty._for_Bottom_L">#REF!</definedName>
    <definedName name="rebar1" localSheetId="0">#REF!</definedName>
    <definedName name="rebar1">#REF!</definedName>
    <definedName name="Rebars" localSheetId="6">#REF!</definedName>
    <definedName name="Rebars" localSheetId="7">#REF!</definedName>
    <definedName name="Rebars" localSheetId="0">#REF!</definedName>
    <definedName name="Rebars">#REF!</definedName>
    <definedName name="rec" localSheetId="0">#REF!</definedName>
    <definedName name="rec">#REF!</definedName>
    <definedName name="RECEPT" localSheetId="0">#REF!</definedName>
    <definedName name="RECEPT">#REF!</definedName>
    <definedName name="reconcilation" localSheetId="0">#REF!</definedName>
    <definedName name="reconcilation">#REF!</definedName>
    <definedName name="rect_4_415" localSheetId="0">#REF!</definedName>
    <definedName name="rect_4_415">#REF!</definedName>
    <definedName name="reee" localSheetId="0">#REF!</definedName>
    <definedName name="reee">#REF!</definedName>
    <definedName name="REF" localSheetId="0">#REF!</definedName>
    <definedName name="REF">#REF!</definedName>
    <definedName name="RefMWeGross" localSheetId="0">#REF!</definedName>
    <definedName name="RefMWeGross">#REF!</definedName>
    <definedName name="RefPlant" localSheetId="0">#REF!</definedName>
    <definedName name="RefPlant">#REF!</definedName>
    <definedName name="RefPlantBasis" localSheetId="0">#REF!</definedName>
    <definedName name="RefPlantBasis">#REF!</definedName>
    <definedName name="RefPlantDate" localSheetId="0">#REF!</definedName>
    <definedName name="RefPlantDate">#REF!</definedName>
    <definedName name="RefPlantPPH" localSheetId="0">#REF!</definedName>
    <definedName name="RefPlantPPH">#REF!</definedName>
    <definedName name="REFRESH" localSheetId="0">#REF!</definedName>
    <definedName name="REFRESH">#REF!</definedName>
    <definedName name="REG" localSheetId="0">#REF!</definedName>
    <definedName name="REG">#REF!</definedName>
    <definedName name="region" localSheetId="0">#REF!</definedName>
    <definedName name="region">#REF!</definedName>
    <definedName name="REGULAR_STAFF" localSheetId="0">#REF!</definedName>
    <definedName name="REGULAR_STAFF">#REF!</definedName>
    <definedName name="REGULAR_STAFF_ENTRY" localSheetId="0">#REF!</definedName>
    <definedName name="REGULAR_STAFF_ENTRY">#REF!</definedName>
    <definedName name="Rein_cum" localSheetId="0">#REF!</definedName>
    <definedName name="Rein_cum">#REF!</definedName>
    <definedName name="rel" localSheetId="0">#REF!</definedName>
    <definedName name="rel">#REF!</definedName>
    <definedName name="Release2ndMoietyRetention" localSheetId="0">#REF!</definedName>
    <definedName name="Release2ndMoietyRetention">#REF!</definedName>
    <definedName name="RENE" localSheetId="0">#REF!</definedName>
    <definedName name="RENE">#REF!</definedName>
    <definedName name="Report" localSheetId="0">#REF!</definedName>
    <definedName name="Report">#REF!</definedName>
    <definedName name="Report_Area" localSheetId="0">#REF!</definedName>
    <definedName name="Report_Area">#REF!</definedName>
    <definedName name="req" localSheetId="0">#REF!</definedName>
    <definedName name="req">#REF!</definedName>
    <definedName name="requiredRangeForFilters" localSheetId="0">#REF!</definedName>
    <definedName name="requiredRangeForFilters">#REF!</definedName>
    <definedName name="RES" localSheetId="0">#REF!</definedName>
    <definedName name="RES">#REF!</definedName>
    <definedName name="resi" localSheetId="0">#REF!</definedName>
    <definedName name="resi">#REF!</definedName>
    <definedName name="results" localSheetId="0">#REF!</definedName>
    <definedName name="results">#REF!</definedName>
    <definedName name="results_range" localSheetId="0">#REF!</definedName>
    <definedName name="results_range">#REF!</definedName>
    <definedName name="Retaining" localSheetId="0">#REF!</definedName>
    <definedName name="Retaining">#REF!</definedName>
    <definedName name="RETAININGWALL" localSheetId="0">#REF!</definedName>
    <definedName name="RETAININGWALL">#REF!</definedName>
    <definedName name="Retention_percentage1" localSheetId="0">#REF!</definedName>
    <definedName name="Retention_percentage1">#REF!</definedName>
    <definedName name="Retention_period1" localSheetId="0">#REF!</definedName>
    <definedName name="Retention_period1">#REF!</definedName>
    <definedName name="REV" localSheetId="0">#REF!</definedName>
    <definedName name="REV">#REF!</definedName>
    <definedName name="Rev_No" localSheetId="0">#REF!</definedName>
    <definedName name="Rev_No">#REF!</definedName>
    <definedName name="REVASSUM" localSheetId="0">#REF!</definedName>
    <definedName name="REVASSUM">#REF!</definedName>
    <definedName name="RevDate" localSheetId="0">#REF!</definedName>
    <definedName name="RevDate">#REF!</definedName>
    <definedName name="RevEnd_1" localSheetId="0">#REF!</definedName>
    <definedName name="RevEnd_1">#REF!</definedName>
    <definedName name="Revenue_Assumption" localSheetId="0">#REF!</definedName>
    <definedName name="Revenue_Assumption">#REF!</definedName>
    <definedName name="REVISED" localSheetId="0">#REF!</definedName>
    <definedName name="REVISED">#REF!</definedName>
    <definedName name="Revision" localSheetId="0">#REF!</definedName>
    <definedName name="Revision">#REF!</definedName>
    <definedName name="revision1" localSheetId="0">#REF!</definedName>
    <definedName name="revision1">#REF!</definedName>
    <definedName name="REVISION12" localSheetId="0">#REF!</definedName>
    <definedName name="REVISION12">#REF!</definedName>
    <definedName name="REVISION23" localSheetId="0">#REF!</definedName>
    <definedName name="REVISION23">#REF!</definedName>
    <definedName name="RevNo_1" localSheetId="0">#REF!</definedName>
    <definedName name="RevNo_1">#REF!</definedName>
    <definedName name="REW" localSheetId="0">#REF!</definedName>
    <definedName name="REW">#REF!</definedName>
    <definedName name="rf" localSheetId="0">#REF!</definedName>
    <definedName name="rf">#REF!</definedName>
    <definedName name="Rg" localSheetId="0">#REF!</definedName>
    <definedName name="Rg">#REF!</definedName>
    <definedName name="rgasdgasdsdg" localSheetId="0">#REF!</definedName>
    <definedName name="rgasdgasdsdg">#REF!</definedName>
    <definedName name="rgfr" localSheetId="0">#REF!</definedName>
    <definedName name="rgfr">#REF!</definedName>
    <definedName name="rgs" localSheetId="0">#REF!</definedName>
    <definedName name="rgs">#REF!</definedName>
    <definedName name="RH" localSheetId="0">#REF!</definedName>
    <definedName name="RH">#REF!</definedName>
    <definedName name="rho" localSheetId="0">#REF!</definedName>
    <definedName name="rho">#REF!</definedName>
    <definedName name="RHS" localSheetId="0">#REF!</definedName>
    <definedName name="RHS">#REF!</definedName>
    <definedName name="RID" localSheetId="0">#REF!</definedName>
    <definedName name="RID">#REF!</definedName>
    <definedName name="rig" localSheetId="0">#REF!</definedName>
    <definedName name="rig">#REF!</definedName>
    <definedName name="Rl" localSheetId="0">#REF!</definedName>
    <definedName name="Rl">#REF!</definedName>
    <definedName name="Rl___0" localSheetId="0">#REF!</definedName>
    <definedName name="Rl___0">#REF!</definedName>
    <definedName name="Rl___13" localSheetId="0">#REF!</definedName>
    <definedName name="Rl___13">#REF!</definedName>
    <definedName name="Rlead" localSheetId="0">#REF!</definedName>
    <definedName name="Rlead">#REF!</definedName>
    <definedName name="Rm" localSheetId="0">#REF!</definedName>
    <definedName name="Rm">#REF!</definedName>
    <definedName name="rm4e" localSheetId="0">#REF!</definedName>
    <definedName name="rm4e">#REF!</definedName>
    <definedName name="RNNN" localSheetId="0">#REF!</definedName>
    <definedName name="RNNN">#REF!</definedName>
    <definedName name="road" localSheetId="0">#REF!</definedName>
    <definedName name="road">#REF!</definedName>
    <definedName name="roadexcavation1pcc" localSheetId="0">#REF!</definedName>
    <definedName name="roadexcavation1pcc">#REF!</definedName>
    <definedName name="ROADWAY_FIXT" localSheetId="0">#REF!</definedName>
    <definedName name="ROADWAY_FIXT">#REF!</definedName>
    <definedName name="robot" localSheetId="0">#REF!</definedName>
    <definedName name="robot">#REF!</definedName>
    <definedName name="robot1" localSheetId="0">#REF!</definedName>
    <definedName name="robot1">#REF!</definedName>
    <definedName name="roller" localSheetId="0">#REF!</definedName>
    <definedName name="roller">#REF!</definedName>
    <definedName name="ROOF" localSheetId="0">#REF!</definedName>
    <definedName name="ROOF">#REF!</definedName>
    <definedName name="ROOF_BEAM" localSheetId="0">#REF!</definedName>
    <definedName name="ROOF_BEAM">#REF!</definedName>
    <definedName name="rose" localSheetId="0">#REF!</definedName>
    <definedName name="rose">#REF!</definedName>
    <definedName name="rosid" localSheetId="0">#REF!</definedName>
    <definedName name="rosid">#REF!</definedName>
    <definedName name="roughstone" localSheetId="0">#REF!</definedName>
    <definedName name="roughstone">#REF!</definedName>
    <definedName name="RQQQ" localSheetId="0">#REF!</definedName>
    <definedName name="RQQQ">#REF!</definedName>
    <definedName name="rrammv" localSheetId="0">#REF!</definedName>
    <definedName name="rrammv">#REF!</definedName>
    <definedName name="rrcost" localSheetId="0">#REF!</definedName>
    <definedName name="rrcost">#REF!</definedName>
    <definedName name="Rrelay" localSheetId="0">#REF!</definedName>
    <definedName name="Rrelay">#REF!</definedName>
    <definedName name="rrrrrr" localSheetId="0">#REF!</definedName>
    <definedName name="rrrrrr">#REF!</definedName>
    <definedName name="rrrrrrrrrr" localSheetId="0">#REF!</definedName>
    <definedName name="rrrrrrrrrr">#REF!</definedName>
    <definedName name="rrrrrrrrrrr" localSheetId="0">#REF!</definedName>
    <definedName name="rrrrrrrrrrr">#REF!</definedName>
    <definedName name="rrrrrrrrrrrrrrrrrrrr" localSheetId="0">#REF!</definedName>
    <definedName name="rrrrrrrrrrrrrrrrrrrr">#REF!</definedName>
    <definedName name="rrty" localSheetId="0">#REF!</definedName>
    <definedName name="rrty">#REF!</definedName>
    <definedName name="Rs" localSheetId="0">#REF!</definedName>
    <definedName name="Rs">#REF!</definedName>
    <definedName name="Rs___0" localSheetId="0">#REF!</definedName>
    <definedName name="Rs___0">#REF!</definedName>
    <definedName name="Rs___13" localSheetId="0">#REF!</definedName>
    <definedName name="Rs___13">#REF!</definedName>
    <definedName name="rsat" localSheetId="0">#REF!</definedName>
    <definedName name="rsat">#REF!</definedName>
    <definedName name="Rse" localSheetId="0">#REF!</definedName>
    <definedName name="Rse">#REF!</definedName>
    <definedName name="Rse___0" localSheetId="0">#REF!</definedName>
    <definedName name="Rse___0">#REF!</definedName>
    <definedName name="Rse___13" localSheetId="0">#REF!</definedName>
    <definedName name="Rse___13">#REF!</definedName>
    <definedName name="rtr" localSheetId="0">#REF!</definedName>
    <definedName name="rtr">#REF!</definedName>
    <definedName name="rtrt" localSheetId="0">#REF!</definedName>
    <definedName name="rtrt">#REF!</definedName>
    <definedName name="rtrtrt" localSheetId="0">#REF!</definedName>
    <definedName name="rtrtrt">#REF!</definedName>
    <definedName name="rty" localSheetId="0">#REF!</definedName>
    <definedName name="rty">#REF!</definedName>
    <definedName name="rtyu" localSheetId="0">#REF!</definedName>
    <definedName name="rtyu">#REF!</definedName>
    <definedName name="RUT" localSheetId="0">#REF!</definedName>
    <definedName name="RUT">#REF!</definedName>
    <definedName name="RYB" localSheetId="0">#REF!</definedName>
    <definedName name="RYB">#REF!</definedName>
    <definedName name="ryy" localSheetId="0">#REF!</definedName>
    <definedName name="ryy">#REF!</definedName>
    <definedName name="S" localSheetId="0">#REF!</definedName>
    <definedName name="S">#REF!</definedName>
    <definedName name="S.L.WALL" localSheetId="0">#REF!</definedName>
    <definedName name="S.L.WALL">#REF!</definedName>
    <definedName name="s.l.wallls" localSheetId="0">#REF!</definedName>
    <definedName name="s.l.wallls">#REF!</definedName>
    <definedName name="S.L.WALLS" localSheetId="0">#REF!</definedName>
    <definedName name="S.L.WALLS">#REF!</definedName>
    <definedName name="S.S.WALL" localSheetId="0">#REF!</definedName>
    <definedName name="S.S.WALL">#REF!</definedName>
    <definedName name="S.S.WALL1" localSheetId="0">#REF!</definedName>
    <definedName name="S.S.WALL1">#REF!</definedName>
    <definedName name="S.S.WALLL" localSheetId="0">#REF!</definedName>
    <definedName name="S.S.WALLL">#REF!</definedName>
    <definedName name="S.WALL" localSheetId="0">#REF!</definedName>
    <definedName name="S.WALL">#REF!</definedName>
    <definedName name="S_W_V" localSheetId="0">#REF!</definedName>
    <definedName name="S_W_V">#REF!</definedName>
    <definedName name="s0ne" localSheetId="0">#REF!</definedName>
    <definedName name="s0ne">#REF!</definedName>
    <definedName name="Sa" localSheetId="0">#REF!</definedName>
    <definedName name="Sa">#REF!</definedName>
    <definedName name="SAD" localSheetId="0">#REF!</definedName>
    <definedName name="SAD">#REF!</definedName>
    <definedName name="sadd" localSheetId="0">#REF!</definedName>
    <definedName name="sadd">#REF!</definedName>
    <definedName name="SADDA" localSheetId="0">#REF!</definedName>
    <definedName name="SADDA">#REF!</definedName>
    <definedName name="sadfdasf" localSheetId="0">#REF!</definedName>
    <definedName name="sadfdasf">#REF!</definedName>
    <definedName name="sadfsadf" localSheetId="0">#REF!</definedName>
    <definedName name="sadfsadf">#REF!</definedName>
    <definedName name="sadfsdaf" localSheetId="0">#REF!</definedName>
    <definedName name="sadfsdaf">#REF!</definedName>
    <definedName name="safe" localSheetId="0">#REF!</definedName>
    <definedName name="safe">#REF!</definedName>
    <definedName name="Safety" localSheetId="0">#REF!</definedName>
    <definedName name="Safety">#REF!</definedName>
    <definedName name="SALARY" localSheetId="0">#REF!</definedName>
    <definedName name="SALARY">#REF!</definedName>
    <definedName name="salballies" localSheetId="0">#REF!</definedName>
    <definedName name="salballies">#REF!</definedName>
    <definedName name="Sale_Absorption" localSheetId="0">#REF!</definedName>
    <definedName name="Sale_Absorption">#REF!</definedName>
    <definedName name="Sales_absorption" localSheetId="0">#REF!</definedName>
    <definedName name="Sales_absorption">#REF!</definedName>
    <definedName name="Sales_Per_Manday" localSheetId="0">#REF!</definedName>
    <definedName name="Sales_Per_Manday">#REF!</definedName>
    <definedName name="Sales_Revenue_Collection_Profile" localSheetId="0">#REF!</definedName>
    <definedName name="Sales_Revenue_Collection_Profile">#REF!</definedName>
    <definedName name="Sample" localSheetId="0">#REF!</definedName>
    <definedName name="Sample">#REF!</definedName>
    <definedName name="san" localSheetId="0">#REF!</definedName>
    <definedName name="san">#REF!</definedName>
    <definedName name="sandlead" localSheetId="0">#REF!</definedName>
    <definedName name="sandlead">#REF!</definedName>
    <definedName name="SANITARY" localSheetId="0">#REF!</definedName>
    <definedName name="SANITARY">#REF!</definedName>
    <definedName name="SARAVANAN" localSheetId="0">#REF!</definedName>
    <definedName name="SARAVANAN">#REF!</definedName>
    <definedName name="sarea1" localSheetId="0">#REF!</definedName>
    <definedName name="sarea1">#REF!</definedName>
    <definedName name="SAS" localSheetId="0">#REF!</definedName>
    <definedName name="SAS">#REF!</definedName>
    <definedName name="sasa" localSheetId="0">#REF!</definedName>
    <definedName name="sasa">#REF!</definedName>
    <definedName name="saucomd" localSheetId="0">#REF!</definedName>
    <definedName name="saucomd">#REF!</definedName>
    <definedName name="saud" localSheetId="0">#REF!</definedName>
    <definedName name="saud">#REF!</definedName>
    <definedName name="sauf" localSheetId="0">#REF!</definedName>
    <definedName name="sauf">#REF!</definedName>
    <definedName name="sauspad" localSheetId="0">#REF!</definedName>
    <definedName name="sauspad">#REF!</definedName>
    <definedName name="sausysd" localSheetId="0">#REF!</definedName>
    <definedName name="sausysd">#REF!</definedName>
    <definedName name="sawing" localSheetId="0">#REF!</definedName>
    <definedName name="sawing">#REF!</definedName>
    <definedName name="SC" localSheetId="0">#REF!</definedName>
    <definedName name="SC">#REF!</definedName>
    <definedName name="SCC" localSheetId="0">#REF!</definedName>
    <definedName name="SCC">#REF!</definedName>
    <definedName name="SCD" localSheetId="0">#REF!</definedName>
    <definedName name="SCD">#REF!</definedName>
    <definedName name="SCE" localSheetId="0">#REF!</definedName>
    <definedName name="SCE">#REF!</definedName>
    <definedName name="SCED" localSheetId="0">#REF!</definedName>
    <definedName name="SCED">#REF!</definedName>
    <definedName name="Sched_Pay" localSheetId="0">#REF!</definedName>
    <definedName name="Sched_Pay">#REF!</definedName>
    <definedName name="schedule" localSheetId="0">#REF!</definedName>
    <definedName name="schedule">#REF!</definedName>
    <definedName name="SCHEDULE_ALL" localSheetId="0">#REF!</definedName>
    <definedName name="SCHEDULE_ALL">#REF!</definedName>
    <definedName name="Scheduled_Extra_Payments" localSheetId="0">#REF!</definedName>
    <definedName name="Scheduled_Extra_Payments">#REF!</definedName>
    <definedName name="Scheduled_Interest_Rate" localSheetId="0">#REF!</definedName>
    <definedName name="Scheduled_Interest_Rate">#REF!</definedName>
    <definedName name="Scheduled_Monthly_Payment" localSheetId="0">#REF!</definedName>
    <definedName name="Scheduled_Monthly_Payment">#REF!</definedName>
    <definedName name="schedulenr" localSheetId="0">#REF!</definedName>
    <definedName name="schedulenr">#REF!</definedName>
    <definedName name="schools" localSheetId="0">#REF!</definedName>
    <definedName name="schools">#REF!</definedName>
    <definedName name="scraper" localSheetId="0">#REF!</definedName>
    <definedName name="scraper">#REF!</definedName>
    <definedName name="screed" localSheetId="0">#REF!</definedName>
    <definedName name="screed">#REF!</definedName>
    <definedName name="sdasd" localSheetId="0">#REF!</definedName>
    <definedName name="sdasd">#REF!</definedName>
    <definedName name="Sdate" localSheetId="0">#REF!</definedName>
    <definedName name="Sdate">#REF!</definedName>
    <definedName name="sddff" localSheetId="0">#REF!</definedName>
    <definedName name="sddff">#REF!</definedName>
    <definedName name="SDFASHDF" localSheetId="0">#REF!</definedName>
    <definedName name="SDFASHDF">#REF!</definedName>
    <definedName name="sdfd" localSheetId="0">#REF!</definedName>
    <definedName name="sdfd">#REF!</definedName>
    <definedName name="sdfdf" localSheetId="0">#REF!</definedName>
    <definedName name="sdfdf">#REF!</definedName>
    <definedName name="sdffggg" localSheetId="0">#REF!</definedName>
    <definedName name="sdffggg">#REF!</definedName>
    <definedName name="sdffs" localSheetId="0">#REF!</definedName>
    <definedName name="sdffs">#REF!</definedName>
    <definedName name="sdffsd" localSheetId="0">#REF!</definedName>
    <definedName name="sdffsd">#REF!</definedName>
    <definedName name="sdfgsdsdsdf" localSheetId="0">#REF!</definedName>
    <definedName name="sdfgsdsdsdf">#REF!</definedName>
    <definedName name="sdfhhhhhhhhhhhhhhhhhhhhjidopafhi" localSheetId="0">#REF!</definedName>
    <definedName name="sdfhhhhhhhhhhhhhhhhhhhhjidopafhi">#REF!</definedName>
    <definedName name="sdfjasdfklj" localSheetId="0">#REF!</definedName>
    <definedName name="sdfjasdfklj">#REF!</definedName>
    <definedName name="sdfsdf" localSheetId="0">#REF!</definedName>
    <definedName name="sdfsdf">#REF!</definedName>
    <definedName name="sdfsdfdfsdsdfsf" localSheetId="0">#REF!</definedName>
    <definedName name="sdfsdfdfsdsdfsf">#REF!</definedName>
    <definedName name="sdggdsfgsdf" localSheetId="0">#REF!</definedName>
    <definedName name="sdggdsfgsdf">#REF!</definedName>
    <definedName name="sdgsdht" localSheetId="0">#REF!</definedName>
    <definedName name="sdgsdht">#REF!</definedName>
    <definedName name="sdgsdsdf" localSheetId="0">#REF!</definedName>
    <definedName name="sdgsdsdf">#REF!</definedName>
    <definedName name="sdpl" localSheetId="0">#REF!</definedName>
    <definedName name="sdpl">#REF!</definedName>
    <definedName name="SDPLBS" localSheetId="0">#REF!</definedName>
    <definedName name="SDPLBS">#REF!</definedName>
    <definedName name="SDPLFA" localSheetId="0">#REF!</definedName>
    <definedName name="SDPLFA">#REF!</definedName>
    <definedName name="SDPLPL" localSheetId="0">#REF!</definedName>
    <definedName name="SDPLPL">#REF!</definedName>
    <definedName name="sdsd" localSheetId="0">#REF!</definedName>
    <definedName name="sdsd">#REF!</definedName>
    <definedName name="sdsdfagrag" localSheetId="0">#REF!</definedName>
    <definedName name="sdsdfagrag">#REF!</definedName>
    <definedName name="sdsss" localSheetId="0">#REF!</definedName>
    <definedName name="sdsss">#REF!</definedName>
    <definedName name="SDW" localSheetId="0">#REF!</definedName>
    <definedName name="SDW">#REF!</definedName>
    <definedName name="se" localSheetId="0">#REF!</definedName>
    <definedName name="se">#REF!</definedName>
    <definedName name="SEAT" localSheetId="0">#REF!</definedName>
    <definedName name="SEAT">#REF!</definedName>
    <definedName name="sec_deposit" localSheetId="0">#REF!</definedName>
    <definedName name="sec_deposit">#REF!</definedName>
    <definedName name="Section_1_Title" localSheetId="0">#REF!</definedName>
    <definedName name="Section_1_Title">#REF!</definedName>
    <definedName name="Section_2_Title" localSheetId="0">#REF!</definedName>
    <definedName name="Section_2_Title">#REF!</definedName>
    <definedName name="Section_3_Title" localSheetId="0">#REF!</definedName>
    <definedName name="Section_3_Title">#REF!</definedName>
    <definedName name="Section_4_Title" localSheetId="0">#REF!</definedName>
    <definedName name="Section_4_Title">#REF!</definedName>
    <definedName name="Section_5_Title" localSheetId="0">#REF!</definedName>
    <definedName name="Section_5_Title">#REF!</definedName>
    <definedName name="Section_6_Title" localSheetId="0">#REF!</definedName>
    <definedName name="Section_6_Title">#REF!</definedName>
    <definedName name="Section_7_Title" localSheetId="0">#REF!</definedName>
    <definedName name="Section_7_Title">#REF!</definedName>
    <definedName name="Section_8_Title" localSheetId="0">#REF!</definedName>
    <definedName name="Section_8_Title">#REF!</definedName>
    <definedName name="SECTY" localSheetId="0">#REF!</definedName>
    <definedName name="SECTY">#REF!</definedName>
    <definedName name="secured" localSheetId="0">#REF!</definedName>
    <definedName name="secured">#REF!</definedName>
    <definedName name="security3" localSheetId="0">#REF!</definedName>
    <definedName name="security3">#REF!</definedName>
    <definedName name="SEDFS" localSheetId="0">#REF!</definedName>
    <definedName name="SEDFS">#REF!</definedName>
    <definedName name="see" localSheetId="0">#REF!</definedName>
    <definedName name="see">#REF!</definedName>
    <definedName name="SegCharge" localSheetId="0">#REF!</definedName>
    <definedName name="SegCharge">#REF!</definedName>
    <definedName name="segment" localSheetId="0">#REF!</definedName>
    <definedName name="segment">#REF!</definedName>
    <definedName name="Segment1" localSheetId="0">#REF!</definedName>
    <definedName name="Segment1">#REF!</definedName>
    <definedName name="Segment2" localSheetId="0">#REF!</definedName>
    <definedName name="Segment2">#REF!</definedName>
    <definedName name="Segment3" localSheetId="0">#REF!</definedName>
    <definedName name="Segment3">#REF!</definedName>
    <definedName name="Segment4" localSheetId="0">#REF!</definedName>
    <definedName name="Segment4">#REF!</definedName>
    <definedName name="Segment5" localSheetId="0">#REF!</definedName>
    <definedName name="Segment5">#REF!</definedName>
    <definedName name="SEPCONC" localSheetId="0">#REF!</definedName>
    <definedName name="SEPCONC">#REF!</definedName>
    <definedName name="SER" localSheetId="0">#REF!</definedName>
    <definedName name="SER">#REF!</definedName>
    <definedName name="serf" localSheetId="0">#REF!</definedName>
    <definedName name="serf">#REF!</definedName>
    <definedName name="servf" localSheetId="0">#REF!</definedName>
    <definedName name="servf">#REF!</definedName>
    <definedName name="set" localSheetId="0">#REF!</definedName>
    <definedName name="set">#REF!</definedName>
    <definedName name="Setflag" localSheetId="0">#REF!</definedName>
    <definedName name="Setflag">#REF!</definedName>
    <definedName name="sets" localSheetId="0">#REF!</definedName>
    <definedName name="sets">#REF!</definedName>
    <definedName name="sfasfa" localSheetId="0">#REF!</definedName>
    <definedName name="sfasfa">#REF!</definedName>
    <definedName name="sfdfsd" localSheetId="0">#REF!</definedName>
    <definedName name="sfdfsd">#REF!</definedName>
    <definedName name="sfff" localSheetId="0">#REF!</definedName>
    <definedName name="sfff">#REF!</definedName>
    <definedName name="SFFSDF" localSheetId="0">#REF!</definedName>
    <definedName name="SFFSDF">#REF!</definedName>
    <definedName name="sffsff" localSheetId="0">#REF!</definedName>
    <definedName name="sffsff">#REF!</definedName>
    <definedName name="sffssd" localSheetId="0">#REF!</definedName>
    <definedName name="sffssd">#REF!</definedName>
    <definedName name="SFR" localSheetId="0">#REF!</definedName>
    <definedName name="SFR">#REF!</definedName>
    <definedName name="sfsd" localSheetId="0">#REF!</definedName>
    <definedName name="sfsd">#REF!</definedName>
    <definedName name="SFSDFS" localSheetId="0">#REF!</definedName>
    <definedName name="SFSDFS">#REF!</definedName>
    <definedName name="SFSDFSD" localSheetId="0">#REF!</definedName>
    <definedName name="SFSDFSD">#REF!</definedName>
    <definedName name="SFSDFSDF" localSheetId="0">#REF!</definedName>
    <definedName name="SFSDFSDF">#REF!</definedName>
    <definedName name="SFSDFSF" localSheetId="0">#REF!</definedName>
    <definedName name="SFSDFSF">#REF!</definedName>
    <definedName name="sfsf" localSheetId="0">#REF!</definedName>
    <definedName name="sfsf">#REF!</definedName>
    <definedName name="sfssdfs" localSheetId="0">#REF!</definedName>
    <definedName name="sfssdfs">#REF!</definedName>
    <definedName name="SFU_100_4P" localSheetId="0">#REF!</definedName>
    <definedName name="SFU_100_4P">#REF!</definedName>
    <definedName name="SFU_125_4P" localSheetId="0">#REF!</definedName>
    <definedName name="SFU_125_4P">#REF!</definedName>
    <definedName name="SFU_160_4P" localSheetId="0">#REF!</definedName>
    <definedName name="SFU_160_4P">#REF!</definedName>
    <definedName name="SFU_250" localSheetId="0">#REF!</definedName>
    <definedName name="SFU_250">#REF!</definedName>
    <definedName name="SFU_250_4P" localSheetId="0">#REF!</definedName>
    <definedName name="SFU_250_4P">#REF!</definedName>
    <definedName name="SFU_63" localSheetId="0">#REF!</definedName>
    <definedName name="SFU_63">#REF!</definedName>
    <definedName name="sg" localSheetId="0">#REF!</definedName>
    <definedName name="sg">#REF!</definedName>
    <definedName name="sgdgdg" localSheetId="0">#REF!</definedName>
    <definedName name="sgdgdg">#REF!</definedName>
    <definedName name="sgfssfs" localSheetId="0">#REF!</definedName>
    <definedName name="sgfssfs">#REF!</definedName>
    <definedName name="sgggggg" localSheetId="0">#REF!</definedName>
    <definedName name="sgggggg">#REF!</definedName>
    <definedName name="sgh" localSheetId="0">#REF!</definedName>
    <definedName name="sgh">#REF!</definedName>
    <definedName name="sh0.5" localSheetId="0">#REF!</definedName>
    <definedName name="sh0.5">#REF!</definedName>
    <definedName name="sh0.6" localSheetId="0">#REF!</definedName>
    <definedName name="sh0.6">#REF!</definedName>
    <definedName name="sh0.8" localSheetId="0">#REF!</definedName>
    <definedName name="sh0.8">#REF!</definedName>
    <definedName name="sh1.0" localSheetId="0">#REF!</definedName>
    <definedName name="sh1.0">#REF!</definedName>
    <definedName name="sh1.2" localSheetId="0">#REF!</definedName>
    <definedName name="sh1.2">#REF!</definedName>
    <definedName name="shading" localSheetId="0">#REF!</definedName>
    <definedName name="shading">#REF!</definedName>
    <definedName name="Shanthi3" localSheetId="0">#REF!</definedName>
    <definedName name="Shanthi3">#REF!</definedName>
    <definedName name="shape" localSheetId="0">#REF!</definedName>
    <definedName name="shape">#REF!</definedName>
    <definedName name="Shapes" localSheetId="0">#REF!</definedName>
    <definedName name="Shapes">#REF!</definedName>
    <definedName name="shar" localSheetId="0">#REF!</definedName>
    <definedName name="shar">#REF!</definedName>
    <definedName name="shd" localSheetId="0">#REF!</definedName>
    <definedName name="shd">#REF!</definedName>
    <definedName name="SHEET" localSheetId="0">#REF!</definedName>
    <definedName name="SHEET">#REF!</definedName>
    <definedName name="sheet1" localSheetId="0">#REF!</definedName>
    <definedName name="sheet1">#REF!</definedName>
    <definedName name="sheet1___0" localSheetId="0">#REF!</definedName>
    <definedName name="sheet1___0">#REF!</definedName>
    <definedName name="sheet1___13" localSheetId="0">#REF!</definedName>
    <definedName name="sheet1___13">#REF!</definedName>
    <definedName name="SheetNo" localSheetId="0">#REF!</definedName>
    <definedName name="SheetNo">#REF!</definedName>
    <definedName name="shf" localSheetId="0">#REF!</definedName>
    <definedName name="shf">#REF!</definedName>
    <definedName name="shi" localSheetId="0">#REF!</definedName>
    <definedName name="shi">#REF!</definedName>
    <definedName name="shiva" localSheetId="0">#REF!</definedName>
    <definedName name="shiva">#REF!</definedName>
    <definedName name="SHOPBOQ" localSheetId="0">#REF!</definedName>
    <definedName name="SHOPBOQ">#REF!</definedName>
    <definedName name="SHOPHED" localSheetId="0">#REF!</definedName>
    <definedName name="SHOPHED">#REF!</definedName>
    <definedName name="SHOW_TO_CUSTOME" localSheetId="0">#REF!</definedName>
    <definedName name="SHOW_TO_CUSTOME">#REF!</definedName>
    <definedName name="SHS" localSheetId="0">#REF!</definedName>
    <definedName name="SHS">#REF!</definedName>
    <definedName name="Sht" localSheetId="0">#REF!</definedName>
    <definedName name="Sht">#REF!</definedName>
    <definedName name="shut" localSheetId="0">#REF!</definedName>
    <definedName name="shut">#REF!</definedName>
    <definedName name="shut_reqt" localSheetId="0">#REF!</definedName>
    <definedName name="shut_reqt">#REF!</definedName>
    <definedName name="shutter" localSheetId="0">#REF!</definedName>
    <definedName name="shutter">#REF!</definedName>
    <definedName name="shutteringtimb" localSheetId="0">#REF!</definedName>
    <definedName name="shutteringtimb">#REF!</definedName>
    <definedName name="si" localSheetId="0">#REF!</definedName>
    <definedName name="si">#REF!</definedName>
    <definedName name="sidewalk" localSheetId="0">#REF!</definedName>
    <definedName name="sidewalk">#REF!</definedName>
    <definedName name="sigma0.2" localSheetId="0">#REF!</definedName>
    <definedName name="sigma0.2">#REF!</definedName>
    <definedName name="sigma0_2" localSheetId="0">#REF!</definedName>
    <definedName name="sigma0_2">#REF!</definedName>
    <definedName name="sigmab" localSheetId="0">#REF!</definedName>
    <definedName name="sigmab">#REF!</definedName>
    <definedName name="sigmah" localSheetId="0">#REF!</definedName>
    <definedName name="sigmah">#REF!</definedName>
    <definedName name="sigmat" localSheetId="0">#REF!</definedName>
    <definedName name="sigmat">#REF!</definedName>
    <definedName name="SIGN" localSheetId="0">#REF!</definedName>
    <definedName name="SIGN">#REF!</definedName>
    <definedName name="sii" localSheetId="0">#REF!</definedName>
    <definedName name="sii">#REF!</definedName>
    <definedName name="silty_lots" localSheetId="0">#REF!</definedName>
    <definedName name="silty_lots">#REF!</definedName>
    <definedName name="sinq" localSheetId="0">#REF!</definedName>
    <definedName name="sinq">#REF!</definedName>
    <definedName name="sis" localSheetId="0">#REF!</definedName>
    <definedName name="sis">#REF!</definedName>
    <definedName name="sit" localSheetId="0">#REF!</definedName>
    <definedName name="sit">#REF!</definedName>
    <definedName name="SiteRef1" localSheetId="0">#REF!</definedName>
    <definedName name="SiteRef1">#REF!</definedName>
    <definedName name="SiteRef2" localSheetId="0">#REF!</definedName>
    <definedName name="SiteRef2">#REF!</definedName>
    <definedName name="SITEWORKS" localSheetId="0">#REF!</definedName>
    <definedName name="SITEWORKS">#REF!</definedName>
    <definedName name="siva" localSheetId="0">#REF!</definedName>
    <definedName name="siva">#REF!</definedName>
    <definedName name="SIXYRS_OF_PROJ" localSheetId="0">#REF!</definedName>
    <definedName name="SIXYRS_OF_PROJ">#REF!</definedName>
    <definedName name="size" localSheetId="0">#REF!</definedName>
    <definedName name="size">#REF!</definedName>
    <definedName name="SizeAlu" localSheetId="0">#REF!</definedName>
    <definedName name="SizeAlu">#REF!</definedName>
    <definedName name="Skew" localSheetId="0">#REF!</definedName>
    <definedName name="Skew">#REF!</definedName>
    <definedName name="skilldresser" localSheetId="0">#REF!</definedName>
    <definedName name="skilldresser">#REF!</definedName>
    <definedName name="skillmazdoor" localSheetId="0">#REF!</definedName>
    <definedName name="skillmazdoor">#REF!</definedName>
    <definedName name="skirting" localSheetId="0">#REF!</definedName>
    <definedName name="skirting">#REF!</definedName>
    <definedName name="Skirting1" localSheetId="0">#REF!</definedName>
    <definedName name="Skirting1">#REF!</definedName>
    <definedName name="Sl_No" localSheetId="0">#REF!</definedName>
    <definedName name="Sl_No">#REF!</definedName>
    <definedName name="SLAB" localSheetId="0">#REF!</definedName>
    <definedName name="SLAB">#REF!</definedName>
    <definedName name="SLAB1" localSheetId="0">#REF!</definedName>
    <definedName name="SLAB1">#REF!</definedName>
    <definedName name="SLAB12" localSheetId="0">#REF!</definedName>
    <definedName name="SLAB12">#REF!</definedName>
    <definedName name="SLAB13" localSheetId="0">#REF!</definedName>
    <definedName name="SLAB13">#REF!</definedName>
    <definedName name="slab2" localSheetId="0">#REF!</definedName>
    <definedName name="slab2">#REF!</definedName>
    <definedName name="slab22" localSheetId="0">#REF!</definedName>
    <definedName name="slab22">#REF!</definedName>
    <definedName name="SLAB31" localSheetId="0">#REF!</definedName>
    <definedName name="SLAB31">#REF!</definedName>
    <definedName name="slab7" localSheetId="0">#REF!</definedName>
    <definedName name="slab7">#REF!</definedName>
    <definedName name="SlabArea" localSheetId="0">#REF!</definedName>
    <definedName name="SlabArea">#REF!</definedName>
    <definedName name="slabconArea" localSheetId="0">#REF!</definedName>
    <definedName name="slabconArea">#REF!</definedName>
    <definedName name="slabconPerimeter" localSheetId="0">#REF!</definedName>
    <definedName name="slabconPerimeter">#REF!</definedName>
    <definedName name="SlabD" localSheetId="0">#REF!</definedName>
    <definedName name="SlabD">#REF!</definedName>
    <definedName name="slabongrade" localSheetId="0">#REF!</definedName>
    <definedName name="slabongrade">#REF!</definedName>
    <definedName name="SlabPerimeter" localSheetId="0">#REF!</definedName>
    <definedName name="SlabPerimeter">#REF!</definedName>
    <definedName name="slant_len" localSheetId="0">#REF!</definedName>
    <definedName name="slant_len">#REF!</definedName>
    <definedName name="SLOPE" localSheetId="0">#REF!</definedName>
    <definedName name="SLOPE">#REF!</definedName>
    <definedName name="smmmm12" localSheetId="0">#REF!</definedName>
    <definedName name="smmmm12">#REF!</definedName>
    <definedName name="soasia" localSheetId="0">#REF!</definedName>
    <definedName name="soasia">#REF!</definedName>
    <definedName name="soffitl" localSheetId="0">#REF!</definedName>
    <definedName name="soffitl">#REF!</definedName>
    <definedName name="Sok_Pile_No" localSheetId="0">#REF!</definedName>
    <definedName name="Sok_Pile_No">#REF!</definedName>
    <definedName name="Sok_Roof_Peri" localSheetId="0">#REF!</definedName>
    <definedName name="Sok_Roof_Peri">#REF!</definedName>
    <definedName name="solidblock100" localSheetId="0">#REF!</definedName>
    <definedName name="solidblock100">#REF!</definedName>
    <definedName name="solidblock150" localSheetId="0">#REF!</definedName>
    <definedName name="solidblock150">#REF!</definedName>
    <definedName name="solidblocks200" localSheetId="0">#REF!</definedName>
    <definedName name="solidblocks200">#REF!</definedName>
    <definedName name="SOLVENT" localSheetId="0">#REF!</definedName>
    <definedName name="SOLVENT">#REF!</definedName>
    <definedName name="solvents" localSheetId="0">#REF!</definedName>
    <definedName name="solvents">#REF!</definedName>
    <definedName name="sond" localSheetId="0">#REF!</definedName>
    <definedName name="sond">#REF!</definedName>
    <definedName name="sondf" localSheetId="0">#REF!</definedName>
    <definedName name="sondf">#REF!</definedName>
    <definedName name="sone" localSheetId="0">#REF!</definedName>
    <definedName name="sone">#REF!</definedName>
    <definedName name="soo" localSheetId="0">#REF!</definedName>
    <definedName name="soo">#REF!</definedName>
    <definedName name="Souk_Pile_No" localSheetId="0">#REF!</definedName>
    <definedName name="Souk_Pile_No">#REF!</definedName>
    <definedName name="Souk_Rf_Area" localSheetId="0">#REF!</definedName>
    <definedName name="Souk_Rf_Area">#REF!</definedName>
    <definedName name="sp" localSheetId="0">#REF!</definedName>
    <definedName name="sp">#REF!</definedName>
    <definedName name="sp28p375ex1" localSheetId="0">#REF!</definedName>
    <definedName name="sp28p375ex1">#REF!</definedName>
    <definedName name="spa_left_on_each_side_B" localSheetId="0">#REF!</definedName>
    <definedName name="spa_left_on_each_side_B">#REF!</definedName>
    <definedName name="spa_left_on_each_side_on_H" localSheetId="0">#REF!</definedName>
    <definedName name="spa_left_on_each_side_on_H">#REF!</definedName>
    <definedName name="spaci_n_H" localSheetId="0">#REF!</definedName>
    <definedName name="spaci_n_H">#REF!</definedName>
    <definedName name="spaci_on_B" localSheetId="0">#REF!</definedName>
    <definedName name="spaci_on_B">#REF!</definedName>
    <definedName name="spacing" localSheetId="0">#REF!</definedName>
    <definedName name="spacing">#REF!</definedName>
    <definedName name="spacingL" localSheetId="0">#REF!</definedName>
    <definedName name="spacingL">#REF!</definedName>
    <definedName name="spares" localSheetId="0">#REF!</definedName>
    <definedName name="spares">#REF!</definedName>
    <definedName name="SpecialPrice" localSheetId="0">#REF!</definedName>
    <definedName name="SpecialPrice">#REF!</definedName>
    <definedName name="SPORTS" localSheetId="0">#REF!</definedName>
    <definedName name="SPORTS">#REF!</definedName>
    <definedName name="SPOT1" localSheetId="0">#REF!</definedName>
    <definedName name="SPOT1">#REF!</definedName>
    <definedName name="SPR" localSheetId="0">#REF!</definedName>
    <definedName name="SPR">#REF!</definedName>
    <definedName name="sprare" localSheetId="0">#REF!</definedName>
    <definedName name="sprare">#REF!</definedName>
    <definedName name="sprayer" localSheetId="0">#REF!</definedName>
    <definedName name="sprayer">#REF!</definedName>
    <definedName name="SQRT__1___0.6___1.0" localSheetId="0">#REF!</definedName>
    <definedName name="SQRT__1___0.6___1.0">#REF!</definedName>
    <definedName name="SQRT__1___0_6___1_0" localSheetId="0">#REF!</definedName>
    <definedName name="SQRT__1___0_6___1_0">#REF!</definedName>
    <definedName name="SQRT__1___0_6___1_0___0" localSheetId="0">#REF!</definedName>
    <definedName name="SQRT__1___0_6___1_0___0">#REF!</definedName>
    <definedName name="SQRT__1___0_6___1_0___13" localSheetId="0">#REF!</definedName>
    <definedName name="SQRT__1___0_6___1_0___13">#REF!</definedName>
    <definedName name="srasf" localSheetId="0">#REF!</definedName>
    <definedName name="srasf">#REF!</definedName>
    <definedName name="srs" localSheetId="0">#REF!</definedName>
    <definedName name="srs">#REF!</definedName>
    <definedName name="srvf" localSheetId="0">#REF!</definedName>
    <definedName name="srvf">#REF!</definedName>
    <definedName name="ssa" localSheetId="0">#REF!</definedName>
    <definedName name="ssa">#REF!</definedName>
    <definedName name="ssd" localSheetId="0">#REF!</definedName>
    <definedName name="ssd">#REF!</definedName>
    <definedName name="Ssec1" localSheetId="0">#REF!</definedName>
    <definedName name="Ssec1">#REF!</definedName>
    <definedName name="ssec12" localSheetId="0">#REF!</definedName>
    <definedName name="ssec12">#REF!</definedName>
    <definedName name="SSEC13" localSheetId="0">#REF!</definedName>
    <definedName name="SSEC13">#REF!</definedName>
    <definedName name="Ssec2" localSheetId="0">#REF!</definedName>
    <definedName name="Ssec2">#REF!</definedName>
    <definedName name="ssec22" localSheetId="0">#REF!</definedName>
    <definedName name="ssec22">#REF!</definedName>
    <definedName name="SSEC23" localSheetId="0">#REF!</definedName>
    <definedName name="SSEC23">#REF!</definedName>
    <definedName name="Ssec3" localSheetId="0">#REF!</definedName>
    <definedName name="Ssec3">#REF!</definedName>
    <definedName name="ssec34" localSheetId="0">#REF!</definedName>
    <definedName name="ssec34">#REF!</definedName>
    <definedName name="SSEC35" localSheetId="0">#REF!</definedName>
    <definedName name="SSEC35">#REF!</definedName>
    <definedName name="Ssec4" localSheetId="0">#REF!</definedName>
    <definedName name="Ssec4">#REF!</definedName>
    <definedName name="SSEC43" localSheetId="0">#REF!</definedName>
    <definedName name="SSEC43">#REF!</definedName>
    <definedName name="ssec45" localSheetId="0">#REF!</definedName>
    <definedName name="ssec45">#REF!</definedName>
    <definedName name="Ssec5" localSheetId="0">#REF!</definedName>
    <definedName name="Ssec5">#REF!</definedName>
    <definedName name="SSEC54" localSheetId="0">#REF!</definedName>
    <definedName name="SSEC54">#REF!</definedName>
    <definedName name="ssec55" localSheetId="0">#REF!</definedName>
    <definedName name="ssec55">#REF!</definedName>
    <definedName name="Ssec6" localSheetId="0">#REF!</definedName>
    <definedName name="Ssec6">#REF!</definedName>
    <definedName name="SSEC65" localSheetId="0">#REF!</definedName>
    <definedName name="SSEC65">#REF!</definedName>
    <definedName name="ssec66" localSheetId="0">#REF!</definedName>
    <definedName name="ssec66">#REF!</definedName>
    <definedName name="ssf" localSheetId="0">#REF!</definedName>
    <definedName name="ssf">#REF!</definedName>
    <definedName name="sssdsf" localSheetId="0">#REF!</definedName>
    <definedName name="sssdsf">#REF!</definedName>
    <definedName name="sssss" localSheetId="0">#REF!</definedName>
    <definedName name="sssss">#REF!</definedName>
    <definedName name="ssssss" localSheetId="0">#REF!</definedName>
    <definedName name="ssssss">#REF!</definedName>
    <definedName name="sssssssssssssssssss" localSheetId="0">#REF!</definedName>
    <definedName name="sssssssssssssssssss">#REF!</definedName>
    <definedName name="sstype3drop" localSheetId="0">#REF!</definedName>
    <definedName name="sstype3drop">#REF!</definedName>
    <definedName name="SSTYPE3DROP1" localSheetId="0">#REF!</definedName>
    <definedName name="SSTYPE3DROP1">#REF!</definedName>
    <definedName name="sstype3drop2" localSheetId="0">#REF!</definedName>
    <definedName name="sstype3drop2">#REF!</definedName>
    <definedName name="SSTYPE3DROP3" localSheetId="0">#REF!</definedName>
    <definedName name="SSTYPE3DROP3">#REF!</definedName>
    <definedName name="sstype3drop33" localSheetId="0">#REF!</definedName>
    <definedName name="sstype3drop33">#REF!</definedName>
    <definedName name="SSTYPE3DROP35" localSheetId="0">#REF!</definedName>
    <definedName name="SSTYPE3DROP35">#REF!</definedName>
    <definedName name="sstype3dropp" localSheetId="0">#REF!</definedName>
    <definedName name="sstype3dropp">#REF!</definedName>
    <definedName name="SSTYPE3DROPP1" localSheetId="0">#REF!</definedName>
    <definedName name="SSTYPE3DROPP1">#REF!</definedName>
    <definedName name="sstype3slab" localSheetId="0">#REF!</definedName>
    <definedName name="sstype3slab">#REF!</definedName>
    <definedName name="SSTYPE3SLAB121" localSheetId="0">#REF!</definedName>
    <definedName name="SSTYPE3SLAB121">#REF!</definedName>
    <definedName name="sstype3slab2" localSheetId="0">#REF!</definedName>
    <definedName name="sstype3slab2">#REF!</definedName>
    <definedName name="SSTYPE3SLAB3" localSheetId="0">#REF!</definedName>
    <definedName name="SSTYPE3SLAB3">#REF!</definedName>
    <definedName name="SSTYPE3SLAB32" localSheetId="0">#REF!</definedName>
    <definedName name="SSTYPE3SLAB32">#REF!</definedName>
    <definedName name="sstype3slab6" localSheetId="0">#REF!</definedName>
    <definedName name="sstype3slab6">#REF!</definedName>
    <definedName name="sstype3slabb" localSheetId="0">#REF!</definedName>
    <definedName name="sstype3slabb">#REF!</definedName>
    <definedName name="SSTYPESLAB1" localSheetId="0">#REF!</definedName>
    <definedName name="SSTYPESLAB1">#REF!</definedName>
    <definedName name="SSWEWE" localSheetId="0">#REF!</definedName>
    <definedName name="SSWEWE">#REF!</definedName>
    <definedName name="st_100" localSheetId="0">#REF!</definedName>
    <definedName name="st_100">#REF!</definedName>
    <definedName name="st_150" localSheetId="0">#REF!</definedName>
    <definedName name="st_150">#REF!</definedName>
    <definedName name="st_200" localSheetId="0">#REF!</definedName>
    <definedName name="st_200">#REF!</definedName>
    <definedName name="st_25" localSheetId="0">#REF!</definedName>
    <definedName name="st_25">#REF!</definedName>
    <definedName name="st_250" localSheetId="0">#REF!</definedName>
    <definedName name="st_250">#REF!</definedName>
    <definedName name="st_300" localSheetId="0">#REF!</definedName>
    <definedName name="st_300">#REF!</definedName>
    <definedName name="st_32" localSheetId="0">#REF!</definedName>
    <definedName name="st_32">#REF!</definedName>
    <definedName name="st_40" localSheetId="0">#REF!</definedName>
    <definedName name="st_40">#REF!</definedName>
    <definedName name="st_400" localSheetId="0">#REF!</definedName>
    <definedName name="st_400">#REF!</definedName>
    <definedName name="st_50" localSheetId="0">#REF!</definedName>
    <definedName name="st_50">#REF!</definedName>
    <definedName name="st_500" localSheetId="0">#REF!</definedName>
    <definedName name="st_500">#REF!</definedName>
    <definedName name="st_65" localSheetId="0">#REF!</definedName>
    <definedName name="st_65">#REF!</definedName>
    <definedName name="st_80" localSheetId="0">#REF!</definedName>
    <definedName name="st_80">#REF!</definedName>
    <definedName name="ST1COPING" localSheetId="0">#REF!</definedName>
    <definedName name="ST1COPING">#REF!</definedName>
    <definedName name="ST1EXTCLADD" localSheetId="0">#REF!</definedName>
    <definedName name="ST1EXTCLADD">#REF!</definedName>
    <definedName name="ST2EXTCLADD" localSheetId="0">#REF!</definedName>
    <definedName name="ST2EXTCLADD">#REF!</definedName>
    <definedName name="staffing" localSheetId="0">#REF!</definedName>
    <definedName name="staffing">#REF!</definedName>
    <definedName name="Stage" localSheetId="0">#REF!</definedName>
    <definedName name="Stage">#REF!</definedName>
    <definedName name="stair" localSheetId="0">#REF!</definedName>
    <definedName name="stair">#REF!</definedName>
    <definedName name="Staircase" localSheetId="0">#REF!</definedName>
    <definedName name="Staircase">#REF!</definedName>
    <definedName name="Staircase2" localSheetId="0">#REF!</definedName>
    <definedName name="Staircase2">#REF!</definedName>
    <definedName name="STANDARD_SPECIFICATION_FOR_HOSPITAL_STRUCTURES" localSheetId="0">#REF!</definedName>
    <definedName name="STANDARD_SPECIFICATION_FOR_HOSPITAL_STRUCTURES">#REF!</definedName>
    <definedName name="star" localSheetId="0">#REF!</definedName>
    <definedName name="star">#REF!</definedName>
    <definedName name="Start_Date" localSheetId="0">#REF!</definedName>
    <definedName name="Start_Date">#REF!</definedName>
    <definedName name="Start_date1" localSheetId="0">#REF!</definedName>
    <definedName name="Start_date1">#REF!</definedName>
    <definedName name="State" localSheetId="0">#REF!</definedName>
    <definedName name="State">#REF!</definedName>
    <definedName name="staticpaver" localSheetId="0">#REF!</definedName>
    <definedName name="staticpaver">#REF!</definedName>
    <definedName name="STATUS" localSheetId="0">#REF!</definedName>
    <definedName name="STATUS">#REF!</definedName>
    <definedName name="STATUS_DRGS" localSheetId="0">#REF!</definedName>
    <definedName name="STATUS_DRGS">#REF!</definedName>
    <definedName name="steam_props" localSheetId="0">#REF!</definedName>
    <definedName name="steam_props">#REF!</definedName>
    <definedName name="STEEL" localSheetId="0">#REF!</definedName>
    <definedName name="STEEL">#REF!</definedName>
    <definedName name="STEEL_BEAM" localSheetId="0">#REF!</definedName>
    <definedName name="STEEL_BEAM">#REF!</definedName>
    <definedName name="STEEL_CITY" localSheetId="0">#REF!</definedName>
    <definedName name="STEEL_CITY">#REF!</definedName>
    <definedName name="STEEL_ESC" localSheetId="0">#REF!</definedName>
    <definedName name="STEEL_ESC">#REF!</definedName>
    <definedName name="STEEL_OLD_CITY" localSheetId="0">#REF!</definedName>
    <definedName name="STEEL_OLD_CITY">#REF!</definedName>
    <definedName name="STEEL_OLD_ESC" localSheetId="0">#REF!</definedName>
    <definedName name="STEEL_OLD_ESC">#REF!</definedName>
    <definedName name="STEEL_OLD_PROD" localSheetId="0">#REF!</definedName>
    <definedName name="STEEL_OLD_PROD">#REF!</definedName>
    <definedName name="STEEL_OLD_WAGE" localSheetId="0">#REF!</definedName>
    <definedName name="STEEL_OLD_WAGE">#REF!</definedName>
    <definedName name="STEEL_PROD" localSheetId="0">#REF!</definedName>
    <definedName name="STEEL_PROD">#REF!</definedName>
    <definedName name="STEEL_WAGE" localSheetId="0">#REF!</definedName>
    <definedName name="STEEL_WAGE">#REF!</definedName>
    <definedName name="steelbars" localSheetId="0">#REF!</definedName>
    <definedName name="steelbars">#REF!</definedName>
    <definedName name="steellead" localSheetId="0">#REF!</definedName>
    <definedName name="steellead">#REF!</definedName>
    <definedName name="steelrebars" localSheetId="0">#REF!</definedName>
    <definedName name="steelrebars">#REF!</definedName>
    <definedName name="steelwires" localSheetId="0">#REF!</definedName>
    <definedName name="steelwires">#REF!</definedName>
    <definedName name="stock" localSheetId="0">#REF!</definedName>
    <definedName name="stock">#REF!</definedName>
    <definedName name="stonecladd20mm" localSheetId="0">#REF!</definedName>
    <definedName name="stonecladd20mm">#REF!</definedName>
    <definedName name="stonecladding30mm" localSheetId="0">#REF!</definedName>
    <definedName name="stonecladding30mm">#REF!</definedName>
    <definedName name="strands" localSheetId="0">#REF!</definedName>
    <definedName name="strands">#REF!</definedName>
    <definedName name="stri1" localSheetId="0">#REF!</definedName>
    <definedName name="stri1">#REF!</definedName>
    <definedName name="stri2" localSheetId="0">#REF!</definedName>
    <definedName name="stri2">#REF!</definedName>
    <definedName name="StrID" localSheetId="0">#REF!</definedName>
    <definedName name="StrID">#REF!</definedName>
    <definedName name="stripseal" localSheetId="0">#REF!</definedName>
    <definedName name="stripseal">#REF!</definedName>
    <definedName name="Struct_Steel_1" localSheetId="0">#REF!</definedName>
    <definedName name="Struct_Steel_1">#REF!</definedName>
    <definedName name="Struct_Steel_10" localSheetId="0">#REF!</definedName>
    <definedName name="Struct_Steel_10">#REF!</definedName>
    <definedName name="Struct_Steel_100" localSheetId="0">#REF!</definedName>
    <definedName name="Struct_Steel_100">#REF!</definedName>
    <definedName name="Struct_Steel_20" localSheetId="0">#REF!</definedName>
    <definedName name="Struct_Steel_20">#REF!</definedName>
    <definedName name="Struct_Steel_30" localSheetId="0">#REF!</definedName>
    <definedName name="Struct_Steel_30">#REF!</definedName>
    <definedName name="Struct_Steel_40" localSheetId="0">#REF!</definedName>
    <definedName name="Struct_Steel_40">#REF!</definedName>
    <definedName name="Struct_Steel_50" localSheetId="0">#REF!</definedName>
    <definedName name="Struct_Steel_50">#REF!</definedName>
    <definedName name="Struct_Steel_60" localSheetId="0">#REF!</definedName>
    <definedName name="Struct_Steel_60">#REF!</definedName>
    <definedName name="Struct_Steel_70" localSheetId="0">#REF!</definedName>
    <definedName name="Struct_Steel_70">#REF!</definedName>
    <definedName name="Struct_Steel_80" localSheetId="0">#REF!</definedName>
    <definedName name="Struct_Steel_80">#REF!</definedName>
    <definedName name="Struct_Steel_90" localSheetId="0">#REF!</definedName>
    <definedName name="Struct_Steel_90">#REF!</definedName>
    <definedName name="STRUCTURAL" localSheetId="0">#REF!</definedName>
    <definedName name="STRUCTURAL">#REF!</definedName>
    <definedName name="structuralsteel" localSheetId="0">#REF!</definedName>
    <definedName name="structuralsteel">#REF!</definedName>
    <definedName name="structure" localSheetId="0">#REF!</definedName>
    <definedName name="structure">#REF!</definedName>
    <definedName name="Stry_Ht" localSheetId="0">#REF!</definedName>
    <definedName name="Stry_Ht">#REF!</definedName>
    <definedName name="stt" localSheetId="0">#REF!</definedName>
    <definedName name="stt">#REF!</definedName>
    <definedName name="studs" localSheetId="0">#REF!</definedName>
    <definedName name="studs">#REF!</definedName>
    <definedName name="stype2drop" localSheetId="0">#REF!</definedName>
    <definedName name="stype2drop">#REF!</definedName>
    <definedName name="STYPE2DROP1" localSheetId="0">#REF!</definedName>
    <definedName name="STYPE2DROP1">#REF!</definedName>
    <definedName name="stype2drop11" localSheetId="0">#REF!</definedName>
    <definedName name="stype2drop11">#REF!</definedName>
    <definedName name="stype2drop2" localSheetId="0">#REF!</definedName>
    <definedName name="stype2drop2">#REF!</definedName>
    <definedName name="STYPE2DROP23" localSheetId="0">#REF!</definedName>
    <definedName name="STYPE2DROP23">#REF!</definedName>
    <definedName name="STYPE2DROP3" localSheetId="0">#REF!</definedName>
    <definedName name="STYPE2DROP3">#REF!</definedName>
    <definedName name="STYPE2DROP4" localSheetId="0">#REF!</definedName>
    <definedName name="STYPE2DROP4">#REF!</definedName>
    <definedName name="stype2drop6" localSheetId="0">#REF!</definedName>
    <definedName name="stype2drop6">#REF!</definedName>
    <definedName name="stype2slab" localSheetId="0">#REF!</definedName>
    <definedName name="stype2slab">#REF!</definedName>
    <definedName name="STYPE2SLAB1" localSheetId="0">#REF!</definedName>
    <definedName name="STYPE2SLAB1">#REF!</definedName>
    <definedName name="STYPE2SLAB12" localSheetId="0">#REF!</definedName>
    <definedName name="STYPE2SLAB12">#REF!</definedName>
    <definedName name="STYPE2SLAB2" localSheetId="0">#REF!</definedName>
    <definedName name="STYPE2SLAB2">#REF!</definedName>
    <definedName name="stype2slab22" localSheetId="0">#REF!</definedName>
    <definedName name="stype2slab22">#REF!</definedName>
    <definedName name="STYPE2SLAB23" localSheetId="0">#REF!</definedName>
    <definedName name="STYPE2SLAB23">#REF!</definedName>
    <definedName name="stype2slab3" localSheetId="0">#REF!</definedName>
    <definedName name="stype2slab3">#REF!</definedName>
    <definedName name="stype2slab6" localSheetId="0">#REF!</definedName>
    <definedName name="stype2slab6">#REF!</definedName>
    <definedName name="stype3drop" localSheetId="0">#REF!</definedName>
    <definedName name="stype3drop">#REF!</definedName>
    <definedName name="STYPE3DROP2" localSheetId="0">#REF!</definedName>
    <definedName name="STYPE3DROP2">#REF!</definedName>
    <definedName name="STYPE3DROP21" localSheetId="0">#REF!</definedName>
    <definedName name="STYPE3DROP21">#REF!</definedName>
    <definedName name="STYPE3DROP23" localSheetId="0">#REF!</definedName>
    <definedName name="STYPE3DROP23">#REF!</definedName>
    <definedName name="stype3drop3" localSheetId="0">#REF!</definedName>
    <definedName name="stype3drop3">#REF!</definedName>
    <definedName name="stype3drop33" localSheetId="0">#REF!</definedName>
    <definedName name="stype3drop33">#REF!</definedName>
    <definedName name="STYPE3DROP4" localSheetId="0">#REF!</definedName>
    <definedName name="STYPE3DROP4">#REF!</definedName>
    <definedName name="stype3drop6" localSheetId="0">#REF!</definedName>
    <definedName name="stype3drop6">#REF!</definedName>
    <definedName name="stype3slab" localSheetId="0">#REF!</definedName>
    <definedName name="stype3slab">#REF!</definedName>
    <definedName name="STYPE3SLAB1" localSheetId="0">#REF!</definedName>
    <definedName name="STYPE3SLAB1">#REF!</definedName>
    <definedName name="STYPE3SLAB12" localSheetId="0">#REF!</definedName>
    <definedName name="STYPE3SLAB12">#REF!</definedName>
    <definedName name="STYPE3SLAB13" localSheetId="0">#REF!</definedName>
    <definedName name="STYPE3SLAB13">#REF!</definedName>
    <definedName name="stype3slab22" localSheetId="0">#REF!</definedName>
    <definedName name="stype3slab22">#REF!</definedName>
    <definedName name="STYPE3SLAB23" localSheetId="0">#REF!</definedName>
    <definedName name="STYPE3SLAB23">#REF!</definedName>
    <definedName name="stype3slab3" localSheetId="0">#REF!</definedName>
    <definedName name="stype3slab3">#REF!</definedName>
    <definedName name="stype3slab6" localSheetId="0">#REF!</definedName>
    <definedName name="stype3slab6">#REF!</definedName>
    <definedName name="sub_end" localSheetId="0">#REF!</definedName>
    <definedName name="sub_end">#REF!</definedName>
    <definedName name="subash" localSheetId="0">#REF!</definedName>
    <definedName name="subash">#REF!</definedName>
    <definedName name="Subject" localSheetId="0">#REF!</definedName>
    <definedName name="Subject">#REF!</definedName>
    <definedName name="SubjectProperty" localSheetId="0">#REF!</definedName>
    <definedName name="SubjectProperty">#REF!</definedName>
    <definedName name="SubjectRooms" localSheetId="0">#REF!</definedName>
    <definedName name="SubjectRooms">#REF!</definedName>
    <definedName name="SUBS" localSheetId="0">#REF!</definedName>
    <definedName name="SUBS">#REF!</definedName>
    <definedName name="subshoulderpcc" localSheetId="0">#REF!</definedName>
    <definedName name="subshoulderpcc">#REF!</definedName>
    <definedName name="substrconc" localSheetId="0">#REF!</definedName>
    <definedName name="substrconc">#REF!</definedName>
    <definedName name="substrconc50mpa" localSheetId="0">#REF!</definedName>
    <definedName name="substrconc50mpa">#REF!</definedName>
    <definedName name="substrotheritems" localSheetId="0">#REF!</definedName>
    <definedName name="substrotheritems">#REF!</definedName>
    <definedName name="Substructure" localSheetId="0">#REF!</definedName>
    <definedName name="Substructure">#REF!</definedName>
    <definedName name="SUBTOTAL" localSheetId="0">#REF!</definedName>
    <definedName name="SUBTOTAL">#REF!</definedName>
    <definedName name="SUBTOTALS" localSheetId="0">#REF!</definedName>
    <definedName name="SUBTOTALS">#REF!</definedName>
    <definedName name="SUBTOTALS_15" localSheetId="0">#REF!</definedName>
    <definedName name="SUBTOTALS_15">#REF!</definedName>
    <definedName name="subtotals1" localSheetId="0">#REF!</definedName>
    <definedName name="subtotals1">#REF!</definedName>
    <definedName name="suhas" localSheetId="0">#REF!</definedName>
    <definedName name="suhas">#REF!</definedName>
    <definedName name="Sum" localSheetId="0">#REF!</definedName>
    <definedName name="Sum">#REF!</definedName>
    <definedName name="SUM_DATA" localSheetId="0">#REF!</definedName>
    <definedName name="SUM_DATA">#REF!</definedName>
    <definedName name="SUMFINAL" localSheetId="0">#REF!</definedName>
    <definedName name="SUMFINAL">#REF!</definedName>
    <definedName name="sumGTR10" localSheetId="0">#REF!</definedName>
    <definedName name="sumGTR10">#REF!</definedName>
    <definedName name="SUMGTR16" localSheetId="0">#REF!</definedName>
    <definedName name="SUMGTR16">#REF!</definedName>
    <definedName name="SUMGTR20" localSheetId="0">#REF!</definedName>
    <definedName name="SUMGTR20">#REF!</definedName>
    <definedName name="SUMGTR25" localSheetId="0">#REF!</definedName>
    <definedName name="SUMGTR25">#REF!</definedName>
    <definedName name="SUMGTR32" localSheetId="0">#REF!</definedName>
    <definedName name="SUMGTR32">#REF!</definedName>
    <definedName name="SUMGTR40" localSheetId="0">#REF!</definedName>
    <definedName name="SUMGTR40">#REF!</definedName>
    <definedName name="SUMGTR6" localSheetId="0">#REF!</definedName>
    <definedName name="SUMGTR6">#REF!</definedName>
    <definedName name="SUMGTR8" localSheetId="0">#REF!</definedName>
    <definedName name="SUMGTR8">#REF!</definedName>
    <definedName name="SUMGTT10" localSheetId="0">#REF!</definedName>
    <definedName name="SUMGTT10">#REF!</definedName>
    <definedName name="SUMGTT12" localSheetId="0">#REF!</definedName>
    <definedName name="SUMGTT12">#REF!</definedName>
    <definedName name="SUMGTT14" localSheetId="0">#REF!</definedName>
    <definedName name="SUMGTT14">#REF!</definedName>
    <definedName name="SUMGTT16" localSheetId="0">#REF!</definedName>
    <definedName name="SUMGTT16">#REF!</definedName>
    <definedName name="SUMGTT20" localSheetId="0">#REF!</definedName>
    <definedName name="SUMGTT20">#REF!</definedName>
    <definedName name="SUMGTT25" localSheetId="0">#REF!</definedName>
    <definedName name="SUMGTT25">#REF!</definedName>
    <definedName name="SUMGTT32" localSheetId="0">#REF!</definedName>
    <definedName name="SUMGTT32">#REF!</definedName>
    <definedName name="SUMGTT40" localSheetId="0">#REF!</definedName>
    <definedName name="SUMGTT40">#REF!</definedName>
    <definedName name="SUMGTT6" localSheetId="0">#REF!</definedName>
    <definedName name="SUMGTT6">#REF!</definedName>
    <definedName name="SUMGTT8" localSheetId="0">#REF!</definedName>
    <definedName name="SUMGTT8">#REF!</definedName>
    <definedName name="SUMHEADER" localSheetId="0">#REF!</definedName>
    <definedName name="SUMHEADER">#REF!</definedName>
    <definedName name="SUMMARY" localSheetId="0">#REF!</definedName>
    <definedName name="SUMMARY">#REF!</definedName>
    <definedName name="summaryhead" localSheetId="0">#REF!</definedName>
    <definedName name="summaryhead">#REF!</definedName>
    <definedName name="Summarylist" localSheetId="0">#REF!</definedName>
    <definedName name="Summarylist">#REF!</definedName>
    <definedName name="sump" localSheetId="0">#REF!</definedName>
    <definedName name="sump">#REF!</definedName>
    <definedName name="SumR10" localSheetId="0">#REF!</definedName>
    <definedName name="SumR10">#REF!</definedName>
    <definedName name="SUMR1094" localSheetId="0">#REF!</definedName>
    <definedName name="SUMR1094">#REF!</definedName>
    <definedName name="SumR12" localSheetId="0">#REF!</definedName>
    <definedName name="SumR12">#REF!</definedName>
    <definedName name="SUMR1294" localSheetId="0">#REF!</definedName>
    <definedName name="SUMR1294">#REF!</definedName>
    <definedName name="SumR16" localSheetId="0">#REF!</definedName>
    <definedName name="SumR16">#REF!</definedName>
    <definedName name="SUMR1694" localSheetId="0">#REF!</definedName>
    <definedName name="SUMR1694">#REF!</definedName>
    <definedName name="SumR20" localSheetId="0">#REF!</definedName>
    <definedName name="SumR20">#REF!</definedName>
    <definedName name="SUMR2094" localSheetId="0">#REF!</definedName>
    <definedName name="SUMR2094">#REF!</definedName>
    <definedName name="SumR25" localSheetId="0">#REF!</definedName>
    <definedName name="SumR25">#REF!</definedName>
    <definedName name="SUMR2594" localSheetId="0">#REF!</definedName>
    <definedName name="SUMR2594">#REF!</definedName>
    <definedName name="SumR32" localSheetId="0">#REF!</definedName>
    <definedName name="SumR32">#REF!</definedName>
    <definedName name="SUMR3294" localSheetId="0">#REF!</definedName>
    <definedName name="SUMR3294">#REF!</definedName>
    <definedName name="SumR40" localSheetId="0">#REF!</definedName>
    <definedName name="SumR40">#REF!</definedName>
    <definedName name="SUMR4094" localSheetId="0">#REF!</definedName>
    <definedName name="SUMR4094">#REF!</definedName>
    <definedName name="SumR6" localSheetId="0">#REF!</definedName>
    <definedName name="SumR6">#REF!</definedName>
    <definedName name="SUMR694" localSheetId="0">#REF!</definedName>
    <definedName name="SUMR694">#REF!</definedName>
    <definedName name="SumR8" localSheetId="0">#REF!</definedName>
    <definedName name="SumR8">#REF!</definedName>
    <definedName name="SUMR894" localSheetId="0">#REF!</definedName>
    <definedName name="SUMR894">#REF!</definedName>
    <definedName name="sumra" localSheetId="0">#REF!</definedName>
    <definedName name="sumra">#REF!</definedName>
    <definedName name="SumT10" localSheetId="0">#REF!</definedName>
    <definedName name="SumT10">#REF!</definedName>
    <definedName name="SUMT1094" localSheetId="0">#REF!</definedName>
    <definedName name="SUMT1094">#REF!</definedName>
    <definedName name="SumT12" localSheetId="0">#REF!</definedName>
    <definedName name="SumT12">#REF!</definedName>
    <definedName name="SUMT1294" localSheetId="0">#REF!</definedName>
    <definedName name="SUMT1294">#REF!</definedName>
    <definedName name="SUMT14" localSheetId="0">#REF!</definedName>
    <definedName name="SUMT14">#REF!</definedName>
    <definedName name="SumT16" localSheetId="0">#REF!</definedName>
    <definedName name="SumT16">#REF!</definedName>
    <definedName name="SUMT1694" localSheetId="0">#REF!</definedName>
    <definedName name="SUMT1694">#REF!</definedName>
    <definedName name="SumT20" localSheetId="0">#REF!</definedName>
    <definedName name="SumT20">#REF!</definedName>
    <definedName name="SUMT2094" localSheetId="0">#REF!</definedName>
    <definedName name="SUMT2094">#REF!</definedName>
    <definedName name="SumT25" localSheetId="0">#REF!</definedName>
    <definedName name="SumT25">#REF!</definedName>
    <definedName name="SUMT2594" localSheetId="0">#REF!</definedName>
    <definedName name="SUMT2594">#REF!</definedName>
    <definedName name="SUMT28" localSheetId="0">#REF!</definedName>
    <definedName name="SUMT28">#REF!</definedName>
    <definedName name="SUMT2894" localSheetId="0">#REF!</definedName>
    <definedName name="SUMT2894">#REF!</definedName>
    <definedName name="SumT32" localSheetId="0">#REF!</definedName>
    <definedName name="SumT32">#REF!</definedName>
    <definedName name="SUMT3294" localSheetId="0">#REF!</definedName>
    <definedName name="SUMT3294">#REF!</definedName>
    <definedName name="SumT40" localSheetId="0">#REF!</definedName>
    <definedName name="SumT40">#REF!</definedName>
    <definedName name="SUMT4094" localSheetId="0">#REF!</definedName>
    <definedName name="SUMT4094">#REF!</definedName>
    <definedName name="SumT6" localSheetId="0">#REF!</definedName>
    <definedName name="SumT6">#REF!</definedName>
    <definedName name="SUMT694" localSheetId="0">#REF!</definedName>
    <definedName name="SUMT694">#REF!</definedName>
    <definedName name="SumT8" localSheetId="0">#REF!</definedName>
    <definedName name="SumT8">#REF!</definedName>
    <definedName name="SUMT894" localSheetId="0">#REF!</definedName>
    <definedName name="SUMT894">#REF!</definedName>
    <definedName name="SUNIL" localSheetId="0">#REF!</definedName>
    <definedName name="SUNIL">#REF!</definedName>
    <definedName name="SUNIL1" localSheetId="0">#REF!</definedName>
    <definedName name="SUNIL1">#REF!</definedName>
    <definedName name="SUNIL3" localSheetId="0">#REF!</definedName>
    <definedName name="SUNIL3">#REF!</definedName>
    <definedName name="superstrcolums" localSheetId="0">#REF!</definedName>
    <definedName name="superstrcolums">#REF!</definedName>
    <definedName name="superstrconc" localSheetId="0">#REF!</definedName>
    <definedName name="superstrconc">#REF!</definedName>
    <definedName name="superstrconc50mpa" localSheetId="0">#REF!</definedName>
    <definedName name="superstrconc50mpa">#REF!</definedName>
    <definedName name="superstructure" localSheetId="0">#REF!</definedName>
    <definedName name="superstructure">#REF!</definedName>
    <definedName name="superstructurebeams" localSheetId="0">#REF!</definedName>
    <definedName name="superstructurebeams">#REF!</definedName>
    <definedName name="surarea2" localSheetId="0">#REF!</definedName>
    <definedName name="surarea2">#REF!</definedName>
    <definedName name="SURYA" localSheetId="0">#REF!</definedName>
    <definedName name="SURYA">#REF!</definedName>
    <definedName name="sushma" localSheetId="0">#REF!</definedName>
    <definedName name="sushma">#REF!</definedName>
    <definedName name="SVF" localSheetId="0">#REF!</definedName>
    <definedName name="SVF">#REF!</definedName>
    <definedName name="SVF_FLOW" localSheetId="0">#REF!</definedName>
    <definedName name="SVF_FLOW">#REF!</definedName>
    <definedName name="SWALL" localSheetId="0">#REF!</definedName>
    <definedName name="SWALL">#REF!</definedName>
    <definedName name="SWE" localSheetId="0">#REF!</definedName>
    <definedName name="SWE">#REF!</definedName>
    <definedName name="swf" localSheetId="0">#REF!</definedName>
    <definedName name="swf">#REF!</definedName>
    <definedName name="SWITCH" localSheetId="0">#REF!</definedName>
    <definedName name="SWITCH">#REF!</definedName>
    <definedName name="Sww" localSheetId="0">#REF!</definedName>
    <definedName name="Sww">#REF!</definedName>
    <definedName name="SWYD_DUCT_SIZE" localSheetId="0">#REF!</definedName>
    <definedName name="SWYD_DUCT_SIZE">#REF!</definedName>
    <definedName name="Swyd_Scope" localSheetId="0">#REF!</definedName>
    <definedName name="Swyd_Scope">#REF!</definedName>
    <definedName name="SWYD_TYPE" localSheetId="0">#REF!</definedName>
    <definedName name="SWYD_TYPE">#REF!</definedName>
    <definedName name="SXZCAX" localSheetId="0">#REF!</definedName>
    <definedName name="SXZCAX">#REF!</definedName>
    <definedName name="SYS" localSheetId="0">#REF!</definedName>
    <definedName name="SYS">#REF!</definedName>
    <definedName name="SYSTEM" localSheetId="0">#REF!</definedName>
    <definedName name="SYSTEM">#REF!</definedName>
    <definedName name="T" localSheetId="0">#REF!</definedName>
    <definedName name="T">#REF!</definedName>
    <definedName name="T.A" localSheetId="0">#REF!</definedName>
    <definedName name="T.A">#REF!</definedName>
    <definedName name="t.area" localSheetId="0">#REF!</definedName>
    <definedName name="t.area">#REF!</definedName>
    <definedName name="t___0" localSheetId="0">#REF!</definedName>
    <definedName name="t___0">#REF!</definedName>
    <definedName name="t___13" localSheetId="0">#REF!</definedName>
    <definedName name="t___13">#REF!</definedName>
    <definedName name="t25h" localSheetId="0">#REF!</definedName>
    <definedName name="t25h">#REF!</definedName>
    <definedName name="Ta" localSheetId="0">#REF!</definedName>
    <definedName name="Ta">#REF!</definedName>
    <definedName name="Table" localSheetId="0">#REF!</definedName>
    <definedName name="Table">#REF!</definedName>
    <definedName name="TABLE_4" localSheetId="0">#REF!</definedName>
    <definedName name="TABLE_4">#REF!</definedName>
    <definedName name="Table1" localSheetId="0">#REF!</definedName>
    <definedName name="Table1">#REF!</definedName>
    <definedName name="Table2" localSheetId="0">#REF!</definedName>
    <definedName name="Table2">#REF!</definedName>
    <definedName name="table250" localSheetId="0">#REF!</definedName>
    <definedName name="table250">#REF!</definedName>
    <definedName name="table275" localSheetId="0">#REF!</definedName>
    <definedName name="table275">#REF!</definedName>
    <definedName name="Table3" localSheetId="0">#REF!</definedName>
    <definedName name="Table3">#REF!</definedName>
    <definedName name="table300" localSheetId="0">#REF!</definedName>
    <definedName name="table300">#REF!</definedName>
    <definedName name="table325" localSheetId="0">#REF!</definedName>
    <definedName name="table325">#REF!</definedName>
    <definedName name="table350" localSheetId="0">#REF!</definedName>
    <definedName name="table350">#REF!</definedName>
    <definedName name="table375" localSheetId="0">#REF!</definedName>
    <definedName name="table375">#REF!</definedName>
    <definedName name="table400" localSheetId="0">#REF!</definedName>
    <definedName name="table400">#REF!</definedName>
    <definedName name="table425" localSheetId="0">#REF!</definedName>
    <definedName name="table425">#REF!</definedName>
    <definedName name="table450" localSheetId="0">#REF!</definedName>
    <definedName name="table450">#REF!</definedName>
    <definedName name="table475" localSheetId="0">#REF!</definedName>
    <definedName name="table475">#REF!</definedName>
    <definedName name="table500" localSheetId="0">#REF!</definedName>
    <definedName name="table500">#REF!</definedName>
    <definedName name="table525" localSheetId="0">#REF!</definedName>
    <definedName name="table525">#REF!</definedName>
    <definedName name="table550" localSheetId="0">#REF!</definedName>
    <definedName name="table550">#REF!</definedName>
    <definedName name="table575" localSheetId="0">#REF!</definedName>
    <definedName name="table575">#REF!</definedName>
    <definedName name="TABLE5KV" localSheetId="0">#REF!</definedName>
    <definedName name="TABLE5KV">#REF!</definedName>
    <definedName name="table600" localSheetId="0">#REF!</definedName>
    <definedName name="table600">#REF!</definedName>
    <definedName name="table625" localSheetId="0">#REF!</definedName>
    <definedName name="table625">#REF!</definedName>
    <definedName name="table650" localSheetId="0">#REF!</definedName>
    <definedName name="table650">#REF!</definedName>
    <definedName name="table675" localSheetId="0">#REF!</definedName>
    <definedName name="table675">#REF!</definedName>
    <definedName name="table700" localSheetId="0">#REF!</definedName>
    <definedName name="table700">#REF!</definedName>
    <definedName name="table725" localSheetId="0">#REF!</definedName>
    <definedName name="table725">#REF!</definedName>
    <definedName name="table750" localSheetId="0">#REF!</definedName>
    <definedName name="table750">#REF!</definedName>
    <definedName name="table775" localSheetId="0">#REF!</definedName>
    <definedName name="table775">#REF!</definedName>
    <definedName name="table800" localSheetId="0">#REF!</definedName>
    <definedName name="table800">#REF!</definedName>
    <definedName name="TableRange" localSheetId="0">#REF!</definedName>
    <definedName name="TableRange">#REF!</definedName>
    <definedName name="tabtdp" localSheetId="0">#REF!</definedName>
    <definedName name="tabtdp">#REF!</definedName>
    <definedName name="tackbetweenpcc" localSheetId="0">#REF!</definedName>
    <definedName name="tackbetweenpcc">#REF!</definedName>
    <definedName name="TAHOMA" localSheetId="0">#REF!</definedName>
    <definedName name="TAHOMA">#REF!</definedName>
    <definedName name="tallu" localSheetId="0">#REF!</definedName>
    <definedName name="tallu">#REF!</definedName>
    <definedName name="tally" localSheetId="0">#REF!</definedName>
    <definedName name="tally">#REF!</definedName>
    <definedName name="TAMT" localSheetId="0">#REF!</definedName>
    <definedName name="TAMT">#REF!</definedName>
    <definedName name="Tandrolr" localSheetId="0">#REF!</definedName>
    <definedName name="Tandrolr">#REF!</definedName>
    <definedName name="tarman" localSheetId="0">#REF!</definedName>
    <definedName name="tarman">#REF!</definedName>
    <definedName name="TaxInflation" localSheetId="0">#REF!</definedName>
    <definedName name="TaxInflation">#REF!</definedName>
    <definedName name="TaxRate" localSheetId="0">#REF!</definedName>
    <definedName name="TaxRate">#REF!</definedName>
    <definedName name="Tb" localSheetId="0">#REF!</definedName>
    <definedName name="Tb">#REF!</definedName>
    <definedName name="tbarri" localSheetId="0">#REF!</definedName>
    <definedName name="tbarri">#REF!</definedName>
    <definedName name="Tbc" localSheetId="0">#REF!</definedName>
    <definedName name="Tbc">#REF!</definedName>
    <definedName name="tbl_ProdInfo" localSheetId="0">#REF!</definedName>
    <definedName name="tbl_ProdInfo">#REF!</definedName>
    <definedName name="tc" localSheetId="0">#REF!</definedName>
    <definedName name="tc">#REF!</definedName>
    <definedName name="tcant" localSheetId="0">#REF!</definedName>
    <definedName name="tcant">#REF!</definedName>
    <definedName name="tcap" localSheetId="0">#REF!</definedName>
    <definedName name="tcap">#REF!</definedName>
    <definedName name="TCD" localSheetId="0">#REF!</definedName>
    <definedName name="TCD">#REF!</definedName>
    <definedName name="tcpdp" localSheetId="0">#REF!</definedName>
    <definedName name="tcpdp">#REF!</definedName>
    <definedName name="Tcrane" localSheetId="0">#REF!</definedName>
    <definedName name="Tcrane">#REF!</definedName>
    <definedName name="TECHI" localSheetId="0">#REF!</definedName>
    <definedName name="TECHI">#REF!</definedName>
    <definedName name="tee" localSheetId="0">#REF!</definedName>
    <definedName name="tee">#REF!</definedName>
    <definedName name="TEI" localSheetId="0">#REF!</definedName>
    <definedName name="TEI">#REF!</definedName>
    <definedName name="tel" localSheetId="0">#REF!</definedName>
    <definedName name="tel">#REF!</definedName>
    <definedName name="TELE_CABLE" localSheetId="0">#REF!</definedName>
    <definedName name="TELE_CABLE">#REF!</definedName>
    <definedName name="TELE_CONDUIT" localSheetId="0">#REF!</definedName>
    <definedName name="TELE_CONDUIT">#REF!</definedName>
    <definedName name="TELE_EQUIP" localSheetId="0">#REF!</definedName>
    <definedName name="TELE_EQUIP">#REF!</definedName>
    <definedName name="telecom" localSheetId="0">#REF!</definedName>
    <definedName name="telecom">#REF!</definedName>
    <definedName name="telephonepoles" localSheetId="0">#REF!</definedName>
    <definedName name="telephonepoles">#REF!</definedName>
    <definedName name="TELEVISION" localSheetId="0">#REF!</definedName>
    <definedName name="TELEVISION">#REF!</definedName>
    <definedName name="Term" localSheetId="0">#REF!</definedName>
    <definedName name="Term">#REF!</definedName>
    <definedName name="TerminalCap" localSheetId="0">#REF!</definedName>
    <definedName name="TerminalCap">#REF!</definedName>
    <definedName name="TERMINATION" localSheetId="0">#REF!</definedName>
    <definedName name="TERMINATION">#REF!</definedName>
    <definedName name="terminations" localSheetId="0">#REF!</definedName>
    <definedName name="terminations">#REF!</definedName>
    <definedName name="TERMS_5KV" localSheetId="0">#REF!</definedName>
    <definedName name="TERMS_5KV">#REF!</definedName>
    <definedName name="TERMS_600V" localSheetId="0">#REF!</definedName>
    <definedName name="TERMS_600V">#REF!</definedName>
    <definedName name="terrazofl" localSheetId="0">#REF!</definedName>
    <definedName name="terrazofl">#REF!</definedName>
    <definedName name="terrazoriser" localSheetId="0">#REF!</definedName>
    <definedName name="terrazoriser">#REF!</definedName>
    <definedName name="terrazoskt" localSheetId="0">#REF!</definedName>
    <definedName name="terrazoskt">#REF!</definedName>
    <definedName name="terrazotiles" localSheetId="0">#REF!</definedName>
    <definedName name="terrazotiles">#REF!</definedName>
    <definedName name="terrazotread" localSheetId="0">#REF!</definedName>
    <definedName name="terrazotread">#REF!</definedName>
    <definedName name="TERTERTER" localSheetId="0">#REF!</definedName>
    <definedName name="TERTERTER">#REF!</definedName>
    <definedName name="TEs" localSheetId="0">#REF!</definedName>
    <definedName name="TEs">#REF!</definedName>
    <definedName name="TEs___0" localSheetId="0">#REF!</definedName>
    <definedName name="TEs___0">#REF!</definedName>
    <definedName name="TEs___13" localSheetId="0">#REF!</definedName>
    <definedName name="TEs___13">#REF!</definedName>
    <definedName name="test1" localSheetId="0">#REF!</definedName>
    <definedName name="test1">#REF!</definedName>
    <definedName name="TEt" localSheetId="0">#REF!</definedName>
    <definedName name="TEt">#REF!</definedName>
    <definedName name="TEt___0" localSheetId="0">#REF!</definedName>
    <definedName name="TEt___0">#REF!</definedName>
    <definedName name="TEt___13" localSheetId="0">#REF!</definedName>
    <definedName name="TEt___13">#REF!</definedName>
    <definedName name="TextFormat" localSheetId="0">#REF!</definedName>
    <definedName name="TextFormat">#REF!</definedName>
    <definedName name="TF" localSheetId="0">#REF!</definedName>
    <definedName name="TF">#REF!</definedName>
    <definedName name="TFf" localSheetId="0">#REF!</definedName>
    <definedName name="TFf">#REF!</definedName>
    <definedName name="than_1.2_m_of_approved_equivalent_over_prepared_existing_surface_and" localSheetId="0">#REF!</definedName>
    <definedName name="than_1.2_m_of_approved_equivalent_over_prepared_existing_surface_and">#REF!</definedName>
    <definedName name="theta" localSheetId="0">#REF!</definedName>
    <definedName name="theta">#REF!</definedName>
    <definedName name="Theta1" localSheetId="0">#REF!</definedName>
    <definedName name="Theta1">#REF!</definedName>
    <definedName name="Theta2" localSheetId="0">#REF!</definedName>
    <definedName name="Theta2">#REF!</definedName>
    <definedName name="thikwing" localSheetId="0">#REF!</definedName>
    <definedName name="thikwing">#REF!</definedName>
    <definedName name="THK" localSheetId="0">#REF!</definedName>
    <definedName name="THK">#REF!</definedName>
    <definedName name="tht" localSheetId="0">#REF!</definedName>
    <definedName name="tht">#REF!</definedName>
    <definedName name="ti25hr" localSheetId="0">#REF!</definedName>
    <definedName name="ti25hr">#REF!</definedName>
    <definedName name="tileaq" localSheetId="0">#REF!</definedName>
    <definedName name="tileaq">#REF!</definedName>
    <definedName name="tipper" localSheetId="0">#REF!</definedName>
    <definedName name="tipper">#REF!</definedName>
    <definedName name="tipper5t" localSheetId="0">#REF!</definedName>
    <definedName name="tipper5t">#REF!</definedName>
    <definedName name="TITLE" localSheetId="0">#REF!</definedName>
    <definedName name="TITLE">#REF!</definedName>
    <definedName name="title1" localSheetId="0">#REF!</definedName>
    <definedName name="title1">#REF!</definedName>
    <definedName name="title2" localSheetId="0">#REF!</definedName>
    <definedName name="title2">#REF!</definedName>
    <definedName name="title2opt1" localSheetId="0">#REF!</definedName>
    <definedName name="title2opt1">#REF!</definedName>
    <definedName name="title2opt2" localSheetId="0">#REF!</definedName>
    <definedName name="title2opt2">#REF!</definedName>
    <definedName name="title3" localSheetId="0">#REF!</definedName>
    <definedName name="title3">#REF!</definedName>
    <definedName name="Tk" localSheetId="0">#REF!</definedName>
    <definedName name="Tk">#REF!</definedName>
    <definedName name="Tkl" localSheetId="0">#REF!</definedName>
    <definedName name="Tkl">#REF!</definedName>
    <definedName name="Tl" localSheetId="0">#REF!</definedName>
    <definedName name="Tl">#REF!</definedName>
    <definedName name="Tm" localSheetId="0">#REF!</definedName>
    <definedName name="Tm">#REF!</definedName>
    <definedName name="TO.AR" localSheetId="0">#REF!</definedName>
    <definedName name="TO.AR">#REF!</definedName>
    <definedName name="tol" localSheetId="0">#REF!</definedName>
    <definedName name="tol">#REF!</definedName>
    <definedName name="tools" localSheetId="0">#REF!</definedName>
    <definedName name="tools">#REF!</definedName>
    <definedName name="tools1" localSheetId="0">#REF!</definedName>
    <definedName name="tools1">#REF!</definedName>
    <definedName name="top" localSheetId="0">#REF!</definedName>
    <definedName name="top">#REF!</definedName>
    <definedName name="toparea1" localSheetId="0">#REF!</definedName>
    <definedName name="toparea1">#REF!</definedName>
    <definedName name="topl" localSheetId="0">#REF!</definedName>
    <definedName name="topl">#REF!</definedName>
    <definedName name="topn" localSheetId="0">#REF!</definedName>
    <definedName name="topn">#REF!</definedName>
    <definedName name="TopSlbThk" localSheetId="0">#REF!</definedName>
    <definedName name="TopSlbThk">#REF!</definedName>
    <definedName name="TOT" localSheetId="0">#REF!</definedName>
    <definedName name="TOT">#REF!</definedName>
    <definedName name="TOT_EXP_COND" localSheetId="0">#REF!</definedName>
    <definedName name="TOT_EXP_COND">#REF!</definedName>
    <definedName name="TOT_FIXTURES" localSheetId="0">#REF!</definedName>
    <definedName name="TOT_FIXTURES">#REF!</definedName>
    <definedName name="TOT_PVC_COND" localSheetId="0">#REF!</definedName>
    <definedName name="TOT_PVC_COND">#REF!</definedName>
    <definedName name="total" localSheetId="0">#REF!</definedName>
    <definedName name="total">#REF!</definedName>
    <definedName name="TOTAL_CONSUMPTION" localSheetId="0">#REF!</definedName>
    <definedName name="TOTAL_CONSUMPTION">#REF!</definedName>
    <definedName name="TOTAL_DIRECTS" localSheetId="0">#REF!</definedName>
    <definedName name="TOTAL_DIRECTS">#REF!</definedName>
    <definedName name="TOTAL_INDIRECTS" localSheetId="0">#REF!</definedName>
    <definedName name="TOTAL_INDIRECTS">#REF!</definedName>
    <definedName name="Total_Interest" localSheetId="0">#REF!</definedName>
    <definedName name="Total_Interest">#REF!</definedName>
    <definedName name="Total_Mandays" localSheetId="0">#REF!</definedName>
    <definedName name="Total_Mandays">#REF!</definedName>
    <definedName name="Total_Pay" localSheetId="0">#REF!</definedName>
    <definedName name="Total_Pay">#REF!</definedName>
    <definedName name="total_slant_len" localSheetId="6">#REF!</definedName>
    <definedName name="total_slant_len" localSheetId="7">#REF!</definedName>
    <definedName name="total_slant_len" localSheetId="0">#REF!</definedName>
    <definedName name="total_slant_len">#REF!</definedName>
    <definedName name="TotalBars" localSheetId="0">#REF!</definedName>
    <definedName name="TotalBars">#REF!</definedName>
    <definedName name="totalbudget" localSheetId="0">#REF!</definedName>
    <definedName name="totalbudget">#REF!</definedName>
    <definedName name="TOTALLENGTH" localSheetId="0">#REF!</definedName>
    <definedName name="TOTALLENGTH">#REF!</definedName>
    <definedName name="TOTALNET" localSheetId="0">#REF!</definedName>
    <definedName name="TOTALNET">#REF!</definedName>
    <definedName name="totalqtyfinal" localSheetId="0">#REF!</definedName>
    <definedName name="totalqtyfinal">#REF!</definedName>
    <definedName name="towerc" localSheetId="0">#REF!</definedName>
    <definedName name="towerc">#REF!</definedName>
    <definedName name="towre" localSheetId="0">#REF!</definedName>
    <definedName name="towre">#REF!</definedName>
    <definedName name="tr" localSheetId="0">#REF!</definedName>
    <definedName name="tr">#REF!</definedName>
    <definedName name="tr70r" localSheetId="0">#REF!</definedName>
    <definedName name="tr70r">#REF!</definedName>
    <definedName name="tractor" localSheetId="0">#REF!</definedName>
    <definedName name="tractor">#REF!</definedName>
    <definedName name="TransactionCosts" localSheetId="0">#REF!</definedName>
    <definedName name="TransactionCosts">#REF!</definedName>
    <definedName name="TRANSFER" localSheetId="0">#REF!</definedName>
    <definedName name="TRANSFER">#REF!</definedName>
    <definedName name="TRANSFER1" localSheetId="0">#REF!</definedName>
    <definedName name="TRANSFER1">#REF!</definedName>
    <definedName name="TRANSFERS" localSheetId="0">#REF!</definedName>
    <definedName name="TRANSFERS">#REF!</definedName>
    <definedName name="TransInsu" localSheetId="0">#REF!</definedName>
    <definedName name="TransInsu">#REF!</definedName>
    <definedName name="transitmixer" localSheetId="0">#REF!</definedName>
    <definedName name="transitmixer">#REF!</definedName>
    <definedName name="TRAY" localSheetId="0">#REF!</definedName>
    <definedName name="TRAY">#REF!</definedName>
    <definedName name="TRAY_PRICING" localSheetId="0">#REF!</definedName>
    <definedName name="TRAY_PRICING">#REF!</definedName>
    <definedName name="TRAY_TYPE" localSheetId="0">#REF!</definedName>
    <definedName name="TRAY_TYPE">#REF!</definedName>
    <definedName name="Tray_Width" localSheetId="0">#REF!</definedName>
    <definedName name="Tray_Width">#REF!</definedName>
    <definedName name="TRENCHES" localSheetId="0">#REF!</definedName>
    <definedName name="TRENCHES">#REF!</definedName>
    <definedName name="Tres" localSheetId="0">#REF!</definedName>
    <definedName name="Tres">#REF!</definedName>
    <definedName name="tres4" localSheetId="0">#REF!</definedName>
    <definedName name="tres4">#REF!</definedName>
    <definedName name="trfghyy" localSheetId="0">#REF!</definedName>
    <definedName name="trfghyy">#REF!</definedName>
    <definedName name="trrtr" localSheetId="0">#REF!</definedName>
    <definedName name="trrtr">#REF!</definedName>
    <definedName name="Trs" localSheetId="0">#REF!</definedName>
    <definedName name="Trs">#REF!</definedName>
    <definedName name="Trt" localSheetId="0">#REF!</definedName>
    <definedName name="Trt">#REF!</definedName>
    <definedName name="TRUNK" localSheetId="0">#REF!</definedName>
    <definedName name="TRUNK">#REF!</definedName>
    <definedName name="tS___0" localSheetId="0">#REF!</definedName>
    <definedName name="tS___0">#REF!</definedName>
    <definedName name="tS___13" localSheetId="0">#REF!</definedName>
    <definedName name="tS___13">#REF!</definedName>
    <definedName name="tsidewlk" localSheetId="0">#REF!</definedName>
    <definedName name="tsidewlk">#REF!</definedName>
    <definedName name="tt" localSheetId="0">#REF!</definedName>
    <definedName name="tt">#REF!</definedName>
    <definedName name="ttt6y" localSheetId="0">#REF!</definedName>
    <definedName name="ttt6y">#REF!</definedName>
    <definedName name="tttt" localSheetId="0">#REF!</definedName>
    <definedName name="tttt">#REF!</definedName>
    <definedName name="ttttt" localSheetId="0">#REF!</definedName>
    <definedName name="ttttt">#REF!</definedName>
    <definedName name="tttttt" localSheetId="0">#REF!</definedName>
    <definedName name="tttttt">#REF!</definedName>
    <definedName name="ttttttttt" localSheetId="0">#REF!</definedName>
    <definedName name="ttttttttt">#REF!</definedName>
    <definedName name="tttttttttttttt" localSheetId="0">#REF!</definedName>
    <definedName name="tttttttttttttt">#REF!</definedName>
    <definedName name="tttttttttttttttttttt" localSheetId="0">#REF!</definedName>
    <definedName name="tttttttttttttttttttt">#REF!</definedName>
    <definedName name="tu" localSheetId="0">#REF!</definedName>
    <definedName name="tu">#REF!</definedName>
    <definedName name="TUBED_INST" localSheetId="0">#REF!</definedName>
    <definedName name="TUBED_INST">#REF!</definedName>
    <definedName name="TUES1" localSheetId="0">#REF!</definedName>
    <definedName name="TUES1">#REF!</definedName>
    <definedName name="tulip" localSheetId="0">#REF!</definedName>
    <definedName name="tulip">#REF!</definedName>
    <definedName name="TURN" localSheetId="0">#REF!</definedName>
    <definedName name="TURN">#REF!</definedName>
    <definedName name="TV" localSheetId="0">#REF!</definedName>
    <definedName name="TV">#REF!</definedName>
    <definedName name="TVM" localSheetId="0">#REF!</definedName>
    <definedName name="TVM">#REF!</definedName>
    <definedName name="TVSS" localSheetId="0">#REF!</definedName>
    <definedName name="TVSS">#REF!</definedName>
    <definedName name="TVSS1" localSheetId="0">#REF!</definedName>
    <definedName name="TVSS1">#REF!</definedName>
    <definedName name="TVV" localSheetId="0">#REF!</definedName>
    <definedName name="TVV">#REF!</definedName>
    <definedName name="twentytwo" localSheetId="0">#REF!</definedName>
    <definedName name="twentytwo">#REF!</definedName>
    <definedName name="tyeesgy" localSheetId="0">#REF!</definedName>
    <definedName name="tyeesgy">#REF!</definedName>
    <definedName name="tyieeeeeeeeeee" localSheetId="0">#REF!</definedName>
    <definedName name="tyieeeeeeeeeee">#REF!</definedName>
    <definedName name="type" localSheetId="0">#REF!</definedName>
    <definedName name="type">#REF!</definedName>
    <definedName name="Type1" localSheetId="0">#REF!</definedName>
    <definedName name="Type1">#REF!</definedName>
    <definedName name="type11" localSheetId="0">#REF!</definedName>
    <definedName name="type11">#REF!</definedName>
    <definedName name="type12" localSheetId="0">#REF!</definedName>
    <definedName name="type12">#REF!</definedName>
    <definedName name="TYPE13" localSheetId="0">#REF!</definedName>
    <definedName name="TYPE13">#REF!</definedName>
    <definedName name="type1drop" localSheetId="0">#REF!</definedName>
    <definedName name="type1drop">#REF!</definedName>
    <definedName name="type1drop11" localSheetId="0">#REF!</definedName>
    <definedName name="type1drop11">#REF!</definedName>
    <definedName name="type1drop12" localSheetId="0">#REF!</definedName>
    <definedName name="type1drop12">#REF!</definedName>
    <definedName name="type1drop2" localSheetId="0">#REF!</definedName>
    <definedName name="type1drop2">#REF!</definedName>
    <definedName name="TYPE1DROP212" localSheetId="0">#REF!</definedName>
    <definedName name="TYPE1DROP212">#REF!</definedName>
    <definedName name="TYPE1DROP23" localSheetId="0">#REF!</definedName>
    <definedName name="TYPE1DROP23">#REF!</definedName>
    <definedName name="TYPE1DROP3" localSheetId="0">#REF!</definedName>
    <definedName name="TYPE1DROP3">#REF!</definedName>
    <definedName name="type1slab" localSheetId="0">#REF!</definedName>
    <definedName name="type1slab">#REF!</definedName>
    <definedName name="type1slab11" localSheetId="0">#REF!</definedName>
    <definedName name="type1slab11">#REF!</definedName>
    <definedName name="TYPE1SLAB12" localSheetId="0">#REF!</definedName>
    <definedName name="TYPE1SLAB12">#REF!</definedName>
    <definedName name="TYPE1SLAB13" localSheetId="0">#REF!</definedName>
    <definedName name="TYPE1SLAB13">#REF!</definedName>
    <definedName name="type1slab2" localSheetId="0">#REF!</definedName>
    <definedName name="type1slab2">#REF!</definedName>
    <definedName name="TYPE1SLAB21" localSheetId="0">#REF!</definedName>
    <definedName name="TYPE1SLAB21">#REF!</definedName>
    <definedName name="type1slab6" localSheetId="0">#REF!</definedName>
    <definedName name="type1slab6">#REF!</definedName>
    <definedName name="type2" localSheetId="0">#REF!</definedName>
    <definedName name="type2">#REF!</definedName>
    <definedName name="type22" localSheetId="0">#REF!</definedName>
    <definedName name="type22">#REF!</definedName>
    <definedName name="TYPE23" localSheetId="0">#REF!</definedName>
    <definedName name="TYPE23">#REF!</definedName>
    <definedName name="type2drop" localSheetId="0">#REF!</definedName>
    <definedName name="type2drop">#REF!</definedName>
    <definedName name="type2drop2" localSheetId="0">#REF!</definedName>
    <definedName name="type2drop2">#REF!</definedName>
    <definedName name="type2drop22" localSheetId="0">#REF!</definedName>
    <definedName name="type2drop22">#REF!</definedName>
    <definedName name="type2drop23" localSheetId="0">#REF!</definedName>
    <definedName name="type2drop23">#REF!</definedName>
    <definedName name="TYPE2DROP24" localSheetId="0">#REF!</definedName>
    <definedName name="TYPE2DROP24">#REF!</definedName>
    <definedName name="TYPE2DROP3" localSheetId="0">#REF!</definedName>
    <definedName name="TYPE2DROP3">#REF!</definedName>
    <definedName name="TYPE2DROP32" localSheetId="0">#REF!</definedName>
    <definedName name="TYPE2DROP32">#REF!</definedName>
    <definedName name="type2slab" localSheetId="0">#REF!</definedName>
    <definedName name="type2slab">#REF!</definedName>
    <definedName name="TYPE2SLAB12" localSheetId="0">#REF!</definedName>
    <definedName name="TYPE2SLAB12">#REF!</definedName>
    <definedName name="type2slab2" localSheetId="0">#REF!</definedName>
    <definedName name="type2slab2">#REF!</definedName>
    <definedName name="TYPE2SLAB21" localSheetId="0">#REF!</definedName>
    <definedName name="TYPE2SLAB21">#REF!</definedName>
    <definedName name="type2slab22" localSheetId="0">#REF!</definedName>
    <definedName name="type2slab22">#REF!</definedName>
    <definedName name="TYPE2SLAB24" localSheetId="0">#REF!</definedName>
    <definedName name="TYPE2SLAB24">#REF!</definedName>
    <definedName name="type2slab3" localSheetId="0">#REF!</definedName>
    <definedName name="type2slab3">#REF!</definedName>
    <definedName name="Type3" localSheetId="0">#REF!</definedName>
    <definedName name="Type3">#REF!</definedName>
    <definedName name="type3drop" localSheetId="0">#REF!</definedName>
    <definedName name="type3drop">#REF!</definedName>
    <definedName name="type3drop2" localSheetId="0">#REF!</definedName>
    <definedName name="type3drop2">#REF!</definedName>
    <definedName name="type3drop22" localSheetId="0">#REF!</definedName>
    <definedName name="type3drop22">#REF!</definedName>
    <definedName name="TYPE3DROP23" localSheetId="0">#REF!</definedName>
    <definedName name="TYPE3DROP23">#REF!</definedName>
    <definedName name="TYPE3DROP43" localSheetId="0">#REF!</definedName>
    <definedName name="TYPE3DROP43">#REF!</definedName>
    <definedName name="TYPE3DROP56" localSheetId="0">#REF!</definedName>
    <definedName name="TYPE3DROP56">#REF!</definedName>
    <definedName name="type3drop6" localSheetId="0">#REF!</definedName>
    <definedName name="type3drop6">#REF!</definedName>
    <definedName name="type3slab" localSheetId="0">#REF!</definedName>
    <definedName name="type3slab">#REF!</definedName>
    <definedName name="TYPE3SLAB12" localSheetId="0">#REF!</definedName>
    <definedName name="TYPE3SLAB12">#REF!</definedName>
    <definedName name="type3slab2" localSheetId="0">#REF!</definedName>
    <definedName name="type3slab2">#REF!</definedName>
    <definedName name="TYPE3SLAB23" localSheetId="0">#REF!</definedName>
    <definedName name="TYPE3SLAB23">#REF!</definedName>
    <definedName name="type3slab3" localSheetId="0">#REF!</definedName>
    <definedName name="type3slab3">#REF!</definedName>
    <definedName name="TYPE3SLAB32" localSheetId="0">#REF!</definedName>
    <definedName name="TYPE3SLAB32">#REF!</definedName>
    <definedName name="type3slab4" localSheetId="0">#REF!</definedName>
    <definedName name="type3slab4">#REF!</definedName>
    <definedName name="type3slab6" localSheetId="0">#REF!</definedName>
    <definedName name="type3slab6">#REF!</definedName>
    <definedName name="type4" localSheetId="0">#REF!</definedName>
    <definedName name="type4">#REF!</definedName>
    <definedName name="type44" localSheetId="0">#REF!</definedName>
    <definedName name="type44">#REF!</definedName>
    <definedName name="type45" localSheetId="0">#REF!</definedName>
    <definedName name="type45">#REF!</definedName>
    <definedName name="type46" localSheetId="0">#REF!</definedName>
    <definedName name="type46">#REF!</definedName>
    <definedName name="TYPE47" localSheetId="0">#REF!</definedName>
    <definedName name="TYPE47">#REF!</definedName>
    <definedName name="TYPE48" localSheetId="0">#REF!</definedName>
    <definedName name="TYPE48">#REF!</definedName>
    <definedName name="type4drop" localSheetId="0">#REF!</definedName>
    <definedName name="type4drop">#REF!</definedName>
    <definedName name="TYPE4DROP12" localSheetId="0">#REF!</definedName>
    <definedName name="TYPE4DROP12">#REF!</definedName>
    <definedName name="type4drop2" localSheetId="0">#REF!</definedName>
    <definedName name="type4drop2">#REF!</definedName>
    <definedName name="TYPE4DROP23" localSheetId="0">#REF!</definedName>
    <definedName name="TYPE4DROP23">#REF!</definedName>
    <definedName name="type4drop4" localSheetId="0">#REF!</definedName>
    <definedName name="type4drop4">#REF!</definedName>
    <definedName name="TYPE4DROP54" localSheetId="0">#REF!</definedName>
    <definedName name="TYPE4DROP54">#REF!</definedName>
    <definedName name="type4drops" localSheetId="0">#REF!</definedName>
    <definedName name="type4drops">#REF!</definedName>
    <definedName name="type4slab" localSheetId="0">#REF!</definedName>
    <definedName name="type4slab">#REF!</definedName>
    <definedName name="TYPE4SLAB12" localSheetId="0">#REF!</definedName>
    <definedName name="TYPE4SLAB12">#REF!</definedName>
    <definedName name="type4slab22" localSheetId="0">#REF!</definedName>
    <definedName name="type4slab22">#REF!</definedName>
    <definedName name="TYPE4SLAB23" localSheetId="0">#REF!</definedName>
    <definedName name="TYPE4SLAB23">#REF!</definedName>
    <definedName name="TYPE4SLAB32" localSheetId="0">#REF!</definedName>
    <definedName name="TYPE4SLAB32">#REF!</definedName>
    <definedName name="type4slab6" localSheetId="0">#REF!</definedName>
    <definedName name="type4slab6">#REF!</definedName>
    <definedName name="type5" localSheetId="0">#REF!</definedName>
    <definedName name="type5">#REF!</definedName>
    <definedName name="type6" localSheetId="0">#REF!</definedName>
    <definedName name="type6">#REF!</definedName>
    <definedName name="TYPE64" localSheetId="0">#REF!</definedName>
    <definedName name="TYPE64">#REF!</definedName>
    <definedName name="TypeAlu" localSheetId="0">#REF!</definedName>
    <definedName name="TypeAlu">#REF!</definedName>
    <definedName name="tyy" localSheetId="0">#REF!</definedName>
    <definedName name="tyy">#REF!</definedName>
    <definedName name="U" localSheetId="0">#REF!</definedName>
    <definedName name="U">#REF!</definedName>
    <definedName name="U.60" localSheetId="0">#REF!</definedName>
    <definedName name="U.60">#REF!</definedName>
    <definedName name="U_G" localSheetId="0">#REF!</definedName>
    <definedName name="U_G">#REF!</definedName>
    <definedName name="Uhrs_Cntl_Valves" localSheetId="0">#REF!</definedName>
    <definedName name="Uhrs_Cntl_Valves">#REF!</definedName>
    <definedName name="UHrs_Conduit" localSheetId="0">#REF!</definedName>
    <definedName name="UHrs_Conduit">#REF!</definedName>
    <definedName name="Uhrs_DB" localSheetId="0">#REF!</definedName>
    <definedName name="Uhrs_DB">#REF!</definedName>
    <definedName name="UHrs_MV_Cable" localSheetId="0">#REF!</definedName>
    <definedName name="UHrs_MV_Cable">#REF!</definedName>
    <definedName name="UHrs_Other" localSheetId="0">#REF!</definedName>
    <definedName name="UHrs_Other">#REF!</definedName>
    <definedName name="UHrs_tray" localSheetId="0">#REF!</definedName>
    <definedName name="UHrs_tray">#REF!</definedName>
    <definedName name="UHVGKHVBJ" localSheetId="0">#REF!</definedName>
    <definedName name="UHVGKHVBJ">#REF!</definedName>
    <definedName name="uilgiuog" localSheetId="0">#REF!</definedName>
    <definedName name="uilgiuog">#REF!</definedName>
    <definedName name="uiui" localSheetId="0">#REF!</definedName>
    <definedName name="uiui">#REF!</definedName>
    <definedName name="uiyo" localSheetId="0">#REF!</definedName>
    <definedName name="uiyo">#REF!</definedName>
    <definedName name="uiyrtyypoiuiii" localSheetId="0">#REF!</definedName>
    <definedName name="uiyrtyypoiuiii">#REF!</definedName>
    <definedName name="UMatl_Cntl_Valves" localSheetId="0">#REF!</definedName>
    <definedName name="UMatl_Cntl_Valves">#REF!</definedName>
    <definedName name="UMatl_Conduit" localSheetId="0">#REF!</definedName>
    <definedName name="UMatl_Conduit">#REF!</definedName>
    <definedName name="UMatl_DB" localSheetId="0">#REF!</definedName>
    <definedName name="UMatl_DB">#REF!</definedName>
    <definedName name="UMatl_MV_Cable" localSheetId="0">#REF!</definedName>
    <definedName name="UMatl_MV_Cable">#REF!</definedName>
    <definedName name="UMatl_Other" localSheetId="0">#REF!</definedName>
    <definedName name="UMatl_Other">#REF!</definedName>
    <definedName name="UMatl_Tray" localSheetId="0">#REF!</definedName>
    <definedName name="UMatl_Tray">#REF!</definedName>
    <definedName name="UNICOD" localSheetId="0">#REF!</definedName>
    <definedName name="UNICOD">#REF!</definedName>
    <definedName name="uniformat" localSheetId="0">#REF!</definedName>
    <definedName name="uniformat">#REF!</definedName>
    <definedName name="Unit" localSheetId="0">#REF!</definedName>
    <definedName name="Unit">#REF!</definedName>
    <definedName name="UnitName" localSheetId="0">#REF!</definedName>
    <definedName name="UnitName">#REF!</definedName>
    <definedName name="Units" localSheetId="0">#REF!</definedName>
    <definedName name="Units">#REF!</definedName>
    <definedName name="uno" localSheetId="0">#REF!</definedName>
    <definedName name="uno">#REF!</definedName>
    <definedName name="unsecured" localSheetId="0">#REF!</definedName>
    <definedName name="unsecured">#REF!</definedName>
    <definedName name="Uo" localSheetId="0">#REF!</definedName>
    <definedName name="Uo">#REF!</definedName>
    <definedName name="UOM" localSheetId="0">#REF!</definedName>
    <definedName name="UOM">#REF!</definedName>
    <definedName name="UP" localSheetId="0">#REF!</definedName>
    <definedName name="UP">#REF!</definedName>
    <definedName name="uppipeabt" localSheetId="0">#REF!</definedName>
    <definedName name="uppipeabt">#REF!</definedName>
    <definedName name="uppipebox" localSheetId="0">#REF!</definedName>
    <definedName name="uppipebox">#REF!</definedName>
    <definedName name="UPT" localSheetId="0">#REF!</definedName>
    <definedName name="UPT">#REF!</definedName>
    <definedName name="UR_STATUS_DRGS" localSheetId="0">#REF!</definedName>
    <definedName name="UR_STATUS_DRGS">#REF!</definedName>
    <definedName name="UR_STATUS_NUMBER" localSheetId="0">#REF!</definedName>
    <definedName name="UR_STATUS_NUMBER">#REF!</definedName>
    <definedName name="USC_Cntl_Valves" localSheetId="0">#REF!</definedName>
    <definedName name="USC_Cntl_Valves">#REF!</definedName>
    <definedName name="USC_Conduit" localSheetId="0">#REF!</definedName>
    <definedName name="USC_Conduit">#REF!</definedName>
    <definedName name="USC_DB" localSheetId="0">#REF!</definedName>
    <definedName name="USC_DB">#REF!</definedName>
    <definedName name="USC_MV_Cable" localSheetId="0">#REF!</definedName>
    <definedName name="USC_MV_Cable">#REF!</definedName>
    <definedName name="USC_Other" localSheetId="0">#REF!</definedName>
    <definedName name="USC_Other">#REF!</definedName>
    <definedName name="USC_Tray" localSheetId="0">#REF!</definedName>
    <definedName name="USC_Tray">#REF!</definedName>
    <definedName name="USChrs_Cntl_Valves" localSheetId="0">#REF!</definedName>
    <definedName name="USChrs_Cntl_Valves">#REF!</definedName>
    <definedName name="USChrs_Conduit" localSheetId="0">#REF!</definedName>
    <definedName name="USChrs_Conduit">#REF!</definedName>
    <definedName name="USChrs_DB" localSheetId="0">#REF!</definedName>
    <definedName name="USChrs_DB">#REF!</definedName>
    <definedName name="USChrs_MV_Cable" localSheetId="0">#REF!</definedName>
    <definedName name="USChrs_MV_Cable">#REF!</definedName>
    <definedName name="USChrs_Other" localSheetId="0">#REF!</definedName>
    <definedName name="USChrs_Other">#REF!</definedName>
    <definedName name="USChrs_tray" localSheetId="0">#REF!</definedName>
    <definedName name="USChrs_tray">#REF!</definedName>
    <definedName name="usd" localSheetId="0">#REF!</definedName>
    <definedName name="usd">#REF!</definedName>
    <definedName name="Use_Alternates" localSheetId="0">#REF!</definedName>
    <definedName name="Use_Alternates">#REF!</definedName>
    <definedName name="Ut" localSheetId="0">#REF!</definedName>
    <definedName name="Ut">#REF!</definedName>
    <definedName name="uuuuuuuu" localSheetId="0">#REF!</definedName>
    <definedName name="uuuuuuuu">#REF!</definedName>
    <definedName name="uuuuuuuuuuuuuu" localSheetId="0">#REF!</definedName>
    <definedName name="uuuuuuuuuuuuuu">#REF!</definedName>
    <definedName name="UV" localSheetId="0">#REF!</definedName>
    <definedName name="UV">#REF!</definedName>
    <definedName name="uyiui" localSheetId="0">#REF!</definedName>
    <definedName name="uyiui">#REF!</definedName>
    <definedName name="V" localSheetId="0">#REF!</definedName>
    <definedName name="V">#REF!</definedName>
    <definedName name="va" localSheetId="0">#REF!</definedName>
    <definedName name="va">#REF!</definedName>
    <definedName name="va___0" localSheetId="0">#REF!</definedName>
    <definedName name="va___0">#REF!</definedName>
    <definedName name="va___13" localSheetId="0">#REF!</definedName>
    <definedName name="va___13">#REF!</definedName>
    <definedName name="vagm" localSheetId="0">#REF!</definedName>
    <definedName name="vagm">#REF!</definedName>
    <definedName name="vahas" localSheetId="0">#REF!</definedName>
    <definedName name="vahas">#REF!</definedName>
    <definedName name="Validation" localSheetId="0">#REF!</definedName>
    <definedName name="Validation">#REF!</definedName>
    <definedName name="value" localSheetId="0">#REF!</definedName>
    <definedName name="value">#REF!</definedName>
    <definedName name="Values_Entered" localSheetId="0">#REF!</definedName>
    <definedName name="Values_Entered">#REF!</definedName>
    <definedName name="valve" localSheetId="0">#REF!</definedName>
    <definedName name="valve">#REF!</definedName>
    <definedName name="valve2" localSheetId="0">#REF!</definedName>
    <definedName name="valve2">#REF!</definedName>
    <definedName name="valve3" localSheetId="0">#REF!</definedName>
    <definedName name="valve3">#REF!</definedName>
    <definedName name="valve4" localSheetId="0">#REF!</definedName>
    <definedName name="valve4">#REF!</definedName>
    <definedName name="valves" localSheetId="0">#REF!</definedName>
    <definedName name="valves">#REF!</definedName>
    <definedName name="VANDEMATARAM" localSheetId="0">#REF!</definedName>
    <definedName name="VANDEMATARAM">#REF!</definedName>
    <definedName name="variance" localSheetId="0">#REF!</definedName>
    <definedName name="variance">#REF!</definedName>
    <definedName name="variance.." localSheetId="0">#REF!</definedName>
    <definedName name="variance..">#REF!</definedName>
    <definedName name="vat" localSheetId="0">#REF!</definedName>
    <definedName name="vat">#REF!</definedName>
    <definedName name="vatf" localSheetId="0">#REF!</definedName>
    <definedName name="vatf">#REF!</definedName>
    <definedName name="VB" localSheetId="0">#REF!</definedName>
    <definedName name="VB">#REF!</definedName>
    <definedName name="vbv" localSheetId="0">#REF!</definedName>
    <definedName name="vbv">#REF!</definedName>
    <definedName name="vbvb" localSheetId="0">#REF!</definedName>
    <definedName name="vbvb">#REF!</definedName>
    <definedName name="vc" localSheetId="0">#REF!</definedName>
    <definedName name="vc">#REF!</definedName>
    <definedName name="VD" localSheetId="0">#REF!</definedName>
    <definedName name="VD">#REF!</definedName>
    <definedName name="vDateTime" localSheetId="0">#REF!</definedName>
    <definedName name="vDateTime">#REF!</definedName>
    <definedName name="vdg" localSheetId="0">#REF!</definedName>
    <definedName name="vdg">#REF!</definedName>
    <definedName name="vDiastolic" localSheetId="0">#REF!</definedName>
    <definedName name="vDiastolic">#REF!</definedName>
    <definedName name="Ve" localSheetId="0">#REF!</definedName>
    <definedName name="Ve">#REF!</definedName>
    <definedName name="veh" localSheetId="0">#REF!</definedName>
    <definedName name="veh">#REF!</definedName>
    <definedName name="vehicle" localSheetId="0">#REF!</definedName>
    <definedName name="vehicle">#REF!</definedName>
    <definedName name="Vehicle_Shelter" localSheetId="0">#REF!</definedName>
    <definedName name="Vehicle_Shelter">#REF!</definedName>
    <definedName name="Vend" localSheetId="0">#REF!</definedName>
    <definedName name="Vend">#REF!</definedName>
    <definedName name="vender_1500KVA" localSheetId="0">#REF!</definedName>
    <definedName name="vender_1500KVA">#REF!</definedName>
    <definedName name="VENDOR" localSheetId="0">#REF!</definedName>
    <definedName name="VENDOR">#REF!</definedName>
    <definedName name="vendor_500KVA" localSheetId="0">#REF!</definedName>
    <definedName name="vendor_500KVA">#REF!</definedName>
    <definedName name="vere" localSheetId="0">#REF!</definedName>
    <definedName name="vere">#REF!</definedName>
    <definedName name="verpile" localSheetId="0">#REF!</definedName>
    <definedName name="verpile">#REF!</definedName>
    <definedName name="vertical_col_and_corner_walls" localSheetId="0">#REF!</definedName>
    <definedName name="vertical_col_and_corner_walls">#REF!</definedName>
    <definedName name="VerticalArea" localSheetId="0">#REF!</definedName>
    <definedName name="VerticalArea">#REF!</definedName>
    <definedName name="Vf" localSheetId="0">#REF!</definedName>
    <definedName name="Vf">#REF!</definedName>
    <definedName name="VFD7.5" localSheetId="0">#REF!</definedName>
    <definedName name="VFD7.5">#REF!</definedName>
    <definedName name="Vfour" localSheetId="0">#REF!</definedName>
    <definedName name="Vfour">#REF!</definedName>
    <definedName name="vHeartRate" localSheetId="0">#REF!</definedName>
    <definedName name="vHeartRate">#REF!</definedName>
    <definedName name="vibrator" localSheetId="0">#REF!</definedName>
    <definedName name="vibrator">#REF!</definedName>
    <definedName name="vibro" localSheetId="0">#REF!</definedName>
    <definedName name="vibro">#REF!</definedName>
    <definedName name="VIEW" localSheetId="0">#REF!</definedName>
    <definedName name="VIEW">#REF!</definedName>
    <definedName name="vijay" localSheetId="0">#REF!</definedName>
    <definedName name="vijay">#REF!</definedName>
    <definedName name="vital1" localSheetId="0">#REF!</definedName>
    <definedName name="vital1">#REF!</definedName>
    <definedName name="vital2" localSheetId="0">#REF!</definedName>
    <definedName name="vital2">#REF!</definedName>
    <definedName name="vital4" localSheetId="0">#REF!</definedName>
    <definedName name="vital4">#REF!</definedName>
    <definedName name="vital5" localSheetId="0">#REF!</definedName>
    <definedName name="vital5">#REF!</definedName>
    <definedName name="vital6" localSheetId="0">#REF!</definedName>
    <definedName name="vital6">#REF!</definedName>
    <definedName name="vital8" localSheetId="0">#REF!</definedName>
    <definedName name="vital8">#REF!</definedName>
    <definedName name="vital9" localSheetId="0">#REF!</definedName>
    <definedName name="vital9">#REF!</definedName>
    <definedName name="VIVEKANANDA" localSheetId="0">#REF!</definedName>
    <definedName name="VIVEKANANDA">#REF!</definedName>
    <definedName name="vjj" localSheetId="0">#REF!</definedName>
    <definedName name="vjj">#REF!</definedName>
    <definedName name="Vl" localSheetId="0">#REF!</definedName>
    <definedName name="Vl">#REF!</definedName>
    <definedName name="VLV_DESUP_HTRS" localSheetId="0">#REF!</definedName>
    <definedName name="VLV_DESUP_HTRS">#REF!</definedName>
    <definedName name="vm" localSheetId="0">#REF!</definedName>
    <definedName name="vm">#REF!</definedName>
    <definedName name="VMM" localSheetId="0">#REF!</definedName>
    <definedName name="VMM">#REF!</definedName>
    <definedName name="vo" localSheetId="0">#REF!</definedName>
    <definedName name="vo">#REF!</definedName>
    <definedName name="VOA" localSheetId="0">#REF!</definedName>
    <definedName name="VOA">#REF!</definedName>
    <definedName name="Volume" localSheetId="0">#REF!</definedName>
    <definedName name="Volume">#REF!</definedName>
    <definedName name="VOLUME_SQCC" localSheetId="0">#REF!</definedName>
    <definedName name="VOLUME_SQCC">#REF!</definedName>
    <definedName name="VOLUME_SQCC_ONCOLOGY" localSheetId="0">#REF!</definedName>
    <definedName name="VOLUME_SQCC_ONCOLOGY">#REF!</definedName>
    <definedName name="VOLUME_SQCC_RESTUARENT" localSheetId="0">#REF!</definedName>
    <definedName name="VOLUME_SQCC_RESTUARENT">#REF!</definedName>
    <definedName name="volww" localSheetId="0">#REF!</definedName>
    <definedName name="volww">#REF!</definedName>
    <definedName name="Vone" localSheetId="0">#REF!</definedName>
    <definedName name="Vone">#REF!</definedName>
    <definedName name="Vs" localSheetId="0">#REF!</definedName>
    <definedName name="Vs">#REF!</definedName>
    <definedName name="Vsigma" localSheetId="0">#REF!</definedName>
    <definedName name="Vsigma">#REF!</definedName>
    <definedName name="Vsigma1" localSheetId="0">#REF!</definedName>
    <definedName name="Vsigma1">#REF!</definedName>
    <definedName name="VSS" localSheetId="0">#REF!</definedName>
    <definedName name="VSS">#REF!</definedName>
    <definedName name="vSystolic" localSheetId="0">#REF!</definedName>
    <definedName name="vSystolic">#REF!</definedName>
    <definedName name="vthree" localSheetId="0">#REF!</definedName>
    <definedName name="vthree">#REF!</definedName>
    <definedName name="Vtwo" localSheetId="0">#REF!</definedName>
    <definedName name="Vtwo">#REF!</definedName>
    <definedName name="Vtwo1" localSheetId="0">#REF!</definedName>
    <definedName name="Vtwo1">#REF!</definedName>
    <definedName name="vvv" localSheetId="0">#REF!</definedName>
    <definedName name="vvv">#REF!</definedName>
    <definedName name="vvvvvvvvvvvvvvv" localSheetId="0">#REF!</definedName>
    <definedName name="vvvvvvvvvvvvvvv">#REF!</definedName>
    <definedName name="vxckbmjklbgjnklgbmjh" localSheetId="0">#REF!</definedName>
    <definedName name="vxckbmjklbgjnklgbmjh">#REF!</definedName>
    <definedName name="Vz" localSheetId="0">#REF!</definedName>
    <definedName name="Vz">#REF!</definedName>
    <definedName name="W" localSheetId="0">#REF!</definedName>
    <definedName name="W">#REF!</definedName>
    <definedName name="w1_w2" localSheetId="0">#REF!</definedName>
    <definedName name="w1_w2">#REF!</definedName>
    <definedName name="wall" localSheetId="0">#REF!</definedName>
    <definedName name="wall">#REF!</definedName>
    <definedName name="WALLAREA_SQCC" localSheetId="0">#REF!</definedName>
    <definedName name="WALLAREA_SQCC">#REF!</definedName>
    <definedName name="WALLAREA_SQCC_ONCOLOGY" localSheetId="0">#REF!</definedName>
    <definedName name="WALLAREA_SQCC_ONCOLOGY">#REF!</definedName>
    <definedName name="WALLAREA_SQCC_RESTUARENT" localSheetId="0">#REF!</definedName>
    <definedName name="WALLAREA_SQCC_RESTUARENT">#REF!</definedName>
    <definedName name="wallht" localSheetId="0">#REF!</definedName>
    <definedName name="wallht">#REF!</definedName>
    <definedName name="wallthk" localSheetId="0">#REF!</definedName>
    <definedName name="wallthk">#REF!</definedName>
    <definedName name="WASTE_FACTOR" localSheetId="0">#REF!</definedName>
    <definedName name="WASTE_FACTOR">#REF!</definedName>
    <definedName name="water" localSheetId="0">#REF!</definedName>
    <definedName name="water">#REF!</definedName>
    <definedName name="WATER_ANAL_SYS" localSheetId="0">#REF!</definedName>
    <definedName name="WATER_ANAL_SYS">#REF!</definedName>
    <definedName name="watertank" localSheetId="0">#REF!</definedName>
    <definedName name="watertank">#REF!</definedName>
    <definedName name="watertanker" localSheetId="0">#REF!</definedName>
    <definedName name="watertanker">#REF!</definedName>
    <definedName name="wbeam" localSheetId="0">#REF!</definedName>
    <definedName name="wbeam">#REF!</definedName>
    <definedName name="wdapr07" localSheetId="0">#REF!</definedName>
    <definedName name="wdapr07">#REF!</definedName>
    <definedName name="wdjun07" localSheetId="0">#REF!</definedName>
    <definedName name="wdjun07">#REF!</definedName>
    <definedName name="wdmay07" localSheetId="0">#REF!</definedName>
    <definedName name="wdmay07">#REF!</definedName>
    <definedName name="we" localSheetId="0">#REF!</definedName>
    <definedName name="we">#REF!</definedName>
    <definedName name="wee" localSheetId="0">#REF!</definedName>
    <definedName name="wee">#REF!</definedName>
    <definedName name="weekly_average_concrete_production" localSheetId="0">#REF!</definedName>
    <definedName name="weekly_average_concrete_production">#REF!</definedName>
    <definedName name="weekly_total_concrete_production" localSheetId="0">#REF!</definedName>
    <definedName name="weekly_total_concrete_production">#REF!</definedName>
    <definedName name="weeks" localSheetId="0">#REF!</definedName>
    <definedName name="weeks">#REF!</definedName>
    <definedName name="wefwef" localSheetId="0">#REF!</definedName>
    <definedName name="wefwef">#REF!</definedName>
    <definedName name="WEIGHT" localSheetId="0">#REF!</definedName>
    <definedName name="WEIGHT">#REF!</definedName>
    <definedName name="WEIGHT_SQCC" localSheetId="0">#REF!</definedName>
    <definedName name="WEIGHT_SQCC">#REF!</definedName>
    <definedName name="WEIGHT_SQCC_ONCOLOGY" localSheetId="0">#REF!</definedName>
    <definedName name="WEIGHT_SQCC_ONCOLOGY">#REF!</definedName>
    <definedName name="WEIGHT_SQCC_RESTUARENT" localSheetId="0">#REF!</definedName>
    <definedName name="WEIGHT_SQCC_RESTUARENT">#REF!</definedName>
    <definedName name="Welder" localSheetId="0">#REF!</definedName>
    <definedName name="Welder">#REF!</definedName>
    <definedName name="welderhelper" localSheetId="0">#REF!</definedName>
    <definedName name="welderhelper">#REF!</definedName>
    <definedName name="werr" localSheetId="0">#REF!</definedName>
    <definedName name="werr">#REF!</definedName>
    <definedName name="werrrrrrrrrrrrrrrrrrrrrrrrrrrrrrrr" localSheetId="0">#REF!</definedName>
    <definedName name="werrrrrrrrrrrrrrrrrrrrrrrrrrrrrrrr">#REF!</definedName>
    <definedName name="werwe" localSheetId="0">#REF!</definedName>
    <definedName name="werwe">#REF!</definedName>
    <definedName name="werweasdfwd" localSheetId="0">#REF!</definedName>
    <definedName name="werweasdfwd">#REF!</definedName>
    <definedName name="wetewt" localSheetId="0">#REF!</definedName>
    <definedName name="wetewt">#REF!</definedName>
    <definedName name="wewe" localSheetId="0">#REF!</definedName>
    <definedName name="wewe">#REF!</definedName>
    <definedName name="WF" localSheetId="0">#REF!</definedName>
    <definedName name="WF">#REF!</definedName>
    <definedName name="wfrwfrwefw" localSheetId="0">#REF!</definedName>
    <definedName name="wfrwfrwefw">#REF!</definedName>
    <definedName name="wfwdfs" localSheetId="0">#REF!</definedName>
    <definedName name="wfwdfs">#REF!</definedName>
    <definedName name="wfwef" localSheetId="0">#REF!</definedName>
    <definedName name="wfwef">#REF!</definedName>
    <definedName name="Wg" localSheetId="0">#REF!</definedName>
    <definedName name="Wg">#REF!</definedName>
    <definedName name="wh" localSheetId="0">#REF!</definedName>
    <definedName name="wh">#REF!</definedName>
    <definedName name="whatever" localSheetId="0">#REF!</definedName>
    <definedName name="whatever">#REF!</definedName>
    <definedName name="wid" localSheetId="0">#REF!</definedName>
    <definedName name="wid">#REF!</definedName>
    <definedName name="widabt" localSheetId="0">#REF!</definedName>
    <definedName name="widabt">#REF!</definedName>
    <definedName name="Width" localSheetId="0">#REF!</definedName>
    <definedName name="Width">#REF!</definedName>
    <definedName name="widwing" localSheetId="0">#REF!</definedName>
    <definedName name="widwing">#REF!</definedName>
    <definedName name="Win_rate" localSheetId="0">#REF!</definedName>
    <definedName name="Win_rate">#REF!</definedName>
    <definedName name="WINDOW" localSheetId="0">#REF!</definedName>
    <definedName name="WINDOW">#REF!</definedName>
    <definedName name="wip" localSheetId="0">#REF!</definedName>
    <definedName name="wip">#REF!</definedName>
    <definedName name="wkjul07" localSheetId="0">#REF!</definedName>
    <definedName name="wkjul07">#REF!</definedName>
    <definedName name="Wkshopblk" localSheetId="0">#REF!</definedName>
    <definedName name="Wkshopblk">#REF!</definedName>
    <definedName name="WLP" localSheetId="0">#REF!</definedName>
    <definedName name="WLP">#REF!</definedName>
    <definedName name="wmmplant" localSheetId="0">#REF!</definedName>
    <definedName name="wmmplant">#REF!</definedName>
    <definedName name="Words" localSheetId="0">#REF!</definedName>
    <definedName name="Words">#REF!</definedName>
    <definedName name="WORKING" localSheetId="0">#REF!</definedName>
    <definedName name="WORKING">#REF!</definedName>
    <definedName name="workings" localSheetId="0">#REF!</definedName>
    <definedName name="workings">#REF!</definedName>
    <definedName name="Worsley_Alumina_Expansion_Project___23747" localSheetId="0">#REF!</definedName>
    <definedName name="Worsley_Alumina_Expansion_Project___23747">#REF!</definedName>
    <definedName name="WP" localSheetId="0">#REF!</definedName>
    <definedName name="WP">#REF!</definedName>
    <definedName name="wqe" localSheetId="0">#REF!</definedName>
    <definedName name="wqe">#REF!</definedName>
    <definedName name="wreqwrt" localSheetId="0">#REF!</definedName>
    <definedName name="wreqwrt">#REF!</definedName>
    <definedName name="wrf" localSheetId="0">#REF!</definedName>
    <definedName name="wrf">#REF!</definedName>
    <definedName name="wrftw" localSheetId="0">#REF!</definedName>
    <definedName name="wrftw">#REF!</definedName>
    <definedName name="wswww" localSheetId="0">#REF!</definedName>
    <definedName name="wswww">#REF!</definedName>
    <definedName name="wtconcrete" localSheetId="0">#REF!</definedName>
    <definedName name="wtconcrete">#REF!</definedName>
    <definedName name="Wtotal" localSheetId="0">#REF!</definedName>
    <definedName name="Wtotal">#REF!</definedName>
    <definedName name="wtrwwefr" localSheetId="0">#REF!</definedName>
    <definedName name="wtrwwefr">#REF!</definedName>
    <definedName name="WW" localSheetId="0">#REF!</definedName>
    <definedName name="WW">#REF!</definedName>
    <definedName name="wwww" localSheetId="0">#REF!</definedName>
    <definedName name="wwww">#REF!</definedName>
    <definedName name="wwwww" localSheetId="0">#REF!</definedName>
    <definedName name="wwwww">#REF!</definedName>
    <definedName name="WWWWWWWW" localSheetId="0">#REF!</definedName>
    <definedName name="WWWWWWWW">#REF!</definedName>
    <definedName name="wwwwwwwwwwwwwwww" localSheetId="0">#REF!</definedName>
    <definedName name="wwwwwwwwwwwwwwww">#REF!</definedName>
    <definedName name="WXC" localSheetId="0">#REF!</definedName>
    <definedName name="WXC">#REF!</definedName>
    <definedName name="X" localSheetId="0">#REF!</definedName>
    <definedName name="X">#REF!</definedName>
    <definedName name="X980210_payment_printing_List" localSheetId="0">#REF!</definedName>
    <definedName name="X980210_payment_printing_List">#REF!</definedName>
    <definedName name="xcd" localSheetId="0">#REF!</definedName>
    <definedName name="xcd">#REF!</definedName>
    <definedName name="xcv" localSheetId="0">#REF!</definedName>
    <definedName name="xcv">#REF!</definedName>
    <definedName name="XDD" localSheetId="0">#REF!</definedName>
    <definedName name="XDD">#REF!</definedName>
    <definedName name="xdfghdfxhg" localSheetId="0">#REF!</definedName>
    <definedName name="xdfghdfxhg">#REF!</definedName>
    <definedName name="Xl" localSheetId="0">#REF!</definedName>
    <definedName name="Xl">#REF!</definedName>
    <definedName name="Xl___0" localSheetId="0">#REF!</definedName>
    <definedName name="Xl___0">#REF!</definedName>
    <definedName name="Xl___13" localSheetId="0">#REF!</definedName>
    <definedName name="Xl___13">#REF!</definedName>
    <definedName name="Xm" localSheetId="0">#REF!</definedName>
    <definedName name="Xm">#REF!</definedName>
    <definedName name="XMTRS" localSheetId="0">#REF!</definedName>
    <definedName name="XMTRS">#REF!</definedName>
    <definedName name="xqdscxaq" localSheetId="0">#REF!</definedName>
    <definedName name="xqdscxaq">#REF!</definedName>
    <definedName name="xs" localSheetId="0">#REF!</definedName>
    <definedName name="xs">#REF!</definedName>
    <definedName name="Xso" localSheetId="0">#REF!</definedName>
    <definedName name="Xso">#REF!</definedName>
    <definedName name="xt" localSheetId="0">#REF!</definedName>
    <definedName name="xt">#REF!</definedName>
    <definedName name="xxx" localSheetId="0">#REF!</definedName>
    <definedName name="xxx">#REF!</definedName>
    <definedName name="xxxxxxxxxxxxx" localSheetId="0">#REF!</definedName>
    <definedName name="xxxxxxxxxxxxx">#REF!</definedName>
    <definedName name="xyz" localSheetId="0">#REF!</definedName>
    <definedName name="xyz">#REF!</definedName>
    <definedName name="xz" localSheetId="0">#REF!</definedName>
    <definedName name="xz">#REF!</definedName>
    <definedName name="xzfvv" localSheetId="0">#REF!</definedName>
    <definedName name="xzfvv">#REF!</definedName>
    <definedName name="Y" localSheetId="0">#REF!</definedName>
    <definedName name="Y">#REF!</definedName>
    <definedName name="y5ey" localSheetId="0">#REF!</definedName>
    <definedName name="y5ey">#REF!</definedName>
    <definedName name="Year" localSheetId="0">#REF!</definedName>
    <definedName name="Year">#REF!</definedName>
    <definedName name="YearsToStabilizeFX" localSheetId="0">#REF!</definedName>
    <definedName name="YearsToStabilizeFX">#REF!</definedName>
    <definedName name="yguyfuy46548" localSheetId="0">#REF!</definedName>
    <definedName name="yguyfuy46548">#REF!</definedName>
    <definedName name="ys" localSheetId="0">#REF!</definedName>
    <definedName name="ys">#REF!</definedName>
    <definedName name="ytsty" localSheetId="0">#REF!</definedName>
    <definedName name="ytsty">#REF!</definedName>
    <definedName name="yu" localSheetId="0">#REF!</definedName>
    <definedName name="yu">#REF!</definedName>
    <definedName name="yuyu" localSheetId="0">#REF!</definedName>
    <definedName name="yuyu">#REF!</definedName>
    <definedName name="ywerteqrt" localSheetId="0">#REF!</definedName>
    <definedName name="ywerteqrt">#REF!</definedName>
    <definedName name="yyyyyyyyyy" localSheetId="0">#REF!</definedName>
    <definedName name="yyyyyyyyyy">#REF!</definedName>
    <definedName name="yyyyyyyyyyy" localSheetId="0">#REF!</definedName>
    <definedName name="yyyyyyyyyyy">#REF!</definedName>
    <definedName name="yyyyyyyyyyyyyyyy" localSheetId="0">#REF!</definedName>
    <definedName name="yyyyyyyyyyyyyyyy">#REF!</definedName>
    <definedName name="Z" localSheetId="0">#REF!</definedName>
    <definedName name="Z">#REF!</definedName>
    <definedName name="Z_01EEECA8_52E8_4BA6_B221_CB6D3C468C80_.wvu.Cols" localSheetId="0">#REF!</definedName>
    <definedName name="Z_01EEECA8_52E8_4BA6_B221_CB6D3C468C80_.wvu.Cols">#REF!</definedName>
    <definedName name="Z_0E5612F1_1C5C_4147_BE42_908BDE0B1405_.wvu.PrintTitles" localSheetId="0">#REF!</definedName>
    <definedName name="Z_0E5612F1_1C5C_4147_BE42_908BDE0B1405_.wvu.PrintTitles">#REF!</definedName>
    <definedName name="Z_893D3CDD_E6EC_4FBE_9F4B_7C063AADDAA3_.wvu.PrintTitles" localSheetId="0">#REF!</definedName>
    <definedName name="Z_893D3CDD_E6EC_4FBE_9F4B_7C063AADDAA3_.wvu.PrintTitles">#REF!</definedName>
    <definedName name="Z_893D3CDD_E6EC_4FBE_9F4B_7C063AADDAA3_.wvu.Rows" localSheetId="0">#REF!</definedName>
    <definedName name="Z_893D3CDD_E6EC_4FBE_9F4B_7C063AADDAA3_.wvu.Rows">#REF!</definedName>
    <definedName name="Z_8FCC9949_BB10_48DD_835F_9D6E68B3AE12_.wvu.PrintTitles" localSheetId="0">#REF!</definedName>
    <definedName name="Z_8FCC9949_BB10_48DD_835F_9D6E68B3AE12_.wvu.PrintTitles">#REF!</definedName>
    <definedName name="Z_C4987C22_A4BC_4088_8093_02A2E532FBED_.wvu.PrintTitles" localSheetId="0">#REF!</definedName>
    <definedName name="Z_C4987C22_A4BC_4088_8093_02A2E532FBED_.wvu.PrintTitles">#REF!</definedName>
    <definedName name="Z_F56F135F_44F3_478B_BCC3_5E739B702BEF_.wvu.Cols" localSheetId="0">#REF!</definedName>
    <definedName name="Z_F56F135F_44F3_478B_BCC3_5E739B702BEF_.wvu.Cols">#REF!</definedName>
    <definedName name="Z_F8A287BF_980C_4986_B08C_54EAB9AA17CB_.wvu.PrintTitles" localSheetId="0">#REF!</definedName>
    <definedName name="Z_F8A287BF_980C_4986_B08C_54EAB9AA17CB_.wvu.PrintTitles">#REF!</definedName>
    <definedName name="Za" localSheetId="0">#REF!</definedName>
    <definedName name="Za">#REF!</definedName>
    <definedName name="zaal2" localSheetId="0">#REF!</definedName>
    <definedName name="zaal2">#REF!</definedName>
    <definedName name="ZAS" localSheetId="0">#REF!</definedName>
    <definedName name="ZAS">#REF!</definedName>
    <definedName name="Zb" localSheetId="0">#REF!</definedName>
    <definedName name="Zb">#REF!</definedName>
    <definedName name="Zc" localSheetId="0">#REF!</definedName>
    <definedName name="Zc">#REF!</definedName>
    <definedName name="Ze" localSheetId="0">#REF!</definedName>
    <definedName name="Ze">#REF!</definedName>
    <definedName name="zes" localSheetId="0">#REF!</definedName>
    <definedName name="zes">#REF!</definedName>
    <definedName name="Zf" localSheetId="0">#REF!</definedName>
    <definedName name="Zf">#REF!</definedName>
    <definedName name="Zg" localSheetId="0">#REF!</definedName>
    <definedName name="Zg">#REF!</definedName>
    <definedName name="Zip" localSheetId="0">#REF!</definedName>
    <definedName name="Zip">#REF!</definedName>
    <definedName name="zitd" localSheetId="0">#REF!</definedName>
    <definedName name="zitd">#REF!</definedName>
    <definedName name="zl" localSheetId="0">#REF!</definedName>
    <definedName name="zl">#REF!</definedName>
    <definedName name="zl___0" localSheetId="0">#REF!</definedName>
    <definedName name="zl___0">#REF!</definedName>
    <definedName name="zl___13" localSheetId="0">#REF!</definedName>
    <definedName name="zl___13">#REF!</definedName>
    <definedName name="zlpu" localSheetId="0">#REF!</definedName>
    <definedName name="zlpu">#REF!</definedName>
    <definedName name="zlpu___0" localSheetId="0">#REF!</definedName>
    <definedName name="zlpu___0">#REF!</definedName>
    <definedName name="zlpu___13" localSheetId="0">#REF!</definedName>
    <definedName name="zlpu___13">#REF!</definedName>
    <definedName name="zs" localSheetId="0">#REF!</definedName>
    <definedName name="zs">#REF!</definedName>
    <definedName name="zs___0" localSheetId="0">#REF!</definedName>
    <definedName name="zs___0">#REF!</definedName>
    <definedName name="zs___13" localSheetId="0">#REF!</definedName>
    <definedName name="zs___13">#REF!</definedName>
    <definedName name="zspu" localSheetId="0">#REF!</definedName>
    <definedName name="zspu">#REF!</definedName>
    <definedName name="zspu___0" localSheetId="0">#REF!</definedName>
    <definedName name="zspu___0">#REF!</definedName>
    <definedName name="zspu___13" localSheetId="0">#REF!</definedName>
    <definedName name="zspu___13">#REF!</definedName>
    <definedName name="ZSS" localSheetId="0">#REF!</definedName>
    <definedName name="ZSS">#REF!</definedName>
    <definedName name="ZSS___0" localSheetId="0">#REF!</definedName>
    <definedName name="ZSS___0">#REF!</definedName>
    <definedName name="ZSS___13" localSheetId="0">#REF!</definedName>
    <definedName name="ZSS___13">#REF!</definedName>
    <definedName name="ztpu" localSheetId="0">#REF!</definedName>
    <definedName name="ztpu">#REF!</definedName>
    <definedName name="ztpu___0" localSheetId="0">#REF!</definedName>
    <definedName name="ztpu___0">#REF!</definedName>
    <definedName name="ztpu___13" localSheetId="0">#REF!</definedName>
    <definedName name="ztpu___13">#REF!</definedName>
    <definedName name="zvzv" localSheetId="0">#REF!</definedName>
    <definedName name="zvzv">#REF!</definedName>
    <definedName name="zxv" localSheetId="0">#REF!</definedName>
    <definedName name="zxv">#REF!</definedName>
    <definedName name="zxvxzcvb" localSheetId="0">#REF!</definedName>
    <definedName name="zxvxzcvb">#REF!</definedName>
    <definedName name="ZY" localSheetId="0">#REF!</definedName>
    <definedName name="ZY">#REF!</definedName>
    <definedName name="ZY___0" localSheetId="0">#REF!</definedName>
    <definedName name="ZY___0">#REF!</definedName>
    <definedName name="ZY___13" localSheetId="0">#REF!</definedName>
    <definedName name="ZY___13">#REF!</definedName>
    <definedName name="zzx" localSheetId="0">#REF!</definedName>
    <definedName name="zzx">#REF!</definedName>
    <definedName name="zzzzzzzzzzzzzzzzz" localSheetId="0">#REF!</definedName>
    <definedName name="zzzzzzzzzzzzzzzzz">#REF!</definedName>
    <definedName name="zzzzzzzzzzzzzzzzzzzz" localSheetId="0">#REF!</definedName>
    <definedName name="zzzzzzzzzzzzzzzzzzzz">#REF!</definedName>
    <definedName name="전체" localSheetId="0">#REF!</definedName>
    <definedName name="전체">#REF!</definedName>
    <definedName name="掛率" localSheetId="0">#REF!</definedName>
    <definedName name="掛率">#REF!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6" i="26" l="1"/>
  <c r="G46" i="26" s="1"/>
  <c r="H46" i="26" s="1"/>
  <c r="F40" i="26"/>
  <c r="H40" i="26"/>
  <c r="F118" i="26"/>
  <c r="G118" i="26" s="1"/>
  <c r="H118" i="26" s="1"/>
  <c r="F92" i="26"/>
  <c r="H92" i="26" s="1"/>
  <c r="D221" i="26"/>
  <c r="F101" i="26" l="1"/>
  <c r="H101" i="26" s="1"/>
  <c r="F389" i="26"/>
  <c r="G389" i="26" s="1"/>
  <c r="H389" i="26" s="1"/>
  <c r="F430" i="26"/>
  <c r="G430" i="26" s="1"/>
  <c r="H430" i="26" l="1"/>
  <c r="F422" i="26"/>
  <c r="F421" i="26"/>
  <c r="F420" i="26"/>
  <c r="F419" i="26"/>
  <c r="F418" i="26"/>
  <c r="F417" i="26"/>
  <c r="F416" i="26"/>
  <c r="F415" i="26"/>
  <c r="G415" i="26" s="1"/>
  <c r="H415" i="26" s="1"/>
  <c r="F414" i="26"/>
  <c r="F413" i="26"/>
  <c r="F412" i="26"/>
  <c r="F411" i="26"/>
  <c r="H411" i="26" s="1"/>
  <c r="F410" i="26"/>
  <c r="F409" i="26"/>
  <c r="F408" i="26"/>
  <c r="F407" i="26"/>
  <c r="F406" i="26"/>
  <c r="F405" i="26"/>
  <c r="F404" i="26"/>
  <c r="F403" i="26"/>
  <c r="F402" i="26"/>
  <c r="F401" i="26"/>
  <c r="F400" i="26"/>
  <c r="G400" i="26" s="1"/>
  <c r="H400" i="26" s="1"/>
  <c r="F399" i="26"/>
  <c r="F398" i="26"/>
  <c r="F397" i="26"/>
  <c r="F396" i="26"/>
  <c r="F395" i="26"/>
  <c r="F394" i="26"/>
  <c r="F393" i="26"/>
  <c r="G393" i="26" s="1"/>
  <c r="H393" i="26" s="1"/>
  <c r="F392" i="26"/>
  <c r="F391" i="26"/>
  <c r="F390" i="26"/>
  <c r="F388" i="26"/>
  <c r="G408" i="26" l="1"/>
  <c r="H408" i="26" s="1"/>
  <c r="G401" i="26"/>
  <c r="H401" i="26" s="1"/>
  <c r="G416" i="26"/>
  <c r="H416" i="26" s="1"/>
  <c r="G394" i="26"/>
  <c r="H394" i="26" s="1"/>
  <c r="G409" i="26"/>
  <c r="H409" i="26" s="1"/>
  <c r="G402" i="26"/>
  <c r="H402" i="26" s="1"/>
  <c r="G417" i="26"/>
  <c r="H417" i="26" s="1"/>
  <c r="G395" i="26"/>
  <c r="H395" i="26" s="1"/>
  <c r="G410" i="26"/>
  <c r="H410" i="26" s="1"/>
  <c r="G403" i="26"/>
  <c r="H403" i="26" s="1"/>
  <c r="G418" i="26"/>
  <c r="H418" i="26" s="1"/>
  <c r="G396" i="26"/>
  <c r="H396" i="26" s="1"/>
  <c r="G388" i="26"/>
  <c r="H388" i="26" s="1"/>
  <c r="G404" i="26"/>
  <c r="H404" i="26" s="1"/>
  <c r="G419" i="26"/>
  <c r="H419" i="26" s="1"/>
  <c r="G397" i="26"/>
  <c r="H397" i="26" s="1"/>
  <c r="G412" i="26"/>
  <c r="H412" i="26" s="1"/>
  <c r="G390" i="26"/>
  <c r="H390" i="26" s="1"/>
  <c r="G405" i="26"/>
  <c r="H405" i="26" s="1"/>
  <c r="G420" i="26"/>
  <c r="H420" i="26" s="1"/>
  <c r="G398" i="26"/>
  <c r="H398" i="26" s="1"/>
  <c r="G413" i="26"/>
  <c r="H413" i="26" s="1"/>
  <c r="G391" i="26"/>
  <c r="H391" i="26" s="1"/>
  <c r="G406" i="26"/>
  <c r="H406" i="26" s="1"/>
  <c r="G421" i="26"/>
  <c r="H421" i="26" s="1"/>
  <c r="G399" i="26"/>
  <c r="H399" i="26" s="1"/>
  <c r="G414" i="26"/>
  <c r="H414" i="26" s="1"/>
  <c r="G392" i="26"/>
  <c r="H392" i="26" s="1"/>
  <c r="G407" i="26"/>
  <c r="H407" i="26" s="1"/>
  <c r="G422" i="26"/>
  <c r="H422" i="26" s="1"/>
  <c r="F45" i="26" l="1"/>
  <c r="G45" i="26" s="1"/>
  <c r="F83" i="26"/>
  <c r="H83" i="26" s="1"/>
  <c r="F82" i="26"/>
  <c r="H82" i="26" s="1"/>
  <c r="F124" i="26"/>
  <c r="F44" i="26"/>
  <c r="G44" i="26" s="1"/>
  <c r="F231" i="26"/>
  <c r="G231" i="26" s="1"/>
  <c r="F232" i="26"/>
  <c r="G232" i="26" s="1"/>
  <c r="H232" i="26" s="1"/>
  <c r="F233" i="26"/>
  <c r="G233" i="26" s="1"/>
  <c r="F234" i="26"/>
  <c r="G234" i="26" s="1"/>
  <c r="H234" i="26" s="1"/>
  <c r="F235" i="26"/>
  <c r="G235" i="26" s="1"/>
  <c r="F236" i="26"/>
  <c r="G236" i="26" s="1"/>
  <c r="F237" i="26"/>
  <c r="G237" i="26" s="1"/>
  <c r="F238" i="26"/>
  <c r="G238" i="26" s="1"/>
  <c r="F239" i="26"/>
  <c r="G239" i="26" s="1"/>
  <c r="F240" i="26"/>
  <c r="G240" i="26" s="1"/>
  <c r="F241" i="26"/>
  <c r="G241" i="26" s="1"/>
  <c r="H241" i="26" s="1"/>
  <c r="F242" i="26"/>
  <c r="G242" i="26" s="1"/>
  <c r="F243" i="26"/>
  <c r="G243" i="26" s="1"/>
  <c r="F244" i="26"/>
  <c r="G244" i="26" s="1"/>
  <c r="F245" i="26"/>
  <c r="G245" i="26" s="1"/>
  <c r="H245" i="26" s="1"/>
  <c r="F230" i="26"/>
  <c r="G230" i="26" s="1"/>
  <c r="H230" i="26" s="1"/>
  <c r="F259" i="26"/>
  <c r="G259" i="26" s="1"/>
  <c r="F226" i="26"/>
  <c r="G226" i="26" s="1"/>
  <c r="F227" i="26"/>
  <c r="H244" i="26" l="1"/>
  <c r="H259" i="26"/>
  <c r="H236" i="26"/>
  <c r="H237" i="26"/>
  <c r="H44" i="26"/>
  <c r="H233" i="26"/>
  <c r="H243" i="26"/>
  <c r="H240" i="26"/>
  <c r="H238" i="26"/>
  <c r="H45" i="26"/>
  <c r="H124" i="26"/>
  <c r="H226" i="26"/>
  <c r="H242" i="26"/>
  <c r="H239" i="26"/>
  <c r="H231" i="26"/>
  <c r="H235" i="26"/>
  <c r="G227" i="26"/>
  <c r="H227" i="26" s="1"/>
  <c r="F64" i="26"/>
  <c r="G64" i="26" l="1"/>
  <c r="H64" i="26" s="1"/>
  <c r="F91" i="26"/>
  <c r="H91" i="26" s="1"/>
  <c r="F90" i="26"/>
  <c r="H90" i="26" s="1"/>
  <c r="F88" i="26" l="1"/>
  <c r="H88" i="26" s="1"/>
  <c r="F89" i="26"/>
  <c r="H89" i="26" s="1"/>
  <c r="F87" i="26"/>
  <c r="H87" i="26" s="1"/>
  <c r="F443" i="26"/>
  <c r="H443" i="26" s="1"/>
  <c r="F431" i="26" l="1"/>
  <c r="G431" i="26" s="1"/>
  <c r="H431" i="26" s="1"/>
  <c r="F382" i="26"/>
  <c r="G382" i="26" s="1"/>
  <c r="H382" i="26" s="1"/>
  <c r="F381" i="26"/>
  <c r="G381" i="26" s="1"/>
  <c r="H381" i="26" s="1"/>
  <c r="F43" i="26"/>
  <c r="G43" i="26" s="1"/>
  <c r="F68" i="26"/>
  <c r="G68" i="26" s="1"/>
  <c r="H68" i="26" s="1"/>
  <c r="F69" i="26"/>
  <c r="H69" i="26"/>
  <c r="F70" i="26"/>
  <c r="H70" i="26" s="1"/>
  <c r="F71" i="26"/>
  <c r="H71" i="26" s="1"/>
  <c r="F72" i="26"/>
  <c r="H72" i="26" s="1"/>
  <c r="F73" i="26"/>
  <c r="H73" i="26" s="1"/>
  <c r="F74" i="26"/>
  <c r="H74" i="26" s="1"/>
  <c r="F75" i="26"/>
  <c r="H75" i="26" s="1"/>
  <c r="F142" i="26"/>
  <c r="H142" i="26" s="1"/>
  <c r="F143" i="26"/>
  <c r="H143" i="26" s="1"/>
  <c r="F141" i="26"/>
  <c r="H141" i="26" s="1"/>
  <c r="F133" i="26"/>
  <c r="H133" i="26" s="1"/>
  <c r="F132" i="26"/>
  <c r="H132" i="26" s="1"/>
  <c r="F128" i="26"/>
  <c r="H128" i="26" s="1"/>
  <c r="F129" i="26"/>
  <c r="H129" i="26" s="1"/>
  <c r="F130" i="26"/>
  <c r="H130" i="26" s="1"/>
  <c r="F131" i="26"/>
  <c r="H131" i="26" s="1"/>
  <c r="F136" i="26"/>
  <c r="H136" i="26" s="1"/>
  <c r="F137" i="26"/>
  <c r="H137" i="26" s="1"/>
  <c r="F138" i="26"/>
  <c r="H138" i="26" s="1"/>
  <c r="F139" i="26"/>
  <c r="H139" i="26" s="1"/>
  <c r="F140" i="26"/>
  <c r="H140" i="26" s="1"/>
  <c r="F127" i="26"/>
  <c r="H127" i="26" s="1"/>
  <c r="H43" i="26" l="1"/>
  <c r="F215" i="26"/>
  <c r="F439" i="26"/>
  <c r="H439" i="26" s="1"/>
  <c r="F201" i="26"/>
  <c r="G201" i="26" s="1"/>
  <c r="F202" i="26"/>
  <c r="G202" i="26" s="1"/>
  <c r="H202" i="26" s="1"/>
  <c r="F203" i="26"/>
  <c r="G203" i="26" s="1"/>
  <c r="F204" i="26"/>
  <c r="G204" i="26" s="1"/>
  <c r="H204" i="26" s="1"/>
  <c r="F205" i="26"/>
  <c r="G205" i="26" s="1"/>
  <c r="H205" i="26" s="1"/>
  <c r="F200" i="26"/>
  <c r="G200" i="26" s="1"/>
  <c r="H200" i="26" s="1"/>
  <c r="F199" i="26"/>
  <c r="F197" i="26"/>
  <c r="G197" i="26" s="1"/>
  <c r="F193" i="26"/>
  <c r="G193" i="26" s="1"/>
  <c r="H193" i="26" s="1"/>
  <c r="F192" i="26"/>
  <c r="F189" i="26"/>
  <c r="G189" i="26" s="1"/>
  <c r="F113" i="26"/>
  <c r="F123" i="26"/>
  <c r="G123" i="26" s="1"/>
  <c r="F29" i="26"/>
  <c r="G29" i="26" s="1"/>
  <c r="H29" i="26" s="1"/>
  <c r="F107" i="26"/>
  <c r="G107" i="26" s="1"/>
  <c r="H107" i="26" s="1"/>
  <c r="F108" i="26"/>
  <c r="G108" i="26" s="1"/>
  <c r="H108" i="26" s="1"/>
  <c r="F109" i="26"/>
  <c r="H109" i="26" s="1"/>
  <c r="F110" i="26"/>
  <c r="H110" i="26" s="1"/>
  <c r="F111" i="26"/>
  <c r="H111" i="26" s="1"/>
  <c r="F112" i="26"/>
  <c r="H112" i="26" s="1"/>
  <c r="F106" i="26"/>
  <c r="G106" i="26" s="1"/>
  <c r="F105" i="26"/>
  <c r="G105" i="26" s="1"/>
  <c r="F104" i="26"/>
  <c r="G104" i="26" s="1"/>
  <c r="F56" i="26"/>
  <c r="G56" i="26" s="1"/>
  <c r="F57" i="26"/>
  <c r="H57" i="26" s="1"/>
  <c r="F32" i="26"/>
  <c r="G32" i="26" s="1"/>
  <c r="F33" i="26"/>
  <c r="G33" i="26" s="1"/>
  <c r="H33" i="26" s="1"/>
  <c r="F34" i="26"/>
  <c r="G34" i="26" s="1"/>
  <c r="F434" i="26"/>
  <c r="G434" i="26" s="1"/>
  <c r="F435" i="26"/>
  <c r="G435" i="26" s="1"/>
  <c r="H435" i="26" s="1"/>
  <c r="F436" i="26"/>
  <c r="G436" i="26" s="1"/>
  <c r="H436" i="26" s="1"/>
  <c r="F437" i="26"/>
  <c r="G437" i="26" s="1"/>
  <c r="H437" i="26" s="1"/>
  <c r="F438" i="26"/>
  <c r="G438" i="26" s="1"/>
  <c r="F433" i="26"/>
  <c r="F432" i="26"/>
  <c r="F429" i="26"/>
  <c r="F428" i="26"/>
  <c r="F427" i="26"/>
  <c r="F426" i="26"/>
  <c r="G426" i="26" s="1"/>
  <c r="F425" i="26"/>
  <c r="G425" i="26" s="1"/>
  <c r="H425" i="26" s="1"/>
  <c r="F385" i="26"/>
  <c r="G385" i="26" s="1"/>
  <c r="F384" i="26"/>
  <c r="F383" i="26"/>
  <c r="G383" i="26" s="1"/>
  <c r="H383" i="26" s="1"/>
  <c r="G379" i="26"/>
  <c r="H379" i="26" s="1"/>
  <c r="G387" i="26"/>
  <c r="H387" i="26" s="1"/>
  <c r="F286" i="26"/>
  <c r="G286" i="26" s="1"/>
  <c r="F287" i="26"/>
  <c r="G287" i="26" s="1"/>
  <c r="F288" i="26"/>
  <c r="F289" i="26"/>
  <c r="G289" i="26" s="1"/>
  <c r="F290" i="26"/>
  <c r="G290" i="26" s="1"/>
  <c r="F291" i="26"/>
  <c r="G291" i="26" s="1"/>
  <c r="F292" i="26"/>
  <c r="G292" i="26" s="1"/>
  <c r="H292" i="26" s="1"/>
  <c r="F293" i="26"/>
  <c r="G293" i="26" s="1"/>
  <c r="F294" i="26"/>
  <c r="G294" i="26" s="1"/>
  <c r="F295" i="26"/>
  <c r="G295" i="26" s="1"/>
  <c r="F296" i="26"/>
  <c r="G296" i="26" s="1"/>
  <c r="H296" i="26" s="1"/>
  <c r="F297" i="26"/>
  <c r="G297" i="26" s="1"/>
  <c r="F298" i="26"/>
  <c r="G298" i="26" s="1"/>
  <c r="F299" i="26"/>
  <c r="G299" i="26" s="1"/>
  <c r="F300" i="26"/>
  <c r="G300" i="26" s="1"/>
  <c r="F301" i="26"/>
  <c r="G301" i="26" s="1"/>
  <c r="H301" i="26" s="1"/>
  <c r="F302" i="26"/>
  <c r="G302" i="26" s="1"/>
  <c r="F303" i="26"/>
  <c r="G303" i="26" s="1"/>
  <c r="H303" i="26" s="1"/>
  <c r="F304" i="26"/>
  <c r="G304" i="26" s="1"/>
  <c r="H304" i="26" s="1"/>
  <c r="F305" i="26"/>
  <c r="G305" i="26" s="1"/>
  <c r="F306" i="26"/>
  <c r="G306" i="26" s="1"/>
  <c r="F307" i="26"/>
  <c r="G307" i="26" s="1"/>
  <c r="H307" i="26" s="1"/>
  <c r="F308" i="26"/>
  <c r="G308" i="26" s="1"/>
  <c r="H308" i="26" s="1"/>
  <c r="F309" i="26"/>
  <c r="G309" i="26" s="1"/>
  <c r="H309" i="26" s="1"/>
  <c r="F310" i="26"/>
  <c r="G310" i="26" s="1"/>
  <c r="F311" i="26"/>
  <c r="F312" i="26"/>
  <c r="G312" i="26" s="1"/>
  <c r="F313" i="26"/>
  <c r="G313" i="26" s="1"/>
  <c r="F314" i="26"/>
  <c r="G314" i="26" s="1"/>
  <c r="H314" i="26" s="1"/>
  <c r="F315" i="26"/>
  <c r="G315" i="26" s="1"/>
  <c r="F316" i="26"/>
  <c r="G316" i="26" s="1"/>
  <c r="F317" i="26"/>
  <c r="G317" i="26" s="1"/>
  <c r="F318" i="26"/>
  <c r="G318" i="26" s="1"/>
  <c r="H318" i="26" s="1"/>
  <c r="F319" i="26"/>
  <c r="G319" i="26" s="1"/>
  <c r="F320" i="26"/>
  <c r="G320" i="26" s="1"/>
  <c r="F321" i="26"/>
  <c r="G321" i="26" s="1"/>
  <c r="F322" i="26"/>
  <c r="G322" i="26" s="1"/>
  <c r="H322" i="26" s="1"/>
  <c r="F323" i="26"/>
  <c r="G323" i="26" s="1"/>
  <c r="F324" i="26"/>
  <c r="G324" i="26" s="1"/>
  <c r="F325" i="26"/>
  <c r="G325" i="26" s="1"/>
  <c r="H325" i="26" s="1"/>
  <c r="F326" i="26"/>
  <c r="G326" i="26" s="1"/>
  <c r="F327" i="26"/>
  <c r="G327" i="26" s="1"/>
  <c r="F328" i="26"/>
  <c r="G328" i="26" s="1"/>
  <c r="F329" i="26"/>
  <c r="G329" i="26" s="1"/>
  <c r="H329" i="26" s="1"/>
  <c r="F331" i="26"/>
  <c r="G331" i="26" s="1"/>
  <c r="F332" i="26"/>
  <c r="G332" i="26" s="1"/>
  <c r="F333" i="26"/>
  <c r="F334" i="26"/>
  <c r="G334" i="26" s="1"/>
  <c r="F335" i="26"/>
  <c r="G335" i="26" s="1"/>
  <c r="F336" i="26"/>
  <c r="G336" i="26" s="1"/>
  <c r="H336" i="26" s="1"/>
  <c r="F337" i="26"/>
  <c r="G337" i="26" s="1"/>
  <c r="H337" i="26" s="1"/>
  <c r="F338" i="26"/>
  <c r="F339" i="26"/>
  <c r="F340" i="26"/>
  <c r="G340" i="26" s="1"/>
  <c r="H340" i="26" s="1"/>
  <c r="F341" i="26"/>
  <c r="F342" i="26"/>
  <c r="G342" i="26" s="1"/>
  <c r="F343" i="26"/>
  <c r="G343" i="26" s="1"/>
  <c r="F344" i="26"/>
  <c r="G344" i="26" s="1"/>
  <c r="F345" i="26"/>
  <c r="F346" i="26"/>
  <c r="G346" i="26" s="1"/>
  <c r="F347" i="26"/>
  <c r="G347" i="26" s="1"/>
  <c r="H347" i="26" s="1"/>
  <c r="F348" i="26"/>
  <c r="G348" i="26" s="1"/>
  <c r="F349" i="26"/>
  <c r="G349" i="26" s="1"/>
  <c r="F350" i="26"/>
  <c r="G350" i="26" s="1"/>
  <c r="F351" i="26"/>
  <c r="G351" i="26" s="1"/>
  <c r="H351" i="26" s="1"/>
  <c r="F352" i="26"/>
  <c r="G352" i="26" s="1"/>
  <c r="H352" i="26" s="1"/>
  <c r="F353" i="26"/>
  <c r="G353" i="26" s="1"/>
  <c r="F354" i="26"/>
  <c r="G354" i="26" s="1"/>
  <c r="F355" i="26"/>
  <c r="G355" i="26" s="1"/>
  <c r="F356" i="26"/>
  <c r="G356" i="26" s="1"/>
  <c r="F357" i="26"/>
  <c r="F358" i="26"/>
  <c r="G358" i="26" s="1"/>
  <c r="H358" i="26" s="1"/>
  <c r="F359" i="26"/>
  <c r="G359" i="26" s="1"/>
  <c r="F360" i="26"/>
  <c r="G360" i="26" s="1"/>
  <c r="F361" i="26"/>
  <c r="F362" i="26"/>
  <c r="G362" i="26" s="1"/>
  <c r="H362" i="26" s="1"/>
  <c r="F363" i="26"/>
  <c r="G363" i="26" s="1"/>
  <c r="F364" i="26"/>
  <c r="G364" i="26" s="1"/>
  <c r="H364" i="26" s="1"/>
  <c r="F365" i="26"/>
  <c r="G365" i="26" s="1"/>
  <c r="F366" i="26"/>
  <c r="G366" i="26" s="1"/>
  <c r="F367" i="26"/>
  <c r="G367" i="26" s="1"/>
  <c r="F368" i="26"/>
  <c r="G368" i="26" s="1"/>
  <c r="H368" i="26" s="1"/>
  <c r="F369" i="26"/>
  <c r="G369" i="26" s="1"/>
  <c r="H369" i="26" s="1"/>
  <c r="F370" i="26"/>
  <c r="G370" i="26" s="1"/>
  <c r="H370" i="26" s="1"/>
  <c r="F371" i="26"/>
  <c r="G371" i="26" s="1"/>
  <c r="F372" i="26"/>
  <c r="G372" i="26" s="1"/>
  <c r="F373" i="26"/>
  <c r="G373" i="26" s="1"/>
  <c r="H373" i="26" s="1"/>
  <c r="F374" i="26"/>
  <c r="G374" i="26" s="1"/>
  <c r="F375" i="26"/>
  <c r="G375" i="26" s="1"/>
  <c r="F376" i="26"/>
  <c r="F377" i="26"/>
  <c r="F378" i="26"/>
  <c r="G378" i="26" s="1"/>
  <c r="F380" i="26"/>
  <c r="G380" i="26" s="1"/>
  <c r="H380" i="26" s="1"/>
  <c r="F285" i="26"/>
  <c r="G285" i="26" s="1"/>
  <c r="H285" i="26" s="1"/>
  <c r="F284" i="26"/>
  <c r="G284" i="26" s="1"/>
  <c r="H284" i="26" s="1"/>
  <c r="F283" i="26"/>
  <c r="F282" i="26"/>
  <c r="G282" i="26" s="1"/>
  <c r="F265" i="26"/>
  <c r="G265" i="26" s="1"/>
  <c r="F266" i="26"/>
  <c r="G266" i="26" s="1"/>
  <c r="F267" i="26"/>
  <c r="G267" i="26" s="1"/>
  <c r="F268" i="26"/>
  <c r="G268" i="26" s="1"/>
  <c r="F269" i="26"/>
  <c r="G269" i="26" s="1"/>
  <c r="F270" i="26"/>
  <c r="G270" i="26" s="1"/>
  <c r="H270" i="26" s="1"/>
  <c r="F271" i="26"/>
  <c r="G271" i="26" s="1"/>
  <c r="H271" i="26" s="1"/>
  <c r="F272" i="26"/>
  <c r="G272" i="26" s="1"/>
  <c r="F273" i="26"/>
  <c r="G273" i="26" s="1"/>
  <c r="H273" i="26" s="1"/>
  <c r="F274" i="26"/>
  <c r="G274" i="26" s="1"/>
  <c r="H274" i="26" s="1"/>
  <c r="F275" i="26"/>
  <c r="G275" i="26" s="1"/>
  <c r="H275" i="26" s="1"/>
  <c r="F276" i="26"/>
  <c r="G276" i="26" s="1"/>
  <c r="F277" i="26"/>
  <c r="G277" i="26" s="1"/>
  <c r="F278" i="26"/>
  <c r="G278" i="26" s="1"/>
  <c r="F279" i="26"/>
  <c r="G279" i="26" s="1"/>
  <c r="F264" i="26"/>
  <c r="G264" i="26" s="1"/>
  <c r="H264" i="26" s="1"/>
  <c r="F100" i="26"/>
  <c r="H100" i="26" s="1"/>
  <c r="F99" i="26"/>
  <c r="H99" i="26" s="1"/>
  <c r="F98" i="26"/>
  <c r="H98" i="26" s="1"/>
  <c r="F97" i="26"/>
  <c r="H97" i="26" s="1"/>
  <c r="F96" i="26"/>
  <c r="H96" i="26" s="1"/>
  <c r="F95" i="26"/>
  <c r="H95" i="26" s="1"/>
  <c r="F67" i="26"/>
  <c r="F66" i="26"/>
  <c r="F65" i="26"/>
  <c r="F63" i="26"/>
  <c r="F62" i="26"/>
  <c r="F61" i="26"/>
  <c r="F444" i="26"/>
  <c r="H444" i="26" s="1"/>
  <c r="F445" i="26"/>
  <c r="H445" i="26" s="1"/>
  <c r="F446" i="26"/>
  <c r="H446" i="26" s="1"/>
  <c r="F442" i="26"/>
  <c r="H442" i="26" s="1"/>
  <c r="F214" i="26"/>
  <c r="G214" i="26" s="1"/>
  <c r="H214" i="26" s="1"/>
  <c r="F213" i="26"/>
  <c r="G213" i="26" s="1"/>
  <c r="H213" i="26" s="1"/>
  <c r="F212" i="26"/>
  <c r="G212" i="26" s="1"/>
  <c r="F209" i="26"/>
  <c r="G209" i="26" s="1"/>
  <c r="F210" i="26"/>
  <c r="G210" i="26" s="1"/>
  <c r="F211" i="26"/>
  <c r="G211" i="26" s="1"/>
  <c r="F208" i="26"/>
  <c r="F207" i="26"/>
  <c r="F206" i="26"/>
  <c r="F188" i="26"/>
  <c r="G188" i="26" s="1"/>
  <c r="F187" i="26"/>
  <c r="G187" i="26" s="1"/>
  <c r="F186" i="26"/>
  <c r="G186" i="26" s="1"/>
  <c r="F185" i="26"/>
  <c r="G185" i="26" s="1"/>
  <c r="F184" i="26"/>
  <c r="G184" i="26" s="1"/>
  <c r="F183" i="26"/>
  <c r="G183" i="26" s="1"/>
  <c r="F182" i="26"/>
  <c r="G182" i="26" s="1"/>
  <c r="F181" i="26"/>
  <c r="G181" i="26" s="1"/>
  <c r="F180" i="26"/>
  <c r="G180" i="26" s="1"/>
  <c r="F179" i="26"/>
  <c r="G179" i="26" s="1"/>
  <c r="F178" i="26"/>
  <c r="G178" i="26" s="1"/>
  <c r="H178" i="26" s="1"/>
  <c r="F177" i="26"/>
  <c r="G177" i="26" s="1"/>
  <c r="F176" i="26"/>
  <c r="G176" i="26" s="1"/>
  <c r="F175" i="26"/>
  <c r="G175" i="26" s="1"/>
  <c r="F174" i="26"/>
  <c r="G174" i="26" s="1"/>
  <c r="F253" i="26"/>
  <c r="G253" i="26" s="1"/>
  <c r="F254" i="26"/>
  <c r="G254" i="26" s="1"/>
  <c r="F255" i="26"/>
  <c r="G255" i="26" s="1"/>
  <c r="F256" i="26"/>
  <c r="G256" i="26" s="1"/>
  <c r="F257" i="26"/>
  <c r="G257" i="26" s="1"/>
  <c r="F258" i="26"/>
  <c r="G258" i="26" s="1"/>
  <c r="F252" i="26"/>
  <c r="F251" i="26"/>
  <c r="F250" i="26"/>
  <c r="F249" i="26"/>
  <c r="F248" i="26"/>
  <c r="F219" i="26"/>
  <c r="G219" i="26" s="1"/>
  <c r="H219" i="26" s="1"/>
  <c r="F220" i="26"/>
  <c r="G220" i="26" s="1"/>
  <c r="F221" i="26"/>
  <c r="G221" i="26" s="1"/>
  <c r="H221" i="26" s="1"/>
  <c r="F222" i="26"/>
  <c r="G222" i="26" s="1"/>
  <c r="F223" i="26"/>
  <c r="G223" i="26" s="1"/>
  <c r="F224" i="26"/>
  <c r="G224" i="26" s="1"/>
  <c r="H224" i="26" s="1"/>
  <c r="F225" i="26"/>
  <c r="G225" i="26" s="1"/>
  <c r="F218" i="26"/>
  <c r="F196" i="26"/>
  <c r="G196" i="26" s="1"/>
  <c r="F195" i="26"/>
  <c r="G195" i="26" s="1"/>
  <c r="F194" i="26"/>
  <c r="G194" i="26" s="1"/>
  <c r="F171" i="26"/>
  <c r="G171" i="26" s="1"/>
  <c r="F172" i="26"/>
  <c r="G172" i="26" s="1"/>
  <c r="F173" i="26"/>
  <c r="G173" i="26" s="1"/>
  <c r="F170" i="26"/>
  <c r="F169" i="26"/>
  <c r="F168" i="26"/>
  <c r="F167" i="26"/>
  <c r="H189" i="26" l="1"/>
  <c r="H186" i="26"/>
  <c r="G66" i="26"/>
  <c r="H66" i="26" s="1"/>
  <c r="G67" i="26"/>
  <c r="H67" i="26" s="1"/>
  <c r="H215" i="26"/>
  <c r="H438" i="26"/>
  <c r="H196" i="26"/>
  <c r="H203" i="26"/>
  <c r="H211" i="26"/>
  <c r="H201" i="26"/>
  <c r="H182" i="26"/>
  <c r="H258" i="26"/>
  <c r="H434" i="26"/>
  <c r="H123" i="26"/>
  <c r="G199" i="26"/>
  <c r="H199" i="26" s="1"/>
  <c r="H197" i="26"/>
  <c r="G192" i="26"/>
  <c r="H192" i="26" s="1"/>
  <c r="H113" i="26"/>
  <c r="H185" i="26"/>
  <c r="H176" i="26"/>
  <c r="H210" i="26"/>
  <c r="H187" i="26"/>
  <c r="H256" i="26"/>
  <c r="H209" i="26"/>
  <c r="H257" i="26"/>
  <c r="G338" i="26"/>
  <c r="H338" i="26" s="1"/>
  <c r="H177" i="26"/>
  <c r="H179" i="26"/>
  <c r="H188" i="26"/>
  <c r="G384" i="26"/>
  <c r="H384" i="26" s="1"/>
  <c r="H385" i="26"/>
  <c r="H106" i="26"/>
  <c r="H104" i="26"/>
  <c r="H105" i="26"/>
  <c r="H56" i="26"/>
  <c r="H32" i="26"/>
  <c r="H34" i="26"/>
  <c r="H426" i="26"/>
  <c r="G427" i="26"/>
  <c r="H427" i="26" s="1"/>
  <c r="G428" i="26"/>
  <c r="H428" i="26" s="1"/>
  <c r="G429" i="26"/>
  <c r="H429" i="26" s="1"/>
  <c r="G433" i="26"/>
  <c r="H433" i="26" s="1"/>
  <c r="G432" i="26"/>
  <c r="H432" i="26" s="1"/>
  <c r="H327" i="26"/>
  <c r="H326" i="26"/>
  <c r="H324" i="26"/>
  <c r="H323" i="26"/>
  <c r="H315" i="26"/>
  <c r="G311" i="26"/>
  <c r="H311" i="26" s="1"/>
  <c r="H310" i="26"/>
  <c r="G339" i="26"/>
  <c r="H339" i="26" s="1"/>
  <c r="H353" i="26"/>
  <c r="H350" i="26"/>
  <c r="H286" i="26"/>
  <c r="G377" i="26"/>
  <c r="H377" i="26" s="1"/>
  <c r="H349" i="26"/>
  <c r="G376" i="26"/>
  <c r="H376" i="26" s="1"/>
  <c r="H348" i="26"/>
  <c r="H300" i="26"/>
  <c r="H365" i="26"/>
  <c r="H374" i="26"/>
  <c r="H346" i="26"/>
  <c r="H272" i="26"/>
  <c r="H313" i="26"/>
  <c r="H372" i="26"/>
  <c r="G345" i="26"/>
  <c r="H345" i="26" s="1"/>
  <c r="G341" i="26"/>
  <c r="H341" i="26" s="1"/>
  <c r="H312" i="26"/>
  <c r="G288" i="26"/>
  <c r="H288" i="26" s="1"/>
  <c r="H287" i="26"/>
  <c r="H276" i="26"/>
  <c r="H375" i="26"/>
  <c r="H371" i="26"/>
  <c r="H299" i="26"/>
  <c r="G361" i="26"/>
  <c r="H361" i="26" s="1"/>
  <c r="G283" i="26"/>
  <c r="H283" i="26" s="1"/>
  <c r="H320" i="26"/>
  <c r="G357" i="26"/>
  <c r="H357" i="26" s="1"/>
  <c r="G333" i="26"/>
  <c r="H333" i="26" s="1"/>
  <c r="H278" i="26"/>
  <c r="H266" i="26"/>
  <c r="H356" i="26"/>
  <c r="H344" i="26"/>
  <c r="H332" i="26"/>
  <c r="H319" i="26"/>
  <c r="H291" i="26"/>
  <c r="H277" i="26"/>
  <c r="H265" i="26"/>
  <c r="H367" i="26"/>
  <c r="H355" i="26"/>
  <c r="H343" i="26"/>
  <c r="H331" i="26"/>
  <c r="H302" i="26"/>
  <c r="H290" i="26"/>
  <c r="H317" i="26"/>
  <c r="H360" i="26"/>
  <c r="H269" i="26"/>
  <c r="H335" i="26"/>
  <c r="H359" i="26"/>
  <c r="H294" i="26"/>
  <c r="H282" i="26"/>
  <c r="H268" i="26"/>
  <c r="H334" i="26"/>
  <c r="H321" i="26"/>
  <c r="H293" i="26"/>
  <c r="H279" i="26"/>
  <c r="H267" i="26"/>
  <c r="H378" i="26"/>
  <c r="H366" i="26"/>
  <c r="H354" i="26"/>
  <c r="H342" i="26"/>
  <c r="H289" i="26"/>
  <c r="H328" i="26"/>
  <c r="H316" i="26"/>
  <c r="H363" i="26"/>
  <c r="H298" i="26"/>
  <c r="H297" i="26"/>
  <c r="H295" i="26"/>
  <c r="H305" i="26"/>
  <c r="H306" i="26"/>
  <c r="H183" i="26"/>
  <c r="H180" i="26"/>
  <c r="G65" i="26"/>
  <c r="H65" i="26" s="1"/>
  <c r="G61" i="26"/>
  <c r="H61" i="26" s="1"/>
  <c r="G62" i="26"/>
  <c r="H62" i="26" s="1"/>
  <c r="G63" i="26"/>
  <c r="H63" i="26" s="1"/>
  <c r="H212" i="26"/>
  <c r="H181" i="26"/>
  <c r="H175" i="26"/>
  <c r="G206" i="26"/>
  <c r="H206" i="26" s="1"/>
  <c r="G207" i="26"/>
  <c r="H207" i="26" s="1"/>
  <c r="G208" i="26"/>
  <c r="H208" i="26" s="1"/>
  <c r="H184" i="26"/>
  <c r="H174" i="26"/>
  <c r="H254" i="26"/>
  <c r="H255" i="26"/>
  <c r="H253" i="26"/>
  <c r="G248" i="26"/>
  <c r="H248" i="26" s="1"/>
  <c r="G249" i="26"/>
  <c r="H249" i="26" s="1"/>
  <c r="G250" i="26"/>
  <c r="H250" i="26" s="1"/>
  <c r="G251" i="26"/>
  <c r="H251" i="26" s="1"/>
  <c r="G252" i="26"/>
  <c r="H252" i="26" s="1"/>
  <c r="H225" i="26"/>
  <c r="H195" i="26"/>
  <c r="H172" i="26"/>
  <c r="H223" i="26"/>
  <c r="H171" i="26"/>
  <c r="H220" i="26"/>
  <c r="H194" i="26"/>
  <c r="H222" i="26"/>
  <c r="G218" i="26"/>
  <c r="H218" i="26" s="1"/>
  <c r="H173" i="26"/>
  <c r="G167" i="26"/>
  <c r="H167" i="26" s="1"/>
  <c r="G168" i="26"/>
  <c r="H168" i="26" s="1"/>
  <c r="G169" i="26"/>
  <c r="H169" i="26" s="1"/>
  <c r="G170" i="26"/>
  <c r="H170" i="26" s="1"/>
  <c r="F163" i="26"/>
  <c r="G163" i="26" s="1"/>
  <c r="F162" i="26"/>
  <c r="G162" i="26" s="1"/>
  <c r="F161" i="26"/>
  <c r="G161" i="26" s="1"/>
  <c r="F160" i="26"/>
  <c r="G160" i="26" s="1"/>
  <c r="F159" i="26"/>
  <c r="G159" i="26" s="1"/>
  <c r="F158" i="26"/>
  <c r="G158" i="26" s="1"/>
  <c r="F157" i="26"/>
  <c r="G157" i="26" s="1"/>
  <c r="H157" i="26" s="1"/>
  <c r="F156" i="26"/>
  <c r="G156" i="26" s="1"/>
  <c r="F155" i="26"/>
  <c r="G155" i="26" s="1"/>
  <c r="F154" i="26"/>
  <c r="G154" i="26" s="1"/>
  <c r="F153" i="26"/>
  <c r="G153" i="26" s="1"/>
  <c r="F152" i="26"/>
  <c r="G152" i="26" s="1"/>
  <c r="H152" i="26" s="1"/>
  <c r="F151" i="26"/>
  <c r="G151" i="26" s="1"/>
  <c r="F150" i="26"/>
  <c r="G150" i="26" s="1"/>
  <c r="F149" i="26"/>
  <c r="G149" i="26" s="1"/>
  <c r="F148" i="26"/>
  <c r="G148" i="26" s="1"/>
  <c r="H148" i="26" s="1"/>
  <c r="F147" i="26"/>
  <c r="G147" i="26" s="1"/>
  <c r="H147" i="26" s="1"/>
  <c r="F81" i="26"/>
  <c r="H81" i="26" s="1"/>
  <c r="F80" i="26"/>
  <c r="F79" i="26"/>
  <c r="F78" i="26"/>
  <c r="F77" i="26"/>
  <c r="F122" i="26"/>
  <c r="F119" i="26"/>
  <c r="F120" i="26"/>
  <c r="G120" i="26" s="1"/>
  <c r="F121" i="26"/>
  <c r="G121" i="26" s="1"/>
  <c r="F117" i="26"/>
  <c r="H117" i="26" s="1"/>
  <c r="F116" i="26"/>
  <c r="G116" i="26" s="1"/>
  <c r="H116" i="26" s="1"/>
  <c r="H155" i="26" l="1"/>
  <c r="H163" i="26"/>
  <c r="H162" i="26"/>
  <c r="H159" i="26"/>
  <c r="H161" i="26"/>
  <c r="H160" i="26"/>
  <c r="H150" i="26"/>
  <c r="H149" i="26"/>
  <c r="H158" i="26"/>
  <c r="H77" i="26"/>
  <c r="H79" i="26"/>
  <c r="H156" i="26"/>
  <c r="H80" i="26"/>
  <c r="G122" i="26"/>
  <c r="H122" i="26" s="1"/>
  <c r="G119" i="26"/>
  <c r="H119" i="26" s="1"/>
  <c r="H154" i="26"/>
  <c r="H153" i="26"/>
  <c r="H151" i="26"/>
  <c r="H121" i="26"/>
  <c r="H120" i="26"/>
  <c r="H78" i="26"/>
  <c r="F86" i="26"/>
  <c r="H86" i="26" s="1"/>
  <c r="F42" i="26"/>
  <c r="G42" i="26" s="1"/>
  <c r="F55" i="26"/>
  <c r="F54" i="26"/>
  <c r="F53" i="26"/>
  <c r="H53" i="26" s="1"/>
  <c r="F52" i="26"/>
  <c r="H52" i="26" s="1"/>
  <c r="F51" i="26"/>
  <c r="H51" i="26" s="1"/>
  <c r="F50" i="26"/>
  <c r="H50" i="26" s="1"/>
  <c r="F49" i="26"/>
  <c r="H49" i="26" s="1"/>
  <c r="F39" i="26"/>
  <c r="G39" i="26" s="1"/>
  <c r="H39" i="26" s="1"/>
  <c r="F41" i="26"/>
  <c r="G41" i="26" s="1"/>
  <c r="H41" i="26" s="1"/>
  <c r="F38" i="26"/>
  <c r="G38" i="26" s="1"/>
  <c r="H38" i="26" s="1"/>
  <c r="F37" i="26"/>
  <c r="F23" i="26"/>
  <c r="G23" i="26" s="1"/>
  <c r="F22" i="26"/>
  <c r="G22" i="26" s="1"/>
  <c r="F31" i="26"/>
  <c r="G31" i="26" s="1"/>
  <c r="F30" i="26"/>
  <c r="G30" i="26" s="1"/>
  <c r="F27" i="26"/>
  <c r="G27" i="26" s="1"/>
  <c r="H27" i="26" s="1"/>
  <c r="F28" i="26"/>
  <c r="G28" i="26" s="1"/>
  <c r="H28" i="26" s="1"/>
  <c r="F26" i="26"/>
  <c r="G26" i="26" s="1"/>
  <c r="H42" i="26" l="1"/>
  <c r="G54" i="26"/>
  <c r="H54" i="26" s="1"/>
  <c r="H23" i="26"/>
  <c r="G55" i="26"/>
  <c r="H55" i="26" s="1"/>
  <c r="G37" i="26"/>
  <c r="H37" i="26" s="1"/>
  <c r="H31" i="26"/>
  <c r="H30" i="26"/>
  <c r="F8" i="26"/>
  <c r="H22" i="26"/>
  <c r="H25" i="26"/>
  <c r="H26" i="26"/>
  <c r="F21" i="26"/>
  <c r="F20" i="26"/>
  <c r="H20" i="26" s="1"/>
  <c r="F10" i="26"/>
  <c r="H10" i="26" s="1"/>
  <c r="F11" i="26"/>
  <c r="G11" i="26" s="1"/>
  <c r="F7" i="26"/>
  <c r="H7" i="26" s="1"/>
  <c r="F12" i="26"/>
  <c r="F13" i="26"/>
  <c r="G13" i="26" s="1"/>
  <c r="H13" i="26" s="1"/>
  <c r="F14" i="26"/>
  <c r="G14" i="26" s="1"/>
  <c r="F15" i="26"/>
  <c r="G15" i="26" s="1"/>
  <c r="F16" i="26"/>
  <c r="F17" i="26"/>
  <c r="F9" i="26"/>
  <c r="H9" i="26" s="1"/>
  <c r="F18" i="26"/>
  <c r="G18" i="26" s="1"/>
  <c r="H18" i="26" s="1"/>
  <c r="P34" i="25"/>
  <c r="F19" i="26"/>
  <c r="G19" i="26" s="1"/>
  <c r="H19" i="26" s="1"/>
  <c r="F6" i="26"/>
  <c r="H6" i="26" s="1"/>
  <c r="F5" i="26"/>
  <c r="H5" i="26" s="1"/>
  <c r="G8" i="26" l="1"/>
  <c r="H8" i="26" s="1"/>
  <c r="H11" i="26"/>
  <c r="G21" i="26"/>
  <c r="H21" i="26" s="1"/>
  <c r="G12" i="26"/>
  <c r="H12" i="26" s="1"/>
  <c r="H15" i="26"/>
  <c r="H14" i="26"/>
  <c r="G17" i="26"/>
  <c r="H17" i="26" s="1"/>
  <c r="G16" i="26"/>
  <c r="H16" i="26" s="1"/>
  <c r="H90" i="25"/>
  <c r="H89" i="25"/>
  <c r="H165" i="25"/>
  <c r="E164" i="25"/>
  <c r="H164" i="25" s="1"/>
  <c r="H32" i="9"/>
  <c r="H30" i="9"/>
  <c r="H28" i="9"/>
  <c r="H448" i="26" l="1"/>
  <c r="H450" i="26" s="1"/>
  <c r="H105" i="6"/>
  <c r="E343" i="25"/>
  <c r="E345" i="25"/>
  <c r="H345" i="25" s="1"/>
  <c r="E339" i="25"/>
  <c r="M16" i="25"/>
  <c r="H26" i="9" l="1"/>
  <c r="H24" i="9"/>
  <c r="H471" i="5"/>
  <c r="H469" i="5"/>
  <c r="H407" i="5" l="1"/>
  <c r="H343" i="25"/>
  <c r="H341" i="25"/>
  <c r="H339" i="25"/>
  <c r="H337" i="25"/>
  <c r="H313" i="25"/>
  <c r="H311" i="25"/>
  <c r="H309" i="25"/>
  <c r="H307" i="25"/>
  <c r="H305" i="25"/>
  <c r="H303" i="25"/>
  <c r="H301" i="25"/>
  <c r="H299" i="25"/>
  <c r="H319" i="25" l="1"/>
  <c r="H35" i="4"/>
  <c r="H22" i="9"/>
  <c r="H20" i="9"/>
  <c r="H18" i="9"/>
  <c r="H16" i="9"/>
  <c r="H14" i="9"/>
  <c r="H12" i="9" l="1"/>
  <c r="H10" i="9"/>
  <c r="H23" i="25" l="1"/>
  <c r="K302" i="25" l="1"/>
  <c r="K327" i="25"/>
  <c r="K315" i="25"/>
  <c r="K310" i="25"/>
  <c r="E77" i="25"/>
  <c r="H77" i="25" s="1"/>
  <c r="E183" i="25"/>
  <c r="H183" i="25" s="1"/>
  <c r="V254" i="14"/>
  <c r="T254" i="14"/>
  <c r="P254" i="14"/>
  <c r="L254" i="14"/>
  <c r="O18" i="14"/>
  <c r="O19" i="14"/>
  <c r="O20" i="14"/>
  <c r="O21" i="14"/>
  <c r="O22" i="14"/>
  <c r="O17" i="14"/>
  <c r="H253" i="14"/>
  <c r="N253" i="14"/>
  <c r="T252" i="14"/>
  <c r="N252" i="14"/>
  <c r="P251" i="14"/>
  <c r="V251" i="14"/>
  <c r="T251" i="14"/>
  <c r="L251" i="14"/>
  <c r="K344" i="25"/>
  <c r="K362" i="25"/>
  <c r="E362" i="25" s="1"/>
  <c r="H362" i="25" s="1"/>
  <c r="K360" i="25"/>
  <c r="E360" i="25" s="1"/>
  <c r="H360" i="25" s="1"/>
  <c r="K352" i="25"/>
  <c r="H352" i="25" s="1"/>
  <c r="K314" i="25"/>
  <c r="E293" i="25"/>
  <c r="H293" i="25" s="1"/>
  <c r="C293" i="25"/>
  <c r="H291" i="25"/>
  <c r="C291" i="25"/>
  <c r="H289" i="25"/>
  <c r="C289" i="25"/>
  <c r="H285" i="25"/>
  <c r="C285" i="25"/>
  <c r="H283" i="25"/>
  <c r="C283" i="25"/>
  <c r="H281" i="25"/>
  <c r="C281" i="25"/>
  <c r="H279" i="25"/>
  <c r="C279" i="25"/>
  <c r="H277" i="25"/>
  <c r="C277" i="25"/>
  <c r="H269" i="25"/>
  <c r="E235" i="25"/>
  <c r="E233" i="25"/>
  <c r="E232" i="25"/>
  <c r="E231" i="25"/>
  <c r="E230" i="25"/>
  <c r="E229" i="25"/>
  <c r="E218" i="25"/>
  <c r="H218" i="25" s="1"/>
  <c r="E217" i="25"/>
  <c r="H217" i="25" s="1"/>
  <c r="E216" i="25"/>
  <c r="H216" i="25" s="1"/>
  <c r="E215" i="25"/>
  <c r="H215" i="25" s="1"/>
  <c r="E214" i="25"/>
  <c r="H214" i="25" s="1"/>
  <c r="E213" i="25"/>
  <c r="H213" i="25" s="1"/>
  <c r="K212" i="25"/>
  <c r="E212" i="25" s="1"/>
  <c r="H212" i="25" s="1"/>
  <c r="K211" i="25"/>
  <c r="E211" i="25" s="1"/>
  <c r="H211" i="25" s="1"/>
  <c r="K210" i="25"/>
  <c r="E210" i="25" s="1"/>
  <c r="H210" i="25" s="1"/>
  <c r="K209" i="25"/>
  <c r="E209" i="25" s="1"/>
  <c r="H209" i="25" s="1"/>
  <c r="K208" i="25"/>
  <c r="E208" i="25" s="1"/>
  <c r="H208" i="25" s="1"/>
  <c r="K207" i="25"/>
  <c r="E207" i="25" s="1"/>
  <c r="H207" i="25" s="1"/>
  <c r="K202" i="25"/>
  <c r="E202" i="25" s="1"/>
  <c r="H202" i="25" s="1"/>
  <c r="K201" i="25"/>
  <c r="E201" i="25" s="1"/>
  <c r="H201" i="25" s="1"/>
  <c r="K200" i="25"/>
  <c r="E200" i="25" s="1"/>
  <c r="H200" i="25" s="1"/>
  <c r="K199" i="25"/>
  <c r="E199" i="25" s="1"/>
  <c r="H199" i="25" s="1"/>
  <c r="K198" i="25"/>
  <c r="E198" i="25" s="1"/>
  <c r="H198" i="25" s="1"/>
  <c r="K197" i="25"/>
  <c r="E197" i="25" s="1"/>
  <c r="H197" i="25" s="1"/>
  <c r="K196" i="25"/>
  <c r="E196" i="25" s="1"/>
  <c r="H196" i="25" s="1"/>
  <c r="E186" i="25"/>
  <c r="H186" i="25" s="1"/>
  <c r="E181" i="25"/>
  <c r="H181" i="25" s="1"/>
  <c r="E179" i="25"/>
  <c r="H179" i="25" s="1"/>
  <c r="K177" i="25"/>
  <c r="E177" i="25" s="1"/>
  <c r="H177" i="25" s="1"/>
  <c r="E174" i="25"/>
  <c r="H174" i="25" s="1"/>
  <c r="K173" i="25"/>
  <c r="E173" i="25" s="1"/>
  <c r="H173" i="25" s="1"/>
  <c r="K172" i="25"/>
  <c r="E172" i="25" s="1"/>
  <c r="H172" i="25" s="1"/>
  <c r="K165" i="25"/>
  <c r="K162" i="25"/>
  <c r="E162" i="25" s="1"/>
  <c r="H162" i="25" s="1"/>
  <c r="K158" i="25"/>
  <c r="E158" i="25" s="1"/>
  <c r="H158" i="25" s="1"/>
  <c r="E150" i="25"/>
  <c r="H150" i="25" s="1"/>
  <c r="K148" i="25"/>
  <c r="E148" i="25" s="1"/>
  <c r="H148" i="25" s="1"/>
  <c r="K146" i="25"/>
  <c r="E146" i="25" s="1"/>
  <c r="H146" i="25" s="1"/>
  <c r="K144" i="25"/>
  <c r="E144" i="25" s="1"/>
  <c r="H144" i="25" s="1"/>
  <c r="E142" i="25"/>
  <c r="H142" i="25" s="1"/>
  <c r="K140" i="25"/>
  <c r="E140" i="25" s="1"/>
  <c r="H140" i="25" s="1"/>
  <c r="K138" i="25"/>
  <c r="E138" i="25" s="1"/>
  <c r="H138" i="25" s="1"/>
  <c r="K136" i="25"/>
  <c r="E136" i="25" s="1"/>
  <c r="H136" i="25" s="1"/>
  <c r="K134" i="25"/>
  <c r="E134" i="25" s="1"/>
  <c r="H134" i="25" s="1"/>
  <c r="K122" i="25"/>
  <c r="E122" i="25" s="1"/>
  <c r="H122" i="25" s="1"/>
  <c r="E120" i="25"/>
  <c r="H120" i="25" s="1"/>
  <c r="K116" i="25"/>
  <c r="E116" i="25" s="1"/>
  <c r="H116" i="25" s="1"/>
  <c r="K114" i="25"/>
  <c r="E114" i="25" s="1"/>
  <c r="H114" i="25" s="1"/>
  <c r="K112" i="25"/>
  <c r="E112" i="25" s="1"/>
  <c r="H112" i="25" s="1"/>
  <c r="K110" i="25"/>
  <c r="E110" i="25" s="1"/>
  <c r="H110" i="25" s="1"/>
  <c r="K108" i="25"/>
  <c r="E108" i="25" s="1"/>
  <c r="H108" i="25" s="1"/>
  <c r="K106" i="25"/>
  <c r="E106" i="25" s="1"/>
  <c r="H106" i="25" s="1"/>
  <c r="K104" i="25"/>
  <c r="E104" i="25" s="1"/>
  <c r="H104" i="25" s="1"/>
  <c r="K102" i="25"/>
  <c r="E102" i="25" s="1"/>
  <c r="H102" i="25" s="1"/>
  <c r="E93" i="25"/>
  <c r="H93" i="25" s="1"/>
  <c r="K87" i="25"/>
  <c r="E87" i="25" s="1"/>
  <c r="H87" i="25" s="1"/>
  <c r="K85" i="25"/>
  <c r="E85" i="25" s="1"/>
  <c r="H85" i="25" s="1"/>
  <c r="K75" i="25"/>
  <c r="E75" i="25" s="1"/>
  <c r="H75" i="25" s="1"/>
  <c r="K69" i="25"/>
  <c r="E69" i="25" s="1"/>
  <c r="H69" i="25" s="1"/>
  <c r="E67" i="25"/>
  <c r="H67" i="25" s="1"/>
  <c r="K65" i="25"/>
  <c r="E65" i="25" s="1"/>
  <c r="H65" i="25" s="1"/>
  <c r="K63" i="25"/>
  <c r="E63" i="25" s="1"/>
  <c r="H63" i="25" s="1"/>
  <c r="K61" i="25"/>
  <c r="E61" i="25" s="1"/>
  <c r="H61" i="25" s="1"/>
  <c r="K59" i="25"/>
  <c r="E59" i="25" s="1"/>
  <c r="H59" i="25" s="1"/>
  <c r="K51" i="25"/>
  <c r="E51" i="25" s="1"/>
  <c r="H51" i="25" s="1"/>
  <c r="K49" i="25"/>
  <c r="E49" i="25" s="1"/>
  <c r="H49" i="25" s="1"/>
  <c r="K47" i="25"/>
  <c r="E47" i="25" s="1"/>
  <c r="H47" i="25" s="1"/>
  <c r="K45" i="25"/>
  <c r="E45" i="25" s="1"/>
  <c r="H45" i="25" s="1"/>
  <c r="K41" i="25"/>
  <c r="E41" i="25" s="1"/>
  <c r="H41" i="25" s="1"/>
  <c r="K35" i="25"/>
  <c r="H35" i="25" s="1"/>
  <c r="K27" i="25"/>
  <c r="E27" i="25" s="1"/>
  <c r="E25" i="25"/>
  <c r="E19" i="25"/>
  <c r="H19" i="25" s="1"/>
  <c r="K17" i="25"/>
  <c r="E17" i="25" s="1"/>
  <c r="H17" i="25" s="1"/>
  <c r="K15" i="25"/>
  <c r="E15" i="25" s="1"/>
  <c r="H15" i="25" s="1"/>
  <c r="H97" i="3"/>
  <c r="H96" i="3"/>
  <c r="H95" i="3"/>
  <c r="AL89" i="3"/>
  <c r="AK89" i="3"/>
  <c r="AD89" i="3"/>
  <c r="AA89" i="3"/>
  <c r="Z89" i="3"/>
  <c r="U89" i="3"/>
  <c r="T89" i="3"/>
  <c r="S89" i="3"/>
  <c r="R89" i="3"/>
  <c r="Y87" i="3"/>
  <c r="X87" i="3"/>
  <c r="W87" i="3"/>
  <c r="V87" i="3"/>
  <c r="AF87" i="3" s="1"/>
  <c r="Y86" i="3"/>
  <c r="X86" i="3"/>
  <c r="W86" i="3"/>
  <c r="V86" i="3"/>
  <c r="AF86" i="3" s="1"/>
  <c r="Y85" i="3"/>
  <c r="X85" i="3"/>
  <c r="Y84" i="3"/>
  <c r="W84" i="3"/>
  <c r="F84" i="3"/>
  <c r="X84" i="3" s="1"/>
  <c r="I36" i="3"/>
  <c r="I37" i="3"/>
  <c r="I38" i="3"/>
  <c r="I39" i="3"/>
  <c r="I40" i="3"/>
  <c r="I41" i="3"/>
  <c r="J29" i="4"/>
  <c r="J20" i="4"/>
  <c r="F303" i="3"/>
  <c r="X303" i="3" s="1"/>
  <c r="AL305" i="3"/>
  <c r="AK305" i="3"/>
  <c r="AD305" i="3"/>
  <c r="AA305" i="3"/>
  <c r="Z305" i="3"/>
  <c r="U305" i="3"/>
  <c r="T305" i="3"/>
  <c r="S305" i="3"/>
  <c r="R305" i="3"/>
  <c r="Y303" i="3"/>
  <c r="W303" i="3"/>
  <c r="Y302" i="3"/>
  <c r="Y305" i="3" s="1"/>
  <c r="X302" i="3"/>
  <c r="W302" i="3"/>
  <c r="V302" i="3"/>
  <c r="I302" i="3"/>
  <c r="F297" i="3"/>
  <c r="AL299" i="3"/>
  <c r="AK299" i="3"/>
  <c r="AD299" i="3"/>
  <c r="AA299" i="3"/>
  <c r="Z299" i="3"/>
  <c r="U299" i="3"/>
  <c r="T299" i="3"/>
  <c r="S299" i="3"/>
  <c r="R299" i="3"/>
  <c r="W296" i="3"/>
  <c r="E20" i="4"/>
  <c r="E29" i="4"/>
  <c r="E31" i="4"/>
  <c r="I293" i="3"/>
  <c r="D291" i="3"/>
  <c r="F291" i="3" s="1"/>
  <c r="H208" i="6"/>
  <c r="H205" i="6"/>
  <c r="H203" i="6"/>
  <c r="H201" i="6"/>
  <c r="H199" i="6"/>
  <c r="H197" i="6"/>
  <c r="H195" i="6"/>
  <c r="H193" i="6"/>
  <c r="H191" i="6"/>
  <c r="H189" i="6"/>
  <c r="H210" i="6" s="1"/>
  <c r="H181" i="6"/>
  <c r="H177" i="6"/>
  <c r="H175" i="6"/>
  <c r="E171" i="6"/>
  <c r="H171" i="6" s="1"/>
  <c r="H169" i="6"/>
  <c r="E169" i="6"/>
  <c r="H163" i="6"/>
  <c r="H161" i="6"/>
  <c r="H159" i="6"/>
  <c r="H155" i="6"/>
  <c r="H153" i="6"/>
  <c r="H148" i="6"/>
  <c r="H146" i="6"/>
  <c r="I142" i="6"/>
  <c r="E142" i="6"/>
  <c r="H142" i="6" s="1"/>
  <c r="H138" i="6"/>
  <c r="H136" i="6"/>
  <c r="H126" i="6"/>
  <c r="E126" i="6"/>
  <c r="E124" i="6"/>
  <c r="H124" i="6" s="1"/>
  <c r="E122" i="6"/>
  <c r="H122" i="6" s="1"/>
  <c r="E118" i="6"/>
  <c r="H118" i="6" s="1"/>
  <c r="H116" i="6"/>
  <c r="E116" i="6"/>
  <c r="E114" i="6"/>
  <c r="H114" i="6" s="1"/>
  <c r="E112" i="6"/>
  <c r="H112" i="6" s="1"/>
  <c r="E103" i="6"/>
  <c r="H103" i="6" s="1"/>
  <c r="E102" i="6"/>
  <c r="H102" i="6" s="1"/>
  <c r="E101" i="6"/>
  <c r="H101" i="6" s="1"/>
  <c r="H100" i="6"/>
  <c r="E100" i="6"/>
  <c r="E99" i="6"/>
  <c r="H99" i="6" s="1"/>
  <c r="H98" i="6"/>
  <c r="E98" i="6"/>
  <c r="E97" i="6"/>
  <c r="H97" i="6" s="1"/>
  <c r="H96" i="6"/>
  <c r="E96" i="6"/>
  <c r="E95" i="6"/>
  <c r="H95" i="6" s="1"/>
  <c r="H94" i="6"/>
  <c r="E94" i="6"/>
  <c r="E93" i="6"/>
  <c r="H93" i="6" s="1"/>
  <c r="H92" i="6"/>
  <c r="E92" i="6"/>
  <c r="E91" i="6"/>
  <c r="H91" i="6" s="1"/>
  <c r="H90" i="6"/>
  <c r="E90" i="6"/>
  <c r="E89" i="6"/>
  <c r="H89" i="6" s="1"/>
  <c r="H88" i="6"/>
  <c r="E88" i="6"/>
  <c r="H83" i="6"/>
  <c r="H79" i="6"/>
  <c r="E79" i="6"/>
  <c r="H75" i="6"/>
  <c r="H73" i="6"/>
  <c r="H85" i="6" s="1"/>
  <c r="E67" i="6"/>
  <c r="H67" i="6" s="1"/>
  <c r="H65" i="6"/>
  <c r="E65" i="6"/>
  <c r="E63" i="6"/>
  <c r="H63" i="6" s="1"/>
  <c r="E61" i="6"/>
  <c r="H61" i="6" s="1"/>
  <c r="E59" i="6"/>
  <c r="H59" i="6" s="1"/>
  <c r="H57" i="6"/>
  <c r="E57" i="6"/>
  <c r="E55" i="6"/>
  <c r="H55" i="6" s="1"/>
  <c r="E53" i="6"/>
  <c r="H53" i="6" s="1"/>
  <c r="E51" i="6"/>
  <c r="H51" i="6" s="1"/>
  <c r="H45" i="6"/>
  <c r="H43" i="6"/>
  <c r="H39" i="6"/>
  <c r="E37" i="6"/>
  <c r="H37" i="6" s="1"/>
  <c r="E30" i="6"/>
  <c r="H30" i="6" s="1"/>
  <c r="H28" i="6"/>
  <c r="E28" i="6"/>
  <c r="E23" i="6"/>
  <c r="H23" i="6" s="1"/>
  <c r="E21" i="6"/>
  <c r="H21" i="6" s="1"/>
  <c r="H19" i="6"/>
  <c r="E19" i="6"/>
  <c r="H17" i="6"/>
  <c r="E17" i="6"/>
  <c r="E15" i="6"/>
  <c r="H15" i="6" s="1"/>
  <c r="H587" i="5"/>
  <c r="H585" i="5"/>
  <c r="H583" i="5"/>
  <c r="H581" i="5"/>
  <c r="H579" i="5"/>
  <c r="H577" i="5"/>
  <c r="H575" i="5"/>
  <c r="H573" i="5"/>
  <c r="H571" i="5"/>
  <c r="H569" i="5"/>
  <c r="H567" i="5"/>
  <c r="H560" i="5"/>
  <c r="H558" i="5"/>
  <c r="H556" i="5"/>
  <c r="H554" i="5"/>
  <c r="E552" i="5"/>
  <c r="H552" i="5" s="1"/>
  <c r="E550" i="5"/>
  <c r="H550" i="5" s="1"/>
  <c r="E544" i="5"/>
  <c r="H544" i="5" s="1"/>
  <c r="E542" i="5"/>
  <c r="H542" i="5" s="1"/>
  <c r="H533" i="5"/>
  <c r="H531" i="5"/>
  <c r="H529" i="5"/>
  <c r="E527" i="5"/>
  <c r="H527" i="5" s="1"/>
  <c r="H525" i="5"/>
  <c r="E523" i="5"/>
  <c r="H523" i="5" s="1"/>
  <c r="H517" i="5"/>
  <c r="H515" i="5"/>
  <c r="E513" i="5"/>
  <c r="H513" i="5" s="1"/>
  <c r="H503" i="5"/>
  <c r="E501" i="5"/>
  <c r="H501" i="5" s="1"/>
  <c r="E495" i="5"/>
  <c r="H495" i="5" s="1"/>
  <c r="H505" i="5" s="1"/>
  <c r="H487" i="5"/>
  <c r="H485" i="5"/>
  <c r="H483" i="5"/>
  <c r="H481" i="5"/>
  <c r="E479" i="5"/>
  <c r="H479" i="5" s="1"/>
  <c r="H477" i="5"/>
  <c r="H475" i="5"/>
  <c r="H473" i="5"/>
  <c r="H463" i="5"/>
  <c r="H461" i="5"/>
  <c r="H454" i="5"/>
  <c r="H450" i="5"/>
  <c r="H448" i="5"/>
  <c r="H446" i="5"/>
  <c r="H444" i="5"/>
  <c r="E442" i="5"/>
  <c r="H442" i="5" s="1"/>
  <c r="H430" i="5"/>
  <c r="H428" i="5"/>
  <c r="H426" i="5"/>
  <c r="H424" i="5"/>
  <c r="H422" i="5"/>
  <c r="E420" i="5"/>
  <c r="H420" i="5" s="1"/>
  <c r="E418" i="5"/>
  <c r="H418" i="5" s="1"/>
  <c r="E416" i="5"/>
  <c r="H416" i="5" s="1"/>
  <c r="E414" i="5"/>
  <c r="H414" i="5" s="1"/>
  <c r="E412" i="5"/>
  <c r="H412" i="5" s="1"/>
  <c r="E410" i="5"/>
  <c r="H410" i="5" s="1"/>
  <c r="E408" i="5"/>
  <c r="H408" i="5" s="1"/>
  <c r="E406" i="5"/>
  <c r="H406" i="5" s="1"/>
  <c r="E404" i="5"/>
  <c r="H404" i="5" s="1"/>
  <c r="E402" i="5"/>
  <c r="H402" i="5" s="1"/>
  <c r="E400" i="5"/>
  <c r="H400" i="5" s="1"/>
  <c r="E398" i="5"/>
  <c r="H398" i="5" s="1"/>
  <c r="H392" i="5"/>
  <c r="H390" i="5"/>
  <c r="H388" i="5"/>
  <c r="H386" i="5"/>
  <c r="H384" i="5"/>
  <c r="E382" i="5"/>
  <c r="H382" i="5" s="1"/>
  <c r="E380" i="5"/>
  <c r="H380" i="5" s="1"/>
  <c r="E378" i="5"/>
  <c r="H378" i="5" s="1"/>
  <c r="E376" i="5"/>
  <c r="H376" i="5" s="1"/>
  <c r="E374" i="5"/>
  <c r="H374" i="5" s="1"/>
  <c r="E372" i="5"/>
  <c r="H372" i="5" s="1"/>
  <c r="E370" i="5"/>
  <c r="H370" i="5" s="1"/>
  <c r="H368" i="5"/>
  <c r="E366" i="5"/>
  <c r="H366" i="5" s="1"/>
  <c r="E364" i="5"/>
  <c r="H364" i="5" s="1"/>
  <c r="E362" i="5"/>
  <c r="H362" i="5" s="1"/>
  <c r="E360" i="5"/>
  <c r="H360" i="5" s="1"/>
  <c r="E358" i="5"/>
  <c r="H358" i="5" s="1"/>
  <c r="E353" i="5"/>
  <c r="H353" i="5" s="1"/>
  <c r="E351" i="5"/>
  <c r="H351" i="5" s="1"/>
  <c r="E349" i="5"/>
  <c r="H349" i="5" s="1"/>
  <c r="E347" i="5"/>
  <c r="H347" i="5" s="1"/>
  <c r="E345" i="5"/>
  <c r="H345" i="5" s="1"/>
  <c r="E343" i="5"/>
  <c r="H343" i="5" s="1"/>
  <c r="E341" i="5"/>
  <c r="H341" i="5" s="1"/>
  <c r="E339" i="5"/>
  <c r="H339" i="5" s="1"/>
  <c r="E337" i="5"/>
  <c r="H337" i="5" s="1"/>
  <c r="E330" i="5"/>
  <c r="H330" i="5" s="1"/>
  <c r="E328" i="5"/>
  <c r="H328" i="5" s="1"/>
  <c r="E326" i="5"/>
  <c r="H326" i="5" s="1"/>
  <c r="E324" i="5"/>
  <c r="H324" i="5" s="1"/>
  <c r="E322" i="5"/>
  <c r="H322" i="5" s="1"/>
  <c r="E320" i="5"/>
  <c r="H320" i="5" s="1"/>
  <c r="E318" i="5"/>
  <c r="H318" i="5" s="1"/>
  <c r="E316" i="5"/>
  <c r="H316" i="5" s="1"/>
  <c r="E314" i="5"/>
  <c r="H314" i="5" s="1"/>
  <c r="E308" i="5"/>
  <c r="H308" i="5" s="1"/>
  <c r="E306" i="5"/>
  <c r="H306" i="5" s="1"/>
  <c r="E302" i="5"/>
  <c r="E300" i="5"/>
  <c r="H300" i="5" s="1"/>
  <c r="E298" i="5"/>
  <c r="H298" i="5" s="1"/>
  <c r="E296" i="5"/>
  <c r="H296" i="5" s="1"/>
  <c r="E294" i="5"/>
  <c r="H294" i="5" s="1"/>
  <c r="E292" i="5"/>
  <c r="H292" i="5" s="1"/>
  <c r="E290" i="5"/>
  <c r="H290" i="5" s="1"/>
  <c r="E288" i="5"/>
  <c r="H288" i="5" s="1"/>
  <c r="E282" i="5"/>
  <c r="H282" i="5" s="1"/>
  <c r="E280" i="5"/>
  <c r="H280" i="5" s="1"/>
  <c r="E278" i="5"/>
  <c r="H278" i="5" s="1"/>
  <c r="E276" i="5"/>
  <c r="H276" i="5" s="1"/>
  <c r="E274" i="5"/>
  <c r="H274" i="5" s="1"/>
  <c r="E272" i="5"/>
  <c r="H272" i="5" s="1"/>
  <c r="E270" i="5"/>
  <c r="H270" i="5" s="1"/>
  <c r="E268" i="5"/>
  <c r="H268" i="5" s="1"/>
  <c r="E267" i="5"/>
  <c r="H267" i="5" s="1"/>
  <c r="E265" i="5"/>
  <c r="H265" i="5" s="1"/>
  <c r="E263" i="5"/>
  <c r="H263" i="5" s="1"/>
  <c r="E261" i="5"/>
  <c r="H261" i="5" s="1"/>
  <c r="E259" i="5"/>
  <c r="H259" i="5" s="1"/>
  <c r="E257" i="5"/>
  <c r="H257" i="5" s="1"/>
  <c r="E255" i="5"/>
  <c r="H255" i="5" s="1"/>
  <c r="E253" i="5"/>
  <c r="H253" i="5" s="1"/>
  <c r="E251" i="5"/>
  <c r="H251" i="5" s="1"/>
  <c r="E249" i="5"/>
  <c r="H249" i="5" s="1"/>
  <c r="E247" i="5"/>
  <c r="H247" i="5" s="1"/>
  <c r="E245" i="5"/>
  <c r="H245" i="5" s="1"/>
  <c r="E241" i="5"/>
  <c r="H241" i="5" s="1"/>
  <c r="E239" i="5"/>
  <c r="H239" i="5" s="1"/>
  <c r="E237" i="5"/>
  <c r="H237" i="5" s="1"/>
  <c r="E235" i="5"/>
  <c r="H235" i="5" s="1"/>
  <c r="E233" i="5"/>
  <c r="H233" i="5" s="1"/>
  <c r="E231" i="5"/>
  <c r="H231" i="5" s="1"/>
  <c r="E229" i="5"/>
  <c r="H229" i="5" s="1"/>
  <c r="E227" i="5"/>
  <c r="H227" i="5" s="1"/>
  <c r="E225" i="5"/>
  <c r="H225" i="5" s="1"/>
  <c r="E223" i="5"/>
  <c r="H223" i="5" s="1"/>
  <c r="E221" i="5"/>
  <c r="H221" i="5" s="1"/>
  <c r="E219" i="5"/>
  <c r="H219" i="5" s="1"/>
  <c r="E217" i="5"/>
  <c r="H217" i="5" s="1"/>
  <c r="E215" i="5"/>
  <c r="H215" i="5" s="1"/>
  <c r="E213" i="5"/>
  <c r="H213" i="5" s="1"/>
  <c r="E211" i="5"/>
  <c r="H211" i="5" s="1"/>
  <c r="E209" i="5"/>
  <c r="H209" i="5" s="1"/>
  <c r="E207" i="5"/>
  <c r="H207" i="5" s="1"/>
  <c r="E205" i="5"/>
  <c r="H205" i="5" s="1"/>
  <c r="E203" i="5"/>
  <c r="H203" i="5" s="1"/>
  <c r="E201" i="5"/>
  <c r="H201" i="5" s="1"/>
  <c r="E199" i="5"/>
  <c r="H199" i="5" s="1"/>
  <c r="E197" i="5"/>
  <c r="H197" i="5" s="1"/>
  <c r="E192" i="5"/>
  <c r="H192" i="5" s="1"/>
  <c r="E190" i="5"/>
  <c r="H190" i="5" s="1"/>
  <c r="E188" i="5"/>
  <c r="H188" i="5" s="1"/>
  <c r="E186" i="5"/>
  <c r="H186" i="5" s="1"/>
  <c r="E184" i="5"/>
  <c r="H184" i="5" s="1"/>
  <c r="E182" i="5"/>
  <c r="H182" i="5" s="1"/>
  <c r="E180" i="5"/>
  <c r="H180" i="5" s="1"/>
  <c r="E178" i="5"/>
  <c r="H178" i="5" s="1"/>
  <c r="E176" i="5"/>
  <c r="H176" i="5" s="1"/>
  <c r="E174" i="5"/>
  <c r="H174" i="5" s="1"/>
  <c r="E172" i="5"/>
  <c r="H172" i="5" s="1"/>
  <c r="E170" i="5"/>
  <c r="H170" i="5" s="1"/>
  <c r="E168" i="5"/>
  <c r="H168" i="5" s="1"/>
  <c r="E166" i="5"/>
  <c r="H166" i="5" s="1"/>
  <c r="E164" i="5"/>
  <c r="H164" i="5" s="1"/>
  <c r="E162" i="5"/>
  <c r="H162" i="5" s="1"/>
  <c r="E160" i="5"/>
  <c r="H160" i="5" s="1"/>
  <c r="E158" i="5"/>
  <c r="H158" i="5" s="1"/>
  <c r="E156" i="5"/>
  <c r="H156" i="5" s="1"/>
  <c r="E154" i="5"/>
  <c r="H154" i="5" s="1"/>
  <c r="E152" i="5"/>
  <c r="H152" i="5" s="1"/>
  <c r="E150" i="5"/>
  <c r="H150" i="5" s="1"/>
  <c r="E148" i="5"/>
  <c r="H148" i="5" s="1"/>
  <c r="E146" i="5"/>
  <c r="H146" i="5" s="1"/>
  <c r="E144" i="5"/>
  <c r="H144" i="5" s="1"/>
  <c r="E142" i="5"/>
  <c r="H142" i="5" s="1"/>
  <c r="E140" i="5"/>
  <c r="H140" i="5" s="1"/>
  <c r="E138" i="5"/>
  <c r="H138" i="5" s="1"/>
  <c r="E136" i="5"/>
  <c r="H136" i="5" s="1"/>
  <c r="E134" i="5"/>
  <c r="H134" i="5" s="1"/>
  <c r="E132" i="5"/>
  <c r="H132" i="5" s="1"/>
  <c r="E130" i="5"/>
  <c r="H130" i="5" s="1"/>
  <c r="E128" i="5"/>
  <c r="H128" i="5" s="1"/>
  <c r="E126" i="5"/>
  <c r="H126" i="5" s="1"/>
  <c r="H122" i="5"/>
  <c r="H110" i="5"/>
  <c r="H109" i="5"/>
  <c r="H108" i="5"/>
  <c r="H106" i="5"/>
  <c r="H104" i="5"/>
  <c r="H102" i="5"/>
  <c r="H100" i="5"/>
  <c r="H98" i="5"/>
  <c r="H96" i="5"/>
  <c r="H90" i="5"/>
  <c r="H88" i="5"/>
  <c r="H86" i="5"/>
  <c r="H84" i="5"/>
  <c r="H82" i="5"/>
  <c r="H80" i="5"/>
  <c r="H78" i="5"/>
  <c r="H76" i="5"/>
  <c r="H74" i="5"/>
  <c r="H70" i="5"/>
  <c r="H68" i="5"/>
  <c r="H66" i="5"/>
  <c r="H64" i="5"/>
  <c r="H62" i="5"/>
  <c r="H60" i="5"/>
  <c r="H58" i="5"/>
  <c r="H56" i="5"/>
  <c r="H54" i="5"/>
  <c r="H52" i="5"/>
  <c r="H50" i="5"/>
  <c r="H48" i="5"/>
  <c r="H46" i="5"/>
  <c r="H44" i="5"/>
  <c r="H42" i="5"/>
  <c r="H40" i="5"/>
  <c r="H38" i="5"/>
  <c r="H36" i="5"/>
  <c r="H27" i="5"/>
  <c r="H25" i="5"/>
  <c r="H21" i="5"/>
  <c r="H19" i="5"/>
  <c r="H17" i="5"/>
  <c r="H15" i="5"/>
  <c r="H93" i="5" l="1"/>
  <c r="H590" i="5"/>
  <c r="H394" i="5"/>
  <c r="H327" i="25"/>
  <c r="H330" i="25" s="1"/>
  <c r="H535" i="5"/>
  <c r="H150" i="6"/>
  <c r="H69" i="6"/>
  <c r="H456" i="5"/>
  <c r="H489" i="5"/>
  <c r="H432" i="5"/>
  <c r="H243" i="5"/>
  <c r="H194" i="5"/>
  <c r="H29" i="5"/>
  <c r="H273" i="25"/>
  <c r="H295" i="25"/>
  <c r="H29" i="25"/>
  <c r="H95" i="25"/>
  <c r="H263" i="25"/>
  <c r="H124" i="25"/>
  <c r="H79" i="25"/>
  <c r="H221" i="25"/>
  <c r="H53" i="25"/>
  <c r="H188" i="25"/>
  <c r="K130" i="25"/>
  <c r="E130" i="25" s="1"/>
  <c r="H130" i="25" s="1"/>
  <c r="H152" i="25" s="1"/>
  <c r="Y89" i="3"/>
  <c r="AE87" i="3"/>
  <c r="AE86" i="3"/>
  <c r="AE85" i="3"/>
  <c r="X89" i="3"/>
  <c r="AE84" i="3"/>
  <c r="W85" i="3"/>
  <c r="W89" i="3" s="1"/>
  <c r="V84" i="3"/>
  <c r="V85" i="3"/>
  <c r="X305" i="3"/>
  <c r="W305" i="3"/>
  <c r="AE303" i="3"/>
  <c r="AF302" i="3"/>
  <c r="V303" i="3"/>
  <c r="AF303" i="3" s="1"/>
  <c r="I303" i="3"/>
  <c r="AE302" i="3"/>
  <c r="AE305" i="3" s="1"/>
  <c r="X297" i="3"/>
  <c r="V297" i="3"/>
  <c r="Y297" i="3"/>
  <c r="I296" i="3"/>
  <c r="J12" i="4" s="1"/>
  <c r="E12" i="4" s="1"/>
  <c r="I297" i="3"/>
  <c r="X296" i="3"/>
  <c r="Y296" i="3"/>
  <c r="V296" i="3"/>
  <c r="W297" i="3"/>
  <c r="W299" i="3" s="1"/>
  <c r="H291" i="3"/>
  <c r="H183" i="6"/>
  <c r="H128" i="6"/>
  <c r="H32" i="6"/>
  <c r="H332" i="5"/>
  <c r="H310" i="5"/>
  <c r="H284" i="5"/>
  <c r="H562" i="5"/>
  <c r="H356" i="5"/>
  <c r="H592" i="5" l="1"/>
  <c r="E25" i="1" s="1"/>
  <c r="H212" i="6"/>
  <c r="E27" i="1" s="1"/>
  <c r="AE89" i="3"/>
  <c r="AF85" i="3"/>
  <c r="V89" i="3"/>
  <c r="AF84" i="3"/>
  <c r="AF305" i="3"/>
  <c r="Y299" i="3"/>
  <c r="AE297" i="3"/>
  <c r="V305" i="3"/>
  <c r="X299" i="3"/>
  <c r="J15" i="4" s="1"/>
  <c r="E15" i="4" s="1"/>
  <c r="AE296" i="3"/>
  <c r="AE299" i="3" s="1"/>
  <c r="J24" i="4" s="1"/>
  <c r="V299" i="3"/>
  <c r="AF296" i="3"/>
  <c r="AF297" i="3"/>
  <c r="AF89" i="3" l="1"/>
  <c r="E24" i="4"/>
  <c r="J27" i="4"/>
  <c r="E27" i="4" s="1"/>
  <c r="AF299" i="3"/>
  <c r="Q258" i="14" l="1"/>
  <c r="P52" i="15"/>
  <c r="O52" i="15"/>
  <c r="N52" i="15"/>
  <c r="M52" i="15"/>
  <c r="L52" i="15"/>
  <c r="K52" i="15"/>
  <c r="J52" i="15"/>
  <c r="I52" i="15"/>
  <c r="H52" i="15"/>
  <c r="G52" i="15"/>
  <c r="F52" i="15"/>
  <c r="E52" i="15"/>
  <c r="D52" i="15"/>
  <c r="AF52" i="15" s="1"/>
  <c r="C52" i="15"/>
  <c r="AF51" i="15"/>
  <c r="AE45" i="15"/>
  <c r="AD45" i="15"/>
  <c r="AC45" i="15"/>
  <c r="AB45" i="15"/>
  <c r="AA45" i="15"/>
  <c r="Z45" i="15"/>
  <c r="Y45" i="15"/>
  <c r="X45" i="15"/>
  <c r="W45" i="15"/>
  <c r="V45" i="15"/>
  <c r="U45" i="15"/>
  <c r="T45" i="15"/>
  <c r="S45" i="15"/>
  <c r="R45" i="15"/>
  <c r="Q45" i="15"/>
  <c r="P45" i="15"/>
  <c r="O45" i="15"/>
  <c r="N45" i="15"/>
  <c r="M45" i="15"/>
  <c r="L45" i="15"/>
  <c r="K45" i="15"/>
  <c r="J45" i="15"/>
  <c r="I45" i="15"/>
  <c r="H45" i="15"/>
  <c r="G45" i="15"/>
  <c r="F45" i="15"/>
  <c r="E45" i="15"/>
  <c r="D45" i="15"/>
  <c r="C45" i="15"/>
  <c r="AF45" i="15" s="1"/>
  <c r="AF44" i="15"/>
  <c r="W42" i="15"/>
  <c r="AT33" i="15"/>
  <c r="AH33" i="15" a="1"/>
  <c r="AH32" i="15" a="1"/>
  <c r="BC31" i="15"/>
  <c r="BB31" i="15"/>
  <c r="BA31" i="15"/>
  <c r="AZ31" i="15"/>
  <c r="AY31" i="15"/>
  <c r="AX31" i="15"/>
  <c r="AW31" i="15"/>
  <c r="AV31" i="15"/>
  <c r="AU31" i="15"/>
  <c r="AT31" i="15"/>
  <c r="AS31" i="15"/>
  <c r="AR31" i="15"/>
  <c r="AQ31" i="15"/>
  <c r="AP31" i="15"/>
  <c r="AO31" i="15"/>
  <c r="AN31" i="15"/>
  <c r="AM31" i="15"/>
  <c r="AL31" i="15"/>
  <c r="AK31" i="15"/>
  <c r="AJ31" i="15"/>
  <c r="AI31" i="15"/>
  <c r="AH31" i="15"/>
  <c r="AE27" i="15"/>
  <c r="AD27" i="15"/>
  <c r="AC27" i="15"/>
  <c r="AC28" i="15" s="1"/>
  <c r="AE25" i="15"/>
  <c r="AE26" i="15" s="1"/>
  <c r="AB25" i="15"/>
  <c r="AB26" i="15" s="1"/>
  <c r="AB21" i="15"/>
  <c r="AB27" i="15" s="1"/>
  <c r="X21" i="15" a="1"/>
  <c r="AA21" i="15" s="1"/>
  <c r="AA27" i="15" s="1"/>
  <c r="AA28" i="15" s="1"/>
  <c r="G21" i="15"/>
  <c r="E21" i="15" a="1"/>
  <c r="S21" i="15" s="1"/>
  <c r="BE15" i="15"/>
  <c r="BD15" i="15"/>
  <c r="BC15" i="15"/>
  <c r="BC35" i="15" s="1"/>
  <c r="BB15" i="15"/>
  <c r="BB35" i="15" s="1"/>
  <c r="BA15" i="15"/>
  <c r="BA35" i="15" s="1"/>
  <c r="AZ15" i="15"/>
  <c r="AZ35" i="15" s="1"/>
  <c r="AY15" i="15"/>
  <c r="AY35" i="15" s="1"/>
  <c r="AX15" i="15"/>
  <c r="AX35" i="15" s="1"/>
  <c r="AW15" i="15"/>
  <c r="AW35" i="15" s="1"/>
  <c r="AV15" i="15"/>
  <c r="AV35" i="15" s="1"/>
  <c r="AU15" i="15"/>
  <c r="AU35" i="15" s="1"/>
  <c r="AT15" i="15"/>
  <c r="AT35" i="15" s="1"/>
  <c r="AS15" i="15"/>
  <c r="AS35" i="15" s="1"/>
  <c r="AR15" i="15"/>
  <c r="AR35" i="15" s="1"/>
  <c r="AQ15" i="15"/>
  <c r="AQ35" i="15" s="1"/>
  <c r="AP15" i="15"/>
  <c r="AP35" i="15" s="1"/>
  <c r="AO15" i="15"/>
  <c r="AO35" i="15" s="1"/>
  <c r="AN15" i="15"/>
  <c r="AN35" i="15" s="1"/>
  <c r="AM15" i="15"/>
  <c r="AM35" i="15" s="1"/>
  <c r="AL15" i="15"/>
  <c r="AL35" i="15" s="1"/>
  <c r="AK15" i="15"/>
  <c r="AK35" i="15" s="1"/>
  <c r="AJ15" i="15"/>
  <c r="AJ35" i="15" s="1"/>
  <c r="AI15" i="15"/>
  <c r="AI35" i="15" s="1"/>
  <c r="AH15" i="15"/>
  <c r="AH35" i="15" s="1"/>
  <c r="AE15" i="15"/>
  <c r="AD15" i="15"/>
  <c r="AD25" i="15" s="1"/>
  <c r="AD26" i="15" s="1"/>
  <c r="AC15" i="15"/>
  <c r="AC25" i="15" s="1"/>
  <c r="AC26" i="15" s="1"/>
  <c r="AB15" i="15"/>
  <c r="AA15" i="15"/>
  <c r="AA25" i="15" s="1"/>
  <c r="AA26" i="15" s="1"/>
  <c r="Z15" i="15"/>
  <c r="Y15" i="15"/>
  <c r="X15" i="15"/>
  <c r="W15" i="15"/>
  <c r="V15" i="15"/>
  <c r="U15" i="15"/>
  <c r="T15" i="15"/>
  <c r="S15" i="15"/>
  <c r="R15" i="15"/>
  <c r="Q15" i="15"/>
  <c r="P15" i="15"/>
  <c r="O15" i="15"/>
  <c r="N15" i="15"/>
  <c r="M15" i="15"/>
  <c r="L15" i="15"/>
  <c r="K15" i="15"/>
  <c r="J15" i="15"/>
  <c r="I15" i="15"/>
  <c r="H15" i="15"/>
  <c r="G15" i="15"/>
  <c r="F15" i="15"/>
  <c r="E15" i="15"/>
  <c r="D15" i="15"/>
  <c r="C15" i="15"/>
  <c r="AF295" i="14"/>
  <c r="AE294" i="14"/>
  <c r="AE293" i="14"/>
  <c r="AE292" i="14"/>
  <c r="AD291" i="14"/>
  <c r="AD290" i="14"/>
  <c r="AD289" i="14"/>
  <c r="AC288" i="14"/>
  <c r="AC287" i="14"/>
  <c r="AC286" i="14"/>
  <c r="AB285" i="14"/>
  <c r="AB284" i="14"/>
  <c r="AB283" i="14"/>
  <c r="AA282" i="14"/>
  <c r="AA281" i="14"/>
  <c r="AA280" i="14"/>
  <c r="AA283" i="14" s="1"/>
  <c r="Z280" i="14"/>
  <c r="Z279" i="14"/>
  <c r="Z278" i="14"/>
  <c r="Z277" i="14"/>
  <c r="Y277" i="14"/>
  <c r="Y276" i="14"/>
  <c r="Y275" i="14"/>
  <c r="Y274" i="14"/>
  <c r="F270" i="14"/>
  <c r="X270" i="14" s="1"/>
  <c r="X272" i="14" s="1"/>
  <c r="P265" i="14"/>
  <c r="K265" i="14"/>
  <c r="P264" i="14"/>
  <c r="K264" i="14"/>
  <c r="K267" i="14" s="1"/>
  <c r="D264" i="14"/>
  <c r="P263" i="14"/>
  <c r="K263" i="14"/>
  <c r="P262" i="14"/>
  <c r="P267" i="14" s="1"/>
  <c r="K262" i="14"/>
  <c r="T258" i="14"/>
  <c r="P258" i="14"/>
  <c r="K342" i="25" s="1"/>
  <c r="M258" i="14"/>
  <c r="K258" i="14"/>
  <c r="U250" i="14"/>
  <c r="R250" i="14"/>
  <c r="N250" i="14"/>
  <c r="W250" i="14" s="1"/>
  <c r="U249" i="14"/>
  <c r="R249" i="14"/>
  <c r="N249" i="14"/>
  <c r="W249" i="14" s="1"/>
  <c r="U248" i="14"/>
  <c r="R248" i="14"/>
  <c r="N248" i="14"/>
  <c r="W248" i="14" s="1"/>
  <c r="U247" i="14"/>
  <c r="R247" i="14"/>
  <c r="N247" i="14"/>
  <c r="W247" i="14" s="1"/>
  <c r="U246" i="14"/>
  <c r="R246" i="14"/>
  <c r="N246" i="14"/>
  <c r="W246" i="14" s="1"/>
  <c r="U245" i="14"/>
  <c r="R245" i="14"/>
  <c r="N245" i="14"/>
  <c r="W245" i="14" s="1"/>
  <c r="U244" i="14"/>
  <c r="O244" i="14"/>
  <c r="W244" i="14" s="1"/>
  <c r="U243" i="14"/>
  <c r="O243" i="14"/>
  <c r="W243" i="14" s="1"/>
  <c r="U242" i="14"/>
  <c r="R242" i="14"/>
  <c r="N242" i="14"/>
  <c r="W242" i="14" s="1"/>
  <c r="W241" i="14"/>
  <c r="U241" i="14"/>
  <c r="O241" i="14"/>
  <c r="W240" i="14"/>
  <c r="U240" i="14"/>
  <c r="R240" i="14"/>
  <c r="N240" i="14"/>
  <c r="W239" i="14"/>
  <c r="U239" i="14"/>
  <c r="O239" i="14"/>
  <c r="U238" i="14"/>
  <c r="O238" i="14"/>
  <c r="W238" i="14" s="1"/>
  <c r="U237" i="14"/>
  <c r="O237" i="14"/>
  <c r="W237" i="14" s="1"/>
  <c r="U236" i="14"/>
  <c r="O236" i="14"/>
  <c r="W236" i="14" s="1"/>
  <c r="W235" i="14"/>
  <c r="U235" i="14"/>
  <c r="R235" i="14"/>
  <c r="N235" i="14"/>
  <c r="U234" i="14"/>
  <c r="R234" i="14"/>
  <c r="N234" i="14"/>
  <c r="W234" i="14" s="1"/>
  <c r="U233" i="14"/>
  <c r="R233" i="14"/>
  <c r="N233" i="14"/>
  <c r="W233" i="14" s="1"/>
  <c r="W232" i="14"/>
  <c r="U232" i="14"/>
  <c r="R232" i="14"/>
  <c r="N232" i="14"/>
  <c r="U231" i="14"/>
  <c r="R231" i="14"/>
  <c r="N231" i="14"/>
  <c r="W231" i="14" s="1"/>
  <c r="U230" i="14"/>
  <c r="R230" i="14"/>
  <c r="N230" i="14"/>
  <c r="W230" i="14" s="1"/>
  <c r="W229" i="14"/>
  <c r="U229" i="14"/>
  <c r="R229" i="14"/>
  <c r="N229" i="14"/>
  <c r="U228" i="14"/>
  <c r="R228" i="14"/>
  <c r="N228" i="14"/>
  <c r="W228" i="14" s="1"/>
  <c r="U227" i="14"/>
  <c r="R227" i="14"/>
  <c r="N227" i="14"/>
  <c r="W227" i="14" s="1"/>
  <c r="W226" i="14"/>
  <c r="U226" i="14"/>
  <c r="R226" i="14"/>
  <c r="N226" i="14"/>
  <c r="U225" i="14"/>
  <c r="R225" i="14"/>
  <c r="N225" i="14"/>
  <c r="W225" i="14" s="1"/>
  <c r="W224" i="14"/>
  <c r="U224" i="14"/>
  <c r="R224" i="14"/>
  <c r="N224" i="14"/>
  <c r="W223" i="14"/>
  <c r="U223" i="14"/>
  <c r="R223" i="14"/>
  <c r="N223" i="14"/>
  <c r="U221" i="14"/>
  <c r="R221" i="14"/>
  <c r="N221" i="14"/>
  <c r="W221" i="14" s="1"/>
  <c r="W220" i="14"/>
  <c r="U220" i="14"/>
  <c r="R220" i="14"/>
  <c r="N220" i="14"/>
  <c r="W219" i="14"/>
  <c r="U219" i="14"/>
  <c r="R219" i="14"/>
  <c r="N219" i="14"/>
  <c r="U218" i="14"/>
  <c r="N218" i="14"/>
  <c r="W218" i="14" s="1"/>
  <c r="U217" i="14"/>
  <c r="R217" i="14"/>
  <c r="N217" i="14"/>
  <c r="W217" i="14" s="1"/>
  <c r="W216" i="14"/>
  <c r="U216" i="14"/>
  <c r="R216" i="14"/>
  <c r="N216" i="14"/>
  <c r="U215" i="14"/>
  <c r="O215" i="14"/>
  <c r="W215" i="14" s="1"/>
  <c r="U214" i="14"/>
  <c r="O214" i="14"/>
  <c r="W214" i="14" s="1"/>
  <c r="U213" i="14"/>
  <c r="R213" i="14"/>
  <c r="N213" i="14"/>
  <c r="W213" i="14" s="1"/>
  <c r="U212" i="14"/>
  <c r="O212" i="14"/>
  <c r="W212" i="14" s="1"/>
  <c r="U211" i="14"/>
  <c r="O211" i="14"/>
  <c r="W211" i="14" s="1"/>
  <c r="U210" i="14"/>
  <c r="O210" i="14"/>
  <c r="W210" i="14" s="1"/>
  <c r="U209" i="14"/>
  <c r="O209" i="14"/>
  <c r="W209" i="14" s="1"/>
  <c r="U208" i="14"/>
  <c r="O208" i="14"/>
  <c r="W208" i="14" s="1"/>
  <c r="U207" i="14"/>
  <c r="R207" i="14"/>
  <c r="N207" i="14"/>
  <c r="W207" i="14" s="1"/>
  <c r="U206" i="14"/>
  <c r="R206" i="14"/>
  <c r="N206" i="14"/>
  <c r="W206" i="14" s="1"/>
  <c r="W205" i="14"/>
  <c r="U205" i="14"/>
  <c r="R205" i="14"/>
  <c r="N205" i="14"/>
  <c r="U204" i="14"/>
  <c r="R204" i="14"/>
  <c r="N204" i="14"/>
  <c r="W204" i="14" s="1"/>
  <c r="W203" i="14"/>
  <c r="U203" i="14"/>
  <c r="R203" i="14"/>
  <c r="N203" i="14"/>
  <c r="W202" i="14"/>
  <c r="U202" i="14"/>
  <c r="R202" i="14"/>
  <c r="N202" i="14"/>
  <c r="U201" i="14"/>
  <c r="R201" i="14"/>
  <c r="N201" i="14"/>
  <c r="W201" i="14" s="1"/>
  <c r="W200" i="14"/>
  <c r="U200" i="14"/>
  <c r="R200" i="14"/>
  <c r="N200" i="14"/>
  <c r="W199" i="14"/>
  <c r="U199" i="14"/>
  <c r="R199" i="14"/>
  <c r="N199" i="14"/>
  <c r="U198" i="14"/>
  <c r="R198" i="14"/>
  <c r="N198" i="14"/>
  <c r="W198" i="14" s="1"/>
  <c r="W197" i="14"/>
  <c r="U197" i="14"/>
  <c r="R197" i="14"/>
  <c r="N197" i="14"/>
  <c r="W196" i="14"/>
  <c r="U196" i="14"/>
  <c r="R196" i="14"/>
  <c r="N196" i="14"/>
  <c r="U194" i="14"/>
  <c r="R194" i="14"/>
  <c r="N194" i="14"/>
  <c r="W194" i="14" s="1"/>
  <c r="U193" i="14"/>
  <c r="R193" i="14"/>
  <c r="N193" i="14"/>
  <c r="W193" i="14" s="1"/>
  <c r="W192" i="14"/>
  <c r="U192" i="14"/>
  <c r="R192" i="14"/>
  <c r="N192" i="14"/>
  <c r="U191" i="14"/>
  <c r="N191" i="14"/>
  <c r="W191" i="14" s="1"/>
  <c r="U190" i="14"/>
  <c r="N190" i="14"/>
  <c r="W190" i="14" s="1"/>
  <c r="U189" i="14"/>
  <c r="R189" i="14"/>
  <c r="N189" i="14"/>
  <c r="W189" i="14" s="1"/>
  <c r="W188" i="14"/>
  <c r="U188" i="14"/>
  <c r="O188" i="14"/>
  <c r="W187" i="14"/>
  <c r="U187" i="14"/>
  <c r="O187" i="14"/>
  <c r="U186" i="14"/>
  <c r="R186" i="14"/>
  <c r="N186" i="14"/>
  <c r="W186" i="14" s="1"/>
  <c r="W185" i="14"/>
  <c r="U185" i="14"/>
  <c r="O185" i="14"/>
  <c r="U184" i="14"/>
  <c r="O184" i="14"/>
  <c r="W184" i="14" s="1"/>
  <c r="U183" i="14"/>
  <c r="O183" i="14"/>
  <c r="W183" i="14" s="1"/>
  <c r="U182" i="14"/>
  <c r="R182" i="14"/>
  <c r="N182" i="14"/>
  <c r="W182" i="14" s="1"/>
  <c r="U181" i="14"/>
  <c r="R181" i="14"/>
  <c r="N181" i="14"/>
  <c r="W181" i="14" s="1"/>
  <c r="U180" i="14"/>
  <c r="R180" i="14"/>
  <c r="N180" i="14"/>
  <c r="W180" i="14" s="1"/>
  <c r="U179" i="14"/>
  <c r="R179" i="14"/>
  <c r="N179" i="14"/>
  <c r="W179" i="14" s="1"/>
  <c r="U178" i="14"/>
  <c r="R178" i="14"/>
  <c r="N178" i="14"/>
  <c r="W178" i="14" s="1"/>
  <c r="W177" i="14"/>
  <c r="U177" i="14"/>
  <c r="R177" i="14"/>
  <c r="N177" i="14"/>
  <c r="U176" i="14"/>
  <c r="R176" i="14"/>
  <c r="N176" i="14"/>
  <c r="W176" i="14" s="1"/>
  <c r="U175" i="14"/>
  <c r="R175" i="14"/>
  <c r="N175" i="14"/>
  <c r="W175" i="14" s="1"/>
  <c r="U174" i="14"/>
  <c r="R174" i="14"/>
  <c r="N174" i="14"/>
  <c r="W174" i="14" s="1"/>
  <c r="U173" i="14"/>
  <c r="R173" i="14"/>
  <c r="N173" i="14"/>
  <c r="W173" i="14" s="1"/>
  <c r="U172" i="14"/>
  <c r="R172" i="14"/>
  <c r="N172" i="14"/>
  <c r="W172" i="14" s="1"/>
  <c r="U171" i="14"/>
  <c r="R171" i="14"/>
  <c r="N171" i="14"/>
  <c r="W171" i="14" s="1"/>
  <c r="U170" i="14"/>
  <c r="R170" i="14"/>
  <c r="N170" i="14"/>
  <c r="W170" i="14" s="1"/>
  <c r="U169" i="14"/>
  <c r="R169" i="14"/>
  <c r="N169" i="14"/>
  <c r="W169" i="14" s="1"/>
  <c r="W167" i="14"/>
  <c r="U167" i="14"/>
  <c r="R167" i="14"/>
  <c r="N167" i="14"/>
  <c r="U166" i="14"/>
  <c r="R166" i="14"/>
  <c r="N166" i="14"/>
  <c r="W166" i="14" s="1"/>
  <c r="U165" i="14"/>
  <c r="R165" i="14"/>
  <c r="N165" i="14"/>
  <c r="W165" i="14" s="1"/>
  <c r="U164" i="14"/>
  <c r="R164" i="14"/>
  <c r="N164" i="14"/>
  <c r="W164" i="14" s="1"/>
  <c r="U163" i="14"/>
  <c r="N163" i="14"/>
  <c r="W163" i="14" s="1"/>
  <c r="W162" i="14"/>
  <c r="U162" i="14"/>
  <c r="R162" i="14"/>
  <c r="N162" i="14"/>
  <c r="U161" i="14"/>
  <c r="O161" i="14"/>
  <c r="W161" i="14" s="1"/>
  <c r="U160" i="14"/>
  <c r="N160" i="14"/>
  <c r="W160" i="14" s="1"/>
  <c r="U159" i="14"/>
  <c r="O159" i="14"/>
  <c r="W159" i="14" s="1"/>
  <c r="W158" i="14"/>
  <c r="U158" i="14"/>
  <c r="R158" i="14"/>
  <c r="N158" i="14"/>
  <c r="W157" i="14"/>
  <c r="U157" i="14"/>
  <c r="O157" i="14"/>
  <c r="W156" i="14"/>
  <c r="U156" i="14"/>
  <c r="O156" i="14"/>
  <c r="W155" i="14"/>
  <c r="U155" i="14"/>
  <c r="O155" i="14"/>
  <c r="W154" i="14"/>
  <c r="U154" i="14"/>
  <c r="O154" i="14"/>
  <c r="W153" i="14"/>
  <c r="U153" i="14"/>
  <c r="R153" i="14"/>
  <c r="N153" i="14"/>
  <c r="U152" i="14"/>
  <c r="R152" i="14"/>
  <c r="N152" i="14"/>
  <c r="W152" i="14" s="1"/>
  <c r="W151" i="14"/>
  <c r="U151" i="14"/>
  <c r="R151" i="14"/>
  <c r="N151" i="14"/>
  <c r="W150" i="14"/>
  <c r="U150" i="14"/>
  <c r="R150" i="14"/>
  <c r="N150" i="14"/>
  <c r="U149" i="14"/>
  <c r="R149" i="14"/>
  <c r="N149" i="14"/>
  <c r="W149" i="14" s="1"/>
  <c r="U148" i="14"/>
  <c r="R148" i="14"/>
  <c r="N148" i="14"/>
  <c r="W148" i="14" s="1"/>
  <c r="W147" i="14"/>
  <c r="U147" i="14"/>
  <c r="R147" i="14"/>
  <c r="N147" i="14"/>
  <c r="U146" i="14"/>
  <c r="R146" i="14"/>
  <c r="N146" i="14"/>
  <c r="W146" i="14" s="1"/>
  <c r="U145" i="14"/>
  <c r="R145" i="14"/>
  <c r="N145" i="14"/>
  <c r="W145" i="14" s="1"/>
  <c r="W143" i="14"/>
  <c r="U143" i="14"/>
  <c r="R143" i="14"/>
  <c r="N143" i="14"/>
  <c r="U142" i="14"/>
  <c r="R142" i="14"/>
  <c r="N142" i="14"/>
  <c r="W142" i="14" s="1"/>
  <c r="W141" i="14"/>
  <c r="U141" i="14"/>
  <c r="N141" i="14"/>
  <c r="U140" i="14"/>
  <c r="R140" i="14"/>
  <c r="N140" i="14"/>
  <c r="W140" i="14" s="1"/>
  <c r="U139" i="14"/>
  <c r="O139" i="14"/>
  <c r="W139" i="14" s="1"/>
  <c r="W138" i="14"/>
  <c r="U138" i="14"/>
  <c r="N138" i="14"/>
  <c r="U137" i="14"/>
  <c r="O137" i="14"/>
  <c r="W137" i="14" s="1"/>
  <c r="W136" i="14"/>
  <c r="U136" i="14"/>
  <c r="R136" i="14"/>
  <c r="N136" i="14"/>
  <c r="U135" i="14"/>
  <c r="O135" i="14"/>
  <c r="W135" i="14" s="1"/>
  <c r="W134" i="14"/>
  <c r="U134" i="14"/>
  <c r="O134" i="14"/>
  <c r="U133" i="14"/>
  <c r="O133" i="14"/>
  <c r="W133" i="14" s="1"/>
  <c r="W132" i="14"/>
  <c r="U132" i="14"/>
  <c r="O132" i="14"/>
  <c r="U131" i="14"/>
  <c r="R131" i="14"/>
  <c r="N131" i="14"/>
  <c r="W131" i="14" s="1"/>
  <c r="U130" i="14"/>
  <c r="R130" i="14"/>
  <c r="N130" i="14"/>
  <c r="W130" i="14" s="1"/>
  <c r="W129" i="14"/>
  <c r="U129" i="14"/>
  <c r="R129" i="14"/>
  <c r="N129" i="14"/>
  <c r="U128" i="14"/>
  <c r="R128" i="14"/>
  <c r="N128" i="14"/>
  <c r="W128" i="14" s="1"/>
  <c r="U127" i="14"/>
  <c r="R127" i="14"/>
  <c r="N127" i="14"/>
  <c r="W127" i="14" s="1"/>
  <c r="W126" i="14"/>
  <c r="U126" i="14"/>
  <c r="R126" i="14"/>
  <c r="N126" i="14"/>
  <c r="U125" i="14"/>
  <c r="R125" i="14"/>
  <c r="N125" i="14"/>
  <c r="W125" i="14" s="1"/>
  <c r="U123" i="14"/>
  <c r="R123" i="14"/>
  <c r="N123" i="14"/>
  <c r="W123" i="14" s="1"/>
  <c r="W122" i="14"/>
  <c r="U122" i="14"/>
  <c r="R122" i="14"/>
  <c r="N122" i="14"/>
  <c r="U121" i="14"/>
  <c r="R121" i="14"/>
  <c r="N121" i="14"/>
  <c r="W121" i="14" s="1"/>
  <c r="U120" i="14"/>
  <c r="R120" i="14"/>
  <c r="N120" i="14"/>
  <c r="W120" i="14" s="1"/>
  <c r="W119" i="14"/>
  <c r="U119" i="14"/>
  <c r="N119" i="14"/>
  <c r="U118" i="14"/>
  <c r="R118" i="14"/>
  <c r="N118" i="14"/>
  <c r="W118" i="14" s="1"/>
  <c r="W117" i="14"/>
  <c r="U117" i="14"/>
  <c r="O117" i="14"/>
  <c r="U116" i="14"/>
  <c r="N116" i="14"/>
  <c r="W116" i="14" s="1"/>
  <c r="W115" i="14"/>
  <c r="U115" i="14"/>
  <c r="O115" i="14"/>
  <c r="U114" i="14"/>
  <c r="R114" i="14"/>
  <c r="N114" i="14"/>
  <c r="W114" i="14" s="1"/>
  <c r="W113" i="14"/>
  <c r="U113" i="14"/>
  <c r="O113" i="14"/>
  <c r="U112" i="14"/>
  <c r="O112" i="14"/>
  <c r="W112" i="14" s="1"/>
  <c r="U111" i="14"/>
  <c r="O111" i="14"/>
  <c r="W111" i="14" s="1"/>
  <c r="U110" i="14"/>
  <c r="R110" i="14"/>
  <c r="N110" i="14"/>
  <c r="W110" i="14" s="1"/>
  <c r="U109" i="14"/>
  <c r="R109" i="14"/>
  <c r="N109" i="14"/>
  <c r="W109" i="14" s="1"/>
  <c r="W108" i="14"/>
  <c r="U108" i="14"/>
  <c r="R108" i="14"/>
  <c r="N108" i="14"/>
  <c r="U107" i="14"/>
  <c r="R107" i="14"/>
  <c r="N107" i="14"/>
  <c r="W107" i="14" s="1"/>
  <c r="U106" i="14"/>
  <c r="R106" i="14"/>
  <c r="N106" i="14"/>
  <c r="W106" i="14" s="1"/>
  <c r="W105" i="14"/>
  <c r="U105" i="14"/>
  <c r="R105" i="14"/>
  <c r="N105" i="14"/>
  <c r="U104" i="14"/>
  <c r="R104" i="14"/>
  <c r="N104" i="14"/>
  <c r="W104" i="14" s="1"/>
  <c r="U103" i="14"/>
  <c r="R103" i="14"/>
  <c r="N103" i="14"/>
  <c r="W103" i="14" s="1"/>
  <c r="W101" i="14"/>
  <c r="U101" i="14"/>
  <c r="R101" i="14"/>
  <c r="N101" i="14"/>
  <c r="U100" i="14"/>
  <c r="R100" i="14"/>
  <c r="N100" i="14"/>
  <c r="W100" i="14" s="1"/>
  <c r="W99" i="14"/>
  <c r="U99" i="14"/>
  <c r="N99" i="14"/>
  <c r="W98" i="14"/>
  <c r="U98" i="14"/>
  <c r="R98" i="14"/>
  <c r="N98" i="14"/>
  <c r="U97" i="14"/>
  <c r="O97" i="14"/>
  <c r="W97" i="14" s="1"/>
  <c r="W96" i="14"/>
  <c r="U96" i="14"/>
  <c r="N96" i="14"/>
  <c r="U95" i="14"/>
  <c r="O95" i="14"/>
  <c r="W95" i="14" s="1"/>
  <c r="W94" i="14"/>
  <c r="U94" i="14"/>
  <c r="R94" i="14"/>
  <c r="N94" i="14"/>
  <c r="U93" i="14"/>
  <c r="O93" i="14"/>
  <c r="W93" i="14" s="1"/>
  <c r="W92" i="14"/>
  <c r="U92" i="14"/>
  <c r="O92" i="14"/>
  <c r="U91" i="14"/>
  <c r="O91" i="14"/>
  <c r="W91" i="14" s="1"/>
  <c r="W90" i="14"/>
  <c r="U90" i="14"/>
  <c r="R90" i="14"/>
  <c r="N90" i="14"/>
  <c r="W89" i="14"/>
  <c r="U89" i="14"/>
  <c r="R89" i="14"/>
  <c r="N89" i="14"/>
  <c r="U88" i="14"/>
  <c r="R88" i="14"/>
  <c r="N88" i="14"/>
  <c r="W88" i="14" s="1"/>
  <c r="W87" i="14"/>
  <c r="U87" i="14"/>
  <c r="R87" i="14"/>
  <c r="N87" i="14"/>
  <c r="W86" i="14"/>
  <c r="U86" i="14"/>
  <c r="R86" i="14"/>
  <c r="N86" i="14"/>
  <c r="U85" i="14"/>
  <c r="R85" i="14"/>
  <c r="N85" i="14"/>
  <c r="W85" i="14" s="1"/>
  <c r="W84" i="14"/>
  <c r="U84" i="14"/>
  <c r="R84" i="14"/>
  <c r="N84" i="14"/>
  <c r="W83" i="14"/>
  <c r="U83" i="14"/>
  <c r="R83" i="14"/>
  <c r="N83" i="14"/>
  <c r="U81" i="14"/>
  <c r="R81" i="14"/>
  <c r="N81" i="14"/>
  <c r="W81" i="14" s="1"/>
  <c r="W80" i="14"/>
  <c r="U80" i="14"/>
  <c r="O80" i="14"/>
  <c r="U79" i="14"/>
  <c r="R79" i="14"/>
  <c r="N79" i="14"/>
  <c r="W79" i="14" s="1"/>
  <c r="U78" i="14"/>
  <c r="R78" i="14"/>
  <c r="N78" i="14"/>
  <c r="W78" i="14" s="1"/>
  <c r="W77" i="14"/>
  <c r="U77" i="14"/>
  <c r="N77" i="14"/>
  <c r="U76" i="14"/>
  <c r="R76" i="14"/>
  <c r="N76" i="14"/>
  <c r="W76" i="14" s="1"/>
  <c r="W75" i="14"/>
  <c r="U75" i="14"/>
  <c r="O75" i="14"/>
  <c r="U74" i="14"/>
  <c r="N74" i="14"/>
  <c r="W74" i="14" s="1"/>
  <c r="W73" i="14"/>
  <c r="U73" i="14"/>
  <c r="O73" i="14"/>
  <c r="U72" i="14"/>
  <c r="R72" i="14"/>
  <c r="N72" i="14"/>
  <c r="W72" i="14" s="1"/>
  <c r="U71" i="14"/>
  <c r="R71" i="14"/>
  <c r="N71" i="14"/>
  <c r="W71" i="14" s="1"/>
  <c r="W70" i="14"/>
  <c r="U70" i="14"/>
  <c r="R70" i="14"/>
  <c r="N70" i="14"/>
  <c r="U69" i="14"/>
  <c r="O69" i="14"/>
  <c r="W69" i="14" s="1"/>
  <c r="W68" i="14"/>
  <c r="U68" i="14"/>
  <c r="O68" i="14"/>
  <c r="U67" i="14"/>
  <c r="R67" i="14"/>
  <c r="N67" i="14"/>
  <c r="W67" i="14" s="1"/>
  <c r="U66" i="14"/>
  <c r="R66" i="14"/>
  <c r="N66" i="14"/>
  <c r="W66" i="14" s="1"/>
  <c r="W65" i="14"/>
  <c r="U65" i="14"/>
  <c r="R65" i="14"/>
  <c r="N65" i="14"/>
  <c r="U64" i="14"/>
  <c r="R64" i="14"/>
  <c r="N64" i="14"/>
  <c r="W64" i="14" s="1"/>
  <c r="U63" i="14"/>
  <c r="R63" i="14"/>
  <c r="N63" i="14"/>
  <c r="W63" i="14" s="1"/>
  <c r="W62" i="14"/>
  <c r="U62" i="14"/>
  <c r="R62" i="14"/>
  <c r="N62" i="14"/>
  <c r="U61" i="14"/>
  <c r="R61" i="14"/>
  <c r="N61" i="14"/>
  <c r="W61" i="14" s="1"/>
  <c r="U60" i="14"/>
  <c r="R60" i="14"/>
  <c r="N60" i="14"/>
  <c r="W60" i="14" s="1"/>
  <c r="W58" i="14"/>
  <c r="U58" i="14"/>
  <c r="N58" i="14"/>
  <c r="U57" i="14"/>
  <c r="R57" i="14"/>
  <c r="N57" i="14"/>
  <c r="W57" i="14" s="1"/>
  <c r="U56" i="14"/>
  <c r="O56" i="14"/>
  <c r="W56" i="14" s="1"/>
  <c r="U55" i="14"/>
  <c r="O55" i="14"/>
  <c r="W55" i="14" s="1"/>
  <c r="U54" i="14"/>
  <c r="O54" i="14"/>
  <c r="W54" i="14" s="1"/>
  <c r="U53" i="14"/>
  <c r="O53" i="14"/>
  <c r="W53" i="14" s="1"/>
  <c r="U52" i="14"/>
  <c r="O52" i="14"/>
  <c r="W52" i="14" s="1"/>
  <c r="U51" i="14"/>
  <c r="R51" i="14"/>
  <c r="N51" i="14"/>
  <c r="W51" i="14" s="1"/>
  <c r="W50" i="14"/>
  <c r="U50" i="14"/>
  <c r="N50" i="14"/>
  <c r="W49" i="14"/>
  <c r="U49" i="14"/>
  <c r="R49" i="14"/>
  <c r="N49" i="14"/>
  <c r="W48" i="14"/>
  <c r="U48" i="14"/>
  <c r="R48" i="14"/>
  <c r="N48" i="14"/>
  <c r="U47" i="14"/>
  <c r="R47" i="14"/>
  <c r="N47" i="14"/>
  <c r="W47" i="14" s="1"/>
  <c r="W46" i="14"/>
  <c r="U46" i="14"/>
  <c r="R46" i="14"/>
  <c r="N46" i="14"/>
  <c r="W45" i="14"/>
  <c r="U45" i="14"/>
  <c r="R45" i="14"/>
  <c r="N45" i="14"/>
  <c r="U42" i="14"/>
  <c r="R42" i="14"/>
  <c r="N42" i="14"/>
  <c r="V42" i="14" s="1"/>
  <c r="V41" i="14"/>
  <c r="U41" i="14"/>
  <c r="R41" i="14"/>
  <c r="N41" i="14"/>
  <c r="V40" i="14"/>
  <c r="U40" i="14"/>
  <c r="R40" i="14"/>
  <c r="N40" i="14"/>
  <c r="V39" i="14"/>
  <c r="U39" i="14"/>
  <c r="R39" i="14"/>
  <c r="N39" i="14"/>
  <c r="V38" i="14"/>
  <c r="U38" i="14"/>
  <c r="R38" i="14"/>
  <c r="N38" i="14"/>
  <c r="V37" i="14"/>
  <c r="U37" i="14"/>
  <c r="R37" i="14"/>
  <c r="N37" i="14"/>
  <c r="V36" i="14"/>
  <c r="U36" i="14"/>
  <c r="R36" i="14"/>
  <c r="N36" i="14"/>
  <c r="V35" i="14"/>
  <c r="U35" i="14"/>
  <c r="R35" i="14"/>
  <c r="N35" i="14"/>
  <c r="V34" i="14"/>
  <c r="U34" i="14"/>
  <c r="R34" i="14"/>
  <c r="N34" i="14"/>
  <c r="U33" i="14"/>
  <c r="R33" i="14"/>
  <c r="N33" i="14"/>
  <c r="V33" i="14" s="1"/>
  <c r="V32" i="14"/>
  <c r="U32" i="14"/>
  <c r="R32" i="14"/>
  <c r="N32" i="14"/>
  <c r="V31" i="14"/>
  <c r="U31" i="14"/>
  <c r="R31" i="14"/>
  <c r="N31" i="14"/>
  <c r="V30" i="14"/>
  <c r="U30" i="14"/>
  <c r="R30" i="14"/>
  <c r="N30" i="14"/>
  <c r="V29" i="14"/>
  <c r="U29" i="14"/>
  <c r="R29" i="14"/>
  <c r="N29" i="14"/>
  <c r="V28" i="14"/>
  <c r="U28" i="14"/>
  <c r="R28" i="14"/>
  <c r="N28" i="14"/>
  <c r="U27" i="14"/>
  <c r="R27" i="14"/>
  <c r="N27" i="14"/>
  <c r="V27" i="14" s="1"/>
  <c r="V26" i="14"/>
  <c r="U26" i="14"/>
  <c r="R26" i="14"/>
  <c r="N26" i="14"/>
  <c r="V25" i="14"/>
  <c r="U25" i="14"/>
  <c r="R25" i="14"/>
  <c r="N25" i="14"/>
  <c r="U24" i="14"/>
  <c r="Q24" i="14"/>
  <c r="L24" i="14"/>
  <c r="W24" i="14" s="1"/>
  <c r="W23" i="14"/>
  <c r="U23" i="14"/>
  <c r="Q23" i="14"/>
  <c r="L23" i="14"/>
  <c r="L258" i="14" s="1"/>
  <c r="U22" i="14"/>
  <c r="W22" i="14"/>
  <c r="U21" i="14"/>
  <c r="S21" i="14"/>
  <c r="S258" i="14" s="1"/>
  <c r="H364" i="25" s="1"/>
  <c r="W21" i="14"/>
  <c r="U20" i="14"/>
  <c r="W20" i="14"/>
  <c r="U19" i="14"/>
  <c r="W19" i="14"/>
  <c r="U18" i="14"/>
  <c r="W18" i="14"/>
  <c r="U17" i="14"/>
  <c r="W17" i="14"/>
  <c r="W258" i="14" s="1"/>
  <c r="U16" i="14"/>
  <c r="R16" i="14"/>
  <c r="N16" i="14"/>
  <c r="V16" i="14" s="1"/>
  <c r="U15" i="14"/>
  <c r="R15" i="14"/>
  <c r="N15" i="14"/>
  <c r="V15" i="14" s="1"/>
  <c r="U14" i="14"/>
  <c r="R14" i="14"/>
  <c r="N14" i="14"/>
  <c r="V14" i="14" s="1"/>
  <c r="U13" i="14"/>
  <c r="R13" i="14"/>
  <c r="N13" i="14"/>
  <c r="V13" i="14" s="1"/>
  <c r="N12" i="14"/>
  <c r="V12" i="14" s="1"/>
  <c r="F12" i="14"/>
  <c r="G12" i="14" s="1"/>
  <c r="U12" i="14" s="1"/>
  <c r="N11" i="14"/>
  <c r="V11" i="14" s="1"/>
  <c r="F11" i="14"/>
  <c r="G11" i="14" s="1"/>
  <c r="U11" i="14" s="1"/>
  <c r="F10" i="14"/>
  <c r="G10" i="14" s="1"/>
  <c r="U10" i="14" s="1"/>
  <c r="U9" i="14"/>
  <c r="R9" i="14"/>
  <c r="N9" i="14"/>
  <c r="V9" i="14" s="1"/>
  <c r="U8" i="14"/>
  <c r="R8" i="14"/>
  <c r="N8" i="14"/>
  <c r="F8" i="14"/>
  <c r="L180" i="13"/>
  <c r="H178" i="13"/>
  <c r="F178" i="13"/>
  <c r="K178" i="13" s="1"/>
  <c r="H177" i="13"/>
  <c r="K177" i="13" s="1"/>
  <c r="K174" i="13"/>
  <c r="L172" i="13"/>
  <c r="L174" i="13" s="1"/>
  <c r="M168" i="13"/>
  <c r="M167" i="13"/>
  <c r="F167" i="13"/>
  <c r="M166" i="13"/>
  <c r="M165" i="13"/>
  <c r="M164" i="13"/>
  <c r="M163" i="13"/>
  <c r="M162" i="13"/>
  <c r="M161" i="13"/>
  <c r="M160" i="13"/>
  <c r="M159" i="13"/>
  <c r="M158" i="13"/>
  <c r="F158" i="13"/>
  <c r="M157" i="13"/>
  <c r="M156" i="13"/>
  <c r="M155" i="13"/>
  <c r="M154" i="13"/>
  <c r="M153" i="13"/>
  <c r="M152" i="13"/>
  <c r="M151" i="13"/>
  <c r="F151" i="13"/>
  <c r="M150" i="13"/>
  <c r="F149" i="13"/>
  <c r="M149" i="13" s="1"/>
  <c r="M148" i="13"/>
  <c r="M147" i="13"/>
  <c r="F145" i="13"/>
  <c r="L145" i="13" s="1"/>
  <c r="L144" i="13"/>
  <c r="L143" i="13"/>
  <c r="L142" i="13"/>
  <c r="L141" i="13"/>
  <c r="L140" i="13"/>
  <c r="L139" i="13"/>
  <c r="L138" i="13"/>
  <c r="L137" i="13"/>
  <c r="L136" i="13"/>
  <c r="L135" i="13"/>
  <c r="F135" i="13"/>
  <c r="L134" i="13"/>
  <c r="L133" i="13"/>
  <c r="L132" i="13"/>
  <c r="L131" i="13"/>
  <c r="L130" i="13"/>
  <c r="L129" i="13"/>
  <c r="L128" i="13"/>
  <c r="L127" i="13"/>
  <c r="L126" i="13"/>
  <c r="L125" i="13"/>
  <c r="L124" i="13"/>
  <c r="L123" i="13"/>
  <c r="L122" i="13"/>
  <c r="L121" i="13"/>
  <c r="L120" i="13"/>
  <c r="L119" i="13"/>
  <c r="L118" i="13"/>
  <c r="L117" i="13"/>
  <c r="L116" i="13"/>
  <c r="L115" i="13"/>
  <c r="L114" i="13"/>
  <c r="L113" i="13"/>
  <c r="L112" i="13"/>
  <c r="L111" i="13"/>
  <c r="L110" i="13"/>
  <c r="L109" i="13"/>
  <c r="L108" i="13"/>
  <c r="L107" i="13"/>
  <c r="L106" i="13"/>
  <c r="L105" i="13"/>
  <c r="L104" i="13"/>
  <c r="L103" i="13"/>
  <c r="L102" i="13"/>
  <c r="F102" i="13"/>
  <c r="L101" i="13"/>
  <c r="L100" i="13"/>
  <c r="L99" i="13"/>
  <c r="L98" i="13"/>
  <c r="L97" i="13"/>
  <c r="L96" i="13"/>
  <c r="L95" i="13"/>
  <c r="L94" i="13"/>
  <c r="L93" i="13"/>
  <c r="L92" i="13"/>
  <c r="L91" i="13"/>
  <c r="L90" i="13"/>
  <c r="L89" i="13"/>
  <c r="L88" i="13"/>
  <c r="L87" i="13"/>
  <c r="L86" i="13"/>
  <c r="L85" i="13"/>
  <c r="H85" i="13"/>
  <c r="L84" i="13"/>
  <c r="H84" i="13"/>
  <c r="L83" i="13"/>
  <c r="H83" i="13"/>
  <c r="L82" i="13"/>
  <c r="L81" i="13"/>
  <c r="L80" i="13"/>
  <c r="L79" i="13"/>
  <c r="L78" i="13"/>
  <c r="L77" i="13"/>
  <c r="L76" i="13"/>
  <c r="L75" i="13"/>
  <c r="M71" i="13"/>
  <c r="M70" i="13"/>
  <c r="L69" i="13"/>
  <c r="L68" i="13"/>
  <c r="L67" i="13"/>
  <c r="L66" i="13"/>
  <c r="L65" i="13"/>
  <c r="L64" i="13"/>
  <c r="L63" i="13"/>
  <c r="L62" i="13"/>
  <c r="L61" i="13"/>
  <c r="L60" i="13"/>
  <c r="L59" i="13"/>
  <c r="L58" i="13"/>
  <c r="L57" i="13"/>
  <c r="L56" i="13"/>
  <c r="L55" i="13"/>
  <c r="L54" i="13"/>
  <c r="L53" i="13"/>
  <c r="L52" i="13"/>
  <c r="L51" i="13"/>
  <c r="L50" i="13"/>
  <c r="L49" i="13"/>
  <c r="L48" i="13"/>
  <c r="L47" i="13"/>
  <c r="L46" i="13"/>
  <c r="L45" i="13"/>
  <c r="L44" i="13"/>
  <c r="L43" i="13"/>
  <c r="L42" i="13"/>
  <c r="L41" i="13"/>
  <c r="L40" i="13"/>
  <c r="L39" i="13"/>
  <c r="L38" i="13"/>
  <c r="L37" i="13"/>
  <c r="L36" i="13"/>
  <c r="L35" i="13"/>
  <c r="L34" i="13"/>
  <c r="L33" i="13"/>
  <c r="H33" i="13"/>
  <c r="L32" i="13"/>
  <c r="H32" i="13"/>
  <c r="L31" i="13"/>
  <c r="H31" i="13"/>
  <c r="L30" i="13"/>
  <c r="H30" i="13"/>
  <c r="L29" i="13"/>
  <c r="H29" i="13"/>
  <c r="L28" i="13"/>
  <c r="H28" i="13"/>
  <c r="L27" i="13"/>
  <c r="H27" i="13"/>
  <c r="L26" i="13"/>
  <c r="H26" i="13"/>
  <c r="L25" i="13"/>
  <c r="H25" i="13"/>
  <c r="L24" i="13"/>
  <c r="H24" i="13"/>
  <c r="L23" i="13"/>
  <c r="H23" i="13"/>
  <c r="L22" i="13"/>
  <c r="H22" i="13"/>
  <c r="L21" i="13"/>
  <c r="H21" i="13"/>
  <c r="L20" i="13"/>
  <c r="H20" i="13"/>
  <c r="K19" i="13"/>
  <c r="F16" i="13"/>
  <c r="L16" i="13" s="1"/>
  <c r="E15" i="13"/>
  <c r="L15" i="13" s="1"/>
  <c r="H14" i="13"/>
  <c r="F14" i="13"/>
  <c r="E14" i="13"/>
  <c r="L14" i="13" s="1"/>
  <c r="L13" i="13"/>
  <c r="L12" i="13"/>
  <c r="H12" i="13"/>
  <c r="L11" i="13"/>
  <c r="H11" i="13"/>
  <c r="L10" i="13"/>
  <c r="H10" i="13"/>
  <c r="L9" i="13"/>
  <c r="H9" i="13"/>
  <c r="L8" i="13"/>
  <c r="H8" i="13"/>
  <c r="L7" i="13"/>
  <c r="H7" i="13"/>
  <c r="K6" i="13"/>
  <c r="K169" i="13" s="1"/>
  <c r="H6" i="13"/>
  <c r="H38" i="9"/>
  <c r="E30" i="1" s="1"/>
  <c r="H31" i="4"/>
  <c r="I572" i="3"/>
  <c r="I571" i="3"/>
  <c r="F566" i="3"/>
  <c r="I566" i="3" s="1"/>
  <c r="F565" i="3"/>
  <c r="I565" i="3" s="1"/>
  <c r="F564" i="3"/>
  <c r="I564" i="3" s="1"/>
  <c r="F563" i="3"/>
  <c r="I563" i="3" s="1"/>
  <c r="F562" i="3"/>
  <c r="I562" i="3" s="1"/>
  <c r="F557" i="3"/>
  <c r="I557" i="3" s="1"/>
  <c r="F556" i="3"/>
  <c r="I556" i="3" s="1"/>
  <c r="F555" i="3"/>
  <c r="I555" i="3" s="1"/>
  <c r="F554" i="3"/>
  <c r="I554" i="3" s="1"/>
  <c r="F553" i="3"/>
  <c r="I553" i="3" s="1"/>
  <c r="I547" i="3"/>
  <c r="I546" i="3"/>
  <c r="I545" i="3"/>
  <c r="I544" i="3"/>
  <c r="F538" i="3"/>
  <c r="I538" i="3" s="1"/>
  <c r="I537" i="3"/>
  <c r="I532" i="3"/>
  <c r="I534" i="3" s="1"/>
  <c r="I527" i="3"/>
  <c r="F526" i="3"/>
  <c r="I526" i="3" s="1"/>
  <c r="F522" i="3"/>
  <c r="I522" i="3" s="1"/>
  <c r="I524" i="3" s="1"/>
  <c r="I517" i="3"/>
  <c r="I516" i="3"/>
  <c r="I515" i="3"/>
  <c r="I514" i="3"/>
  <c r="I508" i="3"/>
  <c r="I507" i="3"/>
  <c r="I506" i="3"/>
  <c r="I505" i="3"/>
  <c r="I500" i="3"/>
  <c r="I499" i="3"/>
  <c r="I498" i="3"/>
  <c r="I497" i="3"/>
  <c r="F491" i="3"/>
  <c r="I491" i="3" s="1"/>
  <c r="I490" i="3"/>
  <c r="I489" i="3"/>
  <c r="I483" i="3"/>
  <c r="I482" i="3"/>
  <c r="I481" i="3"/>
  <c r="E476" i="3"/>
  <c r="X476" i="3" s="1"/>
  <c r="G475" i="3"/>
  <c r="F475" i="3"/>
  <c r="X475" i="3" s="1"/>
  <c r="F474" i="3"/>
  <c r="X474" i="3" s="1"/>
  <c r="E472" i="3"/>
  <c r="X472" i="3" s="1"/>
  <c r="G471" i="3"/>
  <c r="F471" i="3"/>
  <c r="F470" i="3"/>
  <c r="X470" i="3" s="1"/>
  <c r="X468" i="3"/>
  <c r="I468" i="3"/>
  <c r="X467" i="3"/>
  <c r="I467" i="3"/>
  <c r="X466" i="3"/>
  <c r="I466" i="3"/>
  <c r="G465" i="3"/>
  <c r="F465" i="3"/>
  <c r="F464" i="3"/>
  <c r="X464" i="3" s="1"/>
  <c r="Y458" i="3"/>
  <c r="Y460" i="3" s="1"/>
  <c r="X458" i="3"/>
  <c r="X460" i="3" s="1"/>
  <c r="Y453" i="3"/>
  <c r="X453" i="3"/>
  <c r="I453" i="3"/>
  <c r="Y452" i="3"/>
  <c r="X452" i="3"/>
  <c r="I452" i="3"/>
  <c r="Y451" i="3"/>
  <c r="X451" i="3"/>
  <c r="I451" i="3"/>
  <c r="Y449" i="3"/>
  <c r="X449" i="3"/>
  <c r="I449" i="3"/>
  <c r="Y448" i="3"/>
  <c r="X448" i="3"/>
  <c r="I448" i="3"/>
  <c r="Y446" i="3"/>
  <c r="X446" i="3"/>
  <c r="I446" i="3"/>
  <c r="Y444" i="3"/>
  <c r="X444" i="3"/>
  <c r="I444" i="3"/>
  <c r="Y442" i="3"/>
  <c r="X442" i="3"/>
  <c r="I442" i="3"/>
  <c r="Y440" i="3"/>
  <c r="X440" i="3"/>
  <c r="I440" i="3"/>
  <c r="Y439" i="3"/>
  <c r="X439" i="3"/>
  <c r="I439" i="3"/>
  <c r="Y438" i="3"/>
  <c r="X438" i="3"/>
  <c r="I438" i="3"/>
  <c r="Y437" i="3"/>
  <c r="X437" i="3"/>
  <c r="I437" i="3"/>
  <c r="X431" i="3"/>
  <c r="I431" i="3"/>
  <c r="X430" i="3"/>
  <c r="I430" i="3"/>
  <c r="E428" i="3"/>
  <c r="X428" i="3" s="1"/>
  <c r="X427" i="3"/>
  <c r="I427" i="3"/>
  <c r="X425" i="3"/>
  <c r="I425" i="3"/>
  <c r="X424" i="3"/>
  <c r="I424" i="3"/>
  <c r="H420" i="3"/>
  <c r="Y420" i="3" s="1"/>
  <c r="H419" i="3"/>
  <c r="X419" i="3" s="1"/>
  <c r="H418" i="3"/>
  <c r="Y418" i="3" s="1"/>
  <c r="H417" i="3"/>
  <c r="Y417" i="3" s="1"/>
  <c r="H416" i="3"/>
  <c r="X416" i="3" s="1"/>
  <c r="H415" i="3"/>
  <c r="Y415" i="3" s="1"/>
  <c r="H413" i="3"/>
  <c r="Y413" i="3" s="1"/>
  <c r="H412" i="3"/>
  <c r="X412" i="3" s="1"/>
  <c r="H411" i="3"/>
  <c r="Y411" i="3" s="1"/>
  <c r="H410" i="3"/>
  <c r="Y410" i="3" s="1"/>
  <c r="H409" i="3"/>
  <c r="X409" i="3" s="1"/>
  <c r="H408" i="3"/>
  <c r="Y408" i="3" s="1"/>
  <c r="H406" i="3"/>
  <c r="Y406" i="3" s="1"/>
  <c r="H405" i="3"/>
  <c r="X405" i="3" s="1"/>
  <c r="H404" i="3"/>
  <c r="Y404" i="3" s="1"/>
  <c r="H403" i="3"/>
  <c r="Y403" i="3" s="1"/>
  <c r="H402" i="3"/>
  <c r="Y402" i="3" s="1"/>
  <c r="H401" i="3"/>
  <c r="Y401" i="3" s="1"/>
  <c r="I394" i="3"/>
  <c r="I396" i="3" s="1"/>
  <c r="I370" i="3"/>
  <c r="I369" i="3"/>
  <c r="F347" i="3"/>
  <c r="I347" i="3" s="1"/>
  <c r="AL287" i="3"/>
  <c r="AK287" i="3"/>
  <c r="AI285" i="3"/>
  <c r="AI287" i="3" s="1"/>
  <c r="AH285" i="3"/>
  <c r="AH287" i="3" s="1"/>
  <c r="AE285" i="3"/>
  <c r="Y285" i="3"/>
  <c r="X285" i="3"/>
  <c r="W285" i="3"/>
  <c r="V285" i="3"/>
  <c r="AD284" i="3"/>
  <c r="AD287" i="3" s="1"/>
  <c r="Y284" i="3"/>
  <c r="X284" i="3"/>
  <c r="W284" i="3"/>
  <c r="V284" i="3"/>
  <c r="U284" i="3"/>
  <c r="U287" i="3" s="1"/>
  <c r="T284" i="3"/>
  <c r="T287" i="3" s="1"/>
  <c r="S284" i="3"/>
  <c r="S287" i="3" s="1"/>
  <c r="R284" i="3"/>
  <c r="R287" i="3" s="1"/>
  <c r="AL281" i="3"/>
  <c r="AK281" i="3"/>
  <c r="AF281" i="3"/>
  <c r="AE281" i="3"/>
  <c r="F373" i="3" s="1"/>
  <c r="I373" i="3" s="1"/>
  <c r="AD281" i="3"/>
  <c r="AA281" i="3"/>
  <c r="Y281" i="3"/>
  <c r="X281" i="3"/>
  <c r="AI279" i="3"/>
  <c r="AI281" i="3" s="1"/>
  <c r="AH279" i="3"/>
  <c r="AH281" i="3" s="1"/>
  <c r="W279" i="3"/>
  <c r="W281" i="3" s="1"/>
  <c r="V279" i="3"/>
  <c r="V281" i="3" s="1"/>
  <c r="U279" i="3"/>
  <c r="U281" i="3" s="1"/>
  <c r="T279" i="3"/>
  <c r="T281" i="3" s="1"/>
  <c r="S279" i="3"/>
  <c r="S281" i="3" s="1"/>
  <c r="R279" i="3"/>
  <c r="AL276" i="3"/>
  <c r="AK276" i="3"/>
  <c r="U276" i="3"/>
  <c r="T276" i="3"/>
  <c r="AI274" i="3"/>
  <c r="AI276" i="3" s="1"/>
  <c r="AH274" i="3"/>
  <c r="AH276" i="3" s="1"/>
  <c r="W274" i="3"/>
  <c r="V274" i="3"/>
  <c r="S274" i="3"/>
  <c r="R274" i="3"/>
  <c r="AD273" i="3"/>
  <c r="AD276" i="3" s="1"/>
  <c r="AA273" i="3"/>
  <c r="AA276" i="3" s="1"/>
  <c r="Y273" i="3"/>
  <c r="AE273" i="3" s="1"/>
  <c r="AE276" i="3" s="1"/>
  <c r="F372" i="3" s="1"/>
  <c r="I372" i="3" s="1"/>
  <c r="X273" i="3"/>
  <c r="X276" i="3" s="1"/>
  <c r="W273" i="3"/>
  <c r="V273" i="3"/>
  <c r="S273" i="3"/>
  <c r="R273" i="3"/>
  <c r="W272" i="3"/>
  <c r="V272" i="3"/>
  <c r="W271" i="3"/>
  <c r="V271" i="3"/>
  <c r="S271" i="3"/>
  <c r="R271" i="3"/>
  <c r="AL266" i="3"/>
  <c r="AK266" i="3"/>
  <c r="AI266" i="3"/>
  <c r="AH266" i="3"/>
  <c r="AF266" i="3"/>
  <c r="AE266" i="3"/>
  <c r="AD266" i="3"/>
  <c r="AA266" i="3"/>
  <c r="Z266" i="3"/>
  <c r="Y266" i="3"/>
  <c r="X266" i="3"/>
  <c r="U266" i="3"/>
  <c r="T266" i="3"/>
  <c r="S266" i="3"/>
  <c r="R266" i="3"/>
  <c r="W264" i="3"/>
  <c r="W266" i="3" s="1"/>
  <c r="V264" i="3"/>
  <c r="V266" i="3" s="1"/>
  <c r="AL260" i="3"/>
  <c r="AK260" i="3"/>
  <c r="AF260" i="3"/>
  <c r="AE260" i="3"/>
  <c r="AD260" i="3"/>
  <c r="AA260" i="3"/>
  <c r="Y260" i="3"/>
  <c r="X260" i="3"/>
  <c r="U260" i="3"/>
  <c r="T260" i="3"/>
  <c r="AM256" i="3"/>
  <c r="AI256" i="3"/>
  <c r="V256" i="3"/>
  <c r="S256" i="3"/>
  <c r="R256" i="3"/>
  <c r="K256" i="3"/>
  <c r="W256" i="3" s="1"/>
  <c r="AN255" i="3"/>
  <c r="AM255" i="3"/>
  <c r="AI255" i="3"/>
  <c r="AH255" i="3"/>
  <c r="W255" i="3"/>
  <c r="V255" i="3"/>
  <c r="S255" i="3"/>
  <c r="R255" i="3"/>
  <c r="AN254" i="3"/>
  <c r="AM254" i="3"/>
  <c r="W254" i="3"/>
  <c r="V254" i="3"/>
  <c r="R254" i="3"/>
  <c r="J254" i="3"/>
  <c r="S254" i="3" s="1"/>
  <c r="I254" i="3"/>
  <c r="AI251" i="3"/>
  <c r="AI254" i="3" s="1"/>
  <c r="AL249" i="3"/>
  <c r="AL251" i="3" s="1"/>
  <c r="AH249" i="3"/>
  <c r="AD249" i="3"/>
  <c r="AF249" i="3" s="1"/>
  <c r="Y249" i="3"/>
  <c r="AE249" i="3" s="1"/>
  <c r="X249" i="3"/>
  <c r="W249" i="3"/>
  <c r="V249" i="3"/>
  <c r="U249" i="3"/>
  <c r="T249" i="3"/>
  <c r="S249" i="3"/>
  <c r="R249" i="3"/>
  <c r="AH246" i="3"/>
  <c r="AD246" i="3"/>
  <c r="AF246" i="3" s="1"/>
  <c r="U246" i="3"/>
  <c r="T246" i="3"/>
  <c r="S246" i="3"/>
  <c r="R246" i="3"/>
  <c r="H246" i="3"/>
  <c r="AJ246" i="3" s="1"/>
  <c r="AK246" i="3" s="1"/>
  <c r="AH245" i="3"/>
  <c r="AD245" i="3"/>
  <c r="AF245" i="3" s="1"/>
  <c r="U245" i="3"/>
  <c r="T245" i="3"/>
  <c r="S245" i="3"/>
  <c r="R245" i="3"/>
  <c r="H245" i="3"/>
  <c r="AJ245" i="3" s="1"/>
  <c r="AK245" i="3" s="1"/>
  <c r="AH244" i="3"/>
  <c r="AD244" i="3"/>
  <c r="AF244" i="3" s="1"/>
  <c r="U244" i="3"/>
  <c r="T244" i="3"/>
  <c r="S244" i="3"/>
  <c r="R244" i="3"/>
  <c r="H244" i="3"/>
  <c r="Y244" i="3" s="1"/>
  <c r="AL240" i="3"/>
  <c r="AK240" i="3"/>
  <c r="AF240" i="3"/>
  <c r="AE240" i="3"/>
  <c r="AD240" i="3"/>
  <c r="AA240" i="3"/>
  <c r="Y240" i="3"/>
  <c r="X240" i="3"/>
  <c r="U240" i="3"/>
  <c r="T240" i="3"/>
  <c r="AM236" i="3"/>
  <c r="AI236" i="3"/>
  <c r="AH236" i="3"/>
  <c r="V236" i="3"/>
  <c r="R236" i="3"/>
  <c r="K236" i="3"/>
  <c r="W236" i="3" s="1"/>
  <c r="J236" i="3"/>
  <c r="S236" i="3" s="1"/>
  <c r="AN235" i="3"/>
  <c r="AM235" i="3"/>
  <c r="AI235" i="3"/>
  <c r="AH235" i="3"/>
  <c r="W235" i="3"/>
  <c r="V235" i="3"/>
  <c r="R235" i="3"/>
  <c r="J235" i="3"/>
  <c r="S235" i="3" s="1"/>
  <c r="AN234" i="3"/>
  <c r="AM234" i="3"/>
  <c r="W234" i="3"/>
  <c r="V234" i="3"/>
  <c r="R234" i="3"/>
  <c r="J234" i="3"/>
  <c r="S234" i="3" s="1"/>
  <c r="I234" i="3"/>
  <c r="AI231" i="3"/>
  <c r="AI234" i="3" s="1"/>
  <c r="AL229" i="3"/>
  <c r="AL231" i="3" s="1"/>
  <c r="AH229" i="3"/>
  <c r="AD229" i="3"/>
  <c r="AF229" i="3" s="1"/>
  <c r="Y229" i="3"/>
  <c r="AE229" i="3" s="1"/>
  <c r="X229" i="3"/>
  <c r="W229" i="3"/>
  <c r="V229" i="3"/>
  <c r="U229" i="3"/>
  <c r="T229" i="3"/>
  <c r="S229" i="3"/>
  <c r="R229" i="3"/>
  <c r="R228" i="3"/>
  <c r="R227" i="3"/>
  <c r="AH226" i="3"/>
  <c r="AD226" i="3"/>
  <c r="AF226" i="3" s="1"/>
  <c r="U226" i="3"/>
  <c r="T226" i="3"/>
  <c r="S226" i="3"/>
  <c r="H226" i="3"/>
  <c r="Y226" i="3" s="1"/>
  <c r="AH225" i="3"/>
  <c r="AD225" i="3"/>
  <c r="AF225" i="3" s="1"/>
  <c r="U225" i="3"/>
  <c r="T225" i="3"/>
  <c r="S225" i="3"/>
  <c r="H225" i="3"/>
  <c r="X225" i="3" s="1"/>
  <c r="AH224" i="3"/>
  <c r="AD224" i="3"/>
  <c r="AF224" i="3" s="1"/>
  <c r="U224" i="3"/>
  <c r="T224" i="3"/>
  <c r="S224" i="3"/>
  <c r="H224" i="3"/>
  <c r="H223" i="3"/>
  <c r="R223" i="3" s="1"/>
  <c r="AH222" i="3"/>
  <c r="AD222" i="3"/>
  <c r="AF222" i="3" s="1"/>
  <c r="U222" i="3"/>
  <c r="T222" i="3"/>
  <c r="S222" i="3"/>
  <c r="H222" i="3"/>
  <c r="X222" i="3" s="1"/>
  <c r="AH221" i="3"/>
  <c r="AD221" i="3"/>
  <c r="AF221" i="3" s="1"/>
  <c r="U221" i="3"/>
  <c r="T221" i="3"/>
  <c r="S221" i="3"/>
  <c r="H221" i="3"/>
  <c r="Y221" i="3" s="1"/>
  <c r="AH220" i="3"/>
  <c r="AD220" i="3"/>
  <c r="AF220" i="3" s="1"/>
  <c r="U220" i="3"/>
  <c r="T220" i="3"/>
  <c r="S220" i="3"/>
  <c r="H220" i="3"/>
  <c r="AJ220" i="3" s="1"/>
  <c r="AK220" i="3" s="1"/>
  <c r="AH219" i="3"/>
  <c r="AH256" i="3" s="1"/>
  <c r="AD219" i="3"/>
  <c r="AF219" i="3" s="1"/>
  <c r="U219" i="3"/>
  <c r="T219" i="3"/>
  <c r="S219" i="3"/>
  <c r="H219" i="3"/>
  <c r="AJ219" i="3" s="1"/>
  <c r="AK219" i="3" s="1"/>
  <c r="AH218" i="3"/>
  <c r="AD218" i="3"/>
  <c r="AF218" i="3" s="1"/>
  <c r="U218" i="3"/>
  <c r="T218" i="3"/>
  <c r="S218" i="3"/>
  <c r="H218" i="3"/>
  <c r="AJ218" i="3" s="1"/>
  <c r="AK218" i="3" s="1"/>
  <c r="AH217" i="3"/>
  <c r="AD217" i="3"/>
  <c r="AF217" i="3" s="1"/>
  <c r="U217" i="3"/>
  <c r="T217" i="3"/>
  <c r="S217" i="3"/>
  <c r="H217" i="3"/>
  <c r="Y217" i="3" s="1"/>
  <c r="AH216" i="3"/>
  <c r="AD216" i="3"/>
  <c r="U216" i="3"/>
  <c r="T216" i="3"/>
  <c r="S216" i="3"/>
  <c r="H216" i="3"/>
  <c r="X216" i="3" s="1"/>
  <c r="AL212" i="3"/>
  <c r="AK212" i="3"/>
  <c r="AI212" i="3"/>
  <c r="AH212" i="3"/>
  <c r="AF212" i="3"/>
  <c r="AE212" i="3"/>
  <c r="AD212" i="3"/>
  <c r="AA212" i="3"/>
  <c r="Z212" i="3"/>
  <c r="Y212" i="3"/>
  <c r="X212" i="3"/>
  <c r="U212" i="3"/>
  <c r="T212" i="3"/>
  <c r="S212" i="3"/>
  <c r="R212" i="3"/>
  <c r="W210" i="3"/>
  <c r="W212" i="3" s="1"/>
  <c r="V210" i="3"/>
  <c r="V212" i="3" s="1"/>
  <c r="AL204" i="3"/>
  <c r="AK204" i="3"/>
  <c r="AF204" i="3"/>
  <c r="AE204" i="3"/>
  <c r="AD204" i="3"/>
  <c r="AA204" i="3"/>
  <c r="Y204" i="3"/>
  <c r="X204" i="3"/>
  <c r="U204" i="3"/>
  <c r="T204" i="3"/>
  <c r="AM200" i="3"/>
  <c r="AI200" i="3"/>
  <c r="V200" i="3"/>
  <c r="S200" i="3"/>
  <c r="R200" i="3"/>
  <c r="K200" i="3"/>
  <c r="W200" i="3" s="1"/>
  <c r="AN199" i="3"/>
  <c r="AM199" i="3"/>
  <c r="AI199" i="3"/>
  <c r="AH199" i="3"/>
  <c r="W199" i="3"/>
  <c r="V199" i="3"/>
  <c r="S199" i="3"/>
  <c r="R199" i="3"/>
  <c r="AN198" i="3"/>
  <c r="AM198" i="3"/>
  <c r="W198" i="3"/>
  <c r="V198" i="3"/>
  <c r="R198" i="3"/>
  <c r="J198" i="3"/>
  <c r="S198" i="3" s="1"/>
  <c r="I198" i="3"/>
  <c r="AI195" i="3"/>
  <c r="AI198" i="3" s="1"/>
  <c r="AL193" i="3"/>
  <c r="AL195" i="3" s="1"/>
  <c r="AH193" i="3"/>
  <c r="AD193" i="3"/>
  <c r="AF193" i="3" s="1"/>
  <c r="Y193" i="3"/>
  <c r="AE193" i="3" s="1"/>
  <c r="X193" i="3"/>
  <c r="W193" i="3"/>
  <c r="V193" i="3"/>
  <c r="U193" i="3"/>
  <c r="T193" i="3"/>
  <c r="S193" i="3"/>
  <c r="R193" i="3"/>
  <c r="R192" i="3"/>
  <c r="R191" i="3"/>
  <c r="AH190" i="3"/>
  <c r="AD190" i="3"/>
  <c r="AF190" i="3" s="1"/>
  <c r="U190" i="3"/>
  <c r="T190" i="3"/>
  <c r="S190" i="3"/>
  <c r="H190" i="3"/>
  <c r="AH189" i="3"/>
  <c r="AD189" i="3"/>
  <c r="AF189" i="3" s="1"/>
  <c r="U189" i="3"/>
  <c r="T189" i="3"/>
  <c r="S189" i="3"/>
  <c r="H189" i="3"/>
  <c r="AJ189" i="3" s="1"/>
  <c r="AK189" i="3" s="1"/>
  <c r="AH188" i="3"/>
  <c r="AD188" i="3"/>
  <c r="AF188" i="3" s="1"/>
  <c r="U188" i="3"/>
  <c r="T188" i="3"/>
  <c r="S188" i="3"/>
  <c r="H188" i="3"/>
  <c r="AJ188" i="3" s="1"/>
  <c r="AK188" i="3" s="1"/>
  <c r="AH187" i="3"/>
  <c r="AD187" i="3"/>
  <c r="AF187" i="3" s="1"/>
  <c r="U187" i="3"/>
  <c r="T187" i="3"/>
  <c r="S187" i="3"/>
  <c r="H187" i="3"/>
  <c r="AJ187" i="3" s="1"/>
  <c r="AK187" i="3" s="1"/>
  <c r="AH186" i="3"/>
  <c r="AD186" i="3"/>
  <c r="AF186" i="3" s="1"/>
  <c r="U186" i="3"/>
  <c r="T186" i="3"/>
  <c r="S186" i="3"/>
  <c r="H186" i="3"/>
  <c r="Y186" i="3" s="1"/>
  <c r="AH185" i="3"/>
  <c r="AD185" i="3"/>
  <c r="AF185" i="3" s="1"/>
  <c r="U185" i="3"/>
  <c r="T185" i="3"/>
  <c r="S185" i="3"/>
  <c r="H185" i="3"/>
  <c r="X185" i="3" s="1"/>
  <c r="AH184" i="3"/>
  <c r="AD184" i="3"/>
  <c r="AF184" i="3" s="1"/>
  <c r="U184" i="3"/>
  <c r="T184" i="3"/>
  <c r="S184" i="3"/>
  <c r="H184" i="3"/>
  <c r="AH183" i="3"/>
  <c r="AD183" i="3"/>
  <c r="AF183" i="3" s="1"/>
  <c r="U183" i="3"/>
  <c r="T183" i="3"/>
  <c r="S183" i="3"/>
  <c r="H183" i="3"/>
  <c r="AJ183" i="3" s="1"/>
  <c r="AK183" i="3" s="1"/>
  <c r="AH182" i="3"/>
  <c r="AD182" i="3"/>
  <c r="AF182" i="3" s="1"/>
  <c r="U182" i="3"/>
  <c r="T182" i="3"/>
  <c r="S182" i="3"/>
  <c r="H182" i="3"/>
  <c r="AJ182" i="3" s="1"/>
  <c r="AK182" i="3" s="1"/>
  <c r="AH181" i="3"/>
  <c r="AD181" i="3"/>
  <c r="AF181" i="3" s="1"/>
  <c r="U181" i="3"/>
  <c r="T181" i="3"/>
  <c r="S181" i="3"/>
  <c r="H181" i="3"/>
  <c r="AJ181" i="3" s="1"/>
  <c r="AK181" i="3" s="1"/>
  <c r="AL177" i="3"/>
  <c r="AK177" i="3"/>
  <c r="AF177" i="3"/>
  <c r="AE177" i="3"/>
  <c r="AD177" i="3"/>
  <c r="AA177" i="3"/>
  <c r="Y177" i="3"/>
  <c r="U177" i="3"/>
  <c r="T177" i="3"/>
  <c r="AM173" i="3"/>
  <c r="AI173" i="3"/>
  <c r="AH173" i="3"/>
  <c r="X173" i="3"/>
  <c r="V173" i="3"/>
  <c r="S173" i="3"/>
  <c r="R173" i="3"/>
  <c r="K173" i="3"/>
  <c r="AN173" i="3" s="1"/>
  <c r="AN172" i="3"/>
  <c r="AM172" i="3"/>
  <c r="AI172" i="3"/>
  <c r="AH172" i="3"/>
  <c r="X172" i="3"/>
  <c r="W172" i="3"/>
  <c r="V172" i="3"/>
  <c r="S172" i="3"/>
  <c r="R172" i="3"/>
  <c r="AN171" i="3"/>
  <c r="AM171" i="3"/>
  <c r="W171" i="3"/>
  <c r="V171" i="3"/>
  <c r="R171" i="3"/>
  <c r="J171" i="3"/>
  <c r="S171" i="3" s="1"/>
  <c r="I171" i="3"/>
  <c r="AI168" i="3"/>
  <c r="AI171" i="3" s="1"/>
  <c r="AL166" i="3"/>
  <c r="AL168" i="3" s="1"/>
  <c r="AH166" i="3"/>
  <c r="AD166" i="3"/>
  <c r="AF166" i="3" s="1"/>
  <c r="Y166" i="3"/>
  <c r="AE166" i="3" s="1"/>
  <c r="X166" i="3"/>
  <c r="W166" i="3"/>
  <c r="V166" i="3"/>
  <c r="U166" i="3"/>
  <c r="T166" i="3"/>
  <c r="S166" i="3"/>
  <c r="R166" i="3"/>
  <c r="AH163" i="3"/>
  <c r="AD163" i="3"/>
  <c r="AF163" i="3" s="1"/>
  <c r="U163" i="3"/>
  <c r="T163" i="3"/>
  <c r="S163" i="3"/>
  <c r="I163" i="3"/>
  <c r="H163" i="3"/>
  <c r="X163" i="3" s="1"/>
  <c r="AH162" i="3"/>
  <c r="AD162" i="3"/>
  <c r="AF162" i="3" s="1"/>
  <c r="U162" i="3"/>
  <c r="T162" i="3"/>
  <c r="S162" i="3"/>
  <c r="I162" i="3"/>
  <c r="H162" i="3"/>
  <c r="Y162" i="3" s="1"/>
  <c r="AH161" i="3"/>
  <c r="AD161" i="3"/>
  <c r="AF161" i="3" s="1"/>
  <c r="U161" i="3"/>
  <c r="T161" i="3"/>
  <c r="S161" i="3"/>
  <c r="I161" i="3"/>
  <c r="H161" i="3"/>
  <c r="Y161" i="3" s="1"/>
  <c r="AH160" i="3"/>
  <c r="AD160" i="3"/>
  <c r="AF160" i="3" s="1"/>
  <c r="U160" i="3"/>
  <c r="T160" i="3"/>
  <c r="S160" i="3"/>
  <c r="I160" i="3"/>
  <c r="H160" i="3"/>
  <c r="Y160" i="3" s="1"/>
  <c r="AH159" i="3"/>
  <c r="AD159" i="3"/>
  <c r="AF159" i="3" s="1"/>
  <c r="U159" i="3"/>
  <c r="T159" i="3"/>
  <c r="S159" i="3"/>
  <c r="I159" i="3"/>
  <c r="H159" i="3"/>
  <c r="Y159" i="3" s="1"/>
  <c r="AH158" i="3"/>
  <c r="AD158" i="3"/>
  <c r="AF158" i="3" s="1"/>
  <c r="U158" i="3"/>
  <c r="T158" i="3"/>
  <c r="S158" i="3"/>
  <c r="I158" i="3"/>
  <c r="H158" i="3"/>
  <c r="Y158" i="3" s="1"/>
  <c r="AH157" i="3"/>
  <c r="AD157" i="3"/>
  <c r="AF157" i="3" s="1"/>
  <c r="U157" i="3"/>
  <c r="T157" i="3"/>
  <c r="S157" i="3"/>
  <c r="I157" i="3"/>
  <c r="H157" i="3"/>
  <c r="Y157" i="3" s="1"/>
  <c r="AH156" i="3"/>
  <c r="AH200" i="3" s="1"/>
  <c r="AD156" i="3"/>
  <c r="AF156" i="3" s="1"/>
  <c r="U156" i="3"/>
  <c r="T156" i="3"/>
  <c r="S156" i="3"/>
  <c r="I156" i="3"/>
  <c r="H156" i="3"/>
  <c r="Y156" i="3" s="1"/>
  <c r="AH155" i="3"/>
  <c r="AD155" i="3"/>
  <c r="AF155" i="3" s="1"/>
  <c r="U155" i="3"/>
  <c r="T155" i="3"/>
  <c r="S155" i="3"/>
  <c r="I155" i="3"/>
  <c r="H155" i="3"/>
  <c r="Y155" i="3" s="1"/>
  <c r="AH154" i="3"/>
  <c r="AD154" i="3"/>
  <c r="AF154" i="3" s="1"/>
  <c r="U154" i="3"/>
  <c r="T154" i="3"/>
  <c r="S154" i="3"/>
  <c r="I154" i="3"/>
  <c r="H154" i="3"/>
  <c r="Y154" i="3" s="1"/>
  <c r="AH153" i="3"/>
  <c r="AD153" i="3"/>
  <c r="AF153" i="3" s="1"/>
  <c r="U153" i="3"/>
  <c r="T153" i="3"/>
  <c r="S153" i="3"/>
  <c r="I153" i="3"/>
  <c r="H153" i="3"/>
  <c r="Y153" i="3" s="1"/>
  <c r="AH152" i="3"/>
  <c r="AD152" i="3"/>
  <c r="AF152" i="3" s="1"/>
  <c r="U152" i="3"/>
  <c r="T152" i="3"/>
  <c r="S152" i="3"/>
  <c r="I152" i="3"/>
  <c r="H152" i="3"/>
  <c r="Y152" i="3" s="1"/>
  <c r="AH151" i="3"/>
  <c r="AD151" i="3"/>
  <c r="AF151" i="3" s="1"/>
  <c r="U151" i="3"/>
  <c r="T151" i="3"/>
  <c r="S151" i="3"/>
  <c r="I151" i="3"/>
  <c r="H151" i="3"/>
  <c r="Y151" i="3" s="1"/>
  <c r="AL145" i="3"/>
  <c r="AK145" i="3"/>
  <c r="U145" i="3"/>
  <c r="T145" i="3"/>
  <c r="F143" i="3"/>
  <c r="AH143" i="3" s="1"/>
  <c r="AH145" i="3" s="1"/>
  <c r="E143" i="3"/>
  <c r="W143" i="3" s="1"/>
  <c r="AA142" i="3"/>
  <c r="AA145" i="3" s="1"/>
  <c r="F142" i="3"/>
  <c r="E142" i="3"/>
  <c r="W142" i="3" s="1"/>
  <c r="E141" i="3"/>
  <c r="W141" i="3" s="1"/>
  <c r="W140" i="3"/>
  <c r="S140" i="3"/>
  <c r="F140" i="3"/>
  <c r="V140" i="3" s="1"/>
  <c r="AL136" i="3"/>
  <c r="AK136" i="3"/>
  <c r="AF136" i="3"/>
  <c r="AE136" i="3"/>
  <c r="AD136" i="3"/>
  <c r="AA136" i="3"/>
  <c r="Y136" i="3"/>
  <c r="X136" i="3"/>
  <c r="U136" i="3"/>
  <c r="T136" i="3"/>
  <c r="AM132" i="3"/>
  <c r="V132" i="3"/>
  <c r="R132" i="3"/>
  <c r="K132" i="3"/>
  <c r="AN132" i="3" s="1"/>
  <c r="J132" i="3"/>
  <c r="S132" i="3" s="1"/>
  <c r="AN131" i="3"/>
  <c r="AM131" i="3"/>
  <c r="AI131" i="3"/>
  <c r="AH131" i="3"/>
  <c r="W131" i="3"/>
  <c r="V131" i="3"/>
  <c r="R131" i="3"/>
  <c r="J131" i="3"/>
  <c r="S131" i="3" s="1"/>
  <c r="AN130" i="3"/>
  <c r="AM130" i="3"/>
  <c r="W130" i="3"/>
  <c r="V130" i="3"/>
  <c r="R130" i="3"/>
  <c r="J130" i="3"/>
  <c r="S130" i="3" s="1"/>
  <c r="I130" i="3"/>
  <c r="AI127" i="3"/>
  <c r="AI130" i="3" s="1"/>
  <c r="AL125" i="3"/>
  <c r="AL127" i="3" s="1"/>
  <c r="AH125" i="3"/>
  <c r="AD125" i="3"/>
  <c r="AF125" i="3" s="1"/>
  <c r="Y125" i="3"/>
  <c r="AE125" i="3" s="1"/>
  <c r="X125" i="3"/>
  <c r="W125" i="3"/>
  <c r="V125" i="3"/>
  <c r="U125" i="3"/>
  <c r="T125" i="3"/>
  <c r="S125" i="3"/>
  <c r="R125" i="3"/>
  <c r="AH122" i="3"/>
  <c r="AD122" i="3"/>
  <c r="AF122" i="3" s="1"/>
  <c r="U122" i="3"/>
  <c r="T122" i="3"/>
  <c r="S122" i="3"/>
  <c r="R122" i="3"/>
  <c r="I122" i="3"/>
  <c r="H122" i="3"/>
  <c r="X122" i="3" s="1"/>
  <c r="AH121" i="3"/>
  <c r="AD121" i="3"/>
  <c r="AF121" i="3" s="1"/>
  <c r="U121" i="3"/>
  <c r="T121" i="3"/>
  <c r="S121" i="3"/>
  <c r="R121" i="3"/>
  <c r="I121" i="3"/>
  <c r="H121" i="3"/>
  <c r="X121" i="3" s="1"/>
  <c r="AH120" i="3"/>
  <c r="AD120" i="3"/>
  <c r="AF120" i="3" s="1"/>
  <c r="U120" i="3"/>
  <c r="T120" i="3"/>
  <c r="S120" i="3"/>
  <c r="R120" i="3"/>
  <c r="I120" i="3"/>
  <c r="H120" i="3"/>
  <c r="X120" i="3" s="1"/>
  <c r="AH119" i="3"/>
  <c r="AD119" i="3"/>
  <c r="AF119" i="3" s="1"/>
  <c r="U119" i="3"/>
  <c r="T119" i="3"/>
  <c r="S119" i="3"/>
  <c r="R119" i="3"/>
  <c r="I119" i="3"/>
  <c r="H119" i="3"/>
  <c r="X119" i="3" s="1"/>
  <c r="AH118" i="3"/>
  <c r="AD118" i="3"/>
  <c r="AF118" i="3" s="1"/>
  <c r="U118" i="3"/>
  <c r="T118" i="3"/>
  <c r="S118" i="3"/>
  <c r="R118" i="3"/>
  <c r="I118" i="3"/>
  <c r="H118" i="3"/>
  <c r="X118" i="3" s="1"/>
  <c r="AH117" i="3"/>
  <c r="AD117" i="3"/>
  <c r="AF117" i="3" s="1"/>
  <c r="U117" i="3"/>
  <c r="T117" i="3"/>
  <c r="S117" i="3"/>
  <c r="R117" i="3"/>
  <c r="I117" i="3"/>
  <c r="H117" i="3"/>
  <c r="X117" i="3" s="1"/>
  <c r="AH116" i="3"/>
  <c r="AD116" i="3"/>
  <c r="AF116" i="3" s="1"/>
  <c r="U116" i="3"/>
  <c r="T116" i="3"/>
  <c r="S116" i="3"/>
  <c r="R116" i="3"/>
  <c r="I116" i="3"/>
  <c r="H116" i="3"/>
  <c r="X116" i="3" s="1"/>
  <c r="AH115" i="3"/>
  <c r="AD115" i="3"/>
  <c r="AF115" i="3" s="1"/>
  <c r="U115" i="3"/>
  <c r="T115" i="3"/>
  <c r="S115" i="3"/>
  <c r="R115" i="3"/>
  <c r="I115" i="3"/>
  <c r="H115" i="3"/>
  <c r="X115" i="3" s="1"/>
  <c r="AH114" i="3"/>
  <c r="AD114" i="3"/>
  <c r="AF114" i="3" s="1"/>
  <c r="U114" i="3"/>
  <c r="T114" i="3"/>
  <c r="S114" i="3"/>
  <c r="R114" i="3"/>
  <c r="I114" i="3"/>
  <c r="H114" i="3"/>
  <c r="X114" i="3" s="1"/>
  <c r="AL109" i="3"/>
  <c r="AK109" i="3"/>
  <c r="AD109" i="3"/>
  <c r="AA109" i="3"/>
  <c r="Z109" i="3"/>
  <c r="U109" i="3"/>
  <c r="T109" i="3"/>
  <c r="S109" i="3"/>
  <c r="R109" i="3"/>
  <c r="Y107" i="3"/>
  <c r="X107" i="3"/>
  <c r="W107" i="3"/>
  <c r="V107" i="3"/>
  <c r="H106" i="3"/>
  <c r="Y106" i="3" s="1"/>
  <c r="H105" i="3"/>
  <c r="Y105" i="3" s="1"/>
  <c r="AL100" i="3"/>
  <c r="AK100" i="3"/>
  <c r="AD100" i="3"/>
  <c r="AA100" i="3"/>
  <c r="Z100" i="3"/>
  <c r="U100" i="3"/>
  <c r="T100" i="3"/>
  <c r="S100" i="3"/>
  <c r="R100" i="3"/>
  <c r="Y98" i="3"/>
  <c r="X98" i="3"/>
  <c r="W98" i="3"/>
  <c r="V98" i="3"/>
  <c r="Y97" i="3"/>
  <c r="X97" i="3"/>
  <c r="W97" i="3"/>
  <c r="V97" i="3"/>
  <c r="X96" i="3"/>
  <c r="Y95" i="3"/>
  <c r="W95" i="3"/>
  <c r="F95" i="3"/>
  <c r="X95" i="3" s="1"/>
  <c r="AL79" i="3"/>
  <c r="AK79" i="3"/>
  <c r="AD79" i="3"/>
  <c r="AA79" i="3"/>
  <c r="Z79" i="3"/>
  <c r="U79" i="3"/>
  <c r="T79" i="3"/>
  <c r="S79" i="3"/>
  <c r="R79" i="3"/>
  <c r="E79" i="3"/>
  <c r="Y77" i="3"/>
  <c r="X77" i="3"/>
  <c r="W77" i="3"/>
  <c r="V77" i="3"/>
  <c r="I77" i="3"/>
  <c r="Y76" i="3"/>
  <c r="X76" i="3"/>
  <c r="W76" i="3"/>
  <c r="V76" i="3"/>
  <c r="I76" i="3"/>
  <c r="Y75" i="3"/>
  <c r="X75" i="3"/>
  <c r="W75" i="3"/>
  <c r="V75" i="3"/>
  <c r="I75" i="3"/>
  <c r="Y74" i="3"/>
  <c r="X74" i="3"/>
  <c r="W74" i="3"/>
  <c r="V74" i="3"/>
  <c r="I74" i="3"/>
  <c r="AI73" i="3"/>
  <c r="AH73" i="3"/>
  <c r="Y73" i="3"/>
  <c r="X73" i="3"/>
  <c r="W73" i="3"/>
  <c r="V73" i="3"/>
  <c r="I73" i="3"/>
  <c r="AI72" i="3"/>
  <c r="AH72" i="3"/>
  <c r="Y72" i="3"/>
  <c r="X72" i="3"/>
  <c r="W72" i="3"/>
  <c r="V72" i="3"/>
  <c r="I72" i="3"/>
  <c r="AL67" i="3"/>
  <c r="AK67" i="3"/>
  <c r="AD67" i="3"/>
  <c r="AA67" i="3"/>
  <c r="Z67" i="3"/>
  <c r="U67" i="3"/>
  <c r="T67" i="3"/>
  <c r="S67" i="3"/>
  <c r="R67" i="3"/>
  <c r="E67" i="3"/>
  <c r="I65" i="3"/>
  <c r="H65" i="3"/>
  <c r="X65" i="3" s="1"/>
  <c r="I64" i="3"/>
  <c r="H64" i="3"/>
  <c r="Y64" i="3" s="1"/>
  <c r="I63" i="3"/>
  <c r="H63" i="3"/>
  <c r="W63" i="3" s="1"/>
  <c r="I62" i="3"/>
  <c r="H62" i="3"/>
  <c r="X62" i="3" s="1"/>
  <c r="AI61" i="3"/>
  <c r="AH61" i="3"/>
  <c r="I61" i="3"/>
  <c r="H61" i="3"/>
  <c r="V61" i="3" s="1"/>
  <c r="AI60" i="3"/>
  <c r="AH60" i="3"/>
  <c r="I60" i="3"/>
  <c r="H60" i="3"/>
  <c r="Y60" i="3" s="1"/>
  <c r="AL55" i="3"/>
  <c r="AK55" i="3"/>
  <c r="AD55" i="3"/>
  <c r="AA55" i="3"/>
  <c r="Z55" i="3"/>
  <c r="U55" i="3"/>
  <c r="T55" i="3"/>
  <c r="S55" i="3"/>
  <c r="R55" i="3"/>
  <c r="E55" i="3"/>
  <c r="I53" i="3"/>
  <c r="H53" i="3"/>
  <c r="Y53" i="3" s="1"/>
  <c r="I52" i="3"/>
  <c r="H52" i="3"/>
  <c r="Y52" i="3" s="1"/>
  <c r="I51" i="3"/>
  <c r="H51" i="3"/>
  <c r="X51" i="3" s="1"/>
  <c r="I50" i="3"/>
  <c r="H50" i="3"/>
  <c r="X50" i="3" s="1"/>
  <c r="AI49" i="3"/>
  <c r="AH49" i="3"/>
  <c r="I49" i="3"/>
  <c r="H49" i="3"/>
  <c r="V49" i="3" s="1"/>
  <c r="AI48" i="3"/>
  <c r="AH48" i="3"/>
  <c r="I48" i="3"/>
  <c r="H48" i="3"/>
  <c r="Y48" i="3" s="1"/>
  <c r="AL43" i="3"/>
  <c r="AK43" i="3"/>
  <c r="AD43" i="3"/>
  <c r="AA43" i="3"/>
  <c r="Z43" i="3"/>
  <c r="U43" i="3"/>
  <c r="T43" i="3"/>
  <c r="S43" i="3"/>
  <c r="R43" i="3"/>
  <c r="E43" i="3"/>
  <c r="H41" i="3"/>
  <c r="Y41" i="3" s="1"/>
  <c r="H40" i="3"/>
  <c r="Y40" i="3" s="1"/>
  <c r="H39" i="3"/>
  <c r="W39" i="3" s="1"/>
  <c r="H38" i="3"/>
  <c r="X38" i="3" s="1"/>
  <c r="AI37" i="3"/>
  <c r="AH37" i="3"/>
  <c r="H37" i="3"/>
  <c r="Y37" i="3" s="1"/>
  <c r="AI36" i="3"/>
  <c r="AH36" i="3"/>
  <c r="H36" i="3"/>
  <c r="Y36" i="3" s="1"/>
  <c r="AL31" i="3"/>
  <c r="AK31" i="3"/>
  <c r="AI31" i="3"/>
  <c r="AH31" i="3"/>
  <c r="AD27" i="3"/>
  <c r="AF27" i="3" s="1"/>
  <c r="AF31" i="3" s="1"/>
  <c r="Y27" i="3"/>
  <c r="Y31" i="3" s="1"/>
  <c r="X27" i="3"/>
  <c r="W27" i="3"/>
  <c r="W31" i="3" s="1"/>
  <c r="V27" i="3"/>
  <c r="V31" i="3" s="1"/>
  <c r="U27" i="3"/>
  <c r="U31" i="3" s="1"/>
  <c r="T27" i="3"/>
  <c r="T31" i="3" s="1"/>
  <c r="R27" i="3"/>
  <c r="J27" i="3"/>
  <c r="S27" i="3" s="1"/>
  <c r="I21" i="3"/>
  <c r="I23" i="3" s="1"/>
  <c r="H16" i="3"/>
  <c r="I16" i="3" s="1"/>
  <c r="I15" i="3"/>
  <c r="I8" i="3"/>
  <c r="I10" i="3" s="1"/>
  <c r="E51" i="1"/>
  <c r="K337" i="25" l="1"/>
  <c r="K335" i="25"/>
  <c r="K343" i="25"/>
  <c r="AA217" i="3"/>
  <c r="Z249" i="3"/>
  <c r="I540" i="3"/>
  <c r="I568" i="3"/>
  <c r="R189" i="3"/>
  <c r="Z189" i="3" s="1"/>
  <c r="V177" i="3"/>
  <c r="AA189" i="3"/>
  <c r="Z193" i="3"/>
  <c r="AM240" i="3"/>
  <c r="AA184" i="3"/>
  <c r="AI177" i="3"/>
  <c r="AA226" i="3"/>
  <c r="Z255" i="3"/>
  <c r="S260" i="3"/>
  <c r="Z115" i="3"/>
  <c r="AH79" i="3"/>
  <c r="AF74" i="3"/>
  <c r="X142" i="3"/>
  <c r="X145" i="3" s="1"/>
  <c r="AA185" i="3"/>
  <c r="Z199" i="3"/>
  <c r="AA218" i="3"/>
  <c r="I465" i="3"/>
  <c r="S204" i="3"/>
  <c r="R216" i="3"/>
  <c r="Z216" i="3" s="1"/>
  <c r="Z231" i="3" s="1"/>
  <c r="AA221" i="3"/>
  <c r="AI67" i="3"/>
  <c r="S142" i="3"/>
  <c r="AI260" i="3"/>
  <c r="I502" i="3"/>
  <c r="I519" i="3"/>
  <c r="AA155" i="3"/>
  <c r="Z172" i="3"/>
  <c r="AA183" i="3"/>
  <c r="Z273" i="3"/>
  <c r="Z274" i="3"/>
  <c r="S177" i="3"/>
  <c r="I419" i="3"/>
  <c r="V95" i="3"/>
  <c r="AF95" i="3" s="1"/>
  <c r="S276" i="3"/>
  <c r="Y419" i="3"/>
  <c r="AI204" i="3"/>
  <c r="R260" i="3"/>
  <c r="Z229" i="3"/>
  <c r="I416" i="3"/>
  <c r="AF76" i="3"/>
  <c r="Y96" i="3"/>
  <c r="AE96" i="3" s="1"/>
  <c r="AH251" i="3"/>
  <c r="AH254" i="3" s="1"/>
  <c r="AH260" i="3" s="1"/>
  <c r="AF107" i="3"/>
  <c r="AA246" i="3"/>
  <c r="V260" i="3"/>
  <c r="Y416" i="3"/>
  <c r="X105" i="3"/>
  <c r="Y65" i="3"/>
  <c r="V52" i="3"/>
  <c r="X408" i="3"/>
  <c r="X52" i="3"/>
  <c r="Z118" i="3"/>
  <c r="Z119" i="3"/>
  <c r="Z120" i="3"/>
  <c r="Z121" i="3"/>
  <c r="Z122" i="3"/>
  <c r="AA152" i="3"/>
  <c r="V220" i="3"/>
  <c r="I404" i="3"/>
  <c r="W50" i="3"/>
  <c r="I401" i="3"/>
  <c r="V40" i="3"/>
  <c r="Z132" i="3"/>
  <c r="X401" i="3"/>
  <c r="I406" i="3"/>
  <c r="I411" i="3"/>
  <c r="AJ115" i="3"/>
  <c r="AK115" i="3" s="1"/>
  <c r="U251" i="3"/>
  <c r="X406" i="3"/>
  <c r="I418" i="3"/>
  <c r="X418" i="3"/>
  <c r="V106" i="3"/>
  <c r="X403" i="3"/>
  <c r="I408" i="3"/>
  <c r="AF77" i="3"/>
  <c r="AF98" i="3"/>
  <c r="Z166" i="3"/>
  <c r="R217" i="3"/>
  <c r="Z217" i="3" s="1"/>
  <c r="Z245" i="3"/>
  <c r="AM260" i="3"/>
  <c r="F338" i="3"/>
  <c r="I338" i="3" s="1"/>
  <c r="F324" i="3"/>
  <c r="I324" i="3" s="1"/>
  <c r="I574" i="3"/>
  <c r="V51" i="3"/>
  <c r="V64" i="3"/>
  <c r="W106" i="3"/>
  <c r="W132" i="3"/>
  <c r="W136" i="3" s="1"/>
  <c r="AA157" i="3"/>
  <c r="AA166" i="3"/>
  <c r="V204" i="3"/>
  <c r="X220" i="3"/>
  <c r="AA245" i="3"/>
  <c r="AE284" i="3"/>
  <c r="AE287" i="3" s="1"/>
  <c r="F374" i="3" s="1"/>
  <c r="I374" i="3" s="1"/>
  <c r="X404" i="3"/>
  <c r="I413" i="3"/>
  <c r="AH43" i="3"/>
  <c r="AH132" i="3" s="1"/>
  <c r="W51" i="3"/>
  <c r="AH168" i="3"/>
  <c r="AH171" i="3" s="1"/>
  <c r="AH177" i="3" s="1"/>
  <c r="AA156" i="3"/>
  <c r="AA190" i="3"/>
  <c r="V218" i="3"/>
  <c r="Y220" i="3"/>
  <c r="AE220" i="3" s="1"/>
  <c r="Y287" i="3"/>
  <c r="AI43" i="3"/>
  <c r="AI132" i="3" s="1"/>
  <c r="AI136" i="3" s="1"/>
  <c r="AE73" i="3"/>
  <c r="AF97" i="3"/>
  <c r="AM136" i="3"/>
  <c r="R142" i="3"/>
  <c r="AA229" i="3"/>
  <c r="R276" i="3"/>
  <c r="I410" i="3"/>
  <c r="I415" i="3"/>
  <c r="V65" i="3"/>
  <c r="Y109" i="3"/>
  <c r="AA125" i="3"/>
  <c r="V189" i="3"/>
  <c r="R220" i="3"/>
  <c r="Z220" i="3" s="1"/>
  <c r="X415" i="3"/>
  <c r="F336" i="3"/>
  <c r="I336" i="3" s="1"/>
  <c r="V50" i="3"/>
  <c r="W65" i="3"/>
  <c r="AE95" i="3"/>
  <c r="W105" i="3"/>
  <c r="AA116" i="3"/>
  <c r="AA117" i="3"/>
  <c r="AA153" i="3"/>
  <c r="Y189" i="3"/>
  <c r="AE189" i="3" s="1"/>
  <c r="AA225" i="3"/>
  <c r="V276" i="3"/>
  <c r="AA118" i="3"/>
  <c r="AA119" i="3"/>
  <c r="AA121" i="3"/>
  <c r="AA122" i="3"/>
  <c r="AA160" i="3"/>
  <c r="AA182" i="3"/>
  <c r="R218" i="3"/>
  <c r="Z218" i="3" s="1"/>
  <c r="S240" i="3"/>
  <c r="Z236" i="3"/>
  <c r="Z246" i="3"/>
  <c r="X411" i="3"/>
  <c r="S195" i="3"/>
  <c r="R188" i="3"/>
  <c r="Z188" i="3" s="1"/>
  <c r="S231" i="3"/>
  <c r="R240" i="3"/>
  <c r="R251" i="3"/>
  <c r="I402" i="3"/>
  <c r="Y51" i="3"/>
  <c r="X171" i="3"/>
  <c r="X177" i="3" s="1"/>
  <c r="X106" i="3"/>
  <c r="AE106" i="3" s="1"/>
  <c r="AJ114" i="3"/>
  <c r="AK114" i="3" s="1"/>
  <c r="R153" i="3"/>
  <c r="Z153" i="3" s="1"/>
  <c r="W173" i="3"/>
  <c r="W177" i="3" s="1"/>
  <c r="T195" i="3"/>
  <c r="V183" i="3"/>
  <c r="AA193" i="3"/>
  <c r="W204" i="3"/>
  <c r="T231" i="3"/>
  <c r="R226" i="3"/>
  <c r="Z226" i="3" s="1"/>
  <c r="V240" i="3"/>
  <c r="S251" i="3"/>
  <c r="AA249" i="3"/>
  <c r="W260" i="3"/>
  <c r="W276" i="3"/>
  <c r="X402" i="3"/>
  <c r="I472" i="3"/>
  <c r="I485" i="3"/>
  <c r="AI79" i="3"/>
  <c r="R187" i="3"/>
  <c r="Z187" i="3" s="1"/>
  <c r="V37" i="3"/>
  <c r="AF72" i="3"/>
  <c r="AF73" i="3"/>
  <c r="AE97" i="3"/>
  <c r="V105" i="3"/>
  <c r="R127" i="3"/>
  <c r="AA120" i="3"/>
  <c r="Z131" i="3"/>
  <c r="AA154" i="3"/>
  <c r="AA162" i="3"/>
  <c r="AA163" i="3"/>
  <c r="AM177" i="3"/>
  <c r="U195" i="3"/>
  <c r="Y183" i="3"/>
  <c r="AE183" i="3" s="1"/>
  <c r="AA187" i="3"/>
  <c r="AA188" i="3"/>
  <c r="AM204" i="3"/>
  <c r="U231" i="3"/>
  <c r="W240" i="3"/>
  <c r="T251" i="3"/>
  <c r="V287" i="3"/>
  <c r="I455" i="3"/>
  <c r="AH127" i="3"/>
  <c r="AH130" i="3" s="1"/>
  <c r="S168" i="3"/>
  <c r="AA161" i="3"/>
  <c r="AN177" i="3"/>
  <c r="AA186" i="3"/>
  <c r="AD231" i="3"/>
  <c r="W287" i="3"/>
  <c r="I409" i="3"/>
  <c r="I412" i="3"/>
  <c r="X455" i="3"/>
  <c r="I549" i="3"/>
  <c r="I559" i="3"/>
  <c r="W37" i="3"/>
  <c r="AH55" i="3"/>
  <c r="W79" i="3"/>
  <c r="S127" i="3"/>
  <c r="AI55" i="3"/>
  <c r="AH67" i="3"/>
  <c r="X79" i="3"/>
  <c r="V96" i="3"/>
  <c r="AE105" i="3"/>
  <c r="T127" i="3"/>
  <c r="R136" i="3"/>
  <c r="R143" i="3"/>
  <c r="T168" i="3"/>
  <c r="Y163" i="3"/>
  <c r="Y168" i="3" s="1"/>
  <c r="AH195" i="3"/>
  <c r="AH198" i="3" s="1"/>
  <c r="AH204" i="3" s="1"/>
  <c r="AH231" i="3"/>
  <c r="AH234" i="3" s="1"/>
  <c r="AH240" i="3" s="1"/>
  <c r="X244" i="3"/>
  <c r="I403" i="3"/>
  <c r="I428" i="3"/>
  <c r="I433" i="3" s="1"/>
  <c r="Y455" i="3"/>
  <c r="X465" i="3"/>
  <c r="I470" i="3"/>
  <c r="I474" i="3"/>
  <c r="I493" i="3"/>
  <c r="I510" i="3"/>
  <c r="AE27" i="3"/>
  <c r="AE31" i="3" s="1"/>
  <c r="F367" i="3" s="1"/>
  <c r="I367" i="3" s="1"/>
  <c r="Y79" i="3"/>
  <c r="W96" i="3"/>
  <c r="W100" i="3" s="1"/>
  <c r="AE107" i="3"/>
  <c r="U127" i="3"/>
  <c r="Z125" i="3"/>
  <c r="V136" i="3"/>
  <c r="U168" i="3"/>
  <c r="AA159" i="3"/>
  <c r="AA220" i="3"/>
  <c r="AE221" i="3"/>
  <c r="AI240" i="3"/>
  <c r="AD251" i="3"/>
  <c r="Y245" i="3"/>
  <c r="AE245" i="3" s="1"/>
  <c r="AE72" i="3"/>
  <c r="AF75" i="3"/>
  <c r="AE98" i="3"/>
  <c r="Z114" i="3"/>
  <c r="Z127" i="3" s="1"/>
  <c r="AA115" i="3"/>
  <c r="Z116" i="3"/>
  <c r="Z117" i="3"/>
  <c r="AA158" i="3"/>
  <c r="Z171" i="3"/>
  <c r="Z177" i="3" s="1"/>
  <c r="Z173" i="3"/>
  <c r="R182" i="3"/>
  <c r="Z182" i="3" s="1"/>
  <c r="R204" i="3"/>
  <c r="Z200" i="3"/>
  <c r="AA219" i="3"/>
  <c r="AA222" i="3"/>
  <c r="AA224" i="3"/>
  <c r="AF251" i="3"/>
  <c r="Z256" i="3"/>
  <c r="Z279" i="3"/>
  <c r="Z281" i="3" s="1"/>
  <c r="F351" i="3"/>
  <c r="I351" i="3" s="1"/>
  <c r="F314" i="3"/>
  <c r="I314" i="3" s="1"/>
  <c r="X433" i="3"/>
  <c r="I471" i="3"/>
  <c r="I529" i="3"/>
  <c r="F13" i="3"/>
  <c r="I13" i="3" s="1"/>
  <c r="I19" i="3" s="1"/>
  <c r="F319" i="3"/>
  <c r="I319" i="3" s="1"/>
  <c r="AF127" i="3"/>
  <c r="Z130" i="3"/>
  <c r="Z136" i="3" s="1"/>
  <c r="S136" i="3"/>
  <c r="F311" i="3" s="1"/>
  <c r="I311" i="3" s="1"/>
  <c r="AF195" i="3"/>
  <c r="F326" i="3"/>
  <c r="I326" i="3" s="1"/>
  <c r="S31" i="3"/>
  <c r="W145" i="3"/>
  <c r="Z27" i="3"/>
  <c r="Z31" i="3" s="1"/>
  <c r="AF168" i="3"/>
  <c r="F387" i="3"/>
  <c r="I387" i="3" s="1"/>
  <c r="F388" i="3"/>
  <c r="I388" i="3" s="1"/>
  <c r="F340" i="3"/>
  <c r="I340" i="3" s="1"/>
  <c r="F389" i="3"/>
  <c r="I389" i="3" s="1"/>
  <c r="F375" i="3"/>
  <c r="I375" i="3" s="1"/>
  <c r="F368" i="3"/>
  <c r="I368" i="3" s="1"/>
  <c r="X127" i="3"/>
  <c r="AN136" i="3"/>
  <c r="F357" i="3" s="1"/>
  <c r="I357" i="3" s="1"/>
  <c r="I359" i="3" s="1"/>
  <c r="Z235" i="3"/>
  <c r="F339" i="3"/>
  <c r="I339" i="3" s="1"/>
  <c r="R31" i="3"/>
  <c r="X31" i="3"/>
  <c r="Y38" i="3"/>
  <c r="X39" i="3"/>
  <c r="W40" i="3"/>
  <c r="V41" i="3"/>
  <c r="W49" i="3"/>
  <c r="AF49" i="3" s="1"/>
  <c r="Y50" i="3"/>
  <c r="W52" i="3"/>
  <c r="V53" i="3"/>
  <c r="W61" i="3"/>
  <c r="AF61" i="3" s="1"/>
  <c r="Y62" i="3"/>
  <c r="X63" i="3"/>
  <c r="W64" i="3"/>
  <c r="X109" i="3"/>
  <c r="Y114" i="3"/>
  <c r="AE114" i="3" s="1"/>
  <c r="Y115" i="3"/>
  <c r="AE115" i="3" s="1"/>
  <c r="Y116" i="3"/>
  <c r="AE116" i="3" s="1"/>
  <c r="Y117" i="3"/>
  <c r="AE117" i="3" s="1"/>
  <c r="Y118" i="3"/>
  <c r="AE118" i="3" s="1"/>
  <c r="Y119" i="3"/>
  <c r="AE119" i="3" s="1"/>
  <c r="Y120" i="3"/>
  <c r="AE120" i="3" s="1"/>
  <c r="Y121" i="3"/>
  <c r="AE121" i="3" s="1"/>
  <c r="Y122" i="3"/>
  <c r="AE122" i="3" s="1"/>
  <c r="Y142" i="3"/>
  <c r="Y145" i="3" s="1"/>
  <c r="AJ151" i="3"/>
  <c r="AK151" i="3" s="1"/>
  <c r="AJ152" i="3"/>
  <c r="AK152" i="3" s="1"/>
  <c r="AJ153" i="3"/>
  <c r="AK153" i="3" s="1"/>
  <c r="AJ154" i="3"/>
  <c r="AK154" i="3" s="1"/>
  <c r="AJ155" i="3"/>
  <c r="AK155" i="3" s="1"/>
  <c r="AJ156" i="3"/>
  <c r="AK156" i="3" s="1"/>
  <c r="AJ157" i="3"/>
  <c r="AK157" i="3" s="1"/>
  <c r="AJ158" i="3"/>
  <c r="AK158" i="3" s="1"/>
  <c r="AJ159" i="3"/>
  <c r="AK159" i="3" s="1"/>
  <c r="AJ160" i="3"/>
  <c r="AK160" i="3" s="1"/>
  <c r="AJ161" i="3"/>
  <c r="AK161" i="3" s="1"/>
  <c r="AJ162" i="3"/>
  <c r="AK162" i="3" s="1"/>
  <c r="AJ163" i="3"/>
  <c r="AK163" i="3" s="1"/>
  <c r="AA181" i="3"/>
  <c r="V182" i="3"/>
  <c r="W183" i="3"/>
  <c r="R184" i="3"/>
  <c r="Z184" i="3" s="1"/>
  <c r="X184" i="3"/>
  <c r="Y185" i="3"/>
  <c r="AE185" i="3" s="1"/>
  <c r="AJ186" i="3"/>
  <c r="AK186" i="3" s="1"/>
  <c r="V188" i="3"/>
  <c r="W189" i="3"/>
  <c r="R190" i="3"/>
  <c r="Z190" i="3" s="1"/>
  <c r="X190" i="3"/>
  <c r="Y216" i="3"/>
  <c r="AJ217" i="3"/>
  <c r="AK217" i="3" s="1"/>
  <c r="V219" i="3"/>
  <c r="W220" i="3"/>
  <c r="R221" i="3"/>
  <c r="Z221" i="3" s="1"/>
  <c r="X221" i="3"/>
  <c r="Y222" i="3"/>
  <c r="AE222" i="3" s="1"/>
  <c r="R224" i="3"/>
  <c r="Z224" i="3" s="1"/>
  <c r="X224" i="3"/>
  <c r="Y225" i="3"/>
  <c r="AE225" i="3" s="1"/>
  <c r="AJ226" i="3"/>
  <c r="AK226" i="3" s="1"/>
  <c r="Z234" i="3"/>
  <c r="Z240" i="3" s="1"/>
  <c r="Z244" i="3"/>
  <c r="Z251" i="3" s="1"/>
  <c r="AJ244" i="3"/>
  <c r="AK244" i="3" s="1"/>
  <c r="AK251" i="3" s="1"/>
  <c r="V246" i="3"/>
  <c r="Y276" i="3"/>
  <c r="F350" i="3" s="1"/>
  <c r="I350" i="3" s="1"/>
  <c r="AF284" i="3"/>
  <c r="AF287" i="3" s="1"/>
  <c r="Y405" i="3"/>
  <c r="Y409" i="3"/>
  <c r="Y412" i="3"/>
  <c r="I464" i="3"/>
  <c r="X471" i="3"/>
  <c r="I476" i="3"/>
  <c r="V36" i="3"/>
  <c r="X37" i="3"/>
  <c r="AE37" i="3" s="1"/>
  <c r="Y39" i="3"/>
  <c r="X40" i="3"/>
  <c r="W41" i="3"/>
  <c r="V48" i="3"/>
  <c r="X49" i="3"/>
  <c r="W53" i="3"/>
  <c r="V60" i="3"/>
  <c r="X61" i="3"/>
  <c r="Y63" i="3"/>
  <c r="X64" i="3"/>
  <c r="X100" i="3"/>
  <c r="AJ116" i="3"/>
  <c r="AK116" i="3" s="1"/>
  <c r="AJ117" i="3"/>
  <c r="AK117" i="3" s="1"/>
  <c r="AJ118" i="3"/>
  <c r="AK118" i="3" s="1"/>
  <c r="AJ119" i="3"/>
  <c r="AK119" i="3" s="1"/>
  <c r="AJ120" i="3"/>
  <c r="AK120" i="3" s="1"/>
  <c r="AJ121" i="3"/>
  <c r="AK121" i="3" s="1"/>
  <c r="AJ122" i="3"/>
  <c r="AK122" i="3" s="1"/>
  <c r="AA151" i="3"/>
  <c r="R177" i="3"/>
  <c r="V181" i="3"/>
  <c r="W182" i="3"/>
  <c r="R183" i="3"/>
  <c r="Z183" i="3" s="1"/>
  <c r="X183" i="3"/>
  <c r="Y184" i="3"/>
  <c r="AE184" i="3" s="1"/>
  <c r="AJ185" i="3"/>
  <c r="AK185" i="3" s="1"/>
  <c r="V187" i="3"/>
  <c r="W188" i="3"/>
  <c r="X189" i="3"/>
  <c r="Y190" i="3"/>
  <c r="AE190" i="3" s="1"/>
  <c r="AD195" i="3"/>
  <c r="AN200" i="3"/>
  <c r="AN204" i="3" s="1"/>
  <c r="AJ216" i="3"/>
  <c r="AK216" i="3" s="1"/>
  <c r="W219" i="3"/>
  <c r="AJ222" i="3"/>
  <c r="AK222" i="3" s="1"/>
  <c r="Y224" i="3"/>
  <c r="AE224" i="3" s="1"/>
  <c r="AJ225" i="3"/>
  <c r="AK225" i="3" s="1"/>
  <c r="AN236" i="3"/>
  <c r="AN240" i="3" s="1"/>
  <c r="AA244" i="3"/>
  <c r="V245" i="3"/>
  <c r="W246" i="3"/>
  <c r="AN256" i="3"/>
  <c r="AN260" i="3" s="1"/>
  <c r="R281" i="3"/>
  <c r="F313" i="3" s="1"/>
  <c r="I313" i="3" s="1"/>
  <c r="AA27" i="3"/>
  <c r="AA31" i="3" s="1"/>
  <c r="W36" i="3"/>
  <c r="X41" i="3"/>
  <c r="W48" i="3"/>
  <c r="Y49" i="3"/>
  <c r="X53" i="3"/>
  <c r="W60" i="3"/>
  <c r="Y61" i="3"/>
  <c r="AA114" i="3"/>
  <c r="AI143" i="3"/>
  <c r="AI145" i="3" s="1"/>
  <c r="V151" i="3"/>
  <c r="V152" i="3"/>
  <c r="V153" i="3"/>
  <c r="V154" i="3"/>
  <c r="V155" i="3"/>
  <c r="V156" i="3"/>
  <c r="V157" i="3"/>
  <c r="V158" i="3"/>
  <c r="V159" i="3"/>
  <c r="V160" i="3"/>
  <c r="V161" i="3"/>
  <c r="V162" i="3"/>
  <c r="V163" i="3"/>
  <c r="W181" i="3"/>
  <c r="X182" i="3"/>
  <c r="AJ184" i="3"/>
  <c r="AK184" i="3" s="1"/>
  <c r="V186" i="3"/>
  <c r="W187" i="3"/>
  <c r="X188" i="3"/>
  <c r="AJ190" i="3"/>
  <c r="AK190" i="3" s="1"/>
  <c r="Z198" i="3"/>
  <c r="Z204" i="3" s="1"/>
  <c r="AA216" i="3"/>
  <c r="V217" i="3"/>
  <c r="W218" i="3"/>
  <c r="R219" i="3"/>
  <c r="Z219" i="3" s="1"/>
  <c r="X219" i="3"/>
  <c r="AJ221" i="3"/>
  <c r="AK221" i="3" s="1"/>
  <c r="AJ224" i="3"/>
  <c r="AK224" i="3" s="1"/>
  <c r="V226" i="3"/>
  <c r="V244" i="3"/>
  <c r="W245" i="3"/>
  <c r="X246" i="3"/>
  <c r="Z254" i="3"/>
  <c r="Z260" i="3" s="1"/>
  <c r="Z271" i="3"/>
  <c r="Z284" i="3"/>
  <c r="Z287" i="3" s="1"/>
  <c r="X287" i="3"/>
  <c r="I417" i="3"/>
  <c r="I420" i="3"/>
  <c r="X36" i="3"/>
  <c r="V38" i="3"/>
  <c r="X48" i="3"/>
  <c r="X60" i="3"/>
  <c r="V62" i="3"/>
  <c r="V114" i="3"/>
  <c r="V115" i="3"/>
  <c r="V116" i="3"/>
  <c r="V117" i="3"/>
  <c r="V118" i="3"/>
  <c r="V119" i="3"/>
  <c r="V120" i="3"/>
  <c r="V121" i="3"/>
  <c r="V122" i="3"/>
  <c r="R140" i="3"/>
  <c r="V141" i="3"/>
  <c r="V142" i="3"/>
  <c r="AD142" i="3"/>
  <c r="S143" i="3"/>
  <c r="W151" i="3"/>
  <c r="AE151" i="3"/>
  <c r="W152" i="3"/>
  <c r="AE152" i="3"/>
  <c r="W153" i="3"/>
  <c r="AE153" i="3"/>
  <c r="W154" i="3"/>
  <c r="AE154" i="3"/>
  <c r="W155" i="3"/>
  <c r="AE155" i="3"/>
  <c r="W156" i="3"/>
  <c r="AE156" i="3"/>
  <c r="W157" i="3"/>
  <c r="AE157" i="3"/>
  <c r="W158" i="3"/>
  <c r="AE158" i="3"/>
  <c r="W159" i="3"/>
  <c r="AE159" i="3"/>
  <c r="W160" i="3"/>
  <c r="AE160" i="3"/>
  <c r="W161" i="3"/>
  <c r="AE161" i="3"/>
  <c r="W162" i="3"/>
  <c r="AE162" i="3"/>
  <c r="W163" i="3"/>
  <c r="AD168" i="3"/>
  <c r="R181" i="3"/>
  <c r="X181" i="3"/>
  <c r="Y182" i="3"/>
  <c r="AE182" i="3" s="1"/>
  <c r="V185" i="3"/>
  <c r="W186" i="3"/>
  <c r="AE186" i="3"/>
  <c r="X187" i="3"/>
  <c r="Y188" i="3"/>
  <c r="AE188" i="3" s="1"/>
  <c r="V216" i="3"/>
  <c r="W217" i="3"/>
  <c r="AE217" i="3"/>
  <c r="X218" i="3"/>
  <c r="Y219" i="3"/>
  <c r="AE219" i="3" s="1"/>
  <c r="V222" i="3"/>
  <c r="V225" i="3"/>
  <c r="W226" i="3"/>
  <c r="AE226" i="3"/>
  <c r="W244" i="3"/>
  <c r="AE244" i="3"/>
  <c r="X245" i="3"/>
  <c r="Y246" i="3"/>
  <c r="AE246" i="3" s="1"/>
  <c r="AF273" i="3"/>
  <c r="AF276" i="3" s="1"/>
  <c r="AA284" i="3"/>
  <c r="AA287" i="3" s="1"/>
  <c r="X410" i="3"/>
  <c r="X413" i="3"/>
  <c r="X417" i="3"/>
  <c r="X420" i="3"/>
  <c r="I475" i="3"/>
  <c r="AD31" i="3"/>
  <c r="W38" i="3"/>
  <c r="V39" i="3"/>
  <c r="AF39" i="3" s="1"/>
  <c r="W62" i="3"/>
  <c r="V63" i="3"/>
  <c r="AF63" i="3" s="1"/>
  <c r="V79" i="3"/>
  <c r="W114" i="3"/>
  <c r="W115" i="3"/>
  <c r="W116" i="3"/>
  <c r="W117" i="3"/>
  <c r="W118" i="3"/>
  <c r="W119" i="3"/>
  <c r="W120" i="3"/>
  <c r="W121" i="3"/>
  <c r="W122" i="3"/>
  <c r="AD127" i="3"/>
  <c r="V143" i="3"/>
  <c r="R151" i="3"/>
  <c r="X151" i="3"/>
  <c r="R152" i="3"/>
  <c r="Z152" i="3" s="1"/>
  <c r="X152" i="3"/>
  <c r="X153" i="3"/>
  <c r="R154" i="3"/>
  <c r="Z154" i="3" s="1"/>
  <c r="X154" i="3"/>
  <c r="R155" i="3"/>
  <c r="Z155" i="3" s="1"/>
  <c r="X155" i="3"/>
  <c r="R156" i="3"/>
  <c r="Z156" i="3" s="1"/>
  <c r="X156" i="3"/>
  <c r="R157" i="3"/>
  <c r="Z157" i="3" s="1"/>
  <c r="X157" i="3"/>
  <c r="R158" i="3"/>
  <c r="Z158" i="3" s="1"/>
  <c r="X158" i="3"/>
  <c r="R159" i="3"/>
  <c r="Z159" i="3" s="1"/>
  <c r="X159" i="3"/>
  <c r="R160" i="3"/>
  <c r="Z160" i="3" s="1"/>
  <c r="X160" i="3"/>
  <c r="R161" i="3"/>
  <c r="Z161" i="3" s="1"/>
  <c r="X161" i="3"/>
  <c r="R162" i="3"/>
  <c r="Z162" i="3" s="1"/>
  <c r="X162" i="3"/>
  <c r="R163" i="3"/>
  <c r="Z163" i="3" s="1"/>
  <c r="Y181" i="3"/>
  <c r="AE181" i="3" s="1"/>
  <c r="V184" i="3"/>
  <c r="W185" i="3"/>
  <c r="R186" i="3"/>
  <c r="Z186" i="3" s="1"/>
  <c r="X186" i="3"/>
  <c r="Y187" i="3"/>
  <c r="AE187" i="3" s="1"/>
  <c r="V190" i="3"/>
  <c r="W216" i="3"/>
  <c r="AE216" i="3"/>
  <c r="X217" i="3"/>
  <c r="Y218" i="3"/>
  <c r="AE218" i="3" s="1"/>
  <c r="V221" i="3"/>
  <c r="W222" i="3"/>
  <c r="V224" i="3"/>
  <c r="W225" i="3"/>
  <c r="X226" i="3"/>
  <c r="I405" i="3"/>
  <c r="W184" i="3"/>
  <c r="R185" i="3"/>
  <c r="Z185" i="3" s="1"/>
  <c r="W190" i="3"/>
  <c r="AF216" i="3"/>
  <c r="AF231" i="3" s="1"/>
  <c r="W221" i="3"/>
  <c r="R222" i="3"/>
  <c r="Z222" i="3" s="1"/>
  <c r="W224" i="3"/>
  <c r="R225" i="3"/>
  <c r="Z225" i="3" s="1"/>
  <c r="L169" i="13"/>
  <c r="M169" i="13"/>
  <c r="S25" i="15"/>
  <c r="S27" i="15"/>
  <c r="S28" i="15" s="1"/>
  <c r="G25" i="15"/>
  <c r="G27" i="15"/>
  <c r="G28" i="15" s="1"/>
  <c r="K180" i="13"/>
  <c r="N10" i="14"/>
  <c r="V10" i="14" s="1"/>
  <c r="AY32" i="15"/>
  <c r="AS32" i="15"/>
  <c r="AM32" i="15"/>
  <c r="AH32" i="15"/>
  <c r="BD32" i="15"/>
  <c r="AX32" i="15"/>
  <c r="AX37" i="15" s="1"/>
  <c r="AR32" i="15"/>
  <c r="AL32" i="15"/>
  <c r="BC32" i="15"/>
  <c r="AW32" i="15"/>
  <c r="AQ32" i="15"/>
  <c r="AK32" i="15"/>
  <c r="AK37" i="15" s="1"/>
  <c r="BB32" i="15"/>
  <c r="AV32" i="15"/>
  <c r="AP32" i="15"/>
  <c r="AJ32" i="15"/>
  <c r="BA32" i="15"/>
  <c r="AU32" i="15"/>
  <c r="AU37" i="15" s="1"/>
  <c r="AO32" i="15"/>
  <c r="AI32" i="15"/>
  <c r="AZ32" i="15"/>
  <c r="AT32" i="15"/>
  <c r="AT37" i="15" s="1"/>
  <c r="AN32" i="15"/>
  <c r="U258" i="14"/>
  <c r="R10" i="14"/>
  <c r="R258" i="14" s="1"/>
  <c r="R11" i="14"/>
  <c r="R12" i="14"/>
  <c r="O258" i="14"/>
  <c r="K21" i="15"/>
  <c r="K27" i="15" s="1"/>
  <c r="AB28" i="15"/>
  <c r="AD28" i="15"/>
  <c r="E25" i="15"/>
  <c r="K25" i="15"/>
  <c r="M21" i="15"/>
  <c r="AE28" i="15"/>
  <c r="F25" i="15"/>
  <c r="L25" i="15"/>
  <c r="Q21" i="15"/>
  <c r="Q27" i="15" s="1"/>
  <c r="AZ33" i="15"/>
  <c r="AY33" i="15"/>
  <c r="AS33" i="15"/>
  <c r="AM33" i="15"/>
  <c r="AH33" i="15"/>
  <c r="BD33" i="15"/>
  <c r="AX33" i="15"/>
  <c r="AR33" i="15"/>
  <c r="AL33" i="15"/>
  <c r="BC33" i="15"/>
  <c r="AW33" i="15"/>
  <c r="AQ33" i="15"/>
  <c r="AK33" i="15"/>
  <c r="BB33" i="15"/>
  <c r="AV33" i="15"/>
  <c r="AP33" i="15"/>
  <c r="AJ33" i="15"/>
  <c r="BA33" i="15"/>
  <c r="AU33" i="15"/>
  <c r="AO33" i="15"/>
  <c r="AI33" i="15"/>
  <c r="V8" i="14"/>
  <c r="H25" i="15"/>
  <c r="T25" i="15"/>
  <c r="V21" i="15"/>
  <c r="P21" i="15"/>
  <c r="J21" i="15"/>
  <c r="E21" i="15"/>
  <c r="E27" i="15" s="1"/>
  <c r="U21" i="15"/>
  <c r="U27" i="15" s="1"/>
  <c r="O21" i="15"/>
  <c r="O27" i="15" s="1"/>
  <c r="I21" i="15"/>
  <c r="I27" i="15" s="1"/>
  <c r="T21" i="15"/>
  <c r="T27" i="15" s="1"/>
  <c r="N21" i="15"/>
  <c r="N27" i="15" s="1"/>
  <c r="H21" i="15"/>
  <c r="H27" i="15" s="1"/>
  <c r="R21" i="15"/>
  <c r="R27" i="15" s="1"/>
  <c r="L21" i="15"/>
  <c r="L27" i="15" s="1"/>
  <c r="F21" i="15"/>
  <c r="F27" i="15" s="1"/>
  <c r="W21" i="15"/>
  <c r="W27" i="15" s="1"/>
  <c r="AN33" i="15"/>
  <c r="X21" i="15"/>
  <c r="X27" i="15" s="1"/>
  <c r="Y21" i="15"/>
  <c r="Z21" i="15"/>
  <c r="Z27" i="15" s="1"/>
  <c r="K336" i="25" l="1"/>
  <c r="K160" i="25"/>
  <c r="E160" i="25" s="1"/>
  <c r="H160" i="25" s="1"/>
  <c r="H167" i="25" s="1"/>
  <c r="AF64" i="3"/>
  <c r="AF40" i="3"/>
  <c r="AE109" i="3"/>
  <c r="AH136" i="3"/>
  <c r="F386" i="3" s="1"/>
  <c r="I386" i="3" s="1"/>
  <c r="I391" i="3" s="1"/>
  <c r="F352" i="3"/>
  <c r="I352" i="3" s="1"/>
  <c r="Z143" i="3"/>
  <c r="V109" i="3"/>
  <c r="F312" i="3"/>
  <c r="I312" i="3" s="1"/>
  <c r="Y100" i="3"/>
  <c r="F348" i="3" s="1"/>
  <c r="I348" i="3" s="1"/>
  <c r="AE163" i="3"/>
  <c r="AE168" i="3" s="1"/>
  <c r="Z142" i="3"/>
  <c r="Z276" i="3"/>
  <c r="AF50" i="3"/>
  <c r="W251" i="3"/>
  <c r="AA251" i="3"/>
  <c r="X478" i="3"/>
  <c r="AE79" i="3"/>
  <c r="F323" i="3"/>
  <c r="I323" i="3" s="1"/>
  <c r="F330" i="3"/>
  <c r="I330" i="3" s="1"/>
  <c r="I332" i="3" s="1"/>
  <c r="W109" i="3"/>
  <c r="AK195" i="3"/>
  <c r="Y67" i="3"/>
  <c r="AF106" i="3"/>
  <c r="AA127" i="3"/>
  <c r="AF52" i="3"/>
  <c r="AA195" i="3"/>
  <c r="AF51" i="3"/>
  <c r="F337" i="3"/>
  <c r="I337" i="3" s="1"/>
  <c r="I342" i="3" s="1"/>
  <c r="F325" i="3"/>
  <c r="I325" i="3" s="1"/>
  <c r="AF96" i="3"/>
  <c r="AF100" i="3" s="1"/>
  <c r="W55" i="3"/>
  <c r="AE142" i="3"/>
  <c r="AE145" i="3" s="1"/>
  <c r="X251" i="3"/>
  <c r="AE100" i="3"/>
  <c r="AF65" i="3"/>
  <c r="Y43" i="3"/>
  <c r="AF79" i="3"/>
  <c r="X231" i="3"/>
  <c r="AF105" i="3"/>
  <c r="Y55" i="3"/>
  <c r="F310" i="3"/>
  <c r="I310" i="3" s="1"/>
  <c r="V100" i="3"/>
  <c r="V145" i="3"/>
  <c r="V251" i="3"/>
  <c r="AA231" i="3"/>
  <c r="AK127" i="3"/>
  <c r="F362" i="3" s="1"/>
  <c r="I362" i="3" s="1"/>
  <c r="I364" i="3" s="1"/>
  <c r="F309" i="3"/>
  <c r="I309" i="3" s="1"/>
  <c r="AA168" i="3"/>
  <c r="AF37" i="3"/>
  <c r="AE195" i="3"/>
  <c r="H28" i="15"/>
  <c r="E28" i="15"/>
  <c r="N25" i="15"/>
  <c r="H29" i="4"/>
  <c r="U25" i="15"/>
  <c r="X195" i="3"/>
  <c r="AF142" i="3"/>
  <c r="AF145" i="3" s="1"/>
  <c r="AD145" i="3"/>
  <c r="V127" i="3"/>
  <c r="V168" i="3"/>
  <c r="V195" i="3"/>
  <c r="S145" i="3"/>
  <c r="Y251" i="3"/>
  <c r="N28" i="15"/>
  <c r="J27" i="15"/>
  <c r="J25" i="15"/>
  <c r="AN37" i="15"/>
  <c r="BA37" i="15"/>
  <c r="AQ37" i="15"/>
  <c r="O25" i="15"/>
  <c r="AE127" i="3"/>
  <c r="F371" i="3" s="1"/>
  <c r="I371" i="3" s="1"/>
  <c r="AE251" i="3"/>
  <c r="Z181" i="3"/>
  <c r="Z195" i="3" s="1"/>
  <c r="R195" i="3"/>
  <c r="AF62" i="3"/>
  <c r="AE61" i="3"/>
  <c r="AK168" i="3"/>
  <c r="F345" i="3"/>
  <c r="I345" i="3" s="1"/>
  <c r="R231" i="3"/>
  <c r="T28" i="15"/>
  <c r="P27" i="15"/>
  <c r="P28" i="15" s="1"/>
  <c r="P25" i="15"/>
  <c r="V258" i="14"/>
  <c r="N258" i="14"/>
  <c r="K28" i="15"/>
  <c r="AJ37" i="15"/>
  <c r="AW37" i="15"/>
  <c r="AH37" i="15"/>
  <c r="I25" i="15"/>
  <c r="AE231" i="3"/>
  <c r="W127" i="3"/>
  <c r="AE60" i="3"/>
  <c r="X67" i="3"/>
  <c r="V67" i="3"/>
  <c r="AF60" i="3"/>
  <c r="I478" i="3"/>
  <c r="F28" i="15"/>
  <c r="I28" i="15"/>
  <c r="V27" i="15"/>
  <c r="V28" i="15" s="1"/>
  <c r="V25" i="15"/>
  <c r="M25" i="15"/>
  <c r="M27" i="15"/>
  <c r="M28" i="15" s="1"/>
  <c r="AZ37" i="15"/>
  <c r="AP37" i="15"/>
  <c r="BC37" i="15"/>
  <c r="AM37" i="15"/>
  <c r="W231" i="3"/>
  <c r="R145" i="3"/>
  <c r="Z140" i="3"/>
  <c r="AE48" i="3"/>
  <c r="X55" i="3"/>
  <c r="W43" i="3"/>
  <c r="AK231" i="3"/>
  <c r="AF41" i="3"/>
  <c r="L28" i="15"/>
  <c r="O28" i="15"/>
  <c r="Z25" i="15"/>
  <c r="Z26" i="15" s="1"/>
  <c r="X25" i="15"/>
  <c r="X26" i="15" s="1"/>
  <c r="W25" i="15"/>
  <c r="W28" i="15" s="1"/>
  <c r="AI37" i="15"/>
  <c r="AV37" i="15"/>
  <c r="AL37" i="15"/>
  <c r="AS37" i="15"/>
  <c r="X168" i="3"/>
  <c r="W168" i="3"/>
  <c r="AF38" i="3"/>
  <c r="W67" i="3"/>
  <c r="AE49" i="3"/>
  <c r="V43" i="3"/>
  <c r="AF36" i="3"/>
  <c r="Y25" i="15"/>
  <c r="Y26" i="15" s="1"/>
  <c r="Y27" i="15"/>
  <c r="R28" i="15"/>
  <c r="U28" i="15"/>
  <c r="R25" i="15"/>
  <c r="Q25" i="15"/>
  <c r="Q28" i="15" s="1"/>
  <c r="AO37" i="15"/>
  <c r="BB37" i="15"/>
  <c r="AR37" i="15"/>
  <c r="AY37" i="15"/>
  <c r="Y195" i="3"/>
  <c r="R168" i="3"/>
  <c r="Z151" i="3"/>
  <c r="Z168" i="3" s="1"/>
  <c r="V231" i="3"/>
  <c r="AE36" i="3"/>
  <c r="AE43" i="3" s="1"/>
  <c r="X43" i="3"/>
  <c r="W195" i="3"/>
  <c r="V55" i="3"/>
  <c r="AF48" i="3"/>
  <c r="Y231" i="3"/>
  <c r="Y127" i="3"/>
  <c r="F349" i="3" s="1"/>
  <c r="I349" i="3" s="1"/>
  <c r="AF53" i="3"/>
  <c r="K339" i="25" l="1"/>
  <c r="H348" i="25" s="1"/>
  <c r="Z145" i="3"/>
  <c r="AF109" i="3"/>
  <c r="F346" i="3"/>
  <c r="I346" i="3" s="1"/>
  <c r="AF67" i="3"/>
  <c r="I316" i="3"/>
  <c r="F381" i="3"/>
  <c r="I381" i="3" s="1"/>
  <c r="I383" i="3" s="1"/>
  <c r="AE67" i="3"/>
  <c r="F321" i="3"/>
  <c r="I321" i="3" s="1"/>
  <c r="AF55" i="3"/>
  <c r="AF43" i="3"/>
  <c r="F376" i="3" s="1"/>
  <c r="I376" i="3" s="1"/>
  <c r="I378" i="3" s="1"/>
  <c r="J28" i="15"/>
  <c r="F322" i="3"/>
  <c r="I322" i="3" s="1"/>
  <c r="Y28" i="15"/>
  <c r="BD37" i="15"/>
  <c r="H24" i="4"/>
  <c r="I354" i="3"/>
  <c r="X28" i="15"/>
  <c r="AF28" i="15" s="1"/>
  <c r="H12" i="4"/>
  <c r="H33" i="4" s="1"/>
  <c r="Z28" i="15"/>
  <c r="F320" i="3"/>
  <c r="I320" i="3" s="1"/>
  <c r="AE55" i="3"/>
  <c r="H27" i="4"/>
  <c r="H367" i="25" l="1"/>
  <c r="E20" i="1" s="1"/>
  <c r="I328" i="3"/>
  <c r="I458" i="3"/>
  <c r="I460" i="3" s="1"/>
  <c r="H15" i="4"/>
  <c r="H20" i="4" l="1"/>
  <c r="E23" i="1" l="1"/>
  <c r="E37" i="1" l="1"/>
  <c r="E43" i="1" s="1"/>
  <c r="E46" i="1" s="1"/>
</calcChain>
</file>

<file path=xl/sharedStrings.xml><?xml version="1.0" encoding="utf-8"?>
<sst xmlns="http://schemas.openxmlformats.org/spreadsheetml/2006/main" count="4177" uniqueCount="1699">
  <si>
    <t>GENERAL SUMMARY</t>
  </si>
  <si>
    <t>ITEM</t>
  </si>
  <si>
    <t>ITEM DESCRIPTION</t>
  </si>
  <si>
    <t>AMOUNT</t>
  </si>
  <si>
    <t>REF.</t>
  </si>
  <si>
    <t>( R.O. )</t>
  </si>
  <si>
    <t xml:space="preserve">BILL NO. 1    PRELIMINARIES </t>
  </si>
  <si>
    <t>BILL NO. 3   Main building</t>
  </si>
  <si>
    <t>BILL NO. 4    Ancillary Structures</t>
  </si>
  <si>
    <t>BILL NO. 5    Electrical &amp; ELV</t>
  </si>
  <si>
    <t>BILL NO. 6    Plumbing Work</t>
  </si>
  <si>
    <t>TOTAL AMOUNT (RO.)</t>
  </si>
  <si>
    <t>TOTAL CARRIED TO LITTER OF TENDER</t>
  </si>
  <si>
    <t xml:space="preserve"> </t>
  </si>
  <si>
    <t>QTY.</t>
  </si>
  <si>
    <t>UNIT</t>
  </si>
  <si>
    <t>RATE</t>
  </si>
  <si>
    <t>Calculated Qty</t>
  </si>
  <si>
    <t>CIVIL WORKS</t>
  </si>
  <si>
    <t>SUBSTRUCTURE</t>
  </si>
  <si>
    <t>Note:- Substructure Quantities are measured up to Ground Floor level except Finishes</t>
  </si>
  <si>
    <t>Excavation</t>
  </si>
  <si>
    <t>A</t>
  </si>
  <si>
    <t>Site preparation, removing 200mm depth top soil, clearing shrubs including cart away etc.</t>
  </si>
  <si>
    <r>
      <rPr>
        <sz val="11"/>
        <color theme="1"/>
        <rFont val="Georgia"/>
        <family val="1"/>
      </rPr>
      <t>m</t>
    </r>
    <r>
      <rPr>
        <vertAlign val="superscript"/>
        <sz val="11"/>
        <color theme="1"/>
        <rFont val="Georgia"/>
        <family val="1"/>
      </rPr>
      <t>2</t>
    </r>
  </si>
  <si>
    <t>B</t>
  </si>
  <si>
    <t>Excavation to reduce level including to receive pits for the foundations</t>
  </si>
  <si>
    <r>
      <rPr>
        <sz val="11"/>
        <color theme="1"/>
        <rFont val="Georgia"/>
        <family val="1"/>
      </rPr>
      <t>m</t>
    </r>
    <r>
      <rPr>
        <vertAlign val="superscript"/>
        <sz val="11"/>
        <color theme="1"/>
        <rFont val="Georgia"/>
        <family val="1"/>
      </rPr>
      <t>3</t>
    </r>
  </si>
  <si>
    <t>C</t>
  </si>
  <si>
    <t>Extra over for excavating in rock</t>
  </si>
  <si>
    <t>Filling and Removals</t>
  </si>
  <si>
    <t>D</t>
  </si>
  <si>
    <t>E</t>
  </si>
  <si>
    <t>F</t>
  </si>
  <si>
    <t xml:space="preserve">Remove unsuitable excavated material and cart away to Municipal approved dumping yard </t>
  </si>
  <si>
    <t>To Collection</t>
  </si>
  <si>
    <t>R.O.</t>
  </si>
  <si>
    <t>Substructure (Cont'd)</t>
  </si>
  <si>
    <t>Anti-termite barrier</t>
  </si>
  <si>
    <t xml:space="preserve">Concrete Work </t>
  </si>
  <si>
    <t>SRC plain poured pre-mixed concrete, Grade 15N/mm² including placing, curing, cube tests and form work as required.</t>
  </si>
  <si>
    <t>Blinding  Concrete</t>
  </si>
  <si>
    <t xml:space="preserve">SRC reinforced pre-mixed cement concrete, Grade 40N/mm² as specified including placing, vibrating, curing and cube tests, etc., </t>
  </si>
  <si>
    <r>
      <rPr>
        <sz val="11"/>
        <color theme="1"/>
        <rFont val="Georgia"/>
        <family val="1"/>
      </rPr>
      <t xml:space="preserve">Columns </t>
    </r>
  </si>
  <si>
    <t>RCC Lift wall/Core wall</t>
  </si>
  <si>
    <t>Shear Wall</t>
  </si>
  <si>
    <t>Formwork</t>
  </si>
  <si>
    <t>Foundations</t>
  </si>
  <si>
    <t>Plinth Beams</t>
  </si>
  <si>
    <t>Ramp</t>
  </si>
  <si>
    <t>Reinforcement Works</t>
  </si>
  <si>
    <r>
      <rPr>
        <sz val="11"/>
        <color theme="1"/>
        <rFont val="Georgia"/>
        <family val="1"/>
      </rPr>
      <t>High yield steel deformed bar reinforcement BS 4449 (</t>
    </r>
    <r>
      <rPr>
        <b/>
        <sz val="11"/>
        <color theme="1"/>
        <rFont val="Georgia"/>
        <family val="1"/>
      </rPr>
      <t>Grade Fe 500</t>
    </r>
    <r>
      <rPr>
        <sz val="11"/>
        <color theme="1"/>
        <rFont val="Georgia"/>
        <family val="1"/>
      </rPr>
      <t>) of all including cutting, bending, fixing in position, binding wire, chairs, spacers, extra bars at cutouts/opening and protection against rusting etc as per structural drawing and schedule</t>
    </r>
  </si>
  <si>
    <t>Kg</t>
  </si>
  <si>
    <t>G</t>
  </si>
  <si>
    <t>H</t>
  </si>
  <si>
    <t>J</t>
  </si>
  <si>
    <t>K</t>
  </si>
  <si>
    <t>L</t>
  </si>
  <si>
    <t>M</t>
  </si>
  <si>
    <t>Moisture Protection</t>
  </si>
  <si>
    <t>1000 gauge polythene sheet membrane with double welt folded joints</t>
  </si>
  <si>
    <r>
      <rPr>
        <sz val="11"/>
        <color theme="1"/>
        <rFont val="Georgia"/>
        <family val="1"/>
      </rPr>
      <t xml:space="preserve">Two coats of fibre reinforced high build bitumen protective coating over the concrete and block surfaces below ground to achieve an overall </t>
    </r>
    <r>
      <rPr>
        <b/>
        <sz val="11"/>
        <color theme="1"/>
        <rFont val="Georgia"/>
        <family val="1"/>
      </rPr>
      <t>DFT of 750 microns</t>
    </r>
    <r>
      <rPr>
        <sz val="11"/>
        <color theme="1"/>
        <rFont val="Georgia"/>
        <family val="1"/>
      </rPr>
      <t xml:space="preserve"> </t>
    </r>
  </si>
  <si>
    <t>Damp proof course</t>
  </si>
  <si>
    <t>3 mm thick bituminised fibre felt damp proof course over the ground beams or grade slabs for blockwork (External wall)</t>
  </si>
  <si>
    <t>SUPERSTRUCTURE</t>
  </si>
  <si>
    <t>Concrete Works</t>
  </si>
  <si>
    <t>Ordinary reinforced pre-mixed cement concrete Grade 40N/mm² including placing, vibrating, curing and cube tests etc. all complete with grooves/ recess/patterns as indicated in the Drawings</t>
  </si>
  <si>
    <t>Columns</t>
  </si>
  <si>
    <t>RCC Walls</t>
  </si>
  <si>
    <t xml:space="preserve"> Slab, PT slab</t>
  </si>
  <si>
    <t>Beams</t>
  </si>
  <si>
    <t>Lintels and window sills</t>
  </si>
  <si>
    <t>Staircases</t>
  </si>
  <si>
    <t>Columns for future extension (1.50m high)</t>
  </si>
  <si>
    <t>Concrete pedestal</t>
  </si>
  <si>
    <t>Allow for concrete pedestal for AC outdoor unit, dish antenna, water tanks and other electro mechanical services including  formwork, nominal reinforcement etc all complete as indicated in the drawings</t>
  </si>
  <si>
    <t>Item</t>
  </si>
  <si>
    <t>Cast in place Light weight concrete element As per elevation and details (Average thickness 650mm</t>
  </si>
  <si>
    <t xml:space="preserve">Reinforcement Works </t>
  </si>
  <si>
    <t>Kgs</t>
  </si>
  <si>
    <t>RCC Walls (fair face)</t>
  </si>
  <si>
    <t>Conventional Slabs (fair face), PT Slab</t>
  </si>
  <si>
    <t>Beams (fair face)</t>
  </si>
  <si>
    <t>N</t>
  </si>
  <si>
    <t>Parapet Wall /Copping Beams</t>
  </si>
  <si>
    <t>P</t>
  </si>
  <si>
    <t>Staircases (fair face)</t>
  </si>
  <si>
    <t>Q</t>
  </si>
  <si>
    <t>Columns for future extension (fair face)</t>
  </si>
  <si>
    <t>MASONRY WORKS</t>
  </si>
  <si>
    <t>Masonry works in cement sand mortar (1:4) including wall ties, laying, finishing, Concrete filling in hollow blocks at both side of Joinery to receive Door &amp; Windows, curing etc. all complete as indicated in the drawings and as specified</t>
  </si>
  <si>
    <t xml:space="preserve">100 mm thick precast concrete hollow block work walls </t>
  </si>
  <si>
    <t xml:space="preserve">200 mm thick precast concrete hollow block work walls </t>
  </si>
  <si>
    <t>200 mm thick precast concrete hollow block work walls (Parapet wall)</t>
  </si>
  <si>
    <t xml:space="preserve">300 mm thick precast concrete hollow block work walls </t>
  </si>
  <si>
    <t>m</t>
  </si>
  <si>
    <t>Metal Work (Cont'd).</t>
  </si>
  <si>
    <t>Staircase Handrail</t>
  </si>
  <si>
    <t>Supply &amp; fixing of Polished SS Handrail (316 grade) including supports, etc., all complete as per detailed drawings and as specified</t>
  </si>
  <si>
    <t xml:space="preserve">For Staircases &amp; Ramp at basement level only </t>
  </si>
  <si>
    <t>Internally staiarcase Floor mounted Handrail average 900mm High</t>
  </si>
  <si>
    <r>
      <rPr>
        <sz val="11"/>
        <color theme="1"/>
        <rFont val="Georgia"/>
        <family val="1"/>
      </rPr>
      <t>Internally Staircase handrail (Wall mounted</t>
    </r>
    <r>
      <rPr>
        <b/>
        <sz val="11"/>
        <color theme="1"/>
        <rFont val="Georgia"/>
        <family val="1"/>
      </rPr>
      <t>)</t>
    </r>
    <r>
      <rPr>
        <b/>
        <sz val="11"/>
        <color rgb="FFFF0000"/>
        <rFont val="Georgia"/>
        <family val="1"/>
      </rPr>
      <t>- If Required</t>
    </r>
  </si>
  <si>
    <t>Aluminum Louvers</t>
  </si>
  <si>
    <t>Supply &amp; fixing of aluminum CHARCOAL POWDER COATED SS HOLLOW SECTION LOUVERS SIZE - 50mmX100mm including supports, etc., all complete as per detailed drawings and as specified (As per elevation drawings)</t>
  </si>
  <si>
    <t>Size :1500mm wide</t>
  </si>
  <si>
    <t>Rm</t>
  </si>
  <si>
    <t>Supply &amp; fixing of aluminum CHARCOAL POWDER COATED SS HOLLOW SECTION LOUVERS SIZE - 30mmX18mm including supports, etc., all complete as per detailed drawings and as specified (As per elevation drawings)</t>
  </si>
  <si>
    <t>Size :3000mm  High</t>
  </si>
  <si>
    <t>Supply &amp; fixing of CNC METAL SCREEN - UNEQUAL SIZES GARDEX WHITE PAINT FINISH ANTI RUST (MATT) ANTI GLOSS including supports, etc., all complete as per detailed drawings and as specified (As per elevation drawings)</t>
  </si>
  <si>
    <t>Sq.m</t>
  </si>
  <si>
    <t>Glass Railing</t>
  </si>
  <si>
    <t>Size :1100mm  High</t>
  </si>
  <si>
    <t>Doors &amp; Windows</t>
  </si>
  <si>
    <t>Wooden Doors</t>
  </si>
  <si>
    <t>Supply and fixing of Wooden doors including  ironmongery, etc. all complete as detailed in  the drawings</t>
  </si>
  <si>
    <t>No.</t>
  </si>
  <si>
    <t>I</t>
  </si>
  <si>
    <t>O</t>
  </si>
  <si>
    <t>R</t>
  </si>
  <si>
    <t>S</t>
  </si>
  <si>
    <t>T</t>
  </si>
  <si>
    <t>Nos</t>
  </si>
  <si>
    <t>Doors &amp; Windows (Cont'd).</t>
  </si>
  <si>
    <t>Aluminium Windows</t>
  </si>
  <si>
    <t>Supply and fixing of Powder coated aluminium windows including fixed glazing panel, frame, architraves, flymesh screen, stops beads, gasket, sealing, ironmongery etc. all complete as per drawings, as specified and to the approval of the Engineer</t>
  </si>
  <si>
    <t>THERMAL AND MOISTURE PROTECTION</t>
  </si>
  <si>
    <t xml:space="preserve">Waterproofing for Pantry, Wash room &amp;  Toilet </t>
  </si>
  <si>
    <r>
      <rPr>
        <sz val="11"/>
        <color theme="1"/>
        <rFont val="Georgia"/>
        <family val="1"/>
      </rPr>
      <t xml:space="preserve">Supply and apply  waterproofing  system with elastomeric cement based coating system with </t>
    </r>
    <r>
      <rPr>
        <b/>
        <sz val="11"/>
        <color theme="1"/>
        <rFont val="Georgia"/>
        <family val="1"/>
      </rPr>
      <t>10 years guarantee</t>
    </r>
    <r>
      <rPr>
        <sz val="11"/>
        <color theme="1"/>
        <rFont val="Georgia"/>
        <family val="1"/>
      </rPr>
      <t xml:space="preserve"> from the applicator &amp; manufacturer jointly as specified</t>
    </r>
  </si>
  <si>
    <t>Waterproofing system for Roof</t>
  </si>
  <si>
    <t>Finishes</t>
  </si>
  <si>
    <t>Backgrounds</t>
  </si>
  <si>
    <t>Finishes (Cont'd)</t>
  </si>
  <si>
    <t>Finishes (Cont'd).</t>
  </si>
  <si>
    <t>Floor and Wall Tiling</t>
  </si>
  <si>
    <t>Supply and fixing of Porcelain skirting with approved tile adhesive and joints epoxy grouting  all complete as specified and to the approval of the Engineer (Prime cost R.O 2.000/m)</t>
  </si>
  <si>
    <t>steps</t>
  </si>
  <si>
    <t>Sundries</t>
  </si>
  <si>
    <t>TOTAL FOR BILL NO. 3 Main building CARRIED TO GENERAL SUMMARY</t>
  </si>
  <si>
    <t>PROJECT:- RESIDENTIAL / COMMERCIAL
BUILDING</t>
  </si>
  <si>
    <t>SUB:- Main bld measurement</t>
  </si>
  <si>
    <t>Blindings or P.C.C</t>
  </si>
  <si>
    <t>RCC works</t>
  </si>
  <si>
    <t>Polythene sheet</t>
  </si>
  <si>
    <t>Water proofing to RCC</t>
  </si>
  <si>
    <t>isolation joint</t>
  </si>
  <si>
    <t>Solid blockworks</t>
  </si>
  <si>
    <t>S.No</t>
  </si>
  <si>
    <t>Description</t>
  </si>
  <si>
    <t>Unit</t>
  </si>
  <si>
    <t>No</t>
  </si>
  <si>
    <t>Qty</t>
  </si>
  <si>
    <t>If Irregular Area of Concrete</t>
  </si>
  <si>
    <t>If Irregular perimeter form works</t>
  </si>
  <si>
    <t>Remarks</t>
  </si>
  <si>
    <t>Blindings</t>
  </si>
  <si>
    <t>Concrete</t>
  </si>
  <si>
    <t>Shuttering</t>
  </si>
  <si>
    <t>Bottom of P.C.C</t>
  </si>
  <si>
    <t>Sides of P.C.C</t>
  </si>
  <si>
    <t>Bottom of RCC</t>
  </si>
  <si>
    <t>Sides of RCC</t>
  </si>
  <si>
    <t>Top of RCC</t>
  </si>
  <si>
    <t>sides of grade slab and plinth</t>
  </si>
  <si>
    <t>Masonry works</t>
  </si>
  <si>
    <t>BRC mesh</t>
  </si>
  <si>
    <t>Construction joint</t>
  </si>
  <si>
    <t>PCC</t>
  </si>
  <si>
    <t>RCC</t>
  </si>
  <si>
    <t>Thk</t>
  </si>
  <si>
    <t>Offset</t>
  </si>
  <si>
    <r>
      <rPr>
        <sz val="10"/>
        <color theme="1"/>
        <rFont val="Arial"/>
        <family val="2"/>
      </rPr>
      <t>P.C.C shape ''m</t>
    </r>
    <r>
      <rPr>
        <vertAlign val="superscript"/>
        <sz val="12"/>
        <color theme="1"/>
        <rFont val="Calibri"/>
        <family val="2"/>
      </rPr>
      <t>3</t>
    </r>
    <r>
      <rPr>
        <sz val="10"/>
        <color theme="1"/>
        <rFont val="Arial"/>
        <family val="2"/>
      </rPr>
      <t>''</t>
    </r>
  </si>
  <si>
    <r>
      <rPr>
        <sz val="10"/>
        <color theme="1"/>
        <rFont val="Arial"/>
        <family val="2"/>
      </rPr>
      <t>P.C.C Irregular ''m</t>
    </r>
    <r>
      <rPr>
        <vertAlign val="superscript"/>
        <sz val="11"/>
        <color theme="1"/>
        <rFont val="Calibri"/>
        <family val="2"/>
      </rPr>
      <t>3</t>
    </r>
    <r>
      <rPr>
        <sz val="10"/>
        <color theme="1"/>
        <rFont val="Arial"/>
        <family val="2"/>
      </rPr>
      <t>''</t>
    </r>
  </si>
  <si>
    <r>
      <rPr>
        <sz val="10"/>
        <color theme="1"/>
        <rFont val="Arial"/>
        <family val="2"/>
      </rPr>
      <t>P.C.C shape ''m</t>
    </r>
    <r>
      <rPr>
        <vertAlign val="superscript"/>
        <sz val="11"/>
        <color theme="1"/>
        <rFont val="Calibri"/>
        <family val="2"/>
      </rPr>
      <t>2</t>
    </r>
    <r>
      <rPr>
        <sz val="10"/>
        <color theme="1"/>
        <rFont val="Arial"/>
        <family val="2"/>
      </rPr>
      <t>''</t>
    </r>
  </si>
  <si>
    <r>
      <rPr>
        <sz val="10"/>
        <color theme="1"/>
        <rFont val="Arial"/>
        <family val="2"/>
      </rPr>
      <t>P.C.C Irregular ''m</t>
    </r>
    <r>
      <rPr>
        <vertAlign val="superscript"/>
        <sz val="11"/>
        <color theme="1"/>
        <rFont val="Calibri"/>
        <family val="2"/>
      </rPr>
      <t>2</t>
    </r>
    <r>
      <rPr>
        <sz val="10"/>
        <color theme="1"/>
        <rFont val="Arial"/>
        <family val="2"/>
      </rPr>
      <t>''</t>
    </r>
  </si>
  <si>
    <r>
      <rPr>
        <sz val="10"/>
        <color theme="1"/>
        <rFont val="Arial"/>
        <family val="2"/>
      </rPr>
      <t>R.C.C shape ''m</t>
    </r>
    <r>
      <rPr>
        <vertAlign val="superscript"/>
        <sz val="12"/>
        <color theme="1"/>
        <rFont val="Calibri"/>
        <family val="2"/>
      </rPr>
      <t>3</t>
    </r>
    <r>
      <rPr>
        <sz val="10"/>
        <color theme="1"/>
        <rFont val="Arial"/>
        <family val="2"/>
      </rPr>
      <t>''</t>
    </r>
  </si>
  <si>
    <r>
      <rPr>
        <sz val="10"/>
        <color theme="1"/>
        <rFont val="Arial"/>
        <family val="2"/>
      </rPr>
      <t>R.C.C Irregular ''m</t>
    </r>
    <r>
      <rPr>
        <vertAlign val="superscript"/>
        <sz val="11"/>
        <color theme="1"/>
        <rFont val="Calibri"/>
        <family val="2"/>
      </rPr>
      <t>3</t>
    </r>
    <r>
      <rPr>
        <sz val="10"/>
        <color theme="1"/>
        <rFont val="Arial"/>
        <family val="2"/>
      </rPr>
      <t>''</t>
    </r>
  </si>
  <si>
    <r>
      <rPr>
        <sz val="10"/>
        <color theme="1"/>
        <rFont val="Arial"/>
        <family val="2"/>
      </rPr>
      <t>R.C.C shape ''m</t>
    </r>
    <r>
      <rPr>
        <vertAlign val="superscript"/>
        <sz val="11"/>
        <color theme="1"/>
        <rFont val="Calibri"/>
        <family val="2"/>
      </rPr>
      <t>2</t>
    </r>
    <r>
      <rPr>
        <sz val="10"/>
        <color theme="1"/>
        <rFont val="Arial"/>
        <family val="2"/>
      </rPr>
      <t>''</t>
    </r>
  </si>
  <si>
    <r>
      <rPr>
        <sz val="10"/>
        <color theme="1"/>
        <rFont val="Arial"/>
        <family val="2"/>
      </rPr>
      <t>R.C.C Irregular ''m</t>
    </r>
    <r>
      <rPr>
        <vertAlign val="superscript"/>
        <sz val="11"/>
        <color theme="1"/>
        <rFont val="Calibri"/>
        <family val="2"/>
      </rPr>
      <t>2</t>
    </r>
    <r>
      <rPr>
        <sz val="10"/>
        <color theme="1"/>
        <rFont val="Arial"/>
        <family val="2"/>
      </rPr>
      <t>''</t>
    </r>
  </si>
  <si>
    <r>
      <rPr>
        <sz val="10"/>
        <color theme="1"/>
        <rFont val="Arial"/>
        <family val="2"/>
      </rPr>
      <t>Bottom''m</t>
    </r>
    <r>
      <rPr>
        <vertAlign val="superscript"/>
        <sz val="11"/>
        <color theme="1"/>
        <rFont val="Calibri"/>
        <family val="2"/>
      </rPr>
      <t>2</t>
    </r>
    <r>
      <rPr>
        <sz val="10"/>
        <color theme="1"/>
        <rFont val="Arial"/>
        <family val="2"/>
      </rPr>
      <t>''</t>
    </r>
  </si>
  <si>
    <r>
      <rPr>
        <sz val="10"/>
        <color theme="1"/>
        <rFont val="Arial"/>
        <family val="2"/>
      </rPr>
      <t>Sides and Top''m</t>
    </r>
    <r>
      <rPr>
        <vertAlign val="superscript"/>
        <sz val="11"/>
        <color theme="1"/>
        <rFont val="Calibri"/>
        <family val="2"/>
      </rPr>
      <t>2</t>
    </r>
    <r>
      <rPr>
        <sz val="10"/>
        <color theme="1"/>
        <rFont val="Arial"/>
        <family val="2"/>
      </rPr>
      <t>''</t>
    </r>
  </si>
  <si>
    <r>
      <rPr>
        <sz val="10"/>
        <color theme="1"/>
        <rFont val="Arial"/>
        <family val="2"/>
      </rPr>
      <t>Bottom''m</t>
    </r>
    <r>
      <rPr>
        <vertAlign val="superscript"/>
        <sz val="11"/>
        <color theme="1"/>
        <rFont val="Calibri"/>
        <family val="2"/>
      </rPr>
      <t>2</t>
    </r>
    <r>
      <rPr>
        <sz val="10"/>
        <color theme="1"/>
        <rFont val="Arial"/>
        <family val="2"/>
      </rPr>
      <t>''</t>
    </r>
  </si>
  <si>
    <r>
      <rPr>
        <sz val="10"/>
        <color theme="1"/>
        <rFont val="Arial"/>
        <family val="2"/>
      </rPr>
      <t>Sides''m</t>
    </r>
    <r>
      <rPr>
        <vertAlign val="superscript"/>
        <sz val="11"/>
        <color theme="1"/>
        <rFont val="Calibri"/>
        <family val="2"/>
      </rPr>
      <t>2</t>
    </r>
    <r>
      <rPr>
        <sz val="10"/>
        <color theme="1"/>
        <rFont val="Arial"/>
        <family val="2"/>
      </rPr>
      <t>''</t>
    </r>
  </si>
  <si>
    <r>
      <rPr>
        <sz val="10"/>
        <color theme="1"/>
        <rFont val="Arial"/>
        <family val="2"/>
      </rPr>
      <t>Top''m</t>
    </r>
    <r>
      <rPr>
        <vertAlign val="superscript"/>
        <sz val="11"/>
        <color theme="1"/>
        <rFont val="Calibri"/>
        <family val="2"/>
      </rPr>
      <t>2</t>
    </r>
    <r>
      <rPr>
        <sz val="10"/>
        <color theme="1"/>
        <rFont val="Arial"/>
        <family val="2"/>
      </rPr>
      <t>''</t>
    </r>
  </si>
  <si>
    <t>R.C.C shape ''m''</t>
  </si>
  <si>
    <t>R.C.C Irregular ''m''</t>
  </si>
  <si>
    <t xml:space="preserve">Externally </t>
  </si>
  <si>
    <t>Internally</t>
  </si>
  <si>
    <r>
      <rPr>
        <sz val="10"/>
        <color theme="1"/>
        <rFont val="Arial"/>
        <family val="2"/>
      </rPr>
      <t>R.C.C shape ''m</t>
    </r>
    <r>
      <rPr>
        <vertAlign val="superscript"/>
        <sz val="11"/>
        <color theme="1"/>
        <rFont val="Calibri"/>
        <family val="2"/>
      </rPr>
      <t>2</t>
    </r>
    <r>
      <rPr>
        <sz val="10"/>
        <color theme="1"/>
        <rFont val="Arial"/>
        <family val="2"/>
      </rPr>
      <t>''</t>
    </r>
  </si>
  <si>
    <r>
      <rPr>
        <sz val="10"/>
        <color theme="1"/>
        <rFont val="Arial"/>
        <family val="2"/>
      </rPr>
      <t>R.C.C Irregular ''m</t>
    </r>
    <r>
      <rPr>
        <vertAlign val="superscript"/>
        <sz val="11"/>
        <color theme="1"/>
        <rFont val="Calibri"/>
        <family val="2"/>
      </rPr>
      <t>2</t>
    </r>
    <r>
      <rPr>
        <sz val="10"/>
        <color theme="1"/>
        <rFont val="Arial"/>
        <family val="2"/>
      </rPr>
      <t>''</t>
    </r>
  </si>
  <si>
    <t xml:space="preserve">Vertical </t>
  </si>
  <si>
    <t>Horizontally</t>
  </si>
  <si>
    <t>Earth works</t>
  </si>
  <si>
    <t>Footing base</t>
  </si>
  <si>
    <r>
      <rPr>
        <sz val="10"/>
        <color theme="1"/>
        <rFont val="Arial"/>
        <family val="2"/>
      </rPr>
      <t>m</t>
    </r>
    <r>
      <rPr>
        <vertAlign val="superscript"/>
        <sz val="11"/>
        <color theme="1"/>
        <rFont val="Calibri"/>
        <family val="2"/>
      </rPr>
      <t>3</t>
    </r>
  </si>
  <si>
    <t>Total</t>
  </si>
  <si>
    <t>Back filling</t>
  </si>
  <si>
    <t xml:space="preserve">Total excavated </t>
  </si>
  <si>
    <r>
      <rPr>
        <sz val="10"/>
        <color theme="1"/>
        <rFont val="Arial"/>
        <family val="2"/>
      </rPr>
      <t>m</t>
    </r>
    <r>
      <rPr>
        <vertAlign val="superscript"/>
        <sz val="11"/>
        <color theme="1"/>
        <rFont val="Calibri"/>
        <family val="2"/>
      </rPr>
      <t>3</t>
    </r>
  </si>
  <si>
    <t>Deduction</t>
  </si>
  <si>
    <t>Basement deduction</t>
  </si>
  <si>
    <r>
      <rPr>
        <sz val="10"/>
        <color theme="1"/>
        <rFont val="Arial"/>
        <family val="2"/>
      </rPr>
      <t>m</t>
    </r>
    <r>
      <rPr>
        <vertAlign val="superscript"/>
        <sz val="11"/>
        <color theme="1"/>
        <rFont val="Calibri"/>
        <family val="2"/>
      </rPr>
      <t>3</t>
    </r>
  </si>
  <si>
    <t>Workikng space filling afterwork</t>
  </si>
  <si>
    <r>
      <rPr>
        <sz val="10"/>
        <color theme="1"/>
        <rFont val="Arial"/>
        <family val="2"/>
      </rPr>
      <t>m</t>
    </r>
    <r>
      <rPr>
        <vertAlign val="superscript"/>
        <sz val="11"/>
        <color theme="1"/>
        <rFont val="Calibri"/>
        <family val="2"/>
      </rPr>
      <t>3</t>
    </r>
  </si>
  <si>
    <t>Above NGL Filling if Any</t>
  </si>
  <si>
    <t>Grave Filling</t>
  </si>
  <si>
    <r>
      <rPr>
        <sz val="10"/>
        <color theme="1"/>
        <rFont val="Arial"/>
        <family val="2"/>
      </rPr>
      <t>m</t>
    </r>
    <r>
      <rPr>
        <vertAlign val="superscript"/>
        <sz val="11"/>
        <color theme="1"/>
        <rFont val="Calibri"/>
        <family val="2"/>
      </rPr>
      <t>3</t>
    </r>
  </si>
  <si>
    <t>Concrete works</t>
  </si>
  <si>
    <t>Foundation</t>
  </si>
  <si>
    <t>Footing or raft</t>
  </si>
  <si>
    <r>
      <rPr>
        <sz val="10"/>
        <color theme="1"/>
        <rFont val="Arial"/>
        <family val="2"/>
      </rPr>
      <t>m</t>
    </r>
    <r>
      <rPr>
        <vertAlign val="superscript"/>
        <sz val="11"/>
        <color theme="1"/>
        <rFont val="Calibri"/>
        <family val="2"/>
      </rPr>
      <t>3</t>
    </r>
  </si>
  <si>
    <t>lift pit concrete section 5-5</t>
  </si>
  <si>
    <r>
      <rPr>
        <sz val="10"/>
        <color theme="1"/>
        <rFont val="Arial"/>
        <family val="2"/>
      </rPr>
      <t>m</t>
    </r>
    <r>
      <rPr>
        <vertAlign val="superscript"/>
        <sz val="11"/>
        <color theme="1"/>
        <rFont val="Calibri"/>
        <family val="2"/>
      </rPr>
      <t>3</t>
    </r>
  </si>
  <si>
    <t>lift pit concrete section 6-6</t>
  </si>
  <si>
    <r>
      <rPr>
        <sz val="10"/>
        <color theme="1"/>
        <rFont val="Arial"/>
        <family val="2"/>
      </rPr>
      <t>m</t>
    </r>
    <r>
      <rPr>
        <vertAlign val="superscript"/>
        <sz val="11"/>
        <color theme="1"/>
        <rFont val="Calibri"/>
        <family val="2"/>
      </rPr>
      <t>3</t>
    </r>
  </si>
  <si>
    <t>Stub column or pedestals</t>
  </si>
  <si>
    <t>Column</t>
  </si>
  <si>
    <t>C1</t>
  </si>
  <si>
    <r>
      <rPr>
        <sz val="10"/>
        <color theme="1"/>
        <rFont val="Arial"/>
        <family val="2"/>
      </rPr>
      <t>m</t>
    </r>
    <r>
      <rPr>
        <vertAlign val="superscript"/>
        <sz val="11"/>
        <color theme="1"/>
        <rFont val="Calibri"/>
        <family val="2"/>
      </rPr>
      <t>3</t>
    </r>
  </si>
  <si>
    <t>C2</t>
  </si>
  <si>
    <r>
      <rPr>
        <sz val="10"/>
        <color theme="1"/>
        <rFont val="Arial"/>
        <family val="2"/>
      </rPr>
      <t>m</t>
    </r>
    <r>
      <rPr>
        <vertAlign val="superscript"/>
        <sz val="11"/>
        <color theme="1"/>
        <rFont val="Calibri"/>
        <family val="2"/>
      </rPr>
      <t>3</t>
    </r>
  </si>
  <si>
    <t>C3</t>
  </si>
  <si>
    <r>
      <rPr>
        <sz val="10"/>
        <color theme="1"/>
        <rFont val="Arial"/>
        <family val="2"/>
      </rPr>
      <t>m</t>
    </r>
    <r>
      <rPr>
        <vertAlign val="superscript"/>
        <sz val="11"/>
        <color theme="1"/>
        <rFont val="Calibri"/>
        <family val="2"/>
      </rPr>
      <t>3</t>
    </r>
  </si>
  <si>
    <t>C4</t>
  </si>
  <si>
    <r>
      <rPr>
        <sz val="10"/>
        <color theme="1"/>
        <rFont val="Arial"/>
        <family val="2"/>
      </rPr>
      <t>m</t>
    </r>
    <r>
      <rPr>
        <vertAlign val="superscript"/>
        <sz val="11"/>
        <color theme="1"/>
        <rFont val="Calibri"/>
        <family val="2"/>
      </rPr>
      <t>3</t>
    </r>
  </si>
  <si>
    <t>C5</t>
  </si>
  <si>
    <r>
      <rPr>
        <sz val="10"/>
        <color theme="1"/>
        <rFont val="Arial"/>
        <family val="2"/>
      </rPr>
      <t>m</t>
    </r>
    <r>
      <rPr>
        <vertAlign val="superscript"/>
        <sz val="11"/>
        <color theme="1"/>
        <rFont val="Calibri"/>
        <family val="2"/>
      </rPr>
      <t>3</t>
    </r>
  </si>
  <si>
    <t>C*</t>
  </si>
  <si>
    <r>
      <rPr>
        <sz val="10"/>
        <color theme="1"/>
        <rFont val="Arial"/>
        <family val="2"/>
      </rPr>
      <t>m</t>
    </r>
    <r>
      <rPr>
        <vertAlign val="superscript"/>
        <sz val="11"/>
        <color theme="1"/>
        <rFont val="Calibri"/>
        <family val="2"/>
      </rPr>
      <t>3</t>
    </r>
  </si>
  <si>
    <t>Stub column of GF</t>
  </si>
  <si>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</si>
  <si>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</si>
  <si>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</si>
  <si>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</si>
  <si>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</si>
  <si>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</si>
  <si>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t>Stub column of 1st to PH</t>
  </si>
  <si>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</si>
  <si>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</si>
  <si>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</si>
  <si>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</si>
  <si>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</si>
  <si>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</si>
  <si>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t>Stub column of 1.5m</t>
  </si>
  <si>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</si>
  <si>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</si>
  <si>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</si>
  <si>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</si>
  <si>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</si>
  <si>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</si>
  <si>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t>RCC Wall</t>
  </si>
  <si>
    <t>12080X6150X250 mm</t>
  </si>
  <si>
    <t>250mm thk wall W1</t>
  </si>
  <si>
    <r>
      <rPr>
        <sz val="11"/>
        <color theme="1"/>
        <rFont val="Calibri"/>
        <family val="2"/>
      </rPr>
      <t>m</t>
    </r>
    <r>
      <rPr>
        <vertAlign val="superscript"/>
        <sz val="11"/>
        <color theme="1"/>
        <rFont val="Calibri"/>
        <family val="2"/>
      </rPr>
      <t>3</t>
    </r>
  </si>
  <si>
    <t>250mm thk wall W2</t>
  </si>
  <si>
    <r>
      <rPr>
        <sz val="11"/>
        <color theme="1"/>
        <rFont val="Calibri"/>
        <family val="2"/>
      </rPr>
      <t>m</t>
    </r>
    <r>
      <rPr>
        <vertAlign val="superscript"/>
        <sz val="11"/>
        <color theme="1"/>
        <rFont val="Calibri"/>
        <family val="2"/>
      </rPr>
      <t>3</t>
    </r>
  </si>
  <si>
    <t>250mm thk wall W3</t>
  </si>
  <si>
    <r>
      <rPr>
        <sz val="11"/>
        <color theme="1"/>
        <rFont val="Calibri"/>
        <family val="2"/>
      </rPr>
      <t>m</t>
    </r>
    <r>
      <rPr>
        <vertAlign val="superscript"/>
        <sz val="11"/>
        <color theme="1"/>
        <rFont val="Calibri"/>
        <family val="2"/>
      </rPr>
      <t>3</t>
    </r>
  </si>
  <si>
    <r>
      <rPr>
        <sz val="11"/>
        <color theme="1"/>
        <rFont val="Calibri"/>
        <family val="2"/>
      </rPr>
      <t>m</t>
    </r>
    <r>
      <rPr>
        <vertAlign val="superscript"/>
        <sz val="11"/>
        <color theme="1"/>
        <rFont val="Calibri"/>
        <family val="2"/>
      </rPr>
      <t>3</t>
    </r>
  </si>
  <si>
    <t>Retaining Wall</t>
  </si>
  <si>
    <t>300 mm</t>
  </si>
  <si>
    <t xml:space="preserve">300mm thk wall </t>
  </si>
  <si>
    <r>
      <rPr>
        <sz val="11"/>
        <color theme="1"/>
        <rFont val="Calibri"/>
        <family val="2"/>
      </rPr>
      <t>m</t>
    </r>
    <r>
      <rPr>
        <vertAlign val="superscript"/>
        <sz val="11"/>
        <color theme="1"/>
        <rFont val="Calibri"/>
        <family val="2"/>
      </rPr>
      <t>3</t>
    </r>
  </si>
  <si>
    <r>
      <rPr>
        <sz val="11"/>
        <color theme="1"/>
        <rFont val="Calibri"/>
        <family val="2"/>
      </rPr>
      <t>m</t>
    </r>
    <r>
      <rPr>
        <vertAlign val="superscript"/>
        <sz val="11"/>
        <color theme="1"/>
        <rFont val="Calibri"/>
        <family val="2"/>
      </rPr>
      <t>3</t>
    </r>
  </si>
  <si>
    <r>
      <rPr>
        <sz val="11"/>
        <color theme="1"/>
        <rFont val="Calibri"/>
        <family val="2"/>
      </rPr>
      <t>m</t>
    </r>
    <r>
      <rPr>
        <vertAlign val="superscript"/>
        <sz val="11"/>
        <color theme="1"/>
        <rFont val="Calibri"/>
        <family val="2"/>
      </rPr>
      <t>3</t>
    </r>
  </si>
  <si>
    <t>Plinth beam</t>
  </si>
  <si>
    <t>Externally</t>
  </si>
  <si>
    <t>EXT lvl AVG</t>
  </si>
  <si>
    <t>GS thk</t>
  </si>
  <si>
    <t>Depth</t>
  </si>
  <si>
    <t>PB1-250X700mm</t>
  </si>
  <si>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</si>
  <si>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</si>
  <si>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</si>
  <si>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</si>
  <si>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</si>
  <si>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t>PB2-400X700mm</t>
  </si>
  <si>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</si>
  <si>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</si>
  <si>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</si>
  <si>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</si>
  <si>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t>PB1-200X600mm</t>
  </si>
  <si>
    <r>
      <rPr>
        <sz val="10"/>
        <color theme="1"/>
        <rFont val="Arial"/>
        <family val="2"/>
      </rPr>
      <t>m</t>
    </r>
    <r>
      <rPr>
        <vertAlign val="superscript"/>
        <sz val="11"/>
        <color theme="1"/>
        <rFont val="Calibri"/>
        <family val="2"/>
      </rPr>
      <t>3</t>
    </r>
  </si>
  <si>
    <t>100mm thick grade slab</t>
  </si>
  <si>
    <t>over all plinth area</t>
  </si>
  <si>
    <r>
      <rPr>
        <sz val="11"/>
        <color theme="1"/>
        <rFont val="Calibri"/>
        <family val="2"/>
      </rPr>
      <t>m</t>
    </r>
    <r>
      <rPr>
        <vertAlign val="superscript"/>
        <sz val="11"/>
        <color theme="1"/>
        <rFont val="Calibri"/>
        <family val="2"/>
      </rPr>
      <t>3</t>
    </r>
  </si>
  <si>
    <t>Deduction of plinth area</t>
  </si>
  <si>
    <r>
      <rPr>
        <sz val="11"/>
        <color theme="1"/>
        <rFont val="Calibri"/>
        <family val="2"/>
      </rPr>
      <t>m</t>
    </r>
    <r>
      <rPr>
        <vertAlign val="superscript"/>
        <sz val="11"/>
        <color theme="1"/>
        <rFont val="Calibri"/>
        <family val="2"/>
      </rPr>
      <t>3</t>
    </r>
  </si>
  <si>
    <t>Deduction of Column area</t>
  </si>
  <si>
    <r>
      <rPr>
        <sz val="11"/>
        <color theme="1"/>
        <rFont val="Calibri"/>
        <family val="2"/>
      </rPr>
      <t>m</t>
    </r>
    <r>
      <rPr>
        <vertAlign val="superscript"/>
        <sz val="11"/>
        <color theme="1"/>
        <rFont val="Calibri"/>
        <family val="2"/>
      </rPr>
      <t>3</t>
    </r>
  </si>
  <si>
    <t>Total stair volume</t>
  </si>
  <si>
    <t>Sections</t>
  </si>
  <si>
    <t>External steps</t>
  </si>
  <si>
    <t>waste slab</t>
  </si>
  <si>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</si>
  <si>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</si>
  <si>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t>starter beam</t>
  </si>
  <si>
    <r>
      <rPr>
        <sz val="10"/>
        <color theme="1"/>
        <rFont val="Arial"/>
        <family val="2"/>
      </rPr>
      <t>m</t>
    </r>
    <r>
      <rPr>
        <vertAlign val="superscript"/>
        <sz val="11"/>
        <color theme="1"/>
        <rFont val="Calibri"/>
        <family val="2"/>
      </rPr>
      <t>3</t>
    </r>
  </si>
  <si>
    <t>Landing</t>
  </si>
  <si>
    <r>
      <rPr>
        <sz val="10"/>
        <color theme="1"/>
        <rFont val="Arial"/>
        <family val="2"/>
      </rPr>
      <t>m</t>
    </r>
    <r>
      <rPr>
        <vertAlign val="superscript"/>
        <sz val="11"/>
        <color theme="1"/>
        <rFont val="Calibri"/>
        <family val="2"/>
      </rPr>
      <t>3</t>
    </r>
  </si>
  <si>
    <t>DB1</t>
  </si>
  <si>
    <t>DB1-200X700mm</t>
  </si>
  <si>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</si>
  <si>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</si>
  <si>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</si>
  <si>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</si>
  <si>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</si>
  <si>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</si>
  <si>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</si>
  <si>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</si>
  <si>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</si>
  <si>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</si>
  <si>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t>DB2-200X800mm</t>
  </si>
  <si>
    <r>
      <rPr>
        <sz val="10"/>
        <color theme="1"/>
        <rFont val="Arial"/>
        <family val="2"/>
      </rPr>
      <t>m</t>
    </r>
    <r>
      <rPr>
        <vertAlign val="superscript"/>
        <sz val="11"/>
        <color theme="1"/>
        <rFont val="Calibri"/>
        <family val="2"/>
      </rPr>
      <t>3</t>
    </r>
  </si>
  <si>
    <t>DB3-200X800mm</t>
  </si>
  <si>
    <r>
      <rPr>
        <sz val="10"/>
        <color theme="1"/>
        <rFont val="Arial"/>
        <family val="2"/>
      </rPr>
      <t>m</t>
    </r>
    <r>
      <rPr>
        <vertAlign val="superscript"/>
        <sz val="11"/>
        <color theme="1"/>
        <rFont val="Calibri"/>
        <family val="2"/>
      </rPr>
      <t>3</t>
    </r>
  </si>
  <si>
    <t>CB1-200X700mm</t>
  </si>
  <si>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</si>
  <si>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</si>
  <si>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t>300mm thick grade slab</t>
  </si>
  <si>
    <r>
      <rPr>
        <sz val="11"/>
        <color theme="1"/>
        <rFont val="Calibri"/>
        <family val="2"/>
      </rPr>
      <t>m</t>
    </r>
    <r>
      <rPr>
        <vertAlign val="superscript"/>
        <sz val="11"/>
        <color theme="1"/>
        <rFont val="Calibri"/>
        <family val="2"/>
      </rPr>
      <t>3</t>
    </r>
  </si>
  <si>
    <r>
      <rPr>
        <sz val="11"/>
        <color theme="1"/>
        <rFont val="Calibri"/>
        <family val="2"/>
      </rPr>
      <t>m</t>
    </r>
    <r>
      <rPr>
        <vertAlign val="superscript"/>
        <sz val="11"/>
        <color theme="1"/>
        <rFont val="Calibri"/>
        <family val="2"/>
      </rPr>
      <t>3</t>
    </r>
  </si>
  <si>
    <r>
      <rPr>
        <sz val="11"/>
        <color theme="1"/>
        <rFont val="Calibri"/>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</si>
  <si>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</si>
  <si>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</si>
  <si>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</si>
  <si>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</si>
  <si>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</si>
  <si>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</si>
  <si>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</si>
  <si>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</si>
  <si>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</si>
  <si>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t>CB2-200X800mm</t>
  </si>
  <si>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</si>
  <si>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</si>
  <si>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1"/>
        <color theme="1"/>
        <rFont val="Calibri"/>
        <family val="2"/>
      </rPr>
      <t>m</t>
    </r>
    <r>
      <rPr>
        <vertAlign val="superscript"/>
        <sz val="11"/>
        <color theme="1"/>
        <rFont val="Calibri"/>
        <family val="2"/>
      </rPr>
      <t>3</t>
    </r>
  </si>
  <si>
    <r>
      <rPr>
        <sz val="11"/>
        <color theme="1"/>
        <rFont val="Calibri"/>
        <family val="2"/>
      </rPr>
      <t>m</t>
    </r>
    <r>
      <rPr>
        <vertAlign val="superscript"/>
        <sz val="11"/>
        <color theme="1"/>
        <rFont val="Calibri"/>
        <family val="2"/>
      </rPr>
      <t>3</t>
    </r>
  </si>
  <si>
    <r>
      <rPr>
        <sz val="11"/>
        <color theme="1"/>
        <rFont val="Calibri"/>
        <family val="2"/>
      </rPr>
      <t>m</t>
    </r>
    <r>
      <rPr>
        <vertAlign val="superscript"/>
        <sz val="11"/>
        <color theme="1"/>
        <rFont val="Calibri"/>
        <family val="2"/>
      </rPr>
      <t>3</t>
    </r>
  </si>
  <si>
    <t>Thickning of slab</t>
  </si>
  <si>
    <t>Below grade slab thickning of slab</t>
  </si>
  <si>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</si>
  <si>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</si>
  <si>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</si>
  <si>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</si>
  <si>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</si>
  <si>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</si>
  <si>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</si>
  <si>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</si>
  <si>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</si>
  <si>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</si>
  <si>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</si>
  <si>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</si>
  <si>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</si>
  <si>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1"/>
        <color theme="1"/>
        <rFont val="Calibri"/>
        <family val="2"/>
      </rPr>
      <t>m</t>
    </r>
    <r>
      <rPr>
        <vertAlign val="superscript"/>
        <sz val="11"/>
        <color theme="1"/>
        <rFont val="Calibri"/>
        <family val="2"/>
      </rPr>
      <t>3</t>
    </r>
  </si>
  <si>
    <r>
      <rPr>
        <sz val="11"/>
        <color theme="1"/>
        <rFont val="Calibri"/>
        <family val="2"/>
      </rPr>
      <t>m</t>
    </r>
    <r>
      <rPr>
        <vertAlign val="superscript"/>
        <sz val="11"/>
        <color theme="1"/>
        <rFont val="Calibri"/>
        <family val="2"/>
      </rPr>
      <t>3</t>
    </r>
  </si>
  <si>
    <r>
      <rPr>
        <sz val="11"/>
        <color theme="1"/>
        <rFont val="Calibri"/>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</si>
  <si>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</si>
  <si>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</si>
  <si>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</si>
  <si>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</si>
  <si>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1"/>
        <color theme="1"/>
        <rFont val="Calibri"/>
        <family val="2"/>
      </rPr>
      <t>m</t>
    </r>
    <r>
      <rPr>
        <vertAlign val="superscript"/>
        <sz val="11"/>
        <color theme="1"/>
        <rFont val="Calibri"/>
        <family val="2"/>
      </rPr>
      <t>3</t>
    </r>
  </si>
  <si>
    <r>
      <rPr>
        <sz val="11"/>
        <color theme="1"/>
        <rFont val="Calibri"/>
        <family val="2"/>
      </rPr>
      <t>m</t>
    </r>
    <r>
      <rPr>
        <vertAlign val="superscript"/>
        <sz val="11"/>
        <color theme="1"/>
        <rFont val="Calibri"/>
        <family val="2"/>
      </rPr>
      <t>3</t>
    </r>
  </si>
  <si>
    <r>
      <rPr>
        <sz val="11"/>
        <color theme="1"/>
        <rFont val="Calibri"/>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</si>
  <si>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</si>
  <si>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</si>
  <si>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</si>
  <si>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</si>
  <si>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</si>
  <si>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t>Ramps</t>
  </si>
  <si>
    <t>ramp</t>
  </si>
  <si>
    <r>
      <rPr>
        <sz val="10"/>
        <color theme="1"/>
        <rFont val="Arial"/>
        <family val="2"/>
      </rPr>
      <t>m</t>
    </r>
    <r>
      <rPr>
        <vertAlign val="superscript"/>
        <sz val="11"/>
        <color theme="1"/>
        <rFont val="Calibri"/>
        <family val="2"/>
      </rPr>
      <t>3</t>
    </r>
  </si>
  <si>
    <t>Treanch</t>
  </si>
  <si>
    <t>Base</t>
  </si>
  <si>
    <r>
      <rPr>
        <sz val="10"/>
        <color theme="1"/>
        <rFont val="Arial"/>
        <family val="2"/>
      </rPr>
      <t>m</t>
    </r>
    <r>
      <rPr>
        <vertAlign val="superscript"/>
        <sz val="11"/>
        <color theme="1"/>
        <rFont val="Calibri"/>
        <family val="2"/>
      </rPr>
      <t>3</t>
    </r>
  </si>
  <si>
    <t>side walls</t>
  </si>
  <si>
    <r>
      <rPr>
        <sz val="10"/>
        <color theme="1"/>
        <rFont val="Arial"/>
        <family val="2"/>
      </rPr>
      <t>m</t>
    </r>
    <r>
      <rPr>
        <vertAlign val="superscript"/>
        <sz val="11"/>
        <color theme="1"/>
        <rFont val="Calibri"/>
        <family val="2"/>
      </rPr>
      <t>3</t>
    </r>
  </si>
  <si>
    <t>P.C.C work</t>
  </si>
  <si>
    <t>Below footng or raft</t>
  </si>
  <si>
    <r>
      <rPr>
        <sz val="10"/>
        <color theme="1"/>
        <rFont val="Arial"/>
        <family val="2"/>
      </rPr>
      <t>m</t>
    </r>
    <r>
      <rPr>
        <vertAlign val="superscript"/>
        <sz val="11"/>
        <color theme="1"/>
        <rFont val="Calibri"/>
        <family val="2"/>
      </rPr>
      <t>3</t>
    </r>
  </si>
  <si>
    <t>Below plinth beams</t>
  </si>
  <si>
    <r>
      <rPr>
        <sz val="10"/>
        <color theme="1"/>
        <rFont val="Arial"/>
        <family val="2"/>
      </rPr>
      <t>m</t>
    </r>
    <r>
      <rPr>
        <vertAlign val="superscript"/>
        <sz val="11"/>
        <color theme="1"/>
        <rFont val="Calibri"/>
        <family val="2"/>
      </rPr>
      <t>3</t>
    </r>
  </si>
  <si>
    <t>Grade slab</t>
  </si>
  <si>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</si>
  <si>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</si>
  <si>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</si>
  <si>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t>Trench</t>
  </si>
  <si>
    <r>
      <rPr>
        <sz val="10"/>
        <color theme="1"/>
        <rFont val="Arial"/>
        <family val="2"/>
      </rPr>
      <t>m</t>
    </r>
    <r>
      <rPr>
        <vertAlign val="superscript"/>
        <sz val="11"/>
        <color theme="1"/>
        <rFont val="Calibri"/>
        <family val="2"/>
      </rPr>
      <t>3</t>
    </r>
  </si>
  <si>
    <t>Footing or Raft</t>
  </si>
  <si>
    <r>
      <rPr>
        <sz val="10"/>
        <color theme="1"/>
        <rFont val="Arial"/>
        <family val="2"/>
      </rPr>
      <t>m</t>
    </r>
    <r>
      <rPr>
        <vertAlign val="superscript"/>
        <sz val="11"/>
        <color theme="1"/>
        <rFont val="Calibri"/>
        <family val="2"/>
      </rPr>
      <t>3</t>
    </r>
  </si>
  <si>
    <t>Basement column</t>
  </si>
  <si>
    <r>
      <rPr>
        <sz val="10"/>
        <color theme="1"/>
        <rFont val="Arial"/>
        <family val="2"/>
      </rPr>
      <t>m</t>
    </r>
    <r>
      <rPr>
        <vertAlign val="superscript"/>
        <sz val="11"/>
        <color theme="1"/>
        <rFont val="Calibri"/>
        <family val="2"/>
      </rPr>
      <t>3</t>
    </r>
  </si>
  <si>
    <t>RCC wall</t>
  </si>
  <si>
    <r>
      <rPr>
        <sz val="11"/>
        <color theme="1"/>
        <rFont val="Calibri"/>
        <family val="2"/>
      </rPr>
      <t>m</t>
    </r>
    <r>
      <rPr>
        <vertAlign val="superscript"/>
        <sz val="11"/>
        <color theme="1"/>
        <rFont val="Calibri"/>
        <family val="2"/>
      </rPr>
      <t>3</t>
    </r>
  </si>
  <si>
    <t>Plinth beams</t>
  </si>
  <si>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</si>
  <si>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</si>
  <si>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</si>
  <si>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</si>
  <si>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</si>
  <si>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</si>
  <si>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t>Formworks</t>
  </si>
  <si>
    <r>
      <rPr>
        <sz val="10"/>
        <color theme="1"/>
        <rFont val="Arial"/>
        <family val="2"/>
      </rPr>
      <t>m</t>
    </r>
    <r>
      <rPr>
        <vertAlign val="superscript"/>
        <sz val="11"/>
        <color theme="1"/>
        <rFont val="Calibri"/>
        <family val="2"/>
      </rPr>
      <t>2</t>
    </r>
  </si>
  <si>
    <r>
      <rPr>
        <sz val="10"/>
        <color theme="1"/>
        <rFont val="Arial"/>
        <family val="2"/>
      </rPr>
      <t>m</t>
    </r>
    <r>
      <rPr>
        <vertAlign val="superscript"/>
        <sz val="11"/>
        <color theme="1"/>
        <rFont val="Calibri"/>
        <family val="2"/>
      </rPr>
      <t>2</t>
    </r>
  </si>
  <si>
    <r>
      <rPr>
        <sz val="10"/>
        <color theme="1"/>
        <rFont val="Arial"/>
        <family val="2"/>
      </rPr>
      <t>m</t>
    </r>
    <r>
      <rPr>
        <vertAlign val="superscript"/>
        <sz val="11"/>
        <color theme="1"/>
        <rFont val="Calibri"/>
        <family val="2"/>
      </rPr>
      <t>2</t>
    </r>
  </si>
  <si>
    <r>
      <rPr>
        <sz val="10"/>
        <color theme="1"/>
        <rFont val="Arial"/>
        <family val="2"/>
      </rPr>
      <t>m</t>
    </r>
    <r>
      <rPr>
        <vertAlign val="superscript"/>
        <sz val="11"/>
        <color theme="1"/>
        <rFont val="Calibri"/>
        <family val="2"/>
      </rPr>
      <t>2</t>
    </r>
  </si>
  <si>
    <r>
      <rPr>
        <sz val="10"/>
        <color theme="1"/>
        <rFont val="Arial"/>
        <family val="2"/>
      </rPr>
      <t>m</t>
    </r>
    <r>
      <rPr>
        <vertAlign val="superscript"/>
        <sz val="11"/>
        <color theme="1"/>
        <rFont val="Calibri"/>
        <family val="2"/>
      </rPr>
      <t>2</t>
    </r>
  </si>
  <si>
    <r>
      <rPr>
        <sz val="10"/>
        <color theme="1"/>
        <rFont val="Arial"/>
        <family val="2"/>
      </rPr>
      <t>m</t>
    </r>
    <r>
      <rPr>
        <vertAlign val="superscript"/>
        <sz val="11"/>
        <color theme="1"/>
        <rFont val="Calibri"/>
        <family val="2"/>
      </rPr>
      <t>2</t>
    </r>
  </si>
  <si>
    <t>Stub column</t>
  </si>
  <si>
    <r>
      <rPr>
        <sz val="10"/>
        <color theme="1"/>
        <rFont val="Arial"/>
        <family val="2"/>
      </rPr>
      <t>m</t>
    </r>
    <r>
      <rPr>
        <vertAlign val="superscript"/>
        <sz val="11"/>
        <color theme="1"/>
        <rFont val="Calibri"/>
        <family val="2"/>
      </rPr>
      <t>2</t>
    </r>
  </si>
  <si>
    <t>DEDUCTION OF rcc WALL AREA</t>
  </si>
  <si>
    <r>
      <rPr>
        <sz val="10"/>
        <color theme="1"/>
        <rFont val="Arial"/>
        <family val="2"/>
      </rPr>
      <t>m</t>
    </r>
    <r>
      <rPr>
        <vertAlign val="superscript"/>
        <sz val="11"/>
        <color theme="1"/>
        <rFont val="Calibri"/>
        <family val="2"/>
      </rPr>
      <t>2</t>
    </r>
  </si>
  <si>
    <r>
      <rPr>
        <sz val="11"/>
        <color theme="1"/>
        <rFont val="Calibri"/>
        <family val="2"/>
      </rPr>
      <t>m</t>
    </r>
    <r>
      <rPr>
        <vertAlign val="superscript"/>
        <sz val="11"/>
        <color theme="1"/>
        <rFont val="Calibri"/>
        <family val="2"/>
      </rPr>
      <t>2</t>
    </r>
  </si>
  <si>
    <r>
      <rPr>
        <sz val="10"/>
        <color theme="1"/>
        <rFont val="Arial"/>
        <family val="2"/>
      </rPr>
      <t>m</t>
    </r>
    <r>
      <rPr>
        <vertAlign val="superscript"/>
        <sz val="11"/>
        <color theme="1"/>
        <rFont val="Calibri"/>
        <family val="2"/>
      </rPr>
      <t>2</t>
    </r>
  </si>
  <si>
    <r>
      <rPr>
        <sz val="10"/>
        <color theme="1"/>
        <rFont val="Arial"/>
        <family val="2"/>
      </rPr>
      <t>m</t>
    </r>
    <r>
      <rPr>
        <vertAlign val="superscript"/>
        <sz val="11"/>
        <color theme="1"/>
        <rFont val="Calibri"/>
        <family val="2"/>
      </rPr>
      <t>2</t>
    </r>
  </si>
  <si>
    <r>
      <rPr>
        <sz val="10"/>
        <color theme="1"/>
        <rFont val="Arial"/>
        <family val="2"/>
      </rPr>
      <t>m</t>
    </r>
    <r>
      <rPr>
        <vertAlign val="superscript"/>
        <sz val="11"/>
        <color theme="1"/>
        <rFont val="Calibri"/>
        <family val="2"/>
      </rPr>
      <t>2</t>
    </r>
  </si>
  <si>
    <r>
      <rPr>
        <sz val="10"/>
        <color theme="1"/>
        <rFont val="Arial"/>
        <family val="2"/>
      </rPr>
      <t>m</t>
    </r>
    <r>
      <rPr>
        <vertAlign val="superscript"/>
        <sz val="11"/>
        <color theme="1"/>
        <rFont val="Calibri"/>
        <family val="2"/>
      </rPr>
      <t>2</t>
    </r>
  </si>
  <si>
    <t>At grade slab</t>
  </si>
  <si>
    <r>
      <rPr>
        <sz val="10"/>
        <color theme="1"/>
        <rFont val="Arial"/>
        <family val="2"/>
      </rPr>
      <t>m</t>
    </r>
    <r>
      <rPr>
        <vertAlign val="superscript"/>
        <sz val="11"/>
        <color theme="1"/>
        <rFont val="Calibri"/>
        <family val="2"/>
      </rPr>
      <t>2</t>
    </r>
  </si>
  <si>
    <t>Masonry wall</t>
  </si>
  <si>
    <r>
      <rPr>
        <sz val="10"/>
        <color theme="1"/>
        <rFont val="Arial"/>
        <family val="2"/>
      </rPr>
      <t>m</t>
    </r>
    <r>
      <rPr>
        <vertAlign val="superscript"/>
        <sz val="11"/>
        <color theme="1"/>
        <rFont val="Calibri"/>
        <family val="2"/>
      </rPr>
      <t>2</t>
    </r>
  </si>
  <si>
    <t>RCC sides water proofing and Top of RCC</t>
  </si>
  <si>
    <t>Footing or raft sides</t>
  </si>
  <si>
    <r>
      <rPr>
        <sz val="10"/>
        <color theme="1"/>
        <rFont val="Arial"/>
        <family val="2"/>
      </rPr>
      <t>m</t>
    </r>
    <r>
      <rPr>
        <vertAlign val="superscript"/>
        <sz val="11"/>
        <color theme="1"/>
        <rFont val="Calibri"/>
        <family val="2"/>
      </rPr>
      <t>2</t>
    </r>
  </si>
  <si>
    <t>Top of Footing and bottom</t>
  </si>
  <si>
    <r>
      <rPr>
        <sz val="10"/>
        <color theme="1"/>
        <rFont val="Arial"/>
        <family val="2"/>
      </rPr>
      <t>m</t>
    </r>
    <r>
      <rPr>
        <vertAlign val="superscript"/>
        <sz val="11"/>
        <color theme="1"/>
        <rFont val="Calibri"/>
        <family val="2"/>
      </rPr>
      <t>2</t>
    </r>
  </si>
  <si>
    <r>
      <rPr>
        <sz val="10"/>
        <color theme="1"/>
        <rFont val="Arial"/>
        <family val="2"/>
      </rPr>
      <t>m</t>
    </r>
    <r>
      <rPr>
        <vertAlign val="superscript"/>
        <sz val="11"/>
        <color theme="1"/>
        <rFont val="Calibri"/>
        <family val="2"/>
      </rPr>
      <t>2</t>
    </r>
  </si>
  <si>
    <r>
      <rPr>
        <sz val="11"/>
        <color theme="1"/>
        <rFont val="Calibri"/>
        <family val="2"/>
      </rPr>
      <t>m</t>
    </r>
    <r>
      <rPr>
        <vertAlign val="superscript"/>
        <sz val="11"/>
        <color theme="1"/>
        <rFont val="Calibri"/>
        <family val="2"/>
      </rPr>
      <t>2</t>
    </r>
  </si>
  <si>
    <r>
      <rPr>
        <sz val="10"/>
        <color theme="1"/>
        <rFont val="Arial"/>
        <family val="2"/>
      </rPr>
      <t>m</t>
    </r>
    <r>
      <rPr>
        <vertAlign val="superscript"/>
        <sz val="11"/>
        <color theme="1"/>
        <rFont val="Calibri"/>
        <family val="2"/>
      </rPr>
      <t>2</t>
    </r>
  </si>
  <si>
    <r>
      <rPr>
        <sz val="10"/>
        <color theme="1"/>
        <rFont val="Arial"/>
        <family val="2"/>
      </rPr>
      <t>m</t>
    </r>
    <r>
      <rPr>
        <vertAlign val="superscript"/>
        <sz val="11"/>
        <color theme="1"/>
        <rFont val="Calibri"/>
        <family val="2"/>
      </rPr>
      <t>2</t>
    </r>
  </si>
  <si>
    <r>
      <rPr>
        <sz val="10"/>
        <color theme="1"/>
        <rFont val="Arial"/>
        <family val="2"/>
      </rPr>
      <t>m</t>
    </r>
    <r>
      <rPr>
        <vertAlign val="superscript"/>
        <sz val="11"/>
        <color theme="1"/>
        <rFont val="Calibri"/>
        <family val="2"/>
      </rPr>
      <t>2</t>
    </r>
  </si>
  <si>
    <r>
      <rPr>
        <sz val="10"/>
        <color theme="1"/>
        <rFont val="Arial"/>
        <family val="2"/>
      </rPr>
      <t>m</t>
    </r>
    <r>
      <rPr>
        <vertAlign val="superscript"/>
        <sz val="11"/>
        <color theme="1"/>
        <rFont val="Calibri"/>
        <family val="2"/>
      </rPr>
      <t>2</t>
    </r>
  </si>
  <si>
    <t>Top of Footing</t>
  </si>
  <si>
    <r>
      <rPr>
        <sz val="10"/>
        <color theme="1"/>
        <rFont val="Arial"/>
        <family val="2"/>
      </rPr>
      <t>m</t>
    </r>
    <r>
      <rPr>
        <vertAlign val="superscript"/>
        <sz val="11"/>
        <color theme="1"/>
        <rFont val="Calibri"/>
        <family val="2"/>
      </rPr>
      <t>2</t>
    </r>
  </si>
  <si>
    <r>
      <rPr>
        <sz val="10"/>
        <color theme="1"/>
        <rFont val="Arial"/>
        <family val="2"/>
      </rPr>
      <t>m</t>
    </r>
    <r>
      <rPr>
        <vertAlign val="superscript"/>
        <sz val="11"/>
        <color theme="1"/>
        <rFont val="Calibri"/>
        <family val="2"/>
      </rPr>
      <t>2</t>
    </r>
  </si>
  <si>
    <t>Masonry wall water proofing</t>
  </si>
  <si>
    <t>Sub structure wall</t>
  </si>
  <si>
    <r>
      <rPr>
        <sz val="10"/>
        <color theme="1"/>
        <rFont val="Arial"/>
        <family val="2"/>
      </rPr>
      <t>m</t>
    </r>
    <r>
      <rPr>
        <vertAlign val="superscript"/>
        <sz val="11"/>
        <color theme="1"/>
        <rFont val="Calibri"/>
        <family val="2"/>
      </rPr>
      <t>2</t>
    </r>
  </si>
  <si>
    <t>150mm thick filler board</t>
  </si>
  <si>
    <t>between plinth and grade slab</t>
  </si>
  <si>
    <t>Anti termite treatment</t>
  </si>
  <si>
    <t>Plinth area</t>
  </si>
  <si>
    <r>
      <rPr>
        <sz val="10"/>
        <color theme="1"/>
        <rFont val="Arial"/>
        <family val="2"/>
      </rPr>
      <t>m</t>
    </r>
    <r>
      <rPr>
        <vertAlign val="superscript"/>
        <sz val="11"/>
        <color theme="1"/>
        <rFont val="Calibri"/>
        <family val="2"/>
      </rPr>
      <t>2</t>
    </r>
  </si>
  <si>
    <t>Super structure</t>
  </si>
  <si>
    <t>GF</t>
  </si>
  <si>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</si>
  <si>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</si>
  <si>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</si>
  <si>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</si>
  <si>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</si>
  <si>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</si>
  <si>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t>1F TO 5F</t>
  </si>
  <si>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</si>
  <si>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</si>
  <si>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</si>
  <si>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</si>
  <si>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</si>
  <si>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</si>
  <si>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t>pent house floor</t>
  </si>
  <si>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</si>
  <si>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</si>
  <si>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</si>
  <si>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</si>
  <si>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</si>
  <si>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</si>
  <si>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t>CW1</t>
  </si>
  <si>
    <r>
      <rPr>
        <sz val="11"/>
        <color theme="1"/>
        <rFont val="Calibri"/>
        <family val="2"/>
      </rPr>
      <t>m</t>
    </r>
    <r>
      <rPr>
        <vertAlign val="superscript"/>
        <sz val="11"/>
        <color theme="1"/>
        <rFont val="Calibri"/>
        <family val="2"/>
      </rPr>
      <t>3</t>
    </r>
  </si>
  <si>
    <r>
      <rPr>
        <sz val="11"/>
        <color theme="1"/>
        <rFont val="Calibri"/>
        <family val="2"/>
      </rPr>
      <t>m</t>
    </r>
    <r>
      <rPr>
        <vertAlign val="superscript"/>
        <sz val="11"/>
        <color theme="1"/>
        <rFont val="Calibri"/>
        <family val="2"/>
      </rPr>
      <t>3</t>
    </r>
  </si>
  <si>
    <t>FF to PH</t>
  </si>
  <si>
    <r>
      <rPr>
        <sz val="11"/>
        <color theme="1"/>
        <rFont val="Calibri"/>
        <family val="2"/>
      </rPr>
      <t>m</t>
    </r>
    <r>
      <rPr>
        <vertAlign val="superscript"/>
        <sz val="11"/>
        <color theme="1"/>
        <rFont val="Calibri"/>
        <family val="2"/>
      </rPr>
      <t>3</t>
    </r>
  </si>
  <si>
    <r>
      <rPr>
        <sz val="11"/>
        <color theme="1"/>
        <rFont val="Calibri"/>
        <family val="2"/>
      </rPr>
      <t>m</t>
    </r>
    <r>
      <rPr>
        <vertAlign val="superscript"/>
        <sz val="11"/>
        <color theme="1"/>
        <rFont val="Calibri"/>
        <family val="2"/>
      </rPr>
      <t>3</t>
    </r>
  </si>
  <si>
    <t>head room</t>
  </si>
  <si>
    <r>
      <rPr>
        <sz val="11"/>
        <color theme="1"/>
        <rFont val="Calibri"/>
        <family val="2"/>
      </rPr>
      <t>m</t>
    </r>
    <r>
      <rPr>
        <vertAlign val="superscript"/>
        <sz val="11"/>
        <color theme="1"/>
        <rFont val="Calibri"/>
        <family val="2"/>
      </rPr>
      <t>3</t>
    </r>
  </si>
  <si>
    <r>
      <rPr>
        <sz val="11"/>
        <color theme="1"/>
        <rFont val="Calibri"/>
        <family val="2"/>
      </rPr>
      <t>m</t>
    </r>
    <r>
      <rPr>
        <vertAlign val="superscript"/>
        <sz val="11"/>
        <color theme="1"/>
        <rFont val="Calibri"/>
        <family val="2"/>
      </rPr>
      <t>3</t>
    </r>
  </si>
  <si>
    <t>Slab</t>
  </si>
  <si>
    <t>GF floor slab</t>
  </si>
  <si>
    <t>250mm thick pt slab</t>
  </si>
  <si>
    <r>
      <rPr>
        <sz val="10"/>
        <color theme="1"/>
        <rFont val="Arial"/>
        <family val="2"/>
      </rPr>
      <t>m</t>
    </r>
    <r>
      <rPr>
        <vertAlign val="superscript"/>
        <sz val="11"/>
        <color theme="1"/>
        <rFont val="Calibri"/>
        <family val="2"/>
      </rPr>
      <t>3</t>
    </r>
  </si>
  <si>
    <t>S1</t>
  </si>
  <si>
    <r>
      <rPr>
        <sz val="10"/>
        <color theme="1"/>
        <rFont val="Arial"/>
        <family val="2"/>
      </rPr>
      <t>m</t>
    </r>
    <r>
      <rPr>
        <vertAlign val="superscript"/>
        <sz val="11"/>
        <color theme="1"/>
        <rFont val="Calibri"/>
        <family val="2"/>
      </rPr>
      <t>3</t>
    </r>
  </si>
  <si>
    <t>S2</t>
  </si>
  <si>
    <r>
      <rPr>
        <sz val="10"/>
        <color theme="1"/>
        <rFont val="Arial"/>
        <family val="2"/>
      </rPr>
      <t>m</t>
    </r>
    <r>
      <rPr>
        <vertAlign val="superscript"/>
        <sz val="11"/>
        <color theme="1"/>
        <rFont val="Calibri"/>
        <family val="2"/>
      </rPr>
      <t>3</t>
    </r>
  </si>
  <si>
    <t>CS1</t>
  </si>
  <si>
    <r>
      <rPr>
        <sz val="10"/>
        <color theme="1"/>
        <rFont val="Arial"/>
        <family val="2"/>
      </rPr>
      <t>m</t>
    </r>
    <r>
      <rPr>
        <vertAlign val="superscript"/>
        <sz val="11"/>
        <color theme="1"/>
        <rFont val="Calibri"/>
        <family val="2"/>
      </rPr>
      <t>3</t>
    </r>
  </si>
  <si>
    <t>First floor</t>
  </si>
  <si>
    <t>275mm thick pt slab</t>
  </si>
  <si>
    <r>
      <rPr>
        <sz val="10"/>
        <color theme="1"/>
        <rFont val="Arial"/>
        <family val="2"/>
      </rPr>
      <t>m</t>
    </r>
    <r>
      <rPr>
        <vertAlign val="superscript"/>
        <sz val="11"/>
        <color theme="1"/>
        <rFont val="Calibri"/>
        <family val="2"/>
      </rPr>
      <t>3</t>
    </r>
  </si>
  <si>
    <t>2nd to 5th</t>
  </si>
  <si>
    <r>
      <rPr>
        <sz val="10"/>
        <color theme="1"/>
        <rFont val="Arial"/>
        <family val="2"/>
      </rPr>
      <t>m</t>
    </r>
    <r>
      <rPr>
        <vertAlign val="superscript"/>
        <sz val="11"/>
        <color theme="1"/>
        <rFont val="Calibri"/>
        <family val="2"/>
      </rPr>
      <t>3</t>
    </r>
  </si>
  <si>
    <t>penthouse floor</t>
  </si>
  <si>
    <r>
      <rPr>
        <sz val="10"/>
        <color theme="1"/>
        <rFont val="Arial"/>
        <family val="2"/>
      </rPr>
      <t>m</t>
    </r>
    <r>
      <rPr>
        <vertAlign val="superscript"/>
        <sz val="11"/>
        <color theme="1"/>
        <rFont val="Calibri"/>
        <family val="2"/>
      </rPr>
      <t>3</t>
    </r>
  </si>
  <si>
    <t>penthouse roof</t>
  </si>
  <si>
    <t>260mm thick pt slab</t>
  </si>
  <si>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</si>
  <si>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</si>
  <si>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t>Head room</t>
  </si>
  <si>
    <r>
      <rPr>
        <sz val="10"/>
        <color theme="1"/>
        <rFont val="Arial"/>
        <family val="2"/>
      </rPr>
      <t>m</t>
    </r>
    <r>
      <rPr>
        <vertAlign val="superscript"/>
        <sz val="11"/>
        <color theme="1"/>
        <rFont val="Calibri"/>
        <family val="2"/>
      </rPr>
      <t>3</t>
    </r>
  </si>
  <si>
    <t>S3</t>
  </si>
  <si>
    <r>
      <rPr>
        <sz val="10"/>
        <color theme="1"/>
        <rFont val="Arial"/>
        <family val="2"/>
      </rPr>
      <t>m</t>
    </r>
    <r>
      <rPr>
        <vertAlign val="superscript"/>
        <sz val="11"/>
        <color theme="1"/>
        <rFont val="Calibri"/>
        <family val="2"/>
      </rPr>
      <t>3</t>
    </r>
  </si>
  <si>
    <t>CS2</t>
  </si>
  <si>
    <r>
      <rPr>
        <sz val="10"/>
        <color theme="1"/>
        <rFont val="Arial"/>
        <family val="2"/>
      </rPr>
      <t>m</t>
    </r>
    <r>
      <rPr>
        <vertAlign val="superscript"/>
        <sz val="11"/>
        <color theme="1"/>
        <rFont val="Calibri"/>
        <family val="2"/>
      </rPr>
      <t>3</t>
    </r>
  </si>
  <si>
    <t>Lintels</t>
  </si>
  <si>
    <t>W1-500X500 mm</t>
  </si>
  <si>
    <r>
      <rPr>
        <sz val="10"/>
        <color theme="1"/>
        <rFont val="Arial"/>
        <family val="2"/>
      </rPr>
      <t>m</t>
    </r>
    <r>
      <rPr>
        <vertAlign val="superscript"/>
        <sz val="11"/>
        <color theme="1"/>
        <rFont val="Calibri"/>
        <family val="2"/>
      </rPr>
      <t>3</t>
    </r>
  </si>
  <si>
    <t>Staircase</t>
  </si>
  <si>
    <t>Basement</t>
  </si>
  <si>
    <t>Waste slab</t>
  </si>
  <si>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</si>
  <si>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</si>
  <si>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t>first landing</t>
  </si>
  <si>
    <r>
      <rPr>
        <sz val="10"/>
        <color theme="1"/>
        <rFont val="Arial"/>
        <family val="2"/>
      </rPr>
      <t>m</t>
    </r>
    <r>
      <rPr>
        <vertAlign val="superscript"/>
        <sz val="11"/>
        <color theme="1"/>
        <rFont val="Calibri"/>
        <family val="2"/>
      </rPr>
      <t>3</t>
    </r>
  </si>
  <si>
    <t>Mid landing</t>
  </si>
  <si>
    <r>
      <rPr>
        <sz val="10"/>
        <color theme="1"/>
        <rFont val="Arial"/>
        <family val="2"/>
      </rPr>
      <t>m</t>
    </r>
    <r>
      <rPr>
        <vertAlign val="superscript"/>
        <sz val="11"/>
        <color theme="1"/>
        <rFont val="Calibri"/>
        <family val="2"/>
      </rPr>
      <t>3</t>
    </r>
  </si>
  <si>
    <t>Floor landing</t>
  </si>
  <si>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</si>
  <si>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</si>
  <si>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</si>
  <si>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t>landings</t>
  </si>
  <si>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</si>
  <si>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</si>
  <si>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</si>
  <si>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r>
      <rPr>
        <sz val="10"/>
        <color theme="1"/>
        <rFont val="Arial"/>
        <family val="2"/>
      </rPr>
      <t>m</t>
    </r>
    <r>
      <rPr>
        <vertAlign val="superscript"/>
        <sz val="11"/>
        <color theme="1"/>
        <rFont val="Calibri"/>
        <family val="2"/>
      </rPr>
      <t>3</t>
    </r>
  </si>
  <si>
    <t>equipments</t>
  </si>
  <si>
    <t>water tank pdestals</t>
  </si>
  <si>
    <r>
      <rPr>
        <sz val="10"/>
        <color theme="1"/>
        <rFont val="Arial"/>
        <family val="2"/>
      </rPr>
      <t>m</t>
    </r>
    <r>
      <rPr>
        <vertAlign val="superscript"/>
        <sz val="11"/>
        <color theme="1"/>
        <rFont val="Calibri"/>
        <family val="2"/>
      </rPr>
      <t>3</t>
    </r>
  </si>
  <si>
    <t>Dish antina</t>
  </si>
  <si>
    <r>
      <rPr>
        <sz val="10"/>
        <color theme="1"/>
        <rFont val="Arial"/>
        <family val="2"/>
      </rPr>
      <t>m</t>
    </r>
    <r>
      <rPr>
        <vertAlign val="superscript"/>
        <sz val="11"/>
        <color theme="1"/>
        <rFont val="Calibri"/>
        <family val="2"/>
      </rPr>
      <t>3</t>
    </r>
  </si>
  <si>
    <t>duct wall</t>
  </si>
  <si>
    <r>
      <rPr>
        <sz val="10"/>
        <color theme="1"/>
        <rFont val="Arial"/>
        <family val="2"/>
      </rPr>
      <t>m</t>
    </r>
    <r>
      <rPr>
        <vertAlign val="superscript"/>
        <sz val="11"/>
        <color theme="1"/>
        <rFont val="Calibri"/>
        <family val="2"/>
      </rPr>
      <t>3</t>
    </r>
  </si>
  <si>
    <t xml:space="preserve">Base unit </t>
  </si>
  <si>
    <t>FF to fifth floor</t>
  </si>
  <si>
    <t>louvers 50X100 mm</t>
  </si>
  <si>
    <t>front elevation</t>
  </si>
  <si>
    <t>right elevation</t>
  </si>
  <si>
    <t>left elevation</t>
  </si>
  <si>
    <t>rear elevation</t>
  </si>
  <si>
    <t>louvers 30X80 mm</t>
  </si>
  <si>
    <t>Thermal and moisture proetction</t>
  </si>
  <si>
    <t>top of roof</t>
  </si>
  <si>
    <r>
      <rPr>
        <sz val="11"/>
        <color theme="1"/>
        <rFont val="Calibri"/>
        <family val="2"/>
      </rPr>
      <t>m</t>
    </r>
    <r>
      <rPr>
        <vertAlign val="superscript"/>
        <sz val="11"/>
        <color theme="1"/>
        <rFont val="Calibri"/>
        <family val="2"/>
      </rPr>
      <t>2</t>
    </r>
  </si>
  <si>
    <t>-Ditto upstands</t>
  </si>
  <si>
    <r>
      <rPr>
        <sz val="11"/>
        <color theme="1"/>
        <rFont val="Calibri"/>
        <family val="2"/>
      </rPr>
      <t>m</t>
    </r>
    <r>
      <rPr>
        <vertAlign val="superscript"/>
        <sz val="11"/>
        <color theme="1"/>
        <rFont val="Calibri"/>
        <family val="2"/>
      </rPr>
      <t>2</t>
    </r>
  </si>
  <si>
    <t>Column and pedestals</t>
  </si>
  <si>
    <r>
      <rPr>
        <sz val="11"/>
        <color theme="1"/>
        <rFont val="Calibri"/>
        <family val="2"/>
      </rPr>
      <t>m</t>
    </r>
    <r>
      <rPr>
        <vertAlign val="superscript"/>
        <sz val="11"/>
        <color theme="1"/>
        <rFont val="Calibri"/>
        <family val="2"/>
      </rPr>
      <t>2</t>
    </r>
  </si>
  <si>
    <t>hand railinmg</t>
  </si>
  <si>
    <t>staircase</t>
  </si>
  <si>
    <t>Balcony Glass Railing</t>
  </si>
  <si>
    <t>frist floor to 5th floor</t>
  </si>
  <si>
    <t>PT slab</t>
  </si>
  <si>
    <t>Basement floor</t>
  </si>
  <si>
    <r>
      <rPr>
        <sz val="11"/>
        <color theme="1"/>
        <rFont val="Calibri"/>
        <family val="2"/>
      </rPr>
      <t>m</t>
    </r>
    <r>
      <rPr>
        <vertAlign val="superscript"/>
        <sz val="11"/>
        <color theme="1"/>
        <rFont val="Calibri"/>
        <family val="2"/>
      </rPr>
      <t>2</t>
    </r>
  </si>
  <si>
    <r>
      <rPr>
        <sz val="11"/>
        <color theme="1"/>
        <rFont val="Calibri"/>
        <family val="2"/>
      </rPr>
      <t>m</t>
    </r>
    <r>
      <rPr>
        <vertAlign val="superscript"/>
        <sz val="11"/>
        <color theme="1"/>
        <rFont val="Calibri"/>
        <family val="2"/>
      </rPr>
      <t>2</t>
    </r>
  </si>
  <si>
    <t>First floor to fifth floor</t>
  </si>
  <si>
    <r>
      <rPr>
        <sz val="11"/>
        <color theme="1"/>
        <rFont val="Calibri"/>
        <family val="2"/>
      </rPr>
      <t>m</t>
    </r>
    <r>
      <rPr>
        <vertAlign val="superscript"/>
        <sz val="11"/>
        <color theme="1"/>
        <rFont val="Calibri"/>
        <family val="2"/>
      </rPr>
      <t>2</t>
    </r>
  </si>
  <si>
    <r>
      <rPr>
        <sz val="11"/>
        <color theme="1"/>
        <rFont val="Calibri"/>
        <family val="2"/>
      </rPr>
      <t>m</t>
    </r>
    <r>
      <rPr>
        <vertAlign val="superscript"/>
        <sz val="11"/>
        <color theme="1"/>
        <rFont val="Calibri"/>
        <family val="2"/>
      </rPr>
      <t>2</t>
    </r>
  </si>
  <si>
    <t>Internal staircase</t>
  </si>
  <si>
    <t>Floor mounted</t>
  </si>
  <si>
    <t>Basemetn to ground floor</t>
  </si>
  <si>
    <t>First floor to penthouse</t>
  </si>
  <si>
    <t>Wall mounted</t>
  </si>
  <si>
    <t>Concrete elements</t>
  </si>
  <si>
    <t>Front elevation</t>
  </si>
  <si>
    <t>m2</t>
  </si>
  <si>
    <t>Rear elevation</t>
  </si>
  <si>
    <t>Base, wall, slab</t>
  </si>
  <si>
    <r>
      <rPr>
        <sz val="11"/>
        <color theme="1"/>
        <rFont val="Georgia"/>
        <family val="1"/>
      </rPr>
      <t>m</t>
    </r>
    <r>
      <rPr>
        <vertAlign val="superscript"/>
        <sz val="11"/>
        <color theme="1"/>
        <rFont val="Georgia"/>
        <family val="1"/>
      </rPr>
      <t>3</t>
    </r>
  </si>
  <si>
    <r>
      <rPr>
        <sz val="11"/>
        <color theme="1"/>
        <rFont val="Georgia"/>
        <family val="1"/>
      </rPr>
      <t>m</t>
    </r>
    <r>
      <rPr>
        <vertAlign val="superscript"/>
        <sz val="11"/>
        <color theme="1"/>
        <rFont val="Georgia"/>
        <family val="1"/>
      </rPr>
      <t>2</t>
    </r>
  </si>
  <si>
    <r>
      <rPr>
        <sz val="11"/>
        <color theme="1"/>
        <rFont val="Georgia"/>
        <family val="1"/>
      </rPr>
      <t>High yield steel deformed bar reinforcement BS 4449 (</t>
    </r>
    <r>
      <rPr>
        <b/>
        <sz val="11"/>
        <color theme="1"/>
        <rFont val="Georgia"/>
        <family val="1"/>
      </rPr>
      <t>Grade Fe 500</t>
    </r>
    <r>
      <rPr>
        <sz val="11"/>
        <color theme="1"/>
        <rFont val="Georgia"/>
        <family val="1"/>
      </rPr>
      <t>) of all including cutting, bending, fixing in position, binding wire, chairs, spacers, extra bars at cutouts/opening and protection against rusting etc as per structural drawing and schedule</t>
    </r>
  </si>
  <si>
    <t>8mm  -  32mm diameter bars</t>
  </si>
  <si>
    <t>External between two RCC for floor and wall</t>
  </si>
  <si>
    <t>Waterproofing and filler board</t>
  </si>
  <si>
    <r>
      <rPr>
        <sz val="11"/>
        <color theme="1"/>
        <rFont val="Georgia"/>
        <family val="1"/>
      </rPr>
      <t>m</t>
    </r>
    <r>
      <rPr>
        <vertAlign val="superscript"/>
        <sz val="11"/>
        <color theme="1"/>
        <rFont val="Georgia"/>
        <family val="1"/>
      </rPr>
      <t>2</t>
    </r>
  </si>
  <si>
    <t>internally waterproofing to holding tank</t>
  </si>
  <si>
    <t>internal waterproofing to holding tank</t>
  </si>
  <si>
    <r>
      <rPr>
        <sz val="11"/>
        <color theme="1"/>
        <rFont val="Georgia"/>
        <family val="1"/>
      </rPr>
      <t>m</t>
    </r>
    <r>
      <rPr>
        <vertAlign val="superscript"/>
        <sz val="11"/>
        <color theme="1"/>
        <rFont val="Georgia"/>
        <family val="1"/>
      </rPr>
      <t>2</t>
    </r>
  </si>
  <si>
    <t>Water bars</t>
  </si>
  <si>
    <t>Manhole cover</t>
  </si>
  <si>
    <t>TOTAL FOR BILL NO.4 ANCILLARY- CARRIED TO GENERAL SUMMARY</t>
  </si>
  <si>
    <t>BILL NO. 5  -  Electrical &amp; ELV</t>
  </si>
  <si>
    <t>ELECTRICAL INSTALLATION</t>
  </si>
  <si>
    <t>MAINS INSTALLATIONS</t>
  </si>
  <si>
    <t>SUB MAINS INSTALLATIONS</t>
  </si>
  <si>
    <t>Supply and install LV panels with control gear, as specified, complete with volt selection switches, voltmeters, indicator lamps , all as shown on drawings. Complete all in accordance with standard OES-4 specifications.</t>
  </si>
  <si>
    <t>Nr.</t>
  </si>
  <si>
    <t>EARTHING</t>
  </si>
  <si>
    <t>Earthing as per MEDC sandard ,as specified to LV power supply and distribution installtion including necessary accessories (Civil work not included)</t>
  </si>
  <si>
    <t>L/S</t>
  </si>
  <si>
    <t>Rubber mat for Electrical room</t>
  </si>
  <si>
    <t>ELECTRICAL INSTALLATION (CONT'D.)</t>
  </si>
  <si>
    <t>Distribution Board</t>
  </si>
  <si>
    <t>GROUND FLOOR</t>
  </si>
  <si>
    <t>FIRST FLOOR TO FIFTH FLOOR</t>
  </si>
  <si>
    <t>PENT HOUSE FLOOR</t>
  </si>
  <si>
    <t>LV CABLES</t>
  </si>
  <si>
    <t xml:space="preserve">Conductors and Cables </t>
  </si>
  <si>
    <t>Power supply distribution copper cables with earth continuity cable surface fixed in cable ladders/ trays / direct burried in ground / laid in iPVC ducts with approved supports or/and laid in floor service trenches, as specified to complete installation with terminations at both ends; complete all as specified and detailed on drawings and specification.</t>
  </si>
  <si>
    <t>DISTRIBUTION CABLES</t>
  </si>
  <si>
    <t>FROM SMDB - 03</t>
  </si>
  <si>
    <t>CABLE TERMINATION</t>
  </si>
  <si>
    <t>Supply and Installtion of Cable Termination</t>
  </si>
  <si>
    <t>Nr</t>
  </si>
  <si>
    <t xml:space="preserve">CABLE TRAY </t>
  </si>
  <si>
    <t>Supply and Installtion of GI cable Tray including,threared rod,nut,washers as per the approved dwg</t>
  </si>
  <si>
    <t>600 x 100 mm GI Cable Tray</t>
  </si>
  <si>
    <t xml:space="preserve">LIGHTING </t>
  </si>
  <si>
    <t>Supply &amp; Installation of LIGHT FITTINGS as per the approved dwg</t>
  </si>
  <si>
    <t>Calling Bell</t>
  </si>
  <si>
    <t>LIGHTING INSTALLATIONS (Cable and Conduits)</t>
  </si>
  <si>
    <t>Supply intallation, testing &amp; commisioning of the Light points complete with conduits, wiring, junction boxes, cover plates, ceiling roses etc. as shown on drawing and specification.</t>
  </si>
  <si>
    <t>Lighting switch - one way one gang</t>
  </si>
  <si>
    <t>Lighting switch - one way two gang</t>
  </si>
  <si>
    <t>Lighting switch - one way three gang</t>
  </si>
  <si>
    <t>Lighting switch - two way one gang</t>
  </si>
  <si>
    <t>Bell Push</t>
  </si>
  <si>
    <t>3A Fused flex oulet for ex-fan</t>
  </si>
  <si>
    <t>13A Single Switched Socket W/P</t>
  </si>
  <si>
    <t xml:space="preserve">13A Twin Switched Socket </t>
  </si>
  <si>
    <t>20A DP Switch with Indicator Lamp for WH</t>
  </si>
  <si>
    <t>20A DP Switch with Indicator Lamp for A/C</t>
  </si>
  <si>
    <t>ACCESSORIES</t>
  </si>
  <si>
    <t>Supply and Installation of Accessories as per the approved dwg</t>
  </si>
  <si>
    <t>20A WP DP Isolatoor for A/C Outdoor with weather proof protective stand</t>
  </si>
  <si>
    <t>63A WP TP Isolatoor for LIFT</t>
  </si>
  <si>
    <t>LIGHTNING PROTECTION SYSTEM INSTALLATIONS</t>
  </si>
  <si>
    <t>Allow for Lightning protection installations, as required for the building</t>
  </si>
  <si>
    <t>25 X 3 mm thick high conductivity copper conductor</t>
  </si>
  <si>
    <t>Mtr</t>
  </si>
  <si>
    <t>Teat clamps on down conductor</t>
  </si>
  <si>
    <t>Concrete test inspection pit</t>
  </si>
  <si>
    <t>Air terminal</t>
  </si>
  <si>
    <t>EARTHING SYSTEM INSTALLATIONS</t>
  </si>
  <si>
    <t>Allow for earthing the electrical installations, incoming mains cable, exposed pipe work, sanitary fittings and sundry equipment all as specified and in accordance with standards and IEE regulations, including all necessary earth pits, builders work accessories</t>
  </si>
  <si>
    <t>CCTV System (Cable and Conduit)</t>
  </si>
  <si>
    <t>Cable and conduit in cocealed Installation as per the approved dwg</t>
  </si>
  <si>
    <t>Supply and Installtion of accessories and necessary fittings as per the approved dwg</t>
  </si>
  <si>
    <t>24 port Managed 8023 at POE</t>
  </si>
  <si>
    <t>24 port Patch Panel Loaded</t>
  </si>
  <si>
    <t>Cat 6 1 mtr Patch Cord</t>
  </si>
  <si>
    <t>42U Rack</t>
  </si>
  <si>
    <t>42" LED Monitor</t>
  </si>
  <si>
    <t>Work Station</t>
  </si>
  <si>
    <t>Installation,Testing and Commissioning</t>
  </si>
  <si>
    <t>VIDEO DOOR PHONE</t>
  </si>
  <si>
    <t>Video Door Phone with POE switch (Indoor &amp; Outdoor)</t>
  </si>
  <si>
    <t>Testing and Commissioning</t>
  </si>
  <si>
    <t>TELE/DATA SYSTEM</t>
  </si>
  <si>
    <t>Cat6-A cable and conduit, Trunking to voice and data points, including terminations, in concealed installation, as specified suitable for installations.</t>
  </si>
  <si>
    <t>Telephone &amp; Data DB</t>
  </si>
  <si>
    <t>supply and Installations of Accesssories, complete; in accordance with drawings and specifications.</t>
  </si>
  <si>
    <t>48 port poE edge switch</t>
  </si>
  <si>
    <t>cat6-A patch chords</t>
  </si>
  <si>
    <t>1u brush panel</t>
  </si>
  <si>
    <t>42 U rack for structured cabling system</t>
  </si>
  <si>
    <t>Allow for Active Equipments for complete operation of Data/Voice System</t>
  </si>
  <si>
    <t xml:space="preserve">Item </t>
  </si>
  <si>
    <t>TV &amp; SATELLITE SYSTEM</t>
  </si>
  <si>
    <t>Cable and conduit to voice and data points, including terminations, in concealed installation, as specified suitable for installations.</t>
  </si>
  <si>
    <t>TV Outlet</t>
  </si>
  <si>
    <t>TV Juction box</t>
  </si>
  <si>
    <t>Multi switch / Video Distribution Box (12 input / 16 output)</t>
  </si>
  <si>
    <t>Satellite dish Arab/Euro/Nile sat</t>
  </si>
  <si>
    <t>TV Head End Equipment</t>
  </si>
  <si>
    <t>Sundries associated with Electrical Engineering Installtion</t>
  </si>
  <si>
    <t>Setting out the works ,making position of holes,mortises,chases and the like as required</t>
  </si>
  <si>
    <t>Cutting or forming holes,mortises,chases (finishes not included)</t>
  </si>
  <si>
    <t>All supports.fixing,anchors,coupling,anti vibrating mounts and as required</t>
  </si>
  <si>
    <t>All identification labels,plates,charts and identification of plant,equipments,Cables</t>
  </si>
  <si>
    <t>All protective and dcorative painting to conduit,trunking,equipments</t>
  </si>
  <si>
    <t>All necessary fire stopping to electrical services penetrations through walls floors ceilings</t>
  </si>
  <si>
    <t>Testing and commissioning including operating all equipements and accessories and providing fuel and power</t>
  </si>
  <si>
    <t>Providing necessary warranties for all electrical installation</t>
  </si>
  <si>
    <t>As Built drawing and shop drawings</t>
  </si>
  <si>
    <t>All builders work connection with the all of the electrica installation</t>
  </si>
  <si>
    <t>Allow for providing all opearation and maintenance manuals</t>
  </si>
  <si>
    <t xml:space="preserve">Carried to Summary </t>
  </si>
  <si>
    <t>BILL NO. 6  -  Plumbing  Installations</t>
  </si>
  <si>
    <t>PLUMBING INSTALLATIONS</t>
  </si>
  <si>
    <t>DRAINAGE INSTALLATIONS</t>
  </si>
  <si>
    <t>DRAINAGE PIPING (BM &amp; GF)</t>
  </si>
  <si>
    <t>Supply, install; Unplasticized Polyvinyl chloride (uPVC) pipe; above ground confirming to BS 4514 for above ground and BS 4660 for below ground piping including all supports fittings, markings, excavation, bedding, backfilling, concrete encasement (where required).</t>
  </si>
  <si>
    <t xml:space="preserve">110 mm diameter  SP </t>
  </si>
  <si>
    <t>110 mm Roding Eye</t>
  </si>
  <si>
    <t>STORM WATER SYSTEM</t>
  </si>
  <si>
    <t>Supply, install; Unplasticized Polyvinyl chloride (uPVC) pipe;  above ground confirming to BS 4514 for above groundBS 4660 for below ground piping including all supports fittings, markings, excavation, bedding, backfilling, concrete encasement (where required).</t>
  </si>
  <si>
    <t>110 mm diameter (BM)</t>
  </si>
  <si>
    <t>RAIN WATER SYSTEM</t>
  </si>
  <si>
    <t>Supply, install; Unplasticized Polyvinyl chloride (uPVC) pipe; above ground confirming to BS 4514 for above ground  including all supports fittings, markings, excavation, bedding, backfilling, concrete encasement (where required).</t>
  </si>
  <si>
    <t>Rain water Outlet 110mm</t>
  </si>
  <si>
    <t>SUMP PUMP</t>
  </si>
  <si>
    <t>Set</t>
  </si>
  <si>
    <t>110 mm Hpvc pipes and fittings</t>
  </si>
  <si>
    <t>DRAINAGE SYSTEM (SOIL &amp; WASTE LINES)</t>
  </si>
  <si>
    <t>160 mm diameter (GF &amp; External)</t>
  </si>
  <si>
    <t>110 mm Vent Cowl</t>
  </si>
  <si>
    <t>HOLDING TANK INSTALLATION</t>
  </si>
  <si>
    <t>110mm End connetor for suking line</t>
  </si>
  <si>
    <t>4" X 4" FT Grating SS 316</t>
  </si>
  <si>
    <t xml:space="preserve">110 mm Roding Eye </t>
  </si>
  <si>
    <t>ACOUSTIC PIPE INSULATION</t>
  </si>
  <si>
    <t>High level Drainage pipes at Ground floor only</t>
  </si>
  <si>
    <t xml:space="preserve">SANITARY WARE </t>
  </si>
  <si>
    <t>Supply of the following sanitary ware and accessories including providing and fixing of angle valves as necessary, brackets,  fixing bolts and  the like and connecting to pipe work as per specifications.</t>
  </si>
  <si>
    <t>EWC assembly, floor mounted type, complete with seat, including flush valve assembly and installation.</t>
  </si>
  <si>
    <t>1/2" 2 feet Flexible &amp; 1/2" x 1/2" Angle valve</t>
  </si>
  <si>
    <t>1/2" x 1/2" Angle Valve</t>
  </si>
  <si>
    <t xml:space="preserve">SS  Kitchen sink single bowl and drain excluding  upper cabinet base top cabin units all fittings &amp; doors </t>
  </si>
  <si>
    <t>Kitchen sink 11/2" bottle trap</t>
  </si>
  <si>
    <t>Shower mixer with head</t>
  </si>
  <si>
    <t>50ltr water Heater</t>
  </si>
  <si>
    <t>Towell Rod</t>
  </si>
  <si>
    <t>Paper Towel</t>
  </si>
  <si>
    <t>Toilet paper Holder</t>
  </si>
  <si>
    <t>Glass shelf</t>
  </si>
  <si>
    <t>Soap dispenser</t>
  </si>
  <si>
    <t>Mirror 600x800mm</t>
  </si>
  <si>
    <t>1/2" Bip tap</t>
  </si>
  <si>
    <t xml:space="preserve">PLUMBING INSTALLATIONS (Cont'd) </t>
  </si>
  <si>
    <t>HOT &amp; COLD WATER/PPR PIPE INSTALLATIONS</t>
  </si>
  <si>
    <t>Supply and install PPR Pipes type 3 DIN 8076,8077 &amp; 8078  including fittings , non return valve , supports , and other necessary accessories.</t>
  </si>
  <si>
    <t>(Ground floor , Typical floor,shaft and Roof)</t>
  </si>
  <si>
    <t>25 mm diameter pipe (CWS)</t>
  </si>
  <si>
    <t>25 mm diameter pipe (HWS)</t>
  </si>
  <si>
    <t>32 mm diameter pipe</t>
  </si>
  <si>
    <t>Gate Valves and accessories as specified</t>
  </si>
  <si>
    <t>25 mm diameter pipe</t>
  </si>
  <si>
    <t>COLD WATER/MMS PIPE INSTALLATIONS</t>
  </si>
  <si>
    <t>Cold water system inside building</t>
  </si>
  <si>
    <t>75mm diameter PPR Main line from BM Water tank to Roof</t>
  </si>
  <si>
    <t>75MM PPR Gate valve &amp; Accessories</t>
  </si>
  <si>
    <t>Bowser and PAW line</t>
  </si>
  <si>
    <t>75mm diameter GV</t>
  </si>
  <si>
    <t>WATER METER (Main)</t>
  </si>
  <si>
    <t>Supply and fixing of bulk water meter including necessary accessories</t>
  </si>
  <si>
    <t>1/2" Garden tap (Roof)</t>
  </si>
  <si>
    <t>Supply and fixing of water meter with accessories</t>
  </si>
  <si>
    <t>Float switch</t>
  </si>
  <si>
    <t>Float Valve</t>
  </si>
  <si>
    <t>External exposed  CWS pipes at roof, vertical ducts and voids, as specified</t>
  </si>
  <si>
    <t>32 mm diameter pipe (shaft)</t>
  </si>
  <si>
    <t>STORAGE TANK</t>
  </si>
  <si>
    <t>Connection for all water tank including necessary fittings</t>
  </si>
  <si>
    <t>BOOSTER PUMP</t>
  </si>
  <si>
    <t>PLUMBING INSTALLATIONS (CONT'D.)</t>
  </si>
  <si>
    <t>Sundries associated with Mechanical Engineering Installtion</t>
  </si>
  <si>
    <t>All identification labels,plates,charts and identification of plant,equipments &amp; Pipes</t>
  </si>
  <si>
    <t>All protective and dcorative painting to UPVC Pipes &amp; equipments</t>
  </si>
  <si>
    <t>All necessary fire stopping to Mechanical services penetrations through walls &amp; ceilings</t>
  </si>
  <si>
    <t>PLUMBING INSTALLATION</t>
  </si>
  <si>
    <t>Rate</t>
  </si>
  <si>
    <t>Work Description</t>
  </si>
  <si>
    <t>R.O.     Bz.</t>
  </si>
  <si>
    <t>PROVISIONAL SUMS</t>
  </si>
  <si>
    <t>Allow for the following Provisional Sums to be expended as directed by the Engineer/Employer's Representative or deducted in whole or in part if not required</t>
  </si>
  <si>
    <t>LIFT INSTALLATION</t>
  </si>
  <si>
    <t>EXTERNAL CAR PARKING</t>
  </si>
  <si>
    <t xml:space="preserve">SHORING </t>
  </si>
  <si>
    <t>PUZZLE CAR PARKING Mechanically operated and lifting Car lifting REFER DWG - A111</t>
  </si>
  <si>
    <t>Waterline Main Connection Works including FEES</t>
  </si>
  <si>
    <t>Carried to General Summary</t>
  </si>
  <si>
    <t>length</t>
  </si>
  <si>
    <t>F1</t>
  </si>
  <si>
    <t>Ground floor</t>
  </si>
  <si>
    <t>Second floor</t>
  </si>
  <si>
    <t>Third floor</t>
  </si>
  <si>
    <t>Fourth floor</t>
  </si>
  <si>
    <t>Project</t>
  </si>
  <si>
    <t>sub-masonry works</t>
  </si>
  <si>
    <t>300mm hick</t>
  </si>
  <si>
    <t>200mm thick</t>
  </si>
  <si>
    <t>100mm thick</t>
  </si>
  <si>
    <t>Basement 01 floor</t>
  </si>
  <si>
    <t>300mm thick</t>
  </si>
  <si>
    <t>D5</t>
  </si>
  <si>
    <t>D10</t>
  </si>
  <si>
    <t>D3</t>
  </si>
  <si>
    <t>D7</t>
  </si>
  <si>
    <t>D4</t>
  </si>
  <si>
    <t>W6</t>
  </si>
  <si>
    <t>D6</t>
  </si>
  <si>
    <t>D6*</t>
  </si>
  <si>
    <t>First floor topenthouse floor</t>
  </si>
  <si>
    <t>W4</t>
  </si>
  <si>
    <t>Aluiminium Luver 3</t>
  </si>
  <si>
    <t>TEMPERED GLASS HANDRAIL 4</t>
  </si>
  <si>
    <t>W2</t>
  </si>
  <si>
    <t>W1</t>
  </si>
  <si>
    <t>W3</t>
  </si>
  <si>
    <t>D9</t>
  </si>
  <si>
    <t>14.2.</t>
  </si>
  <si>
    <t>D11</t>
  </si>
  <si>
    <t>D12</t>
  </si>
  <si>
    <t>parapet wall</t>
  </si>
  <si>
    <t>GRC screen</t>
  </si>
  <si>
    <t>FF to penthouse</t>
  </si>
  <si>
    <t>Flooring</t>
  </si>
  <si>
    <t>Skirting</t>
  </si>
  <si>
    <t xml:space="preserve">Wall </t>
  </si>
  <si>
    <t>Ceiling</t>
  </si>
  <si>
    <t>Railings</t>
  </si>
  <si>
    <t>LW CON FOR SLOPE</t>
  </si>
  <si>
    <t>WPM 0.4cm</t>
  </si>
  <si>
    <t>Cement Screed 3cm</t>
  </si>
  <si>
    <t>EXTRUDED POLYSTYRENE 5cm.</t>
  </si>
  <si>
    <t>PROTECTION BOARD 0.2cm.</t>
  </si>
  <si>
    <t>SAND AND MORTAR BED 5cm.</t>
  </si>
  <si>
    <t>TERRAZZO TILES 30x30x3cm.</t>
  </si>
  <si>
    <t>TERRAZZO SKIRTING 30x10x3cm.</t>
  </si>
  <si>
    <t>internal</t>
  </si>
  <si>
    <t>F2</t>
  </si>
  <si>
    <t>F3</t>
  </si>
  <si>
    <t>F4</t>
  </si>
  <si>
    <t>F5</t>
  </si>
  <si>
    <t>S4</t>
  </si>
  <si>
    <t>SCHEDULE OF FINISHING</t>
  </si>
  <si>
    <t>Shop 13</t>
  </si>
  <si>
    <t>SQ M</t>
  </si>
  <si>
    <t>FLOORING</t>
  </si>
  <si>
    <t>Shop 14</t>
  </si>
  <si>
    <t>TYPE</t>
  </si>
  <si>
    <t>DESCRIPTION</t>
  </si>
  <si>
    <t>Shop 15</t>
  </si>
  <si>
    <t>20mm THICK ITALIAN MARBLE STEPS COLOR ,DESIGN &amp; SHAPE TO BE APPROVED</t>
  </si>
  <si>
    <t>Shop 16</t>
  </si>
  <si>
    <t>300X600X20mm ITALIAN MARBLE TILES COLOR ,DESIGN &amp; SHAPE TO BE APPROVED</t>
  </si>
  <si>
    <t>Shop 17</t>
  </si>
  <si>
    <t>400X400X20mm PORCELAIN TILES COLOR ,DESIGN &amp; SHAPE TO BE APPROVED</t>
  </si>
  <si>
    <t>Guard Room</t>
  </si>
  <si>
    <t>200X200X8mm FULLY VITRIFIED NON-SLIPPERY ITALIAN CERAMIC TILES COLOR ,DESIGN &amp; SHAPE TO BE APPROVED</t>
  </si>
  <si>
    <t>300X300X8mm BEST QUALITY TERRAZZO TILES COLOR ,DESIGN &amp; SHAPE TO BE APPROVED</t>
  </si>
  <si>
    <t>SKIRTING</t>
  </si>
  <si>
    <t xml:space="preserve">Gents Toilet </t>
  </si>
  <si>
    <t>600X100X20mm ITALIAN MARBLE SKIRTING WITH HALF ROUND TOP EDGE COLOR ,DESIGN &amp; SHAPE TO BE APPROVED.</t>
  </si>
  <si>
    <t>400X100X20mm HEIGHT PORCELAIN SKIRTING WITH HALF ROUND TOP EDGE</t>
  </si>
  <si>
    <t>Ladies Toilet</t>
  </si>
  <si>
    <t>300X100X20mm HEIGHT TERRAZZO SKIRTING WITH HALF ROUND TOP EDGE</t>
  </si>
  <si>
    <t>20mm THICK GRAY NIGHT MARBLE STEPS COLOR ,DESIGN &amp; SHAPE TO BE APPROVED</t>
  </si>
  <si>
    <t>Electric room</t>
  </si>
  <si>
    <t>WALLS</t>
  </si>
  <si>
    <t>staircse front lobby</t>
  </si>
  <si>
    <t>1 COAT PRIMER +2 COATS OF PUTTY + 3 COATS OF FENOMASTIC GOLD PAINT OR EQUIVALENT (COLOR SHALL BE FROM M.LN COLOR CHART AS APPROVED BY ENGINEER)  ON 20mm THICK CEMENT SAND PLASTER</t>
  </si>
  <si>
    <t>200X300mm GLAZED ITALIAN CERAMIC TILES FOR WALLS UP TO CEILING LEVEL COLOR &amp; DESIGN TO BE APPROVED</t>
  </si>
  <si>
    <t>Shop 1</t>
  </si>
  <si>
    <t>CEILING</t>
  </si>
  <si>
    <t>D15</t>
  </si>
  <si>
    <t>Shop 2</t>
  </si>
  <si>
    <t>1 COAT PRIMER +2 COATS OF PUTTY + 3 COATS OF FENOMASTIC GOLD PAINT OR EQUIVALENT (COLOR SHALL BE FROM  AS APPROVED BY ENGINEER)</t>
  </si>
  <si>
    <t>DECORATIVE SUSPENDED FIRE RESISTANT 12mm THICK GYPSUM BOARD   (DANOGIPS OR EQUIVALENT)   CEILING FIXED WITH CONCEALED METAL SUSPENSION SYSTEM FIXED TO THE SOFFIT OF SLAB/BEAM OR TO WALL ALL BOARD JOINTS TO BE TAPED AND SKIMMED AND PAINTED AS STANDARD IN C2</t>
  </si>
  <si>
    <t>Shop 3</t>
  </si>
  <si>
    <t>D2</t>
  </si>
  <si>
    <t>Shop 4,5,6,7</t>
  </si>
  <si>
    <t>Shop 8</t>
  </si>
  <si>
    <t>Shop 9</t>
  </si>
  <si>
    <t>Shop 10</t>
  </si>
  <si>
    <t>Shop 11</t>
  </si>
  <si>
    <t>Shop 12</t>
  </si>
  <si>
    <t>Flat 1</t>
  </si>
  <si>
    <t>Family Hall</t>
  </si>
  <si>
    <t>Bed Room</t>
  </si>
  <si>
    <t>Balcony</t>
  </si>
  <si>
    <t>Toilet</t>
  </si>
  <si>
    <t>Bath</t>
  </si>
  <si>
    <t>Open Kitchen</t>
  </si>
  <si>
    <t>Flat 2</t>
  </si>
  <si>
    <t>Flat 3</t>
  </si>
  <si>
    <t>Flat 4</t>
  </si>
  <si>
    <t>Flat 5</t>
  </si>
  <si>
    <t>W8</t>
  </si>
  <si>
    <t>Flat 6</t>
  </si>
  <si>
    <t>CW7</t>
  </si>
  <si>
    <t>Flat 7</t>
  </si>
  <si>
    <t>CW4</t>
  </si>
  <si>
    <t>CW5</t>
  </si>
  <si>
    <t>CW6</t>
  </si>
  <si>
    <t>AL Louvers</t>
  </si>
  <si>
    <t>Flat 8</t>
  </si>
  <si>
    <t>CW2</t>
  </si>
  <si>
    <t>CW3</t>
  </si>
  <si>
    <t>Flat 9</t>
  </si>
  <si>
    <t>Tread and riser</t>
  </si>
  <si>
    <t>Tread</t>
  </si>
  <si>
    <t>Stair Railings</t>
  </si>
  <si>
    <t>Precast Aluminium Railings</t>
  </si>
  <si>
    <t>LIGHT WEIGHT CONCRETE FOR SLOPE</t>
  </si>
  <si>
    <t>Stair portion</t>
  </si>
  <si>
    <t>Tank</t>
  </si>
  <si>
    <t>WATERPROOFING MEMBRANE 0.4cm.</t>
  </si>
  <si>
    <t>CEMENT SCREED 3cm.</t>
  </si>
  <si>
    <t>location</t>
  </si>
  <si>
    <t>D01</t>
  </si>
  <si>
    <t>D02</t>
  </si>
  <si>
    <t>D1</t>
  </si>
  <si>
    <t>D8</t>
  </si>
  <si>
    <t>D13</t>
  </si>
  <si>
    <t>D14</t>
  </si>
  <si>
    <t>D16</t>
  </si>
  <si>
    <t>D17</t>
  </si>
  <si>
    <t>D18</t>
  </si>
  <si>
    <t>W5</t>
  </si>
  <si>
    <t>W7</t>
  </si>
  <si>
    <t>CW8</t>
  </si>
  <si>
    <t>CW9</t>
  </si>
  <si>
    <t>CW10</t>
  </si>
  <si>
    <t>CW11</t>
  </si>
  <si>
    <t>CW12</t>
  </si>
  <si>
    <t>CW13</t>
  </si>
  <si>
    <t>CW14</t>
  </si>
  <si>
    <t>CW15</t>
  </si>
  <si>
    <t>CW16</t>
  </si>
  <si>
    <t>CW17</t>
  </si>
  <si>
    <t>CW18</t>
  </si>
  <si>
    <t>CW19</t>
  </si>
  <si>
    <t>CW20</t>
  </si>
  <si>
    <t>CW21</t>
  </si>
  <si>
    <t>CW22</t>
  </si>
  <si>
    <t>FG1</t>
  </si>
  <si>
    <t>FG</t>
  </si>
  <si>
    <t>SIZE (mm) - WIDTH</t>
  </si>
  <si>
    <t>SIZE (mm) - HEIGHT</t>
  </si>
  <si>
    <t>HEAVY DUTY UPVC SECTION DOUBLE LEAF HINGED DOOR WITH 6mm DOUBLE GLASS 12 +mm AIR GAP IN BETWEEN</t>
  </si>
  <si>
    <t>Basement 2</t>
  </si>
  <si>
    <t>Basement 1</t>
  </si>
  <si>
    <t>MAHOGANY WOOD DECORATIVE PANELED SINGLE LEAF HINGED DOOR &amp; 60min. FIRE RESISTANCE</t>
  </si>
  <si>
    <t>MAHOGANY WOOD DECORATIVE PANELED SINGLE LEAF HINGED DOOR</t>
  </si>
  <si>
    <t>MAHOGANY WOOD DECORATIVE PANELED SINGLE LEAF HINGED DOOR WITH  300mm ALUMINUM PLATE</t>
  </si>
  <si>
    <t>HEAVY DUTY UPVC SECTION SINGLE LEAF HINGED DOOR WITH 6mm DOUBLE GLASS</t>
  </si>
  <si>
    <t>Fifth floor</t>
  </si>
  <si>
    <t>HEAVY DUTY UPVC SECTION SINGLE LEAF HINGED DOOR GARBAGE ROOM</t>
  </si>
  <si>
    <t xml:space="preserve">   vv gy </t>
  </si>
  <si>
    <t>MAHOGANY WOOD DECORATIVE PANELED SINGLE LEAF HINGED DOOR &amp; 90min. FIRE RESISTANCE</t>
  </si>
  <si>
    <t>HEAVY DUTY UPVC SECTION SINGLE LEAF HINGED DOOR WITH 6mm DOUBLE GLASS 12 +mm AIR GAP IN BETWEEN</t>
  </si>
  <si>
    <t>lintel</t>
  </si>
  <si>
    <t>HEAVY DUTY UPVC SECTION DOUBLE LEAF HINGED DOOR PUMP ROOM</t>
  </si>
  <si>
    <t>width</t>
  </si>
  <si>
    <t>depth</t>
  </si>
  <si>
    <t>SCHEDULE OF CURTAIN WALLS GLASS</t>
  </si>
  <si>
    <t>WIDTH (mm)</t>
  </si>
  <si>
    <t>HEIGHT (mm)</t>
  </si>
  <si>
    <t>GLASS 1</t>
  </si>
  <si>
    <t>SILL LEVEL</t>
  </si>
  <si>
    <t>qty</t>
  </si>
  <si>
    <t>H.Q UPVC SECTION WITH 6mm CLEAR FLOAT GLASS +12mm AIR GAP+6mm REFLECTED GLASS AWING  WINDOW</t>
  </si>
  <si>
    <t>Cills</t>
  </si>
  <si>
    <t>Area</t>
  </si>
  <si>
    <t>Total concrete</t>
  </si>
  <si>
    <t>m3</t>
  </si>
  <si>
    <t>Cw</t>
  </si>
  <si>
    <t>Width(m)</t>
  </si>
  <si>
    <t>Height(m)</t>
  </si>
  <si>
    <t>Total Area</t>
  </si>
  <si>
    <t xml:space="preserve">Location </t>
  </si>
  <si>
    <t>Gf</t>
  </si>
  <si>
    <t>Area(m2)</t>
  </si>
  <si>
    <t>1-PH</t>
  </si>
  <si>
    <t>SCHEDULE OF WINDOW</t>
  </si>
  <si>
    <t>WIDTH</t>
  </si>
  <si>
    <t>HEIGHT</t>
  </si>
  <si>
    <t>H.Q UPVC SECTION WITH 6mm CLEAR FLOAT GLASS +12mm AIR GAP+6mm REFLECTED GLASS SLIDING  WINDOW</t>
  </si>
  <si>
    <t>H.Q UPVC SECTION WITH 6MM OBSCURED GLASS AWNING WINDOW WITH VENTILATOR OPENING</t>
  </si>
  <si>
    <t>FROM MIDLADING 80 CM HEIGHT</t>
  </si>
  <si>
    <t>AS PER PLAN AS PER ELEVATION</t>
  </si>
  <si>
    <t>H.Q UPVC SECTION WITH 6mm CLEAR FLOAT GLASS +12mm FIXED GLASS</t>
  </si>
  <si>
    <t>Type W1-2000 X 1400</t>
  </si>
  <si>
    <t>Type W2-1000 X 1100</t>
  </si>
  <si>
    <t>Type W3-800 X 1100</t>
  </si>
  <si>
    <t>Type W4-600 X 800</t>
  </si>
  <si>
    <t>Type W5-1000 X FROM MIDLADING 80 CM HEIGHT</t>
  </si>
  <si>
    <t>Type W7-1000 X 1100</t>
  </si>
  <si>
    <t>Type W8-600 X 1100</t>
  </si>
  <si>
    <t xml:space="preserve">Type W6-AS PER PLAN AS PER ELEVATION X </t>
  </si>
  <si>
    <t>a) Curtain Wall</t>
  </si>
  <si>
    <t>b)Fixed Glass</t>
  </si>
  <si>
    <t>Feeder pillar</t>
  </si>
  <si>
    <t>MDB -1</t>
  </si>
  <si>
    <t>MDB -2</t>
  </si>
  <si>
    <t>MDB -3</t>
  </si>
  <si>
    <r>
      <t xml:space="preserve">Supply and install quipment and control gear, as specified and detailed on drawing. </t>
    </r>
    <r>
      <rPr>
        <sz val="11"/>
        <rFont val="Arial"/>
        <family val="2"/>
      </rPr>
      <t>Including cable (not measured separately) &amp; cable terminations, cable trays from proposed panel to Distribution Board Complete all in accordance with drawings and standard OES-4 specifications.</t>
    </r>
  </si>
  <si>
    <t>DB GC - 16 WAY TPN</t>
  </si>
  <si>
    <t>DB SH 1 - 14 WAY SPN</t>
  </si>
  <si>
    <t>DB SH 2 - 14 WAY SPN</t>
  </si>
  <si>
    <t>DB SH 3 - 14 WAY SPN</t>
  </si>
  <si>
    <t>DB SH 4 - 14 WAY SPN</t>
  </si>
  <si>
    <t>DB SH 5 - 14 WAY SPN</t>
  </si>
  <si>
    <t>DB SH 6 - 14 WAY SPN</t>
  </si>
  <si>
    <t>DB SH 7 - 14 WAY SPN</t>
  </si>
  <si>
    <t>DB SH 8 - 14 WAY SPN</t>
  </si>
  <si>
    <t>DB SH 9 - 14 WAY SPN</t>
  </si>
  <si>
    <t>DB SH 10 - 14 WAY SPN</t>
  </si>
  <si>
    <t>DB SH 11 - 14 WAY SPN</t>
  </si>
  <si>
    <t>DB SH 12 - 14 WAY SPN</t>
  </si>
  <si>
    <t>DB SH 13 - 14 WAY SPN</t>
  </si>
  <si>
    <t>DB SH 14 - 14 WAY SPN</t>
  </si>
  <si>
    <t>DB SH 15 - 14 WAY SPN</t>
  </si>
  <si>
    <t>DB SH 16 - 14 WAY SPN</t>
  </si>
  <si>
    <t>DB SH 17 - 14 WAY SPN</t>
  </si>
  <si>
    <t>DB-1F1 - 16 WAY SPN (TYP)</t>
  </si>
  <si>
    <t>DB-1F2 - 16 WAY SPN (TYP)</t>
  </si>
  <si>
    <t>DB-1F3 - 16 WAY SPN (TYP)</t>
  </si>
  <si>
    <t>DB-1F4 - 16 WAY SPN (TYP)</t>
  </si>
  <si>
    <t>DB-1F5 - 16 WAY SPN (TYP)</t>
  </si>
  <si>
    <t>DB-1F6 - 16 WAY SPN (TYP)</t>
  </si>
  <si>
    <t>DB-1F7 - 8 WAY TPN (TYP)</t>
  </si>
  <si>
    <t>DB-1F8 - 8 WAY TPN (TYP)</t>
  </si>
  <si>
    <t>DB-1F9 - 8 WAY TPN (TYP)</t>
  </si>
  <si>
    <t xml:space="preserve">DB-PF1 - 8 WAY TPN </t>
  </si>
  <si>
    <t xml:space="preserve">DB-PF2 - 8 WAY TPN </t>
  </si>
  <si>
    <t xml:space="preserve">DB-PF3 - 8 WAY TPN </t>
  </si>
  <si>
    <t xml:space="preserve">DB-PF4 - 8 WAY TPN </t>
  </si>
  <si>
    <t xml:space="preserve">DB-PF5 - 8 WAY TPN </t>
  </si>
  <si>
    <t xml:space="preserve">DB-PF6 - 8 WAY TPN </t>
  </si>
  <si>
    <t xml:space="preserve">DB-PF7 - 8 WAY TPN </t>
  </si>
  <si>
    <t xml:space="preserve">DB-PF8 - 8 WAY TPN </t>
  </si>
  <si>
    <t xml:space="preserve">DB-PF9 - 8 WAY TPN </t>
  </si>
  <si>
    <t>FROM FEEDER PILLAR</t>
  </si>
  <si>
    <t>4C X 240 sqmm XLPE/SWA/PVC/Cu Cable + 1C X 120 sqmm ECC from Feeder Pillar to MDB-01,02 &amp; 03</t>
  </si>
  <si>
    <t>FROM MDB - 01</t>
  </si>
  <si>
    <t>4C X 25 SQMM XLPE Cable + 1C X 16 SQMM Y/G ECC for DB-GC</t>
  </si>
  <si>
    <t>4C X 25 SQMM XLPE Cable + 1C X 16 SQMM Y/G ECC for Mech. Parking</t>
  </si>
  <si>
    <t>4C X 16 SQMM XLPE Cable + 1C X 16 SQMM Y/G ECC for Lift 1 &amp; 2</t>
  </si>
  <si>
    <t>4C X 10 SQMM XLPE Cable + 1C X 10 SQMM Y/G ECC for Fire Pump</t>
  </si>
  <si>
    <t>4C X 6 SQMM XLPE Cable + 1C X 6 SQMM Y/G ECC for Tran. Pump</t>
  </si>
  <si>
    <t>4C X 4 SQMM XLPE Cable + 1C X 4 SQMM Y/G ECC for Booster Pump</t>
  </si>
  <si>
    <t>2C X 35 sqmm XLPE/PVC/Cu Cable + 1C X 16 sqmm Y/G ECC for DB-SH1</t>
  </si>
  <si>
    <t>2C X 35 sqmm XLPE/PVC/Cu Cable + 1C X 16 sqmm Y/G ECC for DB-SH2</t>
  </si>
  <si>
    <t>2C X 35 sqmm XLPE/PVC/Cu Cable + 1C X 16 sqmm Y/G ECC for DB-SH3</t>
  </si>
  <si>
    <t>2C X 35 sqmm XLPE/PVC/Cu Cable + 1C X 16 sqmm Y/G ECC for DB-SH4</t>
  </si>
  <si>
    <t>2C X 35 sqmm XLPE/PVC/Cu Cable + 1C X 16 sqmm Y/G ECC for DB-SH5</t>
  </si>
  <si>
    <t>2C X 35 sqmm XLPE/PVC/Cu Cable + 1C X 16 sqmm Y/G ECC for DB-SH6</t>
  </si>
  <si>
    <t>2C X 35 sqmm XLPE/PVC/Cu Cable + 1C X 16 sqmm Y/G ECC for DB-SH7</t>
  </si>
  <si>
    <t>2C X 35 sqmm XLPE/PVC/Cu Cable + 1C X 16 sqmm Y/G ECC for DB-SH8</t>
  </si>
  <si>
    <t>2C X 35 sqmm XLPE/PVC/Cu Cable + 1C X 16 sqmm Y/G ECC for DB-SH9</t>
  </si>
  <si>
    <t>2C X 35 sqmm XLPE/PVC/Cu Cable + 1C X 16 sqmm Y/G ECC for DB-SH10</t>
  </si>
  <si>
    <t>2C X 35 sqmm XLPE/PVC/Cu Cable + 1C X 16 sqmm Y/G ECC for DB-SH11</t>
  </si>
  <si>
    <t>2C X 35 sqmm XLPE/PVC/Cu Cable + 1C X 16 sqmm Y/G ECC for DB-SH12</t>
  </si>
  <si>
    <t>2C X 35 sqmm XLPE/PVC/Cu Cable + 1C X 16 sqmm Y/G ECC for DB-SH13</t>
  </si>
  <si>
    <t>2C X 35 sqmm XLPE/PVC/Cu Cable + 1C X 16 sqmm Y/G ECC for DB-SH14</t>
  </si>
  <si>
    <t>2C X 35 sqmm XLPE/PVC/Cu Cable + 1C X 16 sqmm Y/G ECC for DB-SH15</t>
  </si>
  <si>
    <t>2C X 35 sqmm XLPE/PVC/Cu Cable + 1C X 16 sqmm Y/G ECC for DB-SH16</t>
  </si>
  <si>
    <t>2C X 35 sqmm XLPE/PVC/Cu Cable + 1C X 16 sqmm Y/G ECC for DB-SH17</t>
  </si>
  <si>
    <t>2C X 35 sqmm XLPE/PVC/Cu Cable + 1C X 16 sqmm Y/G ECC for DB-1F1</t>
  </si>
  <si>
    <t>2C X 35 sqmm XLPE/PVC/Cu Cable + 1C X 16 sqmm Y/G ECC for DB-1F2</t>
  </si>
  <si>
    <t>2C X 35 sqmm XLPE/PVC/Cu Cable + 1C X 16 sqmm Y/G ECC for DB-1F3</t>
  </si>
  <si>
    <t>2C X 35 sqmm XLPE/PVC/Cu Cable + 1C X 16 sqmm Y/G ECC for DB-1F4</t>
  </si>
  <si>
    <t>2C X 35 sqmm XLPE/PVC/Cu Cable + 1C X 16 sqmm Y/G ECC for DB-1F5</t>
  </si>
  <si>
    <t>2C X 35 sqmm XLPE/PVC/Cu Cable + 1C X 16 sqmm Y/G ECC for DB-1F6</t>
  </si>
  <si>
    <t>4C X 25 SQMM XLPE Cable + 1C X 16 SQMM Y/G ECC for DB-1F7</t>
  </si>
  <si>
    <t>4C X 25 SQMM XLPE Cable + 1C X 16 SQMM Y/G ECC for DB-1F8</t>
  </si>
  <si>
    <t>4C X 25 SQMM XLPE Cable + 1C X 16 SQMM Y/G ECC for DB-1F9</t>
  </si>
  <si>
    <t>2C X 35 sqmm XLPE/PVC/Cu Cable + 1C X 16 sqmm Y/G ECC for DB-2F1</t>
  </si>
  <si>
    <t>2C X 35 sqmm XLPE/PVC/Cu Cable + 1C X 16 sqmm Y/G ECC for DB-2F2</t>
  </si>
  <si>
    <t>FROM MDB - 02</t>
  </si>
  <si>
    <t>2C X 35 sqmm XLPE/PVC/Cu Cable + 1C X 16 sqmm Y/G ECC for DB-2F3</t>
  </si>
  <si>
    <t>2C X 35 sqmm XLPE/PVC/Cu Cable + 1C X 16 sqmm Y/G ECC for DB-2F4</t>
  </si>
  <si>
    <t>2C X 35 sqmm XLPE/PVC/Cu Cable + 1C X 16 sqmm Y/G ECC for DB-2F5</t>
  </si>
  <si>
    <t>2C X 35 sqmm XLPE/PVC/Cu Cable + 1C X 16 sqmm Y/G ECC for DB-2F6</t>
  </si>
  <si>
    <t>4C X 25 SQMM XLPE Cable + 1C X 16 SQMM Y/G ECC for DB-2F7</t>
  </si>
  <si>
    <t>4C X 25 SQMM XLPE Cable + 1C X 16 SQMM Y/G ECC for DB-2F8</t>
  </si>
  <si>
    <t>4C X 25 SQMM XLPE Cable + 1C X 16 SQMM Y/G ECC for DB-2F9</t>
  </si>
  <si>
    <t>2C X 35 sqmm XLPE/PVC/Cu Cable + 1C X 16 sqmm Y/G ECC for DB-3F1</t>
  </si>
  <si>
    <t>2C X 35 sqmm XLPE/PVC/Cu Cable + 1C X 16 sqmm Y/G ECC for DB-3F2</t>
  </si>
  <si>
    <t>2C X 35 sqmm XLPE/PVC/Cu Cable + 1C X 16 sqmm Y/G ECC for DB-3F3</t>
  </si>
  <si>
    <t>2C X 35 sqmm XLPE/PVC/Cu Cable + 1C X 16 sqmm Y/G ECC for DB-3F4</t>
  </si>
  <si>
    <t>2C X 35 sqmm XLPE/PVC/Cu Cable + 1C X 16 sqmm Y/G ECC for DB-3F5</t>
  </si>
  <si>
    <t>2C X 35 sqmm XLPE/PVC/Cu Cable + 1C X 16 sqmm Y/G ECC for DB-3F6</t>
  </si>
  <si>
    <t>4C X 25 SQMM XLPE Cable + 1C X 16 SQMM Y/G ECC for DB-3F7</t>
  </si>
  <si>
    <t>4C X 25 SQMM XLPE Cable + 1C X 16 SQMM Y/G ECC for DB-3F8</t>
  </si>
  <si>
    <t>4C X 25 SQMM XLPE Cable + 1C X 16 SQMM Y/G ECC for DB-3F9</t>
  </si>
  <si>
    <t>2C X 35 sqmm XLPE/PVC/Cu Cable + 1C X 16 sqmm Y/G ECC for DB-4F1</t>
  </si>
  <si>
    <t>2C X 35 sqmm XLPE/PVC/Cu Cable + 1C X 16 sqmm Y/G ECC for DB-4F2</t>
  </si>
  <si>
    <t>2C X 35 sqmm XLPE/PVC/Cu Cable + 1C X 16 sqmm Y/G ECC for DB-4F3</t>
  </si>
  <si>
    <t>2C X 35 sqmm XLPE/PVC/Cu Cable + 1C X 16 sqmm Y/G ECC for DB-4F4</t>
  </si>
  <si>
    <t>2C X 35 sqmm XLPE/PVC/Cu Cable + 1C X 16 sqmm Y/G ECC for DB-4F5</t>
  </si>
  <si>
    <t>2C X 35 sqmm XLPE/PVC/Cu Cable + 1C X 16 sqmm Y/G ECC for DB-4F6</t>
  </si>
  <si>
    <t>4C X 25 SQMM XLPE Cable + 1C X 16 SQMM Y/G ECC for DB-4F7</t>
  </si>
  <si>
    <t>4C X 25 SQMM XLPE Cable + 1C X 16 SQMM Y/G ECC for DB-4F8</t>
  </si>
  <si>
    <t>4C X 25 SQMM XLPE Cable + 1C X 16 SQMM Y/G ECC for DB-4F9</t>
  </si>
  <si>
    <t>2C X 35 sqmm XLPE/PVC/Cu Cable + 1C X 16 sqmm Y/G ECC for DB-5F1</t>
  </si>
  <si>
    <t>2C X 35 sqmm XLPE/PVC/Cu Cable + 1C X 16 sqmm Y/G ECC for DB-5F2</t>
  </si>
  <si>
    <t>2C X 35 sqmm XLPE/PVC/Cu Cable + 1C X 16 sqmm Y/G ECC for DB-5F3</t>
  </si>
  <si>
    <t>2C X 35 sqmm XLPE/PVC/Cu Cable + 1C X 16 sqmm Y/G ECC for DB-5F4</t>
  </si>
  <si>
    <t>2C X 35 sqmm XLPE/PVC/Cu Cable + 1C X 16 sqmm Y/G ECC for DB-5F5</t>
  </si>
  <si>
    <t>2C X 35 sqmm XLPE/PVC/Cu Cable + 1C X 16 sqmm Y/G ECC for DB-5F6</t>
  </si>
  <si>
    <t>4C X 25 SQMM XLPE Cable + 1C X 16 SQMM Y/G ECC for DB-5F7</t>
  </si>
  <si>
    <t>4C X 25 SQMM XLPE Cable + 1C X 16 SQMM Y/G ECC for DB-5F8</t>
  </si>
  <si>
    <t>4C X 25 SQMM XLPE Cable + 1C X 16 SQMM Y/G ECC for DB-5F9</t>
  </si>
  <si>
    <t>2C X 35 sqmm XLPE/PVC/Cu Cable + 1C X 16 sqmm Y/G ECC for DB-PF1</t>
  </si>
  <si>
    <t>2C X 35 sqmm XLPE/PVC/Cu Cable + 1C X 16 sqmm Y/G ECC for DB-PF2</t>
  </si>
  <si>
    <t>2C X 35 sqmm XLPE/PVC/Cu Cable + 1C X 16 sqmm Y/G ECC for DB-PF3</t>
  </si>
  <si>
    <t>2C X 35 sqmm XLPE/PVC/Cu Cable + 1C X 16 sqmm Y/G ECC for DB-PF4</t>
  </si>
  <si>
    <t>2C X 35 sqmm XLPE/PVC/Cu Cable + 1C X 16 sqmm Y/G ECC for DB-PF5</t>
  </si>
  <si>
    <t>2C X 35 sqmm XLPE/PVC/Cu Cable + 1C X 16 sqmm Y/G ECC for DB-PF6</t>
  </si>
  <si>
    <t>4C X 25 SQMM XLPE Cable + 1C X 16 SQMM Y/G ECC for DB-PF7</t>
  </si>
  <si>
    <t>4C X 25 SQMM XLPE Cable + 1C X 16 SQMM Y/G ECC for DB-PF8</t>
  </si>
  <si>
    <t>4C X 25 SQMM XLPE Cable + 1C X 16 SQMM Y/G ECC for DB-PF9</t>
  </si>
  <si>
    <t>1C X 630 sqmm XLPE/AWA/PVC/Cu Cable</t>
  </si>
  <si>
    <t>4C X 240 sqmm XLPE/SWA/PVC/Cu Cable + 1C X 120 sqmm ECC</t>
  </si>
  <si>
    <t>4C X 25 sqmm XLPE/PVC/Cu Cable + 1C X 16 sqmm ECC</t>
  </si>
  <si>
    <t>4C X 16 sqmm XLPE/PVC/Cu Cable + 1C X 10 sqmm ECC</t>
  </si>
  <si>
    <t>4C X 10 sqmm XLPE/PVC/Cu Cable + 1C X 10 sqmm ECC</t>
  </si>
  <si>
    <t>4C X 6 sqmm XLPE/PVC/Cu Cable + 1C X 6 sqmm ECC</t>
  </si>
  <si>
    <t>4C X 4 sqmm XLPE/PVC/Cu Cable + 1C X 4 sqmm ECC</t>
  </si>
  <si>
    <t>2C X 35 sqmm XLPE/PVC/Cu Cable + 1C X 16 sqmm ECC</t>
  </si>
  <si>
    <t>150 x 100 mm GI Cable Tray</t>
  </si>
  <si>
    <t>T1 - 41W LED Recessed mounted Square Luminare</t>
  </si>
  <si>
    <t>T2 - 35W LED Surface mounted Luminare</t>
  </si>
  <si>
    <t>T3 - 28W LED Down Lights Recessed Luminare IP20</t>
  </si>
  <si>
    <t>T4 - 28W LED Down Lights Recessed Luminare IP65</t>
  </si>
  <si>
    <t>T5 - 1x19W LED Side Wall Mounted Luminare IP65</t>
  </si>
  <si>
    <t>T6 - 22W LED Surface mounted Luminare</t>
  </si>
  <si>
    <t>T7 - 4Arms Chandilier Deecorative</t>
  </si>
  <si>
    <t>T8 - 9W LED Mirror Lights Luminare IP44</t>
  </si>
  <si>
    <t>20A Flexed outlet</t>
  </si>
  <si>
    <t>30A WP DP Isolatoor for A/C Outdoor with weather proof protective stand</t>
  </si>
  <si>
    <t>20A WP TP Isolatoor for Booster Pump with weather proof protective stand</t>
  </si>
  <si>
    <t>32A WP TP Isolatoor for Transfer Pump</t>
  </si>
  <si>
    <t>45A WP TP Isolatoor for Fire Pump</t>
  </si>
  <si>
    <t>63A WP TP Isolatoor for Mech. Parking</t>
  </si>
  <si>
    <t>Early Streamer Emission Lightning Protection System with necessary earth pits to achieve a value less than 10 Ohms for the building</t>
  </si>
  <si>
    <t xml:space="preserve">20 mm  Cu. Earth rod </t>
  </si>
  <si>
    <t>PTZ Zoom IP Camera, 180degree, POE</t>
  </si>
  <si>
    <t>IP Day and Night Dome Camera, 180degree, POE</t>
  </si>
  <si>
    <t>24 channel NVR with 8 TB Storage</t>
  </si>
  <si>
    <t>RJ-45 cat6-A single voice Outlet with different height.</t>
  </si>
  <si>
    <t>Telephone and Data DB Juction box</t>
  </si>
  <si>
    <t xml:space="preserve">200 mm diameter  SP </t>
  </si>
  <si>
    <t xml:space="preserve">200 mm diameter WP  </t>
  </si>
  <si>
    <t xml:space="preserve">110 mm diameter WP  </t>
  </si>
  <si>
    <t>300 mm HD DI Chanel grating</t>
  </si>
  <si>
    <t xml:space="preserve">110 mm diameter RWP  </t>
  </si>
  <si>
    <t>25m3/hr @20m Head Duty/ Assist</t>
  </si>
  <si>
    <t>110 mm diameter SVP</t>
  </si>
  <si>
    <t>110 mm diameter WVP</t>
  </si>
  <si>
    <t>82 mm diameter WVP</t>
  </si>
  <si>
    <t>55 mm diameter WVP</t>
  </si>
  <si>
    <t>160 mm Roding Eye</t>
  </si>
  <si>
    <t>82 mm Roding Eye</t>
  </si>
  <si>
    <t>110 mm diameter HDPE Pipe (BOWSER)</t>
  </si>
  <si>
    <t>30ltr water Heater</t>
  </si>
  <si>
    <t>20 mm diameter pipe (CWS)</t>
  </si>
  <si>
    <t>32 mm diameter pipe (CWS)</t>
  </si>
  <si>
    <t>20 mm diameter pipe</t>
  </si>
  <si>
    <t>75mm diameter HPVC Main &amp; Bowser fill line from BM Water tank to Roof</t>
  </si>
  <si>
    <t>54mm diameter GV</t>
  </si>
  <si>
    <t xml:space="preserve">WATER METER </t>
  </si>
  <si>
    <t>Roof piping (32mm)</t>
  </si>
  <si>
    <t>3000 Gal Capacity Polyethylene (PE) Cold Water storage tank including valve ,union,airvent,acceses door,etc…as per the approved dwg</t>
  </si>
  <si>
    <t>Cold water Booster pump  1 working and 1 stand by 3 L/s flow rate, 2.5 bar head; complete with control panel, pressure switch and other accessories</t>
  </si>
  <si>
    <t>Pile</t>
  </si>
  <si>
    <t>Pile type</t>
  </si>
  <si>
    <t>Pile dia</t>
  </si>
  <si>
    <t>Pile area</t>
  </si>
  <si>
    <t>Pile depth</t>
  </si>
  <si>
    <t>Pile concrete volume</t>
  </si>
  <si>
    <t>Pile nos</t>
  </si>
  <si>
    <t>Concrete volume</t>
  </si>
  <si>
    <t>Circular pile</t>
  </si>
  <si>
    <t>Raft, Shore pile, Capping beam</t>
  </si>
  <si>
    <t>Capping Beam</t>
  </si>
  <si>
    <t>C BEAM</t>
  </si>
  <si>
    <t>Holding Tank</t>
  </si>
  <si>
    <t>FireTank</t>
  </si>
  <si>
    <t>Holding tank &amp; Fire Tank</t>
  </si>
  <si>
    <t>8mm to 25mm diameter bars</t>
  </si>
  <si>
    <t>RCC Wall Up to Grade Slab</t>
  </si>
  <si>
    <t>Corridor floor 1 to penthouse</t>
  </si>
  <si>
    <t>Corriod Gf</t>
  </si>
  <si>
    <t>Supply And Fixxing high-quality aluminum box louver screens in accordance with the architectural elevation drawings and project specifications</t>
  </si>
  <si>
    <t>Gypsum Board</t>
  </si>
  <si>
    <t>Supply and Fitting Decorative suspended fire-resistant 12mm thick gypsum board (Danogips or equivalent) ceiling fixed with concealed metal suspension system fixed to the soffit of slab/beam or to wall. All board joints to be taped and skimmed and painted as specified.</t>
  </si>
  <si>
    <t>A-193 Mesh</t>
  </si>
  <si>
    <t>.</t>
  </si>
  <si>
    <t>Tiles for Roof</t>
  </si>
  <si>
    <t>1900+400+1800</t>
  </si>
  <si>
    <t>1.875+0.233+0.4</t>
  </si>
  <si>
    <t xml:space="preserve">BILL NO. 2   Sub Contractors Price </t>
  </si>
  <si>
    <t xml:space="preserve">1) Structural Subcontractor </t>
  </si>
  <si>
    <t xml:space="preserve">2) MEP Sub Contractors </t>
  </si>
  <si>
    <t>Items</t>
  </si>
  <si>
    <t>Finishing work Packages</t>
  </si>
  <si>
    <t>Total Area of the Building</t>
  </si>
  <si>
    <t>Rate for the building (Rial/Sqm)</t>
  </si>
  <si>
    <t xml:space="preserve">Electrical Main Connection Works </t>
  </si>
  <si>
    <t>Type  D4 1000*2200</t>
  </si>
  <si>
    <t>Type  D5 1000*2200</t>
  </si>
  <si>
    <t>Type  D6 800*2200</t>
  </si>
  <si>
    <t>Type  D6* 1000*2200</t>
  </si>
  <si>
    <t>Type  D9 1100*2200</t>
  </si>
  <si>
    <t>Type  D12 900*2200</t>
  </si>
  <si>
    <t>Type  D10 1000*2200</t>
  </si>
  <si>
    <t>Type D1 1700*2200</t>
  </si>
  <si>
    <t>Type D2 1700*2200</t>
  </si>
  <si>
    <t>Type D3 1500*2400</t>
  </si>
  <si>
    <t>Type D7 800*2200</t>
  </si>
  <si>
    <t>Type D8 1000*2200</t>
  </si>
  <si>
    <t>Type D11 1000*2200</t>
  </si>
  <si>
    <t>Type D13 1450*2200</t>
  </si>
  <si>
    <t>Type D18 1900*2200</t>
  </si>
  <si>
    <t>Type D17 1900*2200</t>
  </si>
  <si>
    <t>Type D16 1400*2200</t>
  </si>
  <si>
    <t>Type D15 1350*2200</t>
  </si>
  <si>
    <t>Type D14 1550*2200</t>
  </si>
  <si>
    <t xml:space="preserve">Aluminium Curtain Wall </t>
  </si>
  <si>
    <t>CW1- 3050 X 3240</t>
  </si>
  <si>
    <t>CW2- 2100 X 3240</t>
  </si>
  <si>
    <t>CW3- 1400 X 3240</t>
  </si>
  <si>
    <t>CW4- 3400 X 3240</t>
  </si>
  <si>
    <t>CW5- 2600 X 3240</t>
  </si>
  <si>
    <t>CW6- 3050 X 3240</t>
  </si>
  <si>
    <t>CW7- 1500 X 3240</t>
  </si>
  <si>
    <t>CW8- 1900 X 3200</t>
  </si>
  <si>
    <t>CW9- 2300 X 3200</t>
  </si>
  <si>
    <t>CW10- 1950 X 3240</t>
  </si>
  <si>
    <t>CW11- 1600 X 3240</t>
  </si>
  <si>
    <t>CW12- 1700 X 3240</t>
  </si>
  <si>
    <t>CW13- 1400 X 3240</t>
  </si>
  <si>
    <t>CW14- 2100 X 3240</t>
  </si>
  <si>
    <t>CW15- 800 X 3240</t>
  </si>
  <si>
    <t>CW16- 900 X 3240</t>
  </si>
  <si>
    <t>CW17- 800 X 3240</t>
  </si>
  <si>
    <t>CW22- 1300 X 3200</t>
  </si>
  <si>
    <t>CW21- 600 X 3200</t>
  </si>
  <si>
    <t>CW20- 1700 X 3200</t>
  </si>
  <si>
    <t>CW19- 1300 X 3240</t>
  </si>
  <si>
    <t>CW18- 2350 X 3240</t>
  </si>
  <si>
    <t>U</t>
  </si>
  <si>
    <t>V</t>
  </si>
  <si>
    <t>Aluminum &amp; Other door</t>
  </si>
  <si>
    <r>
      <t xml:space="preserve">20 mm thick pre-mixed cement  render in two coats including plastering accessories to walls, groove, up stands </t>
    </r>
    <r>
      <rPr>
        <b/>
        <sz val="11"/>
        <rFont val="Georgia"/>
        <family val="1"/>
      </rPr>
      <t xml:space="preserve">externally </t>
    </r>
    <r>
      <rPr>
        <sz val="11"/>
        <rFont val="Georgia"/>
        <family val="1"/>
      </rPr>
      <t>to receive paint as specified and to the approval of the Engineer</t>
    </r>
  </si>
  <si>
    <r>
      <t>m</t>
    </r>
    <r>
      <rPr>
        <vertAlign val="superscript"/>
        <sz val="11"/>
        <rFont val="Georgia"/>
        <family val="1"/>
      </rPr>
      <t>2</t>
    </r>
  </si>
  <si>
    <r>
      <t xml:space="preserve">18 mm thick pre-mixed cement render in two coats to walls, columns etc. </t>
    </r>
    <r>
      <rPr>
        <b/>
        <sz val="11"/>
        <rFont val="Georgia"/>
        <family val="1"/>
      </rPr>
      <t>internally</t>
    </r>
    <r>
      <rPr>
        <sz val="11"/>
        <rFont val="Georgia"/>
        <family val="1"/>
      </rPr>
      <t xml:space="preserve"> as specified and to the approval of the Engineer*</t>
    </r>
  </si>
  <si>
    <r>
      <t xml:space="preserve">15 mm thick cement sand (1:4) mortar backing to receive </t>
    </r>
    <r>
      <rPr>
        <b/>
        <sz val="11"/>
        <rFont val="Georgia"/>
        <family val="1"/>
      </rPr>
      <t>Wet area wall</t>
    </r>
    <r>
      <rPr>
        <sz val="11"/>
        <rFont val="Georgia"/>
        <family val="1"/>
      </rPr>
      <t xml:space="preserve"> tiles including border tiles</t>
    </r>
  </si>
  <si>
    <r>
      <t xml:space="preserve">80 mm thick Concrete screed bedding to receive </t>
    </r>
    <r>
      <rPr>
        <b/>
        <sz val="11"/>
        <rFont val="Georgia"/>
        <family val="1"/>
      </rPr>
      <t>Granite/Marble floor</t>
    </r>
    <r>
      <rPr>
        <sz val="11"/>
        <rFont val="Georgia"/>
        <family val="1"/>
      </rPr>
      <t xml:space="preserve"> tiles</t>
    </r>
  </si>
  <si>
    <r>
      <t xml:space="preserve">15 mm thick cement sand (1:4) mortar backing to receive </t>
    </r>
    <r>
      <rPr>
        <b/>
        <sz val="11"/>
        <rFont val="Georgia"/>
        <family val="1"/>
      </rPr>
      <t>Stair granite risers</t>
    </r>
    <r>
      <rPr>
        <sz val="11"/>
        <rFont val="Georgia"/>
        <family val="1"/>
      </rPr>
      <t xml:space="preserve"> as specified and to the approval of the Engineer</t>
    </r>
  </si>
  <si>
    <t xml:space="preserve">* Plastering  is considered up to soffits of slabs </t>
  </si>
  <si>
    <t>Allow for any other item not practically mentioned in this BOQ, but require for completion of civil works as per drawings, specification, regulations of statutory authorities. specify items (Tenderer shall provide/attach detailed break-up for the item, if quoted) - Included</t>
  </si>
  <si>
    <t>Supply and fixing of Ceramic wall tiles fixed to approved patterns/borders with tile adhesive including epoxy grout, spacer, approved corner beads etc. all complete as specified and to the approval of the Engineer (Prime cost R.O 1.7/m2)-Wet Area</t>
  </si>
  <si>
    <t>Supply and fixing of Porcelain floor tiles laid to approved designs, pattern/borders with tile adhesive including epoxy grout and control joint with accessories, etc..  all complete as specified and to the approval of the Engineer.  (Prime cost RO. 2/m2)</t>
  </si>
  <si>
    <r>
      <t xml:space="preserve">Supply and fixing of Ceramic floor tiles laid to approved designs, pattern/borders with tile adhesive including epoxy grout and control joint with accessories, etc..  all complete as specified and to the approval of the Engineer.  (Prime cost RO. 1.6/m2) </t>
    </r>
    <r>
      <rPr>
        <b/>
        <sz val="11"/>
        <rFont val="Georgia"/>
        <family val="1"/>
      </rPr>
      <t>WET AREA</t>
    </r>
    <r>
      <rPr>
        <sz val="11"/>
        <rFont val="Georgia"/>
        <family val="1"/>
      </rPr>
      <t xml:space="preserve"> </t>
    </r>
  </si>
  <si>
    <t>Supply Application of epoxy flooring in the steps landing and etc</t>
  </si>
  <si>
    <t xml:space="preserve">Sqm </t>
  </si>
  <si>
    <t>3A fuesed flux outlet for exhaust fan</t>
  </si>
  <si>
    <t>HVAC Package</t>
  </si>
  <si>
    <t>Fire Alarm &amp; Fire Fighting works</t>
  </si>
  <si>
    <t>Epoxy in Staircase</t>
  </si>
  <si>
    <t>80 mm thick Concrete screed bedding  to receive Porcelain Floor tiles.</t>
  </si>
  <si>
    <t>80 mm thick Concrete screed bedding to receive Toilet&amp; kitchen ceramic floor tiles</t>
  </si>
  <si>
    <t>50 mm thick Concrete screed bedding to receive Epoxy as specified and to the approval of the Engineer</t>
  </si>
  <si>
    <t>Included Last Page</t>
  </si>
  <si>
    <t xml:space="preserve">BILL NO. 7     Finishing Work Packages </t>
  </si>
  <si>
    <t>Kitchen Cabinet including the appliances</t>
  </si>
  <si>
    <t xml:space="preserve">Porcelain 60*120 Cm - Corridor </t>
  </si>
  <si>
    <t>Swimming Pool</t>
  </si>
  <si>
    <t>Swimming Pool Deck</t>
  </si>
  <si>
    <t xml:space="preserve">GYM </t>
  </si>
  <si>
    <t>All fittings and accessories</t>
  </si>
  <si>
    <t>All Fittings and accesspories</t>
  </si>
  <si>
    <t xml:space="preserve">External scaffolding for Plaster &amp; Paint </t>
  </si>
  <si>
    <t>Fixing of Tower Hoist Diesel Engine lift</t>
  </si>
  <si>
    <r>
      <t xml:space="preserve">Anti-termite treatment applied to surface of filling under floors including peripheral area with approved chemicals with </t>
    </r>
    <r>
      <rPr>
        <b/>
        <sz val="11"/>
        <color theme="1"/>
        <rFont val="Georgia"/>
        <family val="1"/>
      </rPr>
      <t>10-years guarantee</t>
    </r>
    <r>
      <rPr>
        <sz val="11"/>
        <color theme="1"/>
        <rFont val="Georgia"/>
        <family val="1"/>
      </rPr>
      <t xml:space="preserve"> as specified and to the approval of the Engineer (measured flat over plinth area)</t>
    </r>
  </si>
  <si>
    <r>
      <t xml:space="preserve">Spreading </t>
    </r>
    <r>
      <rPr>
        <b/>
        <sz val="11"/>
        <color theme="1"/>
        <rFont val="Georgia"/>
        <family val="1"/>
      </rPr>
      <t>suitable excavated material</t>
    </r>
    <r>
      <rPr>
        <sz val="11"/>
        <color theme="1"/>
        <rFont val="Georgia"/>
        <family val="1"/>
      </rPr>
      <t xml:space="preserve"> over the site and compaction in layers not exceeding 150mm high and compacting the soil to obtain a density of 98% of the maximum dry density including watering and compaction tests to the approval of the Engineer</t>
    </r>
  </si>
  <si>
    <r>
      <t xml:space="preserve">Fill excavations and under floors &amp; Outside with graded and hard </t>
    </r>
    <r>
      <rPr>
        <b/>
        <sz val="11"/>
        <color theme="1"/>
        <rFont val="Georgia"/>
        <family val="1"/>
      </rPr>
      <t>imported granular material</t>
    </r>
    <r>
      <rPr>
        <sz val="11"/>
        <color theme="1"/>
        <rFont val="Georgia"/>
        <family val="1"/>
      </rPr>
      <t xml:space="preserve"> in layers not exceeding 150mm high and compacting the soil to obtain a density of 98% of the maximum dry density including watering and compaction tests to the approval of the Engineer</t>
    </r>
  </si>
  <si>
    <t xml:space="preserve">
CONSTRUCTION OF RESIDENTAL/COMMERCIAL BUILDING @ Alansab Plot 1127
</t>
  </si>
  <si>
    <t>BILL NO. 5  -  Finishing Work Package</t>
  </si>
  <si>
    <t xml:space="preserve">BILL NO. 4  -  ANCILLARY </t>
  </si>
  <si>
    <t>Water proofing with 3 mm thick bitumen sheet</t>
  </si>
  <si>
    <t>Protection board</t>
  </si>
  <si>
    <t>BILL NO. 3  -  CIVIL WORKS</t>
  </si>
  <si>
    <t>SL.NO</t>
  </si>
  <si>
    <t xml:space="preserve">DESCRIPTION </t>
  </si>
  <si>
    <t>QUANTITY</t>
  </si>
  <si>
    <t>UNIT RATE</t>
  </si>
  <si>
    <t>VAT 5%</t>
  </si>
  <si>
    <t>TOTAL AMOUNT</t>
  </si>
  <si>
    <t>ACTUAL</t>
  </si>
  <si>
    <t>BALANCE TO PAY</t>
  </si>
  <si>
    <t>REMARKS</t>
  </si>
  <si>
    <t>LPO/ CONTRACT</t>
  </si>
  <si>
    <t xml:space="preserve">Structural Works </t>
  </si>
  <si>
    <t xml:space="preserve">Survey &amp; Tasleem Align Marking </t>
  </si>
  <si>
    <t>Ls</t>
  </si>
  <si>
    <t>Sub Contractor for the structure works</t>
  </si>
  <si>
    <t xml:space="preserve">Measuring Tape 5m </t>
  </si>
  <si>
    <t xml:space="preserve">Excavation Contract </t>
  </si>
  <si>
    <t xml:space="preserve">Backfilling equipment contract </t>
  </si>
  <si>
    <t xml:space="preserve">ATT </t>
  </si>
  <si>
    <t xml:space="preserve">Polythene sheet PCC Bottom + Grade slab Bottom + Concrete protection </t>
  </si>
  <si>
    <t>PCC C15</t>
  </si>
  <si>
    <t>SRC - C40</t>
  </si>
  <si>
    <t>OPC -C40</t>
  </si>
  <si>
    <t>SRC-C30 for the grade slab</t>
  </si>
  <si>
    <t xml:space="preserve">A-193- Mesh </t>
  </si>
  <si>
    <t xml:space="preserve">Reinforcement </t>
  </si>
  <si>
    <t>Binding Wire</t>
  </si>
  <si>
    <t>KG</t>
  </si>
  <si>
    <t xml:space="preserve">Ton </t>
  </si>
  <si>
    <t>Trip</t>
  </si>
  <si>
    <t>Roll</t>
  </si>
  <si>
    <t>Sub Contractor for the MEP works</t>
  </si>
  <si>
    <t>Sqm</t>
  </si>
  <si>
    <t>Days</t>
  </si>
  <si>
    <t>Site Set up</t>
  </si>
  <si>
    <t xml:space="preserve">Cement for the substructure works </t>
  </si>
  <si>
    <t>Bag</t>
  </si>
  <si>
    <t>Shuttering Materials</t>
  </si>
  <si>
    <t xml:space="preserve">Wash Sand </t>
  </si>
  <si>
    <t xml:space="preserve">Trip </t>
  </si>
  <si>
    <t>Plywood 18mm</t>
  </si>
  <si>
    <t>White Wood 1"4"</t>
  </si>
  <si>
    <t>White Wood 2"*3"</t>
  </si>
  <si>
    <t xml:space="preserve">Doka System for the scaffolding </t>
  </si>
  <si>
    <t>Month</t>
  </si>
  <si>
    <t xml:space="preserve">Nail </t>
  </si>
  <si>
    <t>Shuttering Tape</t>
  </si>
  <si>
    <t>Qtn</t>
  </si>
  <si>
    <t>Block Works</t>
  </si>
  <si>
    <t xml:space="preserve">Plaster </t>
  </si>
  <si>
    <t>Tiles</t>
  </si>
  <si>
    <t xml:space="preserve">Paint </t>
  </si>
  <si>
    <t xml:space="preserve">Bitumen Paint </t>
  </si>
  <si>
    <t>Drum</t>
  </si>
  <si>
    <t>C-Clamp</t>
  </si>
  <si>
    <t>Tie Rod</t>
  </si>
  <si>
    <t>100 mm thick Bottom Closed Blockes</t>
  </si>
  <si>
    <t>200mm thick bottom Closed Blocks</t>
  </si>
  <si>
    <t xml:space="preserve">Tower Hoist Diesl engine lift </t>
  </si>
  <si>
    <t xml:space="preserve">Plaster Internal Labour Contract </t>
  </si>
  <si>
    <t xml:space="preserve">Plaster External Labour Contract </t>
  </si>
  <si>
    <t xml:space="preserve">Plaster sand for Internal &amp; External </t>
  </si>
  <si>
    <t xml:space="preserve">Cement for the Plaster </t>
  </si>
  <si>
    <t xml:space="preserve">Plaster Mesh </t>
  </si>
  <si>
    <t xml:space="preserve">Corner Beeding Internal </t>
  </si>
  <si>
    <t xml:space="preserve">Corner Beeding for External </t>
  </si>
  <si>
    <t>Aggregate</t>
  </si>
  <si>
    <t>Water Hose</t>
  </si>
  <si>
    <t xml:space="preserve">Roll </t>
  </si>
  <si>
    <t>Roofing Works</t>
  </si>
  <si>
    <t>Finishing Works</t>
  </si>
  <si>
    <t>Light weight Concrete</t>
  </si>
  <si>
    <t>Waterproofing memberane 4mm Thick</t>
  </si>
  <si>
    <t>Tiles 30*30*3cm</t>
  </si>
  <si>
    <t xml:space="preserve">Sand </t>
  </si>
  <si>
    <t>Ordinary Cement</t>
  </si>
  <si>
    <t xml:space="preserve">White Cement for the pointing </t>
  </si>
  <si>
    <t xml:space="preserve">Tiles 30*10*3cm - Skirting </t>
  </si>
  <si>
    <t xml:space="preserve">Polythene sheet laying </t>
  </si>
  <si>
    <t xml:space="preserve">Lift Supply and Installation </t>
  </si>
  <si>
    <t>Aluminum Full Package</t>
  </si>
  <si>
    <t xml:space="preserve">60*60 CM Porcelain Floor Tiles </t>
  </si>
  <si>
    <t>60*120 CM Porcelain Floor Tiles</t>
  </si>
  <si>
    <t xml:space="preserve">30*60 CM Ceramic Wall Tiles </t>
  </si>
  <si>
    <t>30*30 CM Ceramic Floor Tile</t>
  </si>
  <si>
    <t xml:space="preserve">60*10 CM Skirting </t>
  </si>
  <si>
    <t>Materials Charge</t>
  </si>
  <si>
    <t xml:space="preserve">Tile Adhessive </t>
  </si>
  <si>
    <t>Wash Sand</t>
  </si>
  <si>
    <t xml:space="preserve">Tile Grout </t>
  </si>
  <si>
    <t xml:space="preserve">Cement </t>
  </si>
  <si>
    <t>Marble steps</t>
  </si>
  <si>
    <t xml:space="preserve">Labour Charge </t>
  </si>
  <si>
    <t>RM</t>
  </si>
  <si>
    <t>White Cement</t>
  </si>
  <si>
    <t>Tile Spacer</t>
  </si>
  <si>
    <t xml:space="preserve">External Scaffolding </t>
  </si>
  <si>
    <t>MDB-3</t>
  </si>
  <si>
    <t xml:space="preserve">Rubber Mat </t>
  </si>
  <si>
    <t xml:space="preserve">Ls </t>
  </si>
  <si>
    <t>14 Way SPN DB</t>
  </si>
  <si>
    <t>12 Way SPN DB</t>
  </si>
  <si>
    <t>8 Way SPN DB</t>
  </si>
  <si>
    <t>ELCB 63A 100MA, 2P</t>
  </si>
  <si>
    <t xml:space="preserve">Nos </t>
  </si>
  <si>
    <t>Rate Per Sqm</t>
  </si>
  <si>
    <t>Isolator 63A, 2P</t>
  </si>
  <si>
    <t>ELCB 100A 100MA,4P</t>
  </si>
  <si>
    <t>Isolator 100A, 4P</t>
  </si>
  <si>
    <t>MCB 6A SP 6KA</t>
  </si>
  <si>
    <t>MCB 10A SP 10KA</t>
  </si>
  <si>
    <t>MCB 16A SP 6KA</t>
  </si>
  <si>
    <t>MCB 20A SP 10KA</t>
  </si>
  <si>
    <t>MCB 10A SP 6KA</t>
  </si>
  <si>
    <t>16A RCD SP</t>
  </si>
  <si>
    <t>20 A RCD SP</t>
  </si>
  <si>
    <t>Electrical Installation DP</t>
  </si>
  <si>
    <t xml:space="preserve">RM </t>
  </si>
  <si>
    <t xml:space="preserve">4C X 25 SQMM XLPE Cable + 1C X 16 SQMM Y/G ECC </t>
  </si>
  <si>
    <t>2C X 35 sqmm XLPE/PVC/Cu Cable + 1C X 16 sqmm Y/G ECC for DB</t>
  </si>
  <si>
    <t xml:space="preserve">Lighting </t>
  </si>
  <si>
    <t>Accessories for the cable termination</t>
  </si>
  <si>
    <t>Switch and Socket</t>
  </si>
  <si>
    <t>ELECTRICAL WORKS</t>
  </si>
  <si>
    <t>ELV WORKS</t>
  </si>
  <si>
    <t xml:space="preserve">SMA TV phese plate outlet </t>
  </si>
  <si>
    <t xml:space="preserve">Video Door Phone 7" Screen </t>
  </si>
  <si>
    <t xml:space="preserve">Video Door Phone POE Switch </t>
  </si>
  <si>
    <t>Main Door Access Control System</t>
  </si>
  <si>
    <t>CCTV in Door</t>
  </si>
  <si>
    <t>CCTV out Door</t>
  </si>
  <si>
    <t>43" LED Monitor</t>
  </si>
  <si>
    <t>CCTV Rack with all accessories</t>
  </si>
  <si>
    <t xml:space="preserve">Other ACCESSORIES - CAT 6 </t>
  </si>
  <si>
    <t>Cable for TV</t>
  </si>
  <si>
    <t xml:space="preserve">TV OutLet </t>
  </si>
  <si>
    <t>ELECTRICAL LV Cables &amp; Wires</t>
  </si>
  <si>
    <t>1.5mm Red Wire</t>
  </si>
  <si>
    <t>1.5mm Yellow Wire</t>
  </si>
  <si>
    <t>1.5mm Blue Wire</t>
  </si>
  <si>
    <t>1.5mm Black Wire</t>
  </si>
  <si>
    <t>1.5mm Y/G  Wire</t>
  </si>
  <si>
    <t>2.5mm Red Wire</t>
  </si>
  <si>
    <t>2.5mm Yellow Wire</t>
  </si>
  <si>
    <t>2.5mm Blue Wire</t>
  </si>
  <si>
    <t>2.5mm Black Wire</t>
  </si>
  <si>
    <t>2.5mm Y/G  Wire</t>
  </si>
  <si>
    <t>4 mm Red Wire</t>
  </si>
  <si>
    <t>4 mm Yellow Wire</t>
  </si>
  <si>
    <t>4 mm Blue Wire</t>
  </si>
  <si>
    <t>4 mm Black Wire</t>
  </si>
  <si>
    <t>4 mm Y/G  Wire</t>
  </si>
  <si>
    <t>6 mm Red Wire</t>
  </si>
  <si>
    <t>6 mm Yellow Wire</t>
  </si>
  <si>
    <t>6 mm Blue Wire</t>
  </si>
  <si>
    <t>6 mm Black Wire</t>
  </si>
  <si>
    <t>6 mm Y/G  Wire</t>
  </si>
  <si>
    <t xml:space="preserve">20mm PVC flexible hose pipe </t>
  </si>
  <si>
    <t xml:space="preserve">25mm PVC flexible hose pipe </t>
  </si>
  <si>
    <t>PVC 4mm Numbering ferrol</t>
  </si>
  <si>
    <t xml:space="preserve">Insulation tape </t>
  </si>
  <si>
    <t xml:space="preserve">6mm PVC Fisher </t>
  </si>
  <si>
    <t xml:space="preserve">6mm Hedden screw for fisher </t>
  </si>
  <si>
    <t xml:space="preserve">65mm pvc round dummary cover </t>
  </si>
  <si>
    <t xml:space="preserve">3*3 Dummy cover white </t>
  </si>
  <si>
    <t xml:space="preserve">3*6 Dummy cover white </t>
  </si>
  <si>
    <t xml:space="preserve">3*3 GI  Junction Box </t>
  </si>
  <si>
    <t>3*6 GI Junction Box</t>
  </si>
  <si>
    <t>20mm PVC female adaptor</t>
  </si>
  <si>
    <t xml:space="preserve">20mm PVC Conduit </t>
  </si>
  <si>
    <t xml:space="preserve">25mm PVC Conduit </t>
  </si>
  <si>
    <t xml:space="preserve">20mm PVC Coupler </t>
  </si>
  <si>
    <t xml:space="preserve">25 mm PVC Coupler </t>
  </si>
  <si>
    <t>25 mm PVC female adaptor</t>
  </si>
  <si>
    <t xml:space="preserve">Solvent Cement 500ml can </t>
  </si>
  <si>
    <t>PLUMBING WORKS</t>
  </si>
  <si>
    <t>First Fix (Concealed - Concrete,Block)</t>
  </si>
  <si>
    <t>25mm PPR Pipe</t>
  </si>
  <si>
    <t xml:space="preserve">25mm Dia HPVC Pipe </t>
  </si>
  <si>
    <t>25mm HPVC 90 degree elbow</t>
  </si>
  <si>
    <t>25mm HPVC 45 degree elbow</t>
  </si>
  <si>
    <t>40 mm dia pipe UPVC</t>
  </si>
  <si>
    <t>110MM UPVC Pipe</t>
  </si>
  <si>
    <t>160mm UPVC Pipe</t>
  </si>
  <si>
    <t>50mm UPVC Socket</t>
  </si>
  <si>
    <t>50mm UPVC Pipe</t>
  </si>
  <si>
    <t>40mm upvc 90 Degree Elbow</t>
  </si>
  <si>
    <t xml:space="preserve">40mm UPVC 45 Degree Elbow </t>
  </si>
  <si>
    <t>110mm 90 dgree elbow UPVC</t>
  </si>
  <si>
    <t>110mm 45 dgree elbow UPVC</t>
  </si>
  <si>
    <t>110mm UPVC Tee</t>
  </si>
  <si>
    <t>4*4*6 Gully Trap</t>
  </si>
  <si>
    <t xml:space="preserve">Solvent Cement </t>
  </si>
  <si>
    <t>Second Fix</t>
  </si>
  <si>
    <t>32mm PPR Pipe</t>
  </si>
  <si>
    <t xml:space="preserve">25mm dia HPVC Pipe </t>
  </si>
  <si>
    <t xml:space="preserve">40mm dia UPVC Pipe </t>
  </si>
  <si>
    <t xml:space="preserve">82mm UPVC Pipe </t>
  </si>
  <si>
    <t xml:space="preserve">110mm UPVC Pipe </t>
  </si>
  <si>
    <t>200mm UPVC Pipe</t>
  </si>
  <si>
    <t>110mm dia UPVC Pipe (Exhaust Pipe)</t>
  </si>
  <si>
    <t>40mm UPVC 90 Degree Elbow</t>
  </si>
  <si>
    <t>40mm UPVC 45 Degree Elbow</t>
  </si>
  <si>
    <t>40mm Tee UPVC</t>
  </si>
  <si>
    <t xml:space="preserve">40mm Threded endcap UPVC </t>
  </si>
  <si>
    <t xml:space="preserve">82mm 90 Degree Elbow UPVC </t>
  </si>
  <si>
    <t xml:space="preserve">82mm 45 Degree Elbow UPVC </t>
  </si>
  <si>
    <t xml:space="preserve">82mm Tee UPVC </t>
  </si>
  <si>
    <t xml:space="preserve">82mm Threded Endcap UPVC </t>
  </si>
  <si>
    <t xml:space="preserve">110mm 90 degree Elbow UPVC </t>
  </si>
  <si>
    <t xml:space="preserve">110mm 90 Degree Elbow (Exhaust) UPVC </t>
  </si>
  <si>
    <t xml:space="preserve">110mm 45 degree Elbow UPVC </t>
  </si>
  <si>
    <t>110mm 45 degree Elbow (Exhaust) UPVC</t>
  </si>
  <si>
    <t xml:space="preserve">110mm Vent Cowl UPVC </t>
  </si>
  <si>
    <t xml:space="preserve">110mm Tee UPVC </t>
  </si>
  <si>
    <t xml:space="preserve">110mm Endcap UPVC </t>
  </si>
  <si>
    <t xml:space="preserve">110mm Threded Endcap UPVC </t>
  </si>
  <si>
    <t>160mm Y Branch UPVC</t>
  </si>
  <si>
    <t xml:space="preserve">160mm 90 degree Elbow UPVC </t>
  </si>
  <si>
    <t xml:space="preserve">160mm 45 degree Elbow UPVC </t>
  </si>
  <si>
    <t>160mm*110mm reducer Y UPVC</t>
  </si>
  <si>
    <t>160mm Threded Endcap UPVC</t>
  </si>
  <si>
    <t xml:space="preserve">Floor trape 4*3*1.5mm UPVC </t>
  </si>
  <si>
    <t xml:space="preserve">4*4*6 Gully Trap UPVC </t>
  </si>
  <si>
    <t xml:space="preserve">Rain Water Outlet UPVC </t>
  </si>
  <si>
    <t>Transportation Charges</t>
  </si>
  <si>
    <t>Sanitary Items</t>
  </si>
  <si>
    <t xml:space="preserve">Main Connections </t>
  </si>
  <si>
    <t xml:space="preserve">Main Connection of water Supply </t>
  </si>
  <si>
    <t xml:space="preserve">Haya Main Connection </t>
  </si>
  <si>
    <t>Fire Consultant Fees</t>
  </si>
  <si>
    <t xml:space="preserve">Fire Fighting subcontractor </t>
  </si>
  <si>
    <t xml:space="preserve">Cement for Block work </t>
  </si>
  <si>
    <t>25mm HPVC Tee</t>
  </si>
  <si>
    <t xml:space="preserve">40mm UPVC *25mm HPVC Reducer </t>
  </si>
  <si>
    <t>Rubber Insulation 25mm</t>
  </si>
  <si>
    <t xml:space="preserve">40mm Dia HPVC Isolation Valve </t>
  </si>
  <si>
    <t xml:space="preserve">Exhaust Fan Flexible </t>
  </si>
  <si>
    <t xml:space="preserve">Aluminum Tape </t>
  </si>
  <si>
    <t xml:space="preserve">Cable Tie for Exhaust Fan </t>
  </si>
  <si>
    <t xml:space="preserve">Slotted Channel </t>
  </si>
  <si>
    <t xml:space="preserve">Rubber Clamp 160 </t>
  </si>
  <si>
    <t xml:space="preserve">Rubber Clamp 110 </t>
  </si>
  <si>
    <t>Rubber Clamp 82</t>
  </si>
  <si>
    <t>Rubber Clamp 63</t>
  </si>
  <si>
    <t xml:space="preserve">Rubber Clamp 50 </t>
  </si>
  <si>
    <t>Rubber Clamp 40</t>
  </si>
  <si>
    <t>Rubber Clamp 32</t>
  </si>
  <si>
    <t>Rubber Clamp 25</t>
  </si>
  <si>
    <t>25mm 90 Degree Elbow PPR</t>
  </si>
  <si>
    <t xml:space="preserve">25mm 45 Degree Elbow PPR </t>
  </si>
  <si>
    <t xml:space="preserve">25mm Tee PPR </t>
  </si>
  <si>
    <t xml:space="preserve">25mm * 15mm female Elbow </t>
  </si>
  <si>
    <t xml:space="preserve">25mm Isolation Valve </t>
  </si>
  <si>
    <t xml:space="preserve">32mm 90 degree Elbow PPR </t>
  </si>
  <si>
    <t xml:space="preserve">32mm 45 dgree Elbow PPR </t>
  </si>
  <si>
    <t xml:space="preserve">32mm Tee PPR </t>
  </si>
  <si>
    <t>32mm*25mm Reducer PPR</t>
  </si>
  <si>
    <t>32mm isolation valve PPR</t>
  </si>
  <si>
    <t>25mm socket PPR</t>
  </si>
  <si>
    <t>32mm socket PPR</t>
  </si>
  <si>
    <t xml:space="preserve">40mm socket PPR </t>
  </si>
  <si>
    <t>40mm 90 degree elbow PPR</t>
  </si>
  <si>
    <t>40MM 45 degree elbow PPR</t>
  </si>
  <si>
    <t>40mm*32mm Reducer PPR</t>
  </si>
  <si>
    <t>40mm*25mm Reducer PPR</t>
  </si>
  <si>
    <t>63mm PPR Pipe</t>
  </si>
  <si>
    <t>63mm 45 degree Elbow PPR</t>
  </si>
  <si>
    <t>63mm 90 degree Elbow PPR</t>
  </si>
  <si>
    <t xml:space="preserve">63mm Tee PPR </t>
  </si>
  <si>
    <t>63mm*40mm Reducer PPR</t>
  </si>
  <si>
    <t xml:space="preserve">63mm mail Thred adaptor PPR </t>
  </si>
  <si>
    <t>63mm Socket PPR</t>
  </si>
  <si>
    <t>63mm Isolation Valve PPR</t>
  </si>
  <si>
    <t>25mm*15mm Male adaptor PPR</t>
  </si>
  <si>
    <t>25mm*15mm FeMale adaptor PPR</t>
  </si>
  <si>
    <t xml:space="preserve">40mm isolation Valve PPR </t>
  </si>
  <si>
    <t>Equilibriul ball valve PPR</t>
  </si>
  <si>
    <t xml:space="preserve">10mm Nut Washer </t>
  </si>
  <si>
    <t>Tread Rod</t>
  </si>
  <si>
    <t>10mm Unifix</t>
  </si>
  <si>
    <t>50mm*1 1/2" dia male adaptor PPR</t>
  </si>
  <si>
    <t xml:space="preserve">50mm dia 90 Elbow PPR </t>
  </si>
  <si>
    <t xml:space="preserve">50mm * 25mm reducer </t>
  </si>
  <si>
    <t xml:space="preserve">50mm PPR Pipe </t>
  </si>
  <si>
    <t>50mm dia Union PPR</t>
  </si>
  <si>
    <t xml:space="preserve">50mm dia isolation Valve PPR </t>
  </si>
  <si>
    <t xml:space="preserve">50mm * 20mm reducer PPR </t>
  </si>
  <si>
    <t>Pressure Gauge</t>
  </si>
  <si>
    <t>15mm GI Testing plug, Taflon Tape</t>
  </si>
  <si>
    <t xml:space="preserve">40mm dia HPVC Pipe </t>
  </si>
  <si>
    <t xml:space="preserve">40mm HPVC dia 90 Elbow </t>
  </si>
  <si>
    <t xml:space="preserve">NRV 50 dia </t>
  </si>
  <si>
    <t xml:space="preserve">40mm PPR Pipe </t>
  </si>
  <si>
    <t xml:space="preserve">GRP Material </t>
  </si>
  <si>
    <t xml:space="preserve">Water Tank - 1000 USG </t>
  </si>
  <si>
    <t xml:space="preserve">Water Tank - 800 USG </t>
  </si>
  <si>
    <t xml:space="preserve">Sump Pump </t>
  </si>
  <si>
    <t xml:space="preserve">Transfer Pump </t>
  </si>
  <si>
    <t xml:space="preserve">Booster Pump </t>
  </si>
  <si>
    <t xml:space="preserve">Exhaust Fan &amp; Grill Both side </t>
  </si>
  <si>
    <t xml:space="preserve">Grill For Exhaust Fan Inside </t>
  </si>
  <si>
    <t xml:space="preserve">Grill For Exhaust Fan Outside </t>
  </si>
  <si>
    <t xml:space="preserve">Floor Drain for the Bath Room </t>
  </si>
  <si>
    <t xml:space="preserve">Floor drain for the kitchen </t>
  </si>
  <si>
    <t xml:space="preserve">Floor Drain Balcony </t>
  </si>
  <si>
    <t xml:space="preserve">Manhole cover 60*60 Fibre Cover </t>
  </si>
  <si>
    <t xml:space="preserve">Manhole cover 60*60 DI Cover </t>
  </si>
  <si>
    <t>Gully trap cover - 450*450</t>
  </si>
  <si>
    <t xml:space="preserve">Man hole cover 1000*1000 for water meter chamber </t>
  </si>
  <si>
    <t>Floor grating 300*300 for service floor</t>
  </si>
  <si>
    <t xml:space="preserve">1.5 Ton AC - Malaysia </t>
  </si>
  <si>
    <t xml:space="preserve">1.5 Ton AC - China </t>
  </si>
  <si>
    <t xml:space="preserve">2 Ton AC - Malaysia </t>
  </si>
  <si>
    <t>2 Ton AC - China</t>
  </si>
  <si>
    <t xml:space="preserve">Cassette AC for S/F Lift Lobby </t>
  </si>
  <si>
    <t xml:space="preserve">Split AC Lift Loby for Roof </t>
  </si>
  <si>
    <t xml:space="preserve">Foster </t>
  </si>
  <si>
    <t>Cora Cloth</t>
  </si>
  <si>
    <t>Slotted Channel</t>
  </si>
  <si>
    <t xml:space="preserve">Threded Rod </t>
  </si>
  <si>
    <t xml:space="preserve">Nut Washer </t>
  </si>
  <si>
    <t xml:space="preserve">Sub Contractor for AC Installation </t>
  </si>
  <si>
    <t xml:space="preserve">Copper Piping </t>
  </si>
  <si>
    <t>Air Conditioning Items</t>
  </si>
  <si>
    <t>25mm Conduit Pipe</t>
  </si>
  <si>
    <t>sqm</t>
  </si>
  <si>
    <t>Tiles laying Charge</t>
  </si>
  <si>
    <t xml:space="preserve">Bag </t>
  </si>
  <si>
    <t xml:space="preserve">PKT </t>
  </si>
  <si>
    <t>Staircase HandRails</t>
  </si>
  <si>
    <t xml:space="preserve">Tiles Shirting Laying Charge </t>
  </si>
  <si>
    <t>Box</t>
  </si>
  <si>
    <t>Carpentry Works</t>
  </si>
  <si>
    <t xml:space="preserve">AC Frame Works </t>
  </si>
  <si>
    <t>Electrical Room Chequred Plate Works</t>
  </si>
  <si>
    <t xml:space="preserve">External Works </t>
  </si>
  <si>
    <t xml:space="preserve">General Works </t>
  </si>
  <si>
    <t>Wash sand for the external works</t>
  </si>
  <si>
    <t>Cement for the External works</t>
  </si>
  <si>
    <t>Dune Sand/ Plaster Sand</t>
  </si>
  <si>
    <t>Cleaning Works</t>
  </si>
  <si>
    <t xml:space="preserve">Debris Removal </t>
  </si>
  <si>
    <t>Water for the Site and Camp</t>
  </si>
  <si>
    <t>Electricity for the site and camp</t>
  </si>
  <si>
    <t>Repair Maintenance work with materials shifting</t>
  </si>
  <si>
    <t>External Interlock works (Labour)</t>
  </si>
  <si>
    <t>Kerbstone Sub Contractor (Labour)</t>
  </si>
  <si>
    <t>External Interlock works (Material)</t>
  </si>
  <si>
    <t>Kerbstone Sub Contractor (Material)</t>
  </si>
  <si>
    <t xml:space="preserve">Tarpalin </t>
  </si>
  <si>
    <t xml:space="preserve">Green Net </t>
  </si>
  <si>
    <t>Polythene Sheet</t>
  </si>
  <si>
    <t>Tile Protection Board</t>
  </si>
  <si>
    <t>AC for Shop</t>
  </si>
  <si>
    <t xml:space="preserve">Water Meter </t>
  </si>
  <si>
    <t>Painting works internal &amp; External Labour Charge</t>
  </si>
  <si>
    <t xml:space="preserve">Materials Charge for the Paint </t>
  </si>
  <si>
    <t xml:space="preserve">Gypsum </t>
  </si>
  <si>
    <t xml:space="preserve">White Cement </t>
  </si>
  <si>
    <t xml:space="preserve">Masking tape </t>
  </si>
  <si>
    <t xml:space="preserve">Ctn </t>
  </si>
  <si>
    <t xml:space="preserve">Sand Paper </t>
  </si>
  <si>
    <t>Pkt</t>
  </si>
  <si>
    <t>Kitchen Cabinet Including the appliances for 1 BHK</t>
  </si>
  <si>
    <t xml:space="preserve">30*60 CM Ceramic Wall Tiles Toilet </t>
  </si>
  <si>
    <t>Ceramic Wall Tiles Kitchen</t>
  </si>
  <si>
    <t xml:space="preserve">Silicon </t>
  </si>
  <si>
    <t>Hand Spray</t>
  </si>
  <si>
    <t xml:space="preserve">Wash Basin </t>
  </si>
  <si>
    <t xml:space="preserve">1 1/4"Bottle trap </t>
  </si>
  <si>
    <t>1/2"*3/4" Angle Valve</t>
  </si>
  <si>
    <t xml:space="preserve">Wash Basin Mixture With Connection Hose </t>
  </si>
  <si>
    <t>Kitchen sink 11/4" bottle trap</t>
  </si>
  <si>
    <t xml:space="preserve">1/2"*3/4" Angle Valve </t>
  </si>
  <si>
    <t xml:space="preserve">Sink Mixture with connection Hose </t>
  </si>
  <si>
    <t>Shower Tray</t>
  </si>
  <si>
    <t xml:space="preserve">Rob Hook </t>
  </si>
  <si>
    <t xml:space="preserve">Soap Tray </t>
  </si>
  <si>
    <t>Towel Rod</t>
  </si>
  <si>
    <t xml:space="preserve">Paper Holder </t>
  </si>
  <si>
    <t>Mirror 60*80cm</t>
  </si>
  <si>
    <t>1/2"*3/8"Angle Valves</t>
  </si>
  <si>
    <t>Garden Trap Brass</t>
  </si>
  <si>
    <t>One Gang one way switch, 10 A</t>
  </si>
  <si>
    <t>Two Gang one way switch, 10 A</t>
  </si>
  <si>
    <t>Three Gang one way switch, 10 A</t>
  </si>
  <si>
    <t xml:space="preserve">One Gang Two way switch, 10 A </t>
  </si>
  <si>
    <t xml:space="preserve">13A Single switched socket </t>
  </si>
  <si>
    <t xml:space="preserve">13 A Twin Switched Socket </t>
  </si>
  <si>
    <t>13A Single switched socket, W/P</t>
  </si>
  <si>
    <t xml:space="preserve">20A DP Switch </t>
  </si>
  <si>
    <t>20A Fuse outlet</t>
  </si>
  <si>
    <t>20A Isolator SPN, W/P</t>
  </si>
  <si>
    <t>32A,4P, Isolator, W/P</t>
  </si>
  <si>
    <t>Floor Box</t>
  </si>
  <si>
    <t xml:space="preserve">Cooked Control Unit </t>
  </si>
  <si>
    <t xml:space="preserve">63A,4P Isolator for Lifts </t>
  </si>
  <si>
    <t>Isolator for fire Pump</t>
  </si>
  <si>
    <t>GF Shops Light</t>
  </si>
  <si>
    <t>GF Corridors</t>
  </si>
  <si>
    <t>Balcony, Bathroom, Flat, Lobby, Staircase</t>
  </si>
  <si>
    <t xml:space="preserve">GF Extaernal wall </t>
  </si>
  <si>
    <t xml:space="preserve">Kitchen </t>
  </si>
  <si>
    <t>Hall</t>
  </si>
  <si>
    <t>Bell Push Button</t>
  </si>
  <si>
    <t>9W Led Mirror Light with Built in Driver - IP44</t>
  </si>
  <si>
    <t>Data Outlet</t>
  </si>
  <si>
    <t>Water Heater Flex outlet</t>
  </si>
  <si>
    <t>Diesel for lift</t>
  </si>
  <si>
    <t>Marble steps/Granite steps</t>
  </si>
  <si>
    <t>False Ceiling Works</t>
  </si>
  <si>
    <t xml:space="preserve"> TOTAL </t>
  </si>
  <si>
    <t xml:space="preserve">Labour charge for the marble </t>
  </si>
  <si>
    <t>120*10 CM Skirting (Included above)</t>
  </si>
  <si>
    <t>Mawallah Site BOQ</t>
  </si>
  <si>
    <t>EWC for Handicap</t>
  </si>
  <si>
    <t>D5 - 1000 X 2200</t>
  </si>
  <si>
    <t>D6 - 800 X 2200</t>
  </si>
  <si>
    <t>D7 - 1000 X 2200</t>
  </si>
  <si>
    <t>D9 - 900 X 2200</t>
  </si>
  <si>
    <t>D4 - 1200 X 2200</t>
  </si>
  <si>
    <t>D3 - 1000* 2200 - Fire Door - 90 Minute</t>
  </si>
  <si>
    <t>D8 - 1100 X 2200 - Fire Door - 60 Minute</t>
  </si>
  <si>
    <t>Electric Room, Guard room, Telecom room,</t>
  </si>
  <si>
    <t xml:space="preserve">All Bedrooms </t>
  </si>
  <si>
    <t>Epoxy Paint in steps</t>
  </si>
  <si>
    <t>ls</t>
  </si>
  <si>
    <t>Reason For the price increase</t>
  </si>
  <si>
    <t>1) Concrete price is more 22 rial/m3</t>
  </si>
  <si>
    <t>2) There is no basement. If the basement is there that will come for the area calaculation but there will be no flat related finishes</t>
  </si>
  <si>
    <t>3) The floor is less, If the floor is increase then rate will reduce. Since the foundation structure will be almost same</t>
  </si>
  <si>
    <t>4) This building consist of more flat in the less area.</t>
  </si>
  <si>
    <t>Kitchen Hood &amp; Electric induction stove</t>
  </si>
  <si>
    <t xml:space="preserve">Hoist Installation </t>
  </si>
  <si>
    <t xml:space="preserve">Block for 2 floor shifting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</si>
</sst>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0.00_-;\-* #,##0.00_-;_-* &quot;-&quot;??_-;_-@_-"/>
    <numFmt numFmtId="164" formatCode="_(* #,##0.00_);_(* \(#,##0.00\);_(* &quot;-&quot;??_);_(@_)"/>
    <numFmt numFmtId="165" formatCode="_-* #,##0.000_-;\-* #,##0.000_-;_-* &quot;-&quot;??_-;_-@"/>
    <numFmt numFmtId="166" formatCode="0.000"/>
    <numFmt numFmtId="167" formatCode="#,##0.000"/>
    <numFmt numFmtId="168" formatCode="_-* #,##0_-;\-* #,##0_-;_-* &quot;-&quot;??_-;_-@"/>
    <numFmt numFmtId="169" formatCode="_(* #,##0.000_);_(* \(#,##0.000\);_(* &quot;-&quot;??_);_(@_)"/>
    <numFmt numFmtId="170" formatCode="_(* #,##0_);_(* \(#,##0\);_(* &quot;-&quot;??_);_(@_)"/>
    <numFmt numFmtId="171" formatCode="0.0"/>
    <numFmt numFmtId="172" formatCode="_-* #,##0_-;\-* #,##0_-;_-* &quot;-&quot;??_-;_-@_-"/>
    <numFmt numFmtId="173" formatCode="_-* #,##0.000_-;\-* #,##0.000_-;_-* &quot;-&quot;??_-;_-@_-"/>
    <numFmt numFmtId="174" formatCode="[$-409]d/mmm/yyyy;@"/>
  </numFmts>
  <fonts count="77">
    <font>
      <sz val="10"/>
      <color rgb="FF000000"/>
      <name val="Arial"/>
      <scheme val="minor"/>
    </font>
    <font>
      <sz val="11"/>
      <color theme="1"/>
      <name val="Arial"/>
      <family val="2"/>
      <scheme val="minor"/>
    </font>
    <font>
      <sz val="11"/>
      <color theme="1"/>
      <name val="Arial"/>
      <family val="2"/>
      <scheme val="minor"/>
    </font>
    <font>
      <b/>
      <u/>
      <sz val="14"/>
      <color theme="1"/>
      <name val="Georgia"/>
      <family val="1"/>
    </font>
    <font>
      <sz val="11"/>
      <color theme="1"/>
      <name val="Georgia"/>
      <family val="1"/>
    </font>
    <font>
      <b/>
      <u/>
      <sz val="16"/>
      <color theme="1"/>
      <name val="Georgia"/>
      <family val="1"/>
    </font>
    <font>
      <b/>
      <sz val="11"/>
      <color theme="1"/>
      <name val="Georgia"/>
      <family val="1"/>
    </font>
    <font>
      <b/>
      <u/>
      <sz val="14"/>
      <color theme="1"/>
      <name val="Georgia"/>
      <family val="1"/>
    </font>
    <font>
      <b/>
      <sz val="14"/>
      <color theme="1"/>
      <name val="Georgia"/>
      <family val="1"/>
    </font>
    <font>
      <b/>
      <sz val="10"/>
      <color theme="1"/>
      <name val="Georgia"/>
      <family val="1"/>
    </font>
    <font>
      <sz val="10"/>
      <color theme="1"/>
      <name val="Georgia"/>
      <family val="1"/>
    </font>
    <font>
      <sz val="10"/>
      <name val="Arial"/>
      <family val="2"/>
    </font>
    <font>
      <b/>
      <u/>
      <sz val="11"/>
      <color theme="1"/>
      <name val="Georgia"/>
      <family val="1"/>
    </font>
    <font>
      <b/>
      <u/>
      <sz val="11"/>
      <color theme="1"/>
      <name val="Georgia"/>
      <family val="1"/>
    </font>
    <font>
      <b/>
      <sz val="12"/>
      <color theme="1"/>
      <name val="Georgia"/>
      <family val="1"/>
    </font>
    <font>
      <b/>
      <u/>
      <sz val="10"/>
      <color theme="1"/>
      <name val="Georgia"/>
      <family val="1"/>
    </font>
    <font>
      <b/>
      <u/>
      <sz val="11"/>
      <color theme="1"/>
      <name val="Georgia"/>
      <family val="1"/>
    </font>
    <font>
      <sz val="11"/>
      <color rgb="FFFF0000"/>
      <name val="Georgia"/>
      <family val="1"/>
    </font>
    <font>
      <b/>
      <sz val="11"/>
      <color rgb="FFFF0000"/>
      <name val="Georgia"/>
      <family val="1"/>
    </font>
    <font>
      <sz val="11"/>
      <color theme="1"/>
      <name val="Arial"/>
      <family val="2"/>
    </font>
    <font>
      <b/>
      <u/>
      <sz val="11"/>
      <color theme="1"/>
      <name val="Georgia"/>
      <family val="1"/>
    </font>
    <font>
      <b/>
      <u/>
      <sz val="11"/>
      <color rgb="FFFF0000"/>
      <name val="Georgia"/>
      <family val="1"/>
    </font>
    <font>
      <b/>
      <sz val="6"/>
      <color theme="1"/>
      <name val="Georgia"/>
      <family val="1"/>
    </font>
    <font>
      <b/>
      <sz val="5"/>
      <color theme="1"/>
      <name val="Georgia"/>
      <family val="1"/>
    </font>
    <font>
      <sz val="11"/>
      <color theme="1"/>
      <name val="Calibri"/>
      <family val="2"/>
    </font>
    <font>
      <sz val="11"/>
      <color rgb="FFFF0000"/>
      <name val="Arial"/>
      <family val="2"/>
    </font>
    <font>
      <sz val="11"/>
      <color rgb="FFFF0000"/>
      <name val="Calibri"/>
      <family val="2"/>
    </font>
    <font>
      <sz val="8"/>
      <color theme="1"/>
      <name val="Georgia"/>
      <family val="1"/>
    </font>
    <font>
      <sz val="7"/>
      <color theme="1"/>
      <name val="Georgia"/>
      <family val="1"/>
    </font>
    <font>
      <vertAlign val="superscript"/>
      <sz val="11"/>
      <color theme="1"/>
      <name val="Georgia"/>
      <family val="1"/>
    </font>
    <font>
      <sz val="11"/>
      <color theme="1"/>
      <name val="Avenir"/>
    </font>
    <font>
      <b/>
      <u/>
      <sz val="11"/>
      <color theme="1"/>
      <name val="Avenir"/>
    </font>
    <font>
      <sz val="8"/>
      <color rgb="FFFF0000"/>
      <name val="Georgia"/>
      <family val="1"/>
    </font>
    <font>
      <sz val="10"/>
      <color theme="1"/>
      <name val="Arial"/>
      <family val="2"/>
      <scheme val="minor"/>
    </font>
    <font>
      <b/>
      <u/>
      <sz val="11"/>
      <color theme="1"/>
      <name val="Georgia"/>
      <family val="1"/>
    </font>
    <font>
      <b/>
      <u/>
      <sz val="9"/>
      <color theme="1"/>
      <name val="Georgia"/>
      <family val="1"/>
    </font>
    <font>
      <sz val="10"/>
      <color theme="1"/>
      <name val="Arial"/>
      <family val="2"/>
    </font>
    <font>
      <sz val="10"/>
      <color rgb="FFFF0000"/>
      <name val="Arial"/>
      <family val="2"/>
    </font>
    <font>
      <b/>
      <u/>
      <sz val="11"/>
      <color theme="1"/>
      <name val="Calibri"/>
      <family val="2"/>
    </font>
    <font>
      <b/>
      <u/>
      <sz val="11"/>
      <color theme="1"/>
      <name val="Calibri"/>
      <family val="2"/>
    </font>
    <font>
      <b/>
      <u/>
      <sz val="11"/>
      <color theme="1"/>
      <name val="Calibri"/>
      <family val="2"/>
    </font>
    <font>
      <b/>
      <sz val="11"/>
      <color theme="1"/>
      <name val="Calibri"/>
      <family val="2"/>
    </font>
    <font>
      <b/>
      <u/>
      <sz val="11"/>
      <color theme="1"/>
      <name val="Calibri"/>
      <family val="2"/>
    </font>
    <font>
      <b/>
      <u/>
      <sz val="11"/>
      <color theme="1"/>
      <name val="Calibri"/>
      <family val="2"/>
    </font>
    <font>
      <b/>
      <u/>
      <sz val="11"/>
      <color theme="1"/>
      <name val="Calibri"/>
      <family val="2"/>
    </font>
    <font>
      <b/>
      <u/>
      <sz val="11"/>
      <color rgb="FFFF0000"/>
      <name val="Calibri"/>
      <family val="2"/>
    </font>
    <font>
      <b/>
      <u/>
      <sz val="11"/>
      <color rgb="FFFF0000"/>
      <name val="Calibri"/>
      <family val="2"/>
    </font>
    <font>
      <b/>
      <u/>
      <sz val="11"/>
      <color rgb="FFFF0000"/>
      <name val="Calibri"/>
      <family val="2"/>
    </font>
    <font>
      <b/>
      <u/>
      <sz val="11"/>
      <color theme="1"/>
      <name val="Georgia"/>
      <family val="1"/>
    </font>
    <font>
      <i/>
      <sz val="11"/>
      <color theme="1"/>
      <name val="Georgia"/>
      <family val="1"/>
    </font>
    <font>
      <u/>
      <sz val="10"/>
      <color theme="1"/>
      <name val="Georgia"/>
      <family val="1"/>
    </font>
    <font>
      <i/>
      <sz val="10"/>
      <color theme="1"/>
      <name val="Georgia"/>
      <family val="1"/>
    </font>
    <font>
      <b/>
      <u/>
      <sz val="11"/>
      <color theme="1"/>
      <name val="Georgia"/>
      <family val="1"/>
    </font>
    <font>
      <b/>
      <sz val="10"/>
      <color theme="1"/>
      <name val="Arial"/>
      <family val="2"/>
    </font>
    <font>
      <b/>
      <sz val="10"/>
      <color theme="1"/>
      <name val="Arial"/>
      <family val="2"/>
    </font>
    <font>
      <sz val="10"/>
      <color theme="1"/>
      <name val="Arial"/>
      <family val="2"/>
    </font>
    <font>
      <b/>
      <sz val="10"/>
      <color theme="1"/>
      <name val="Arial"/>
      <family val="2"/>
      <scheme val="minor"/>
    </font>
    <font>
      <vertAlign val="superscript"/>
      <sz val="12"/>
      <color theme="1"/>
      <name val="Calibri"/>
      <family val="2"/>
    </font>
    <font>
      <vertAlign val="superscript"/>
      <sz val="11"/>
      <color theme="1"/>
      <name val="Calibri"/>
      <family val="2"/>
    </font>
    <font>
      <sz val="10"/>
      <color rgb="FF000000"/>
      <name val="Arial"/>
      <family val="2"/>
      <scheme val="minor"/>
    </font>
    <font>
      <sz val="10"/>
      <color rgb="FF000000"/>
      <name val="Arial"/>
      <family val="2"/>
      <scheme val="minor"/>
    </font>
    <font>
      <b/>
      <sz val="11"/>
      <name val="Georgia"/>
      <family val="1"/>
    </font>
    <font>
      <sz val="11"/>
      <name val="Georgia"/>
      <family val="1"/>
    </font>
    <font>
      <sz val="11"/>
      <name val="Arial"/>
      <family val="2"/>
    </font>
    <font>
      <sz val="11"/>
      <name val="Tahoma"/>
      <family val="2"/>
    </font>
    <font>
      <b/>
      <u/>
      <sz val="11"/>
      <name val="Georgia"/>
      <family val="1"/>
    </font>
    <font>
      <u/>
      <sz val="11"/>
      <name val="Georgia"/>
      <family val="1"/>
    </font>
    <font>
      <sz val="11"/>
      <color indexed="8"/>
      <name val="Calibri"/>
      <family val="2"/>
    </font>
    <font>
      <sz val="16"/>
      <color rgb="FF000000"/>
      <name val="Calibri"/>
      <family val="2"/>
    </font>
    <font>
      <sz val="11"/>
      <color rgb="FF000000"/>
      <name val="Calibri"/>
      <family val="2"/>
    </font>
    <font>
      <b/>
      <sz val="10"/>
      <color rgb="FF000000"/>
      <name val="Arial"/>
      <family val="2"/>
      <scheme val="minor"/>
    </font>
    <font>
      <sz val="8"/>
      <name val="Arial"/>
      <family val="2"/>
      <scheme val="minor"/>
    </font>
    <font>
      <vertAlign val="superscript"/>
      <sz val="11"/>
      <name val="Georgia"/>
      <family val="1"/>
    </font>
    <font>
      <b/>
      <sz val="10"/>
      <name val="Arial"/>
      <family val="2"/>
      <scheme val="minor"/>
    </font>
    <font>
      <b/>
      <sz val="10"/>
      <name val="Arial"/>
      <family val="2"/>
    </font>
    <font>
      <b/>
      <i/>
      <sz val="10"/>
      <color theme="1"/>
      <name val="Georgia"/>
      <family val="1"/>
    </font>
    <font>
      <b/>
      <i/>
      <sz val="11"/>
      <color theme="1"/>
      <name val="Georgia"/>
      <family val="1"/>
    </font>
  </fonts>
  <fills count="21">
    <fill>
      <patternFill patternType="none"/>
    </fill>
    <fill>
      <patternFill patternType="gray125"/>
    </fill>
    <fill>
      <patternFill patternType="solid">
        <fgColor rgb="FFDBE5F1"/>
        <bgColor rgb="FFDBE5F1"/>
      </patternFill>
    </fill>
    <fill>
      <patternFill patternType="solid">
        <fgColor rgb="FFFFFF00"/>
        <bgColor rgb="FFFFFF00"/>
      </patternFill>
    </fill>
    <fill>
      <patternFill patternType="solid">
        <fgColor rgb="FF7F7F7F"/>
        <bgColor rgb="FF7F7F7F"/>
      </patternFill>
    </fill>
    <fill>
      <patternFill patternType="solid">
        <fgColor rgb="FFB8CCE4"/>
        <bgColor rgb="FFB8CCE4"/>
      </patternFill>
    </fill>
    <fill>
      <patternFill patternType="solid">
        <fgColor rgb="FFE5B8B7"/>
        <bgColor rgb="FFE5B8B7"/>
      </patternFill>
    </fill>
    <fill>
      <patternFill patternType="solid">
        <fgColor rgb="FFF2DBDB"/>
        <bgColor rgb="FFF2DBDB"/>
      </patternFill>
    </fill>
    <fill>
      <patternFill patternType="solid">
        <fgColor rgb="FFC6D9F0"/>
        <bgColor rgb="FFC6D9F0"/>
      </patternFill>
    </fill>
    <fill>
      <patternFill patternType="solid">
        <fgColor rgb="FF5F497A"/>
        <bgColor rgb="FF5F497A"/>
      </patternFill>
    </fill>
    <fill>
      <patternFill patternType="solid">
        <fgColor rgb="FFCCC0D9"/>
        <bgColor rgb="FFCCC0D9"/>
      </patternFill>
    </fill>
    <fill>
      <patternFill patternType="solid">
        <fgColor rgb="FFFABF8F"/>
        <bgColor rgb="FFFABF8F"/>
      </patternFill>
    </fill>
    <fill>
      <patternFill patternType="solid">
        <fgColor rgb="FFFDE9D9"/>
        <bgColor rgb="FFFDE9D9"/>
      </patternFill>
    </fill>
    <fill>
      <patternFill patternType="solid">
        <fgColor rgb="FFDDD9C3"/>
        <bgColor rgb="FFDDD9C3"/>
      </patternFill>
    </fill>
    <fill>
      <patternFill patternType="solid">
        <fgColor rgb="FFFFFFFF"/>
        <bgColor rgb="FFFFFFFF"/>
      </patternFill>
    </fill>
    <fill>
      <patternFill patternType="solid">
        <fgColor rgb="FFBDD6EE"/>
        <bgColor indexed="64"/>
      </patternFill>
    </fill>
    <fill>
      <patternFill patternType="solid">
        <fgColor rgb="FFDADADA"/>
        <bgColor indexed="64"/>
      </patternFill>
    </fill>
    <fill>
      <patternFill patternType="solid">
        <fgColor theme="2"/>
        <bgColor rgb="FFFFFF00"/>
      </patternFill>
    </fill>
    <fill>
      <patternFill patternType="solid">
        <fgColor theme="4"/>
        <bgColor indexed="64"/>
      </patternFill>
    </fill>
    <fill>
      <patternFill patternType="solid">
        <fgColor theme="0"/>
        <bgColor indexed="64"/>
      </patternFill>
    </fill>
    <fill>
      <patternFill patternType="solid">
        <fgColor rgb="FFFFFF00"/>
        <bgColor indexed="64"/>
      </patternFill>
    </fill>
  </fills>
  <borders count="61">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style="thin">
        <color rgb="FF000000"/>
      </left>
      <right/>
      <top/>
      <bottom/>
      <diagonal/>
    </border>
    <border>
      <left/>
      <right/>
      <top/>
      <bottom style="dotted">
        <color rgb="FF000000"/>
      </bottom>
      <diagonal/>
    </border>
    <border>
      <left/>
      <right style="thin">
        <color rgb="FF000000"/>
      </right>
      <top/>
      <bottom/>
      <diagonal/>
    </border>
    <border>
      <left style="double">
        <color rgb="FF000000"/>
      </left>
      <right style="double">
        <color rgb="FF000000"/>
      </right>
      <top style="double">
        <color rgb="FF000000"/>
      </top>
      <bottom/>
      <diagonal/>
    </border>
    <border>
      <left style="double">
        <color rgb="FF000000"/>
      </left>
      <right style="double">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thin">
        <color rgb="FF000000"/>
      </top>
      <bottom style="hair">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style="double">
        <color rgb="FF000000"/>
      </left>
      <right style="double">
        <color rgb="FF000000"/>
      </right>
      <top style="thin">
        <color rgb="FF000000"/>
      </top>
      <bottom style="thin">
        <color rgb="FF000000"/>
      </bottom>
      <diagonal/>
    </border>
    <border>
      <left style="double">
        <color rgb="FF000000"/>
      </left>
      <right style="double">
        <color rgb="FF000000"/>
      </right>
      <top/>
      <bottom/>
      <diagonal/>
    </border>
    <border>
      <left style="medium">
        <color rgb="FFCCCCCC"/>
      </left>
      <right style="medium">
        <color rgb="FFCCCCCC"/>
      </right>
      <top style="medium">
        <color rgb="FFCCCCCC"/>
      </top>
      <bottom style="medium">
        <color rgb="FFCCCCCC"/>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rgb="FF000000"/>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style="thin">
        <color rgb="FF000000"/>
      </right>
      <top/>
      <bottom style="thin">
        <color rgb="FF000000"/>
      </bottom>
      <diagonal/>
    </border>
    <border>
      <left style="thin">
        <color rgb="FF000000"/>
      </left>
      <right style="thin">
        <color indexed="64"/>
      </right>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style="thin">
        <color indexed="64"/>
      </right>
      <top/>
      <bottom style="thin">
        <color indexed="64"/>
      </bottom>
      <diagonal/>
    </border>
    <border>
      <left style="thin">
        <color indexed="64"/>
      </left>
      <right style="thin">
        <color rgb="FF000000"/>
      </right>
      <top style="thin">
        <color indexed="64"/>
      </top>
      <bottom/>
      <diagonal/>
    </border>
    <border>
      <left style="thin">
        <color rgb="FF000000"/>
      </left>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s>
  <cellStyleXfs count="13">
    <xf numFmtId="0" fontId="0" fillId="0" borderId="0"/>
    <xf numFmtId="164" fontId="60" fillId="0" borderId="0" applyFont="0" applyFill="0" applyBorder="0" applyAlignment="0" applyProtection="0"/>
    <xf numFmtId="0" fontId="11" fillId="0" borderId="13"/>
    <xf numFmtId="43" fontId="11" fillId="0" borderId="13" applyFont="0" applyFill="0" applyBorder="0" applyAlignment="0" applyProtection="0"/>
    <xf numFmtId="0" fontId="11" fillId="0" borderId="13"/>
    <xf numFmtId="174" fontId="11" fillId="0" borderId="13" applyFont="0" applyFill="0" applyBorder="0" applyAlignment="0" applyProtection="0"/>
    <xf numFmtId="0" fontId="11" fillId="0" borderId="13"/>
    <xf numFmtId="0" fontId="2" fillId="0" borderId="13"/>
    <xf numFmtId="0" fontId="11" fillId="0" borderId="13"/>
    <xf numFmtId="0" fontId="67" fillId="0" borderId="13"/>
    <xf numFmtId="164" fontId="2" fillId="0" borderId="13" applyFont="0" applyFill="0" applyBorder="0" applyAlignment="0" applyProtection="0"/>
    <xf numFmtId="9" fontId="11" fillId="0" borderId="13" applyFont="0" applyFill="0" applyBorder="0" applyAlignment="0" applyProtection="0"/>
    <xf numFmtId="43" fontId="1" fillId="0" borderId="13" applyFont="0" applyFill="0" applyBorder="0" applyAlignment="0" applyProtection="0"/>
  </cellStyleXfs>
  <cellXfs count="840">
    <xf numFmtId="0" fontId="0" fillId="0" borderId="0" xfId="0"/>
    <xf numFmtId="0" fontId="4" fillId="0" borderId="0" xfId="0" applyFont="1"/>
    <xf numFmtId="0" fontId="6" fillId="0" borderId="0" xfId="0" applyFont="1"/>
    <xf numFmtId="0" fontId="10" fillId="0" borderId="0" xfId="0" applyFont="1"/>
    <xf numFmtId="0" fontId="6" fillId="0" borderId="5" xfId="0" applyFont="1" applyBorder="1"/>
    <xf numFmtId="0" fontId="6" fillId="0" borderId="8" xfId="0" applyFont="1" applyBorder="1" applyAlignment="1">
      <alignment horizontal="center"/>
    </xf>
    <xf numFmtId="0" fontId="4" fillId="0" borderId="9" xfId="0" applyFont="1" applyBorder="1" applyAlignment="1">
      <alignment horizontal="center" vertical="top"/>
    </xf>
    <xf numFmtId="0" fontId="4" fillId="0" borderId="10" xfId="0" applyFont="1" applyBorder="1" applyAlignment="1">
      <alignment horizontal="center" vertical="top"/>
    </xf>
    <xf numFmtId="0" fontId="13" fillId="0" borderId="0" xfId="0" applyFont="1" applyAlignment="1">
      <alignment horizontal="left" vertical="center"/>
    </xf>
    <xf numFmtId="165" fontId="4" fillId="0" borderId="9" xfId="0" applyNumberFormat="1" applyFont="1" applyBorder="1" applyAlignment="1">
      <alignment horizontal="center"/>
    </xf>
    <xf numFmtId="164" fontId="10" fillId="0" borderId="0" xfId="0" applyNumberFormat="1" applyFont="1"/>
    <xf numFmtId="0" fontId="4" fillId="0" borderId="9" xfId="0" applyFont="1" applyBorder="1" applyAlignment="1">
      <alignment horizontal="center" vertical="top" wrapText="1"/>
    </xf>
    <xf numFmtId="0" fontId="4" fillId="0" borderId="0" xfId="0" applyFont="1" applyAlignment="1">
      <alignment horizontal="center" vertical="top"/>
    </xf>
    <xf numFmtId="0" fontId="6" fillId="0" borderId="0" xfId="0" applyFont="1" applyAlignment="1">
      <alignment vertical="top" wrapText="1"/>
    </xf>
    <xf numFmtId="0" fontId="10" fillId="0" borderId="0" xfId="0" applyFont="1" applyAlignment="1">
      <alignment horizontal="left" vertical="top" wrapText="1"/>
    </xf>
    <xf numFmtId="0" fontId="4" fillId="0" borderId="2" xfId="0" applyFont="1" applyBorder="1" applyAlignment="1">
      <alignment horizontal="center" vertical="top"/>
    </xf>
    <xf numFmtId="0" fontId="4" fillId="0" borderId="3" xfId="0" applyFont="1" applyBorder="1" applyAlignment="1">
      <alignment horizontal="center" vertical="top"/>
    </xf>
    <xf numFmtId="0" fontId="6" fillId="0" borderId="4" xfId="0" applyFont="1" applyBorder="1" applyAlignment="1">
      <alignment horizontal="left" vertical="center"/>
    </xf>
    <xf numFmtId="166" fontId="4" fillId="0" borderId="0" xfId="0" applyNumberFormat="1" applyFont="1" applyAlignment="1">
      <alignment horizontal="center" vertical="center"/>
    </xf>
    <xf numFmtId="165" fontId="4" fillId="0" borderId="0" xfId="0" applyNumberFormat="1" applyFont="1" applyAlignment="1">
      <alignment horizontal="center"/>
    </xf>
    <xf numFmtId="4" fontId="17" fillId="0" borderId="0" xfId="0" applyNumberFormat="1" applyFont="1" applyAlignment="1">
      <alignment horizontal="center" vertical="center"/>
    </xf>
    <xf numFmtId="0" fontId="4" fillId="0" borderId="0" xfId="0" applyFont="1" applyAlignment="1">
      <alignment horizontal="center" vertical="center"/>
    </xf>
    <xf numFmtId="167" fontId="4" fillId="0" borderId="11" xfId="0" applyNumberFormat="1" applyFont="1" applyBorder="1" applyAlignment="1">
      <alignment horizontal="center" vertical="center"/>
    </xf>
    <xf numFmtId="0" fontId="6" fillId="0" borderId="0" xfId="0" applyFont="1" applyAlignment="1">
      <alignment horizontal="left"/>
    </xf>
    <xf numFmtId="167" fontId="10" fillId="0" borderId="11" xfId="0" applyNumberFormat="1" applyFont="1" applyBorder="1" applyAlignment="1">
      <alignment horizontal="center" vertical="center"/>
    </xf>
    <xf numFmtId="0" fontId="4" fillId="0" borderId="2" xfId="0" applyFont="1" applyBorder="1" applyAlignment="1">
      <alignment horizontal="center" vertical="center"/>
    </xf>
    <xf numFmtId="165" fontId="4" fillId="0" borderId="9" xfId="0" applyNumberFormat="1" applyFont="1" applyBorder="1" applyAlignment="1">
      <alignment horizontal="center" vertical="center"/>
    </xf>
    <xf numFmtId="0" fontId="4" fillId="0" borderId="9" xfId="0" applyFont="1" applyBorder="1" applyAlignment="1">
      <alignment horizontal="center" vertical="center"/>
    </xf>
    <xf numFmtId="165" fontId="4" fillId="0" borderId="0" xfId="0" applyNumberFormat="1" applyFont="1" applyAlignment="1">
      <alignment horizontal="center" vertical="center"/>
    </xf>
    <xf numFmtId="0" fontId="4" fillId="0" borderId="4" xfId="0" applyFont="1" applyBorder="1" applyAlignment="1">
      <alignment horizontal="left" vertical="center"/>
    </xf>
    <xf numFmtId="4" fontId="18" fillId="0" borderId="4" xfId="0" applyNumberFormat="1" applyFont="1" applyBorder="1" applyAlignment="1">
      <alignment horizontal="center" vertical="center"/>
    </xf>
    <xf numFmtId="0" fontId="4" fillId="0" borderId="0" xfId="0" applyFont="1" applyAlignment="1">
      <alignment vertical="top"/>
    </xf>
    <xf numFmtId="0" fontId="30" fillId="0" borderId="0" xfId="0" applyFont="1"/>
    <xf numFmtId="167" fontId="30" fillId="0" borderId="11" xfId="0" applyNumberFormat="1" applyFont="1" applyBorder="1" applyAlignment="1">
      <alignment horizontal="center" vertical="center"/>
    </xf>
    <xf numFmtId="0" fontId="10" fillId="0" borderId="0" xfId="0" applyFont="1" applyAlignment="1">
      <alignment vertical="top"/>
    </xf>
    <xf numFmtId="0" fontId="33" fillId="0" borderId="0" xfId="0" applyFont="1"/>
    <xf numFmtId="0" fontId="33" fillId="0" borderId="0" xfId="0" applyFont="1" applyAlignment="1">
      <alignment wrapText="1"/>
    </xf>
    <xf numFmtId="0" fontId="4" fillId="0" borderId="15" xfId="0" applyFont="1" applyBorder="1" applyAlignment="1">
      <alignment horizontal="left" vertical="top" wrapText="1"/>
    </xf>
    <xf numFmtId="0" fontId="4" fillId="0" borderId="10" xfId="0" applyFont="1" applyBorder="1" applyAlignment="1">
      <alignment horizontal="center" vertical="center"/>
    </xf>
    <xf numFmtId="0" fontId="34" fillId="0" borderId="16" xfId="0" applyFont="1" applyBorder="1" applyAlignment="1">
      <alignment horizontal="left" vertical="center"/>
    </xf>
    <xf numFmtId="4" fontId="18" fillId="0" borderId="3" xfId="0" applyNumberFormat="1" applyFont="1" applyBorder="1" applyAlignment="1">
      <alignment horizontal="center" vertical="center"/>
    </xf>
    <xf numFmtId="0" fontId="24" fillId="0" borderId="3" xfId="0" applyFont="1" applyBorder="1" applyAlignment="1">
      <alignment horizontal="left" vertical="center"/>
    </xf>
    <xf numFmtId="0" fontId="24" fillId="0" borderId="3" xfId="0" applyFont="1" applyBorder="1"/>
    <xf numFmtId="0" fontId="24" fillId="0" borderId="4" xfId="0" applyFont="1" applyBorder="1" applyAlignment="1">
      <alignment horizontal="center" vertical="center"/>
    </xf>
    <xf numFmtId="4" fontId="24" fillId="0" borderId="4" xfId="0" applyNumberFormat="1" applyFont="1" applyBorder="1" applyAlignment="1">
      <alignment horizontal="center" vertical="center"/>
    </xf>
    <xf numFmtId="0" fontId="24" fillId="4" borderId="17" xfId="0" applyFont="1" applyFill="1" applyBorder="1" applyAlignment="1">
      <alignment horizontal="center" vertical="center"/>
    </xf>
    <xf numFmtId="0" fontId="24" fillId="0" borderId="0" xfId="0" applyFont="1" applyAlignment="1">
      <alignment horizontal="center" vertical="center"/>
    </xf>
    <xf numFmtId="167" fontId="24" fillId="0" borderId="0" xfId="0" applyNumberFormat="1" applyFont="1" applyAlignment="1">
      <alignment horizontal="center" vertical="center"/>
    </xf>
    <xf numFmtId="0" fontId="24" fillId="0" borderId="10" xfId="0" applyFont="1" applyBorder="1" applyAlignment="1">
      <alignment horizontal="left" vertical="center"/>
    </xf>
    <xf numFmtId="0" fontId="24" fillId="0" borderId="10" xfId="0" applyFont="1" applyBorder="1" applyAlignment="1">
      <alignment wrapText="1"/>
    </xf>
    <xf numFmtId="4" fontId="24" fillId="0" borderId="0" xfId="0" applyNumberFormat="1" applyFont="1" applyAlignment="1">
      <alignment horizontal="center" vertical="center"/>
    </xf>
    <xf numFmtId="0" fontId="24" fillId="4" borderId="18" xfId="0" applyFont="1" applyFill="1" applyBorder="1" applyAlignment="1">
      <alignment horizontal="center" vertical="center"/>
    </xf>
    <xf numFmtId="0" fontId="24" fillId="0" borderId="7" xfId="0" applyFont="1" applyBorder="1" applyAlignment="1">
      <alignment horizontal="left" vertical="center"/>
    </xf>
    <xf numFmtId="0" fontId="24" fillId="0" borderId="7" xfId="0" applyFont="1" applyBorder="1" applyAlignment="1">
      <alignment wrapText="1"/>
    </xf>
    <xf numFmtId="0" fontId="24" fillId="0" borderId="1" xfId="0" applyFont="1" applyBorder="1" applyAlignment="1">
      <alignment horizontal="center" vertical="center"/>
    </xf>
    <xf numFmtId="4" fontId="24" fillId="0" borderId="1" xfId="0" applyNumberFormat="1" applyFont="1" applyBorder="1" applyAlignment="1">
      <alignment horizontal="center" vertical="center"/>
    </xf>
    <xf numFmtId="167" fontId="24" fillId="0" borderId="7" xfId="0" applyNumberFormat="1" applyFont="1" applyBorder="1" applyAlignment="1">
      <alignment horizontal="center" vertical="center"/>
    </xf>
    <xf numFmtId="167" fontId="24" fillId="0" borderId="1" xfId="0" applyNumberFormat="1" applyFont="1" applyBorder="1" applyAlignment="1">
      <alignment horizontal="center" vertical="center"/>
    </xf>
    <xf numFmtId="0" fontId="24" fillId="11" borderId="13" xfId="0" applyFont="1" applyFill="1" applyBorder="1" applyAlignment="1">
      <alignment horizontal="center" vertical="center"/>
    </xf>
    <xf numFmtId="0" fontId="24" fillId="2" borderId="13" xfId="0" applyFont="1" applyFill="1" applyBorder="1" applyAlignment="1">
      <alignment horizontal="center" vertical="center"/>
    </xf>
    <xf numFmtId="0" fontId="24" fillId="0" borderId="11" xfId="0" applyFont="1" applyBorder="1" applyAlignment="1">
      <alignment horizontal="center" vertical="center"/>
    </xf>
    <xf numFmtId="0" fontId="24" fillId="0" borderId="11" xfId="0" applyFont="1" applyBorder="1" applyAlignment="1">
      <alignment horizontal="center" vertical="center" wrapText="1"/>
    </xf>
    <xf numFmtId="0" fontId="24" fillId="0" borderId="19" xfId="0" applyFont="1" applyBorder="1" applyAlignment="1">
      <alignment horizontal="center" vertical="center"/>
    </xf>
    <xf numFmtId="4" fontId="24" fillId="0" borderId="11" xfId="0" applyNumberFormat="1" applyFont="1" applyBorder="1" applyAlignment="1">
      <alignment horizontal="center" vertical="center"/>
    </xf>
    <xf numFmtId="4" fontId="24" fillId="0" borderId="19" xfId="0" applyNumberFormat="1" applyFont="1" applyBorder="1" applyAlignment="1">
      <alignment horizontal="center" vertical="center"/>
    </xf>
    <xf numFmtId="167" fontId="24" fillId="7" borderId="11" xfId="0" applyNumberFormat="1" applyFont="1" applyFill="1" applyBorder="1" applyAlignment="1">
      <alignment horizontal="center" vertical="center" wrapText="1"/>
    </xf>
    <xf numFmtId="167" fontId="24" fillId="0" borderId="11" xfId="0" applyNumberFormat="1" applyFont="1" applyBorder="1" applyAlignment="1">
      <alignment horizontal="center" vertical="center" wrapText="1"/>
    </xf>
    <xf numFmtId="167" fontId="24" fillId="8" borderId="11" xfId="0" applyNumberFormat="1" applyFont="1" applyFill="1" applyBorder="1" applyAlignment="1">
      <alignment horizontal="center" vertical="center" wrapText="1"/>
    </xf>
    <xf numFmtId="167" fontId="24" fillId="0" borderId="19" xfId="0" applyNumberFormat="1" applyFont="1" applyBorder="1" applyAlignment="1">
      <alignment horizontal="center" vertical="center" wrapText="1"/>
    </xf>
    <xf numFmtId="167" fontId="24" fillId="0" borderId="20" xfId="0" applyNumberFormat="1" applyFont="1" applyBorder="1" applyAlignment="1">
      <alignment horizontal="center" vertical="center" wrapText="1"/>
    </xf>
    <xf numFmtId="0" fontId="24" fillId="0" borderId="26" xfId="0" applyFont="1" applyBorder="1" applyAlignment="1">
      <alignment horizontal="center" vertical="center" wrapText="1"/>
    </xf>
    <xf numFmtId="0" fontId="24" fillId="0" borderId="26" xfId="0" applyFont="1" applyBorder="1" applyAlignment="1">
      <alignment wrapText="1"/>
    </xf>
    <xf numFmtId="4" fontId="24" fillId="0" borderId="26" xfId="0" applyNumberFormat="1" applyFont="1" applyBorder="1" applyAlignment="1">
      <alignment horizontal="center" vertical="center" wrapText="1"/>
    </xf>
    <xf numFmtId="4" fontId="24" fillId="12" borderId="26" xfId="0" applyNumberFormat="1" applyFont="1" applyFill="1" applyBorder="1" applyAlignment="1">
      <alignment horizontal="center" vertical="center" wrapText="1"/>
    </xf>
    <xf numFmtId="4" fontId="24" fillId="13" borderId="26" xfId="0" applyNumberFormat="1" applyFont="1" applyFill="1" applyBorder="1" applyAlignment="1">
      <alignment horizontal="center" vertical="center" wrapText="1"/>
    </xf>
    <xf numFmtId="0" fontId="24" fillId="0" borderId="27" xfId="0" applyFont="1" applyBorder="1" applyAlignment="1">
      <alignment horizontal="center" vertical="center" wrapText="1"/>
    </xf>
    <xf numFmtId="0" fontId="36" fillId="4" borderId="18" xfId="0" applyFont="1" applyFill="1" applyBorder="1" applyAlignment="1">
      <alignment horizontal="center" vertical="center" wrapText="1"/>
    </xf>
    <xf numFmtId="0" fontId="36" fillId="0" borderId="0" xfId="0" applyFont="1" applyAlignment="1">
      <alignment horizontal="center" vertical="center" wrapText="1"/>
    </xf>
    <xf numFmtId="167" fontId="36" fillId="5" borderId="11" xfId="0" applyNumberFormat="1" applyFont="1" applyFill="1" applyBorder="1" applyAlignment="1">
      <alignment horizontal="center" vertical="center" wrapText="1"/>
    </xf>
    <xf numFmtId="167" fontId="36" fillId="6" borderId="11" xfId="0" applyNumberFormat="1" applyFont="1" applyFill="1" applyBorder="1" applyAlignment="1">
      <alignment horizontal="center" vertical="center" wrapText="1"/>
    </xf>
    <xf numFmtId="167" fontId="36" fillId="7" borderId="11" xfId="0" applyNumberFormat="1" applyFont="1" applyFill="1" applyBorder="1" applyAlignment="1">
      <alignment horizontal="center" vertical="center" wrapText="1"/>
    </xf>
    <xf numFmtId="167" fontId="36" fillId="0" borderId="11" xfId="0" applyNumberFormat="1" applyFont="1" applyBorder="1" applyAlignment="1">
      <alignment horizontal="center" vertical="center" wrapText="1"/>
    </xf>
    <xf numFmtId="167" fontId="36" fillId="8" borderId="11" xfId="0" applyNumberFormat="1" applyFont="1" applyFill="1" applyBorder="1" applyAlignment="1">
      <alignment horizontal="center" vertical="center" wrapText="1"/>
    </xf>
    <xf numFmtId="167" fontId="36" fillId="9" borderId="11" xfId="0" applyNumberFormat="1" applyFont="1" applyFill="1" applyBorder="1" applyAlignment="1">
      <alignment horizontal="center" vertical="center" wrapText="1"/>
    </xf>
    <xf numFmtId="167" fontId="36" fillId="10" borderId="11" xfId="0" applyNumberFormat="1" applyFont="1" applyFill="1" applyBorder="1" applyAlignment="1">
      <alignment horizontal="center" vertical="center" wrapText="1"/>
    </xf>
    <xf numFmtId="167" fontId="36" fillId="11" borderId="11" xfId="0" applyNumberFormat="1" applyFont="1" applyFill="1" applyBorder="1" applyAlignment="1">
      <alignment horizontal="center" vertical="center" wrapText="1"/>
    </xf>
    <xf numFmtId="0" fontId="36" fillId="2" borderId="13" xfId="0" applyFont="1" applyFill="1" applyBorder="1" applyAlignment="1">
      <alignment horizontal="center" vertical="center" wrapText="1"/>
    </xf>
    <xf numFmtId="0" fontId="37" fillId="0" borderId="0" xfId="0" applyFont="1"/>
    <xf numFmtId="0" fontId="37" fillId="0" borderId="0" xfId="0" applyFont="1" applyAlignment="1">
      <alignment horizontal="center" vertical="center"/>
    </xf>
    <xf numFmtId="4" fontId="37" fillId="0" borderId="0" xfId="0" applyNumberFormat="1" applyFont="1" applyAlignment="1">
      <alignment horizontal="center" vertical="center"/>
    </xf>
    <xf numFmtId="0" fontId="37" fillId="4" borderId="18" xfId="0" applyFont="1" applyFill="1" applyBorder="1" applyAlignment="1">
      <alignment horizontal="center" vertical="center"/>
    </xf>
    <xf numFmtId="167" fontId="37" fillId="0" borderId="26" xfId="0" applyNumberFormat="1" applyFont="1" applyBorder="1" applyAlignment="1">
      <alignment horizontal="center" vertical="center"/>
    </xf>
    <xf numFmtId="167" fontId="37" fillId="0" borderId="0" xfId="0" applyNumberFormat="1" applyFont="1" applyAlignment="1">
      <alignment horizontal="center" vertical="center"/>
    </xf>
    <xf numFmtId="0" fontId="36" fillId="0" borderId="0" xfId="0" applyFont="1"/>
    <xf numFmtId="0" fontId="36" fillId="0" borderId="0" xfId="0" applyFont="1" applyAlignment="1">
      <alignment horizontal="center" vertical="center"/>
    </xf>
    <xf numFmtId="4" fontId="36" fillId="0" borderId="0" xfId="0" applyNumberFormat="1" applyFont="1" applyAlignment="1">
      <alignment horizontal="center" vertical="center"/>
    </xf>
    <xf numFmtId="0" fontId="36" fillId="4" borderId="18" xfId="0" applyFont="1" applyFill="1" applyBorder="1" applyAlignment="1">
      <alignment horizontal="center" vertical="center"/>
    </xf>
    <xf numFmtId="167" fontId="36" fillId="0" borderId="28" xfId="0" applyNumberFormat="1" applyFont="1" applyBorder="1" applyAlignment="1">
      <alignment horizontal="center" vertical="center"/>
    </xf>
    <xf numFmtId="167" fontId="36" fillId="0" borderId="0" xfId="0" applyNumberFormat="1" applyFont="1" applyAlignment="1">
      <alignment horizontal="center" vertical="center"/>
    </xf>
    <xf numFmtId="0" fontId="38" fillId="0" borderId="0" xfId="0" applyFont="1"/>
    <xf numFmtId="0" fontId="39" fillId="0" borderId="0" xfId="0" applyFont="1" applyAlignment="1">
      <alignment horizontal="center" vertical="center"/>
    </xf>
    <xf numFmtId="4" fontId="40" fillId="0" borderId="0" xfId="0" applyNumberFormat="1" applyFont="1" applyAlignment="1">
      <alignment horizontal="center" vertical="center"/>
    </xf>
    <xf numFmtId="167" fontId="37" fillId="0" borderId="28" xfId="0" applyNumberFormat="1" applyFont="1" applyBorder="1" applyAlignment="1">
      <alignment horizontal="center" vertical="center"/>
    </xf>
    <xf numFmtId="167" fontId="36" fillId="0" borderId="29" xfId="0" applyNumberFormat="1" applyFont="1" applyBorder="1" applyAlignment="1">
      <alignment horizontal="center" vertical="center"/>
    </xf>
    <xf numFmtId="0" fontId="41" fillId="0" borderId="0" xfId="0" applyFont="1"/>
    <xf numFmtId="166" fontId="36" fillId="0" borderId="0" xfId="0" applyNumberFormat="1" applyFont="1" applyAlignment="1">
      <alignment horizontal="center" vertical="center"/>
    </xf>
    <xf numFmtId="167" fontId="36" fillId="0" borderId="30" xfId="0" applyNumberFormat="1" applyFont="1" applyBorder="1" applyAlignment="1">
      <alignment horizontal="center" vertical="center"/>
    </xf>
    <xf numFmtId="0" fontId="36" fillId="0" borderId="11" xfId="0" applyFont="1" applyBorder="1"/>
    <xf numFmtId="0" fontId="41" fillId="0" borderId="11" xfId="0" applyFont="1" applyBorder="1"/>
    <xf numFmtId="0" fontId="36" fillId="0" borderId="11" xfId="0" applyFont="1" applyBorder="1" applyAlignment="1">
      <alignment horizontal="center" vertical="center"/>
    </xf>
    <xf numFmtId="4" fontId="36" fillId="0" borderId="11" xfId="0" applyNumberFormat="1" applyFont="1" applyBorder="1" applyAlignment="1">
      <alignment horizontal="center" vertical="center"/>
    </xf>
    <xf numFmtId="0" fontId="36" fillId="0" borderId="19" xfId="0" applyFont="1" applyBorder="1" applyAlignment="1">
      <alignment horizontal="center" vertical="center"/>
    </xf>
    <xf numFmtId="0" fontId="36" fillId="4" borderId="31" xfId="0" applyFont="1" applyFill="1" applyBorder="1" applyAlignment="1">
      <alignment horizontal="center" vertical="center"/>
    </xf>
    <xf numFmtId="0" fontId="36" fillId="0" borderId="21" xfId="0" applyFont="1" applyBorder="1" applyAlignment="1">
      <alignment horizontal="center" vertical="center"/>
    </xf>
    <xf numFmtId="167" fontId="42" fillId="0" borderId="11" xfId="0" applyNumberFormat="1" applyFont="1" applyBorder="1" applyAlignment="1">
      <alignment horizontal="center" vertical="center"/>
    </xf>
    <xf numFmtId="167" fontId="43" fillId="0" borderId="0" xfId="0" applyNumberFormat="1" applyFont="1" applyAlignment="1">
      <alignment horizontal="center" vertical="center"/>
    </xf>
    <xf numFmtId="0" fontId="37" fillId="4" borderId="32" xfId="0" applyFont="1" applyFill="1" applyBorder="1" applyAlignment="1">
      <alignment horizontal="center" vertical="center"/>
    </xf>
    <xf numFmtId="0" fontId="24" fillId="0" borderId="0" xfId="0" applyFont="1"/>
    <xf numFmtId="167" fontId="24" fillId="0" borderId="30" xfId="0" applyNumberFormat="1" applyFont="1" applyBorder="1" applyAlignment="1">
      <alignment horizontal="center" vertical="center"/>
    </xf>
    <xf numFmtId="167" fontId="24" fillId="0" borderId="29" xfId="0" applyNumberFormat="1" applyFont="1" applyBorder="1" applyAlignment="1">
      <alignment horizontal="center" vertical="center"/>
    </xf>
    <xf numFmtId="0" fontId="24" fillId="0" borderId="11" xfId="0" applyFont="1" applyBorder="1"/>
    <xf numFmtId="0" fontId="24" fillId="4" borderId="31" xfId="0" applyFont="1" applyFill="1" applyBorder="1" applyAlignment="1">
      <alignment horizontal="center" vertical="center"/>
    </xf>
    <xf numFmtId="0" fontId="24" fillId="0" borderId="21" xfId="0" applyFont="1" applyBorder="1" applyAlignment="1">
      <alignment horizontal="center" vertical="center"/>
    </xf>
    <xf numFmtId="0" fontId="36" fillId="4" borderId="32" xfId="0" applyFont="1" applyFill="1" applyBorder="1" applyAlignment="1">
      <alignment horizontal="center" vertical="center"/>
    </xf>
    <xf numFmtId="167" fontId="36" fillId="0" borderId="0" xfId="0" applyNumberFormat="1" applyFont="1" applyAlignment="1">
      <alignment horizontal="center" vertical="center" wrapText="1"/>
    </xf>
    <xf numFmtId="167" fontId="36" fillId="3" borderId="13" xfId="0" applyNumberFormat="1" applyFont="1" applyFill="1" applyBorder="1" applyAlignment="1">
      <alignment horizontal="center" vertical="center"/>
    </xf>
    <xf numFmtId="0" fontId="41" fillId="0" borderId="0" xfId="0" applyFont="1" applyAlignment="1">
      <alignment wrapText="1"/>
    </xf>
    <xf numFmtId="166" fontId="24" fillId="0" borderId="0" xfId="0" applyNumberFormat="1" applyFont="1" applyAlignment="1">
      <alignment horizontal="center" vertical="center"/>
    </xf>
    <xf numFmtId="0" fontId="36" fillId="0" borderId="0" xfId="0" applyFont="1" applyAlignment="1">
      <alignment wrapText="1"/>
    </xf>
    <xf numFmtId="0" fontId="44" fillId="0" borderId="0" xfId="0" applyFont="1"/>
    <xf numFmtId="0" fontId="36" fillId="0" borderId="0" xfId="0" quotePrefix="1" applyFont="1"/>
    <xf numFmtId="0" fontId="26" fillId="0" borderId="0" xfId="0" applyFont="1" applyAlignment="1">
      <alignment horizontal="center" vertical="center"/>
    </xf>
    <xf numFmtId="4" fontId="26" fillId="0" borderId="0" xfId="0" applyNumberFormat="1" applyFont="1" applyAlignment="1">
      <alignment horizontal="center" vertical="center"/>
    </xf>
    <xf numFmtId="0" fontId="45" fillId="0" borderId="0" xfId="0" applyFont="1"/>
    <xf numFmtId="0" fontId="46" fillId="0" borderId="0" xfId="0" applyFont="1" applyAlignment="1">
      <alignment horizontal="center" vertical="center"/>
    </xf>
    <xf numFmtId="4" fontId="47" fillId="0" borderId="0" xfId="0" applyNumberFormat="1" applyFont="1" applyAlignment="1">
      <alignment horizontal="center" vertical="center"/>
    </xf>
    <xf numFmtId="168" fontId="4" fillId="0" borderId="0" xfId="0" applyNumberFormat="1" applyFont="1" applyAlignment="1">
      <alignment horizontal="center" vertical="top"/>
    </xf>
    <xf numFmtId="165" fontId="6" fillId="0" borderId="0" xfId="0" applyNumberFormat="1" applyFont="1" applyAlignment="1">
      <alignment vertical="top"/>
    </xf>
    <xf numFmtId="0" fontId="6" fillId="0" borderId="0" xfId="0" applyFont="1" applyAlignment="1">
      <alignment horizontal="right" vertical="top"/>
    </xf>
    <xf numFmtId="0" fontId="4" fillId="0" borderId="1" xfId="0" applyFont="1" applyBorder="1" applyAlignment="1">
      <alignment vertical="top"/>
    </xf>
    <xf numFmtId="167" fontId="10" fillId="0" borderId="0" xfId="0" applyNumberFormat="1" applyFont="1" applyAlignment="1">
      <alignment horizontal="center" vertical="center"/>
    </xf>
    <xf numFmtId="168" fontId="6" fillId="0" borderId="4" xfId="0" applyNumberFormat="1" applyFont="1" applyBorder="1" applyAlignment="1">
      <alignment horizontal="center" vertical="top"/>
    </xf>
    <xf numFmtId="0" fontId="4" fillId="0" borderId="4" xfId="0" applyFont="1" applyBorder="1" applyAlignment="1">
      <alignment horizontal="center" vertical="top"/>
    </xf>
    <xf numFmtId="0" fontId="4" fillId="0" borderId="9" xfId="0" applyFont="1" applyBorder="1" applyAlignment="1">
      <alignment horizontal="center"/>
    </xf>
    <xf numFmtId="0" fontId="4" fillId="0" borderId="10" xfId="0" applyFont="1" applyBorder="1" applyAlignment="1">
      <alignment horizontal="center"/>
    </xf>
    <xf numFmtId="165" fontId="4" fillId="0" borderId="0" xfId="0" applyNumberFormat="1" applyFont="1" applyAlignment="1">
      <alignment vertical="top"/>
    </xf>
    <xf numFmtId="0" fontId="4" fillId="0" borderId="0" xfId="0" applyFont="1" applyAlignment="1">
      <alignment vertical="center"/>
    </xf>
    <xf numFmtId="0" fontId="36" fillId="0" borderId="0" xfId="0" applyFont="1" applyAlignment="1">
      <alignment horizontal="left" vertical="center" wrapText="1"/>
    </xf>
    <xf numFmtId="0" fontId="6" fillId="0" borderId="11" xfId="0" applyFont="1" applyBorder="1" applyAlignment="1">
      <alignment horizontal="center" vertical="center"/>
    </xf>
    <xf numFmtId="0" fontId="6" fillId="0" borderId="19" xfId="0" applyFont="1" applyBorder="1" applyAlignment="1">
      <alignment horizontal="center" vertical="center"/>
    </xf>
    <xf numFmtId="0" fontId="6" fillId="0" borderId="20" xfId="0" applyFont="1" applyBorder="1" applyAlignment="1">
      <alignment horizontal="center" vertical="center"/>
    </xf>
    <xf numFmtId="1" fontId="6" fillId="0" borderId="11" xfId="0" applyNumberFormat="1" applyFont="1" applyBorder="1" applyAlignment="1">
      <alignment horizontal="center" vertical="center"/>
    </xf>
    <xf numFmtId="167" fontId="6" fillId="0" borderId="11" xfId="0" applyNumberFormat="1" applyFont="1" applyBorder="1" applyAlignment="1">
      <alignment horizontal="center" vertical="center"/>
    </xf>
    <xf numFmtId="170" fontId="6" fillId="0" borderId="11" xfId="0" applyNumberFormat="1" applyFont="1" applyBorder="1" applyAlignment="1">
      <alignment horizontal="center" vertical="center"/>
    </xf>
    <xf numFmtId="1" fontId="4" fillId="0" borderId="9" xfId="0" applyNumberFormat="1" applyFont="1" applyBorder="1" applyAlignment="1">
      <alignment horizontal="center" vertical="center"/>
    </xf>
    <xf numFmtId="167" fontId="49" fillId="0" borderId="10" xfId="0" applyNumberFormat="1" applyFont="1" applyBorder="1" applyAlignment="1">
      <alignment horizontal="center" vertical="center"/>
    </xf>
    <xf numFmtId="170" fontId="4" fillId="0" borderId="9" xfId="0" applyNumberFormat="1" applyFont="1" applyBorder="1" applyAlignment="1">
      <alignment horizontal="center" vertical="center"/>
    </xf>
    <xf numFmtId="0" fontId="10" fillId="0" borderId="9" xfId="0" applyFont="1" applyBorder="1" applyAlignment="1">
      <alignment horizontal="center" vertical="top"/>
    </xf>
    <xf numFmtId="0" fontId="10" fillId="0" borderId="10" xfId="0" applyFont="1" applyBorder="1" applyAlignment="1">
      <alignment horizontal="center" vertical="top"/>
    </xf>
    <xf numFmtId="0" fontId="50" fillId="0" borderId="0" xfId="0" applyFont="1" applyAlignment="1">
      <alignment horizontal="left" vertical="top" wrapText="1"/>
    </xf>
    <xf numFmtId="0" fontId="10" fillId="0" borderId="0" xfId="0" applyFont="1" applyAlignment="1">
      <alignment horizontal="center"/>
    </xf>
    <xf numFmtId="0" fontId="10" fillId="0" borderId="9" xfId="0" applyFont="1" applyBorder="1" applyAlignment="1">
      <alignment horizontal="center"/>
    </xf>
    <xf numFmtId="38" fontId="10" fillId="0" borderId="9" xfId="0" applyNumberFormat="1" applyFont="1" applyBorder="1" applyAlignment="1">
      <alignment horizontal="center"/>
    </xf>
    <xf numFmtId="167" fontId="51" fillId="0" borderId="10" xfId="0" applyNumberFormat="1" applyFont="1" applyBorder="1" applyAlignment="1">
      <alignment horizontal="center"/>
    </xf>
    <xf numFmtId="165" fontId="10" fillId="0" borderId="9" xfId="0" applyNumberFormat="1" applyFont="1" applyBorder="1" applyAlignment="1">
      <alignment horizont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52" fillId="0" borderId="1" xfId="0" applyFont="1" applyBorder="1" applyAlignment="1">
      <alignment horizontal="left" vertical="top" wrapText="1"/>
    </xf>
    <xf numFmtId="0" fontId="10" fillId="0" borderId="1" xfId="0" applyFont="1" applyBorder="1" applyAlignment="1">
      <alignment horizontal="center" vertical="center"/>
    </xf>
    <xf numFmtId="38" fontId="10" fillId="0" borderId="6" xfId="0" applyNumberFormat="1" applyFont="1" applyBorder="1" applyAlignment="1">
      <alignment horizontal="center" vertical="center"/>
    </xf>
    <xf numFmtId="167" fontId="51" fillId="0" borderId="7" xfId="0" applyNumberFormat="1" applyFont="1" applyBorder="1" applyAlignment="1">
      <alignment horizontal="center"/>
    </xf>
    <xf numFmtId="165" fontId="10" fillId="0" borderId="6" xfId="0" applyNumberFormat="1" applyFont="1" applyBorder="1" applyAlignment="1">
      <alignment horizontal="center"/>
    </xf>
    <xf numFmtId="0" fontId="10" fillId="14" borderId="13" xfId="0" applyFont="1" applyFill="1" applyBorder="1" applyAlignment="1">
      <alignment horizontal="center" vertical="center"/>
    </xf>
    <xf numFmtId="0" fontId="10" fillId="14" borderId="13" xfId="0" applyFont="1" applyFill="1" applyBorder="1" applyAlignment="1">
      <alignment horizontal="left" vertical="top" wrapText="1"/>
    </xf>
    <xf numFmtId="38" fontId="10" fillId="14" borderId="13" xfId="0" applyNumberFormat="1" applyFont="1" applyFill="1" applyBorder="1" applyAlignment="1">
      <alignment horizontal="center" vertical="center"/>
    </xf>
    <xf numFmtId="167" fontId="10" fillId="0" borderId="0" xfId="0" applyNumberFormat="1" applyFont="1" applyAlignment="1">
      <alignment horizontal="center"/>
    </xf>
    <xf numFmtId="165" fontId="10" fillId="0" borderId="0" xfId="0" applyNumberFormat="1" applyFont="1" applyAlignment="1">
      <alignment horizont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4" fillId="0" borderId="6" xfId="0" applyFont="1" applyBorder="1" applyAlignment="1">
      <alignment vertical="top"/>
    </xf>
    <xf numFmtId="0" fontId="4" fillId="0" borderId="7" xfId="0" applyFont="1" applyBorder="1" applyAlignment="1">
      <alignment vertical="top"/>
    </xf>
    <xf numFmtId="0" fontId="53" fillId="0" borderId="0" xfId="0" applyFont="1"/>
    <xf numFmtId="0" fontId="36" fillId="0" borderId="3" xfId="0" applyFont="1" applyBorder="1"/>
    <xf numFmtId="0" fontId="36" fillId="0" borderId="4" xfId="0" applyFont="1" applyBorder="1"/>
    <xf numFmtId="0" fontId="36" fillId="0" borderId="4" xfId="0" applyFont="1" applyBorder="1" applyAlignment="1">
      <alignment horizontal="center" vertical="center"/>
    </xf>
    <xf numFmtId="0" fontId="36" fillId="0" borderId="5" xfId="0" applyFont="1" applyBorder="1" applyAlignment="1">
      <alignment horizontal="center" vertical="center"/>
    </xf>
    <xf numFmtId="0" fontId="36" fillId="0" borderId="10" xfId="0" applyFont="1" applyBorder="1"/>
    <xf numFmtId="0" fontId="36" fillId="0" borderId="16" xfId="0" applyFont="1" applyBorder="1" applyAlignment="1">
      <alignment horizontal="center" vertical="center"/>
    </xf>
    <xf numFmtId="0" fontId="36" fillId="0" borderId="7" xfId="0" applyFont="1" applyBorder="1"/>
    <xf numFmtId="0" fontId="36" fillId="0" borderId="1" xfId="0" applyFont="1" applyBorder="1"/>
    <xf numFmtId="0" fontId="36" fillId="0" borderId="1" xfId="0" applyFont="1" applyBorder="1" applyAlignment="1">
      <alignment horizontal="center" vertical="center"/>
    </xf>
    <xf numFmtId="0" fontId="36" fillId="0" borderId="8" xfId="0" applyFont="1" applyBorder="1" applyAlignment="1">
      <alignment horizontal="center" vertical="center"/>
    </xf>
    <xf numFmtId="0" fontId="36" fillId="0" borderId="10" xfId="0" applyFont="1" applyBorder="1" applyAlignment="1">
      <alignment horizontal="center" vertical="center"/>
    </xf>
    <xf numFmtId="0" fontId="36" fillId="0" borderId="0" xfId="0" applyFont="1" applyAlignment="1">
      <alignment horizontal="left" vertical="center"/>
    </xf>
    <xf numFmtId="0" fontId="33" fillId="0" borderId="0" xfId="0" applyFont="1" applyAlignment="1">
      <alignment horizontal="center"/>
    </xf>
    <xf numFmtId="0" fontId="53" fillId="0" borderId="0" xfId="0" applyFont="1" applyAlignment="1">
      <alignment horizontal="left" vertical="center"/>
    </xf>
    <xf numFmtId="0" fontId="53" fillId="0" borderId="11" xfId="0" applyFont="1" applyBorder="1"/>
    <xf numFmtId="0" fontId="53" fillId="0" borderId="11" xfId="0" applyFont="1" applyBorder="1" applyAlignment="1">
      <alignment horizontal="center" vertical="center"/>
    </xf>
    <xf numFmtId="166" fontId="53" fillId="0" borderId="11" xfId="0" applyNumberFormat="1" applyFont="1" applyBorder="1" applyAlignment="1">
      <alignment horizontal="center" vertical="center"/>
    </xf>
    <xf numFmtId="171" fontId="36" fillId="0" borderId="0" xfId="0" applyNumberFormat="1" applyFont="1" applyAlignment="1">
      <alignment horizontal="center" vertical="center"/>
    </xf>
    <xf numFmtId="0" fontId="33" fillId="0" borderId="0" xfId="0" applyFont="1" applyAlignment="1">
      <alignment horizontal="center" vertical="center"/>
    </xf>
    <xf numFmtId="0" fontId="54" fillId="0" borderId="0" xfId="0" applyFont="1" applyAlignment="1">
      <alignment wrapText="1"/>
    </xf>
    <xf numFmtId="0" fontId="54" fillId="0" borderId="11" xfId="0" applyFont="1" applyBorder="1" applyAlignment="1">
      <alignment wrapText="1"/>
    </xf>
    <xf numFmtId="0" fontId="55" fillId="0" borderId="11" xfId="0" applyFont="1" applyBorder="1"/>
    <xf numFmtId="0" fontId="55" fillId="0" borderId="0" xfId="0" applyFont="1" applyAlignment="1">
      <alignment wrapText="1"/>
    </xf>
    <xf numFmtId="0" fontId="55" fillId="0" borderId="11" xfId="0" applyFont="1" applyBorder="1" applyAlignment="1">
      <alignment wrapText="1"/>
    </xf>
    <xf numFmtId="166" fontId="33" fillId="0" borderId="0" xfId="0" applyNumberFormat="1" applyFont="1" applyAlignment="1">
      <alignment horizontal="center" vertical="center"/>
    </xf>
    <xf numFmtId="0" fontId="55" fillId="0" borderId="0" xfId="0" applyFont="1" applyAlignment="1">
      <alignment vertical="top" wrapText="1"/>
    </xf>
    <xf numFmtId="0" fontId="55" fillId="0" borderId="11" xfId="0" applyFont="1" applyBorder="1" applyAlignment="1">
      <alignment vertical="top" wrapText="1"/>
    </xf>
    <xf numFmtId="171" fontId="33" fillId="0" borderId="0" xfId="0" applyNumberFormat="1" applyFont="1"/>
    <xf numFmtId="0" fontId="55" fillId="0" borderId="0" xfId="0" applyFont="1"/>
    <xf numFmtId="0" fontId="55" fillId="0" borderId="0" xfId="0" applyFont="1" applyAlignment="1">
      <alignment horizontal="center"/>
    </xf>
    <xf numFmtId="166" fontId="55" fillId="0" borderId="0" xfId="0" applyNumberFormat="1" applyFont="1" applyAlignment="1">
      <alignment horizontal="center"/>
    </xf>
    <xf numFmtId="171" fontId="55" fillId="0" borderId="0" xfId="0" applyNumberFormat="1" applyFont="1"/>
    <xf numFmtId="171" fontId="55" fillId="0" borderId="0" xfId="0" applyNumberFormat="1" applyFont="1" applyAlignment="1">
      <alignment horizontal="center"/>
    </xf>
    <xf numFmtId="171" fontId="53" fillId="0" borderId="0" xfId="0" applyNumberFormat="1" applyFont="1" applyAlignment="1">
      <alignment horizontal="center" vertical="center"/>
    </xf>
    <xf numFmtId="0" fontId="56" fillId="0" borderId="0" xfId="0" applyFont="1" applyAlignment="1">
      <alignment wrapText="1"/>
    </xf>
    <xf numFmtId="0" fontId="54" fillId="0" borderId="11" xfId="0" applyFont="1" applyBorder="1" applyAlignment="1">
      <alignment horizontal="right" wrapText="1"/>
    </xf>
    <xf numFmtId="0" fontId="55" fillId="0" borderId="11" xfId="0" applyFont="1" applyBorder="1" applyAlignment="1">
      <alignment horizontal="right" wrapText="1"/>
    </xf>
    <xf numFmtId="0" fontId="55" fillId="0" borderId="11" xfId="0" applyFont="1" applyBorder="1" applyAlignment="1">
      <alignment horizontal="right"/>
    </xf>
    <xf numFmtId="0" fontId="36" fillId="0" borderId="0" xfId="0" applyFont="1" applyAlignment="1">
      <alignment horizontal="left"/>
    </xf>
    <xf numFmtId="0" fontId="56" fillId="0" borderId="11" xfId="0" applyFont="1" applyBorder="1"/>
    <xf numFmtId="0" fontId="33" fillId="0" borderId="11" xfId="0" applyFont="1" applyBorder="1"/>
    <xf numFmtId="0" fontId="33" fillId="0" borderId="11" xfId="0" applyFont="1" applyBorder="1" applyAlignment="1">
      <alignment wrapText="1"/>
    </xf>
    <xf numFmtId="0" fontId="59" fillId="0" borderId="33" xfId="0" applyFont="1" applyBorder="1" applyAlignment="1">
      <alignment wrapText="1"/>
    </xf>
    <xf numFmtId="0" fontId="62" fillId="0" borderId="13" xfId="2" applyFont="1" applyProtection="1">
      <protection locked="0"/>
    </xf>
    <xf numFmtId="173" fontId="61" fillId="0" borderId="13" xfId="3" applyNumberFormat="1" applyFont="1" applyFill="1" applyBorder="1" applyAlignment="1" applyProtection="1">
      <alignment horizontal="center" vertical="center"/>
      <protection locked="0"/>
    </xf>
    <xf numFmtId="0" fontId="62" fillId="0" borderId="34" xfId="2" applyFont="1" applyBorder="1" applyAlignment="1" applyProtection="1">
      <alignment horizontal="center" vertical="center"/>
      <protection locked="0"/>
    </xf>
    <xf numFmtId="0" fontId="61" fillId="0" borderId="35" xfId="2" applyFont="1" applyBorder="1" applyAlignment="1">
      <alignment horizontal="center"/>
    </xf>
    <xf numFmtId="0" fontId="61" fillId="0" borderId="37" xfId="2" applyFont="1" applyBorder="1"/>
    <xf numFmtId="0" fontId="63" fillId="0" borderId="0" xfId="0" applyFont="1"/>
    <xf numFmtId="0" fontId="61" fillId="0" borderId="39" xfId="2" applyFont="1" applyBorder="1" applyAlignment="1">
      <alignment horizontal="center"/>
    </xf>
    <xf numFmtId="0" fontId="61" fillId="0" borderId="40" xfId="2" applyFont="1" applyBorder="1" applyAlignment="1">
      <alignment horizontal="center"/>
    </xf>
    <xf numFmtId="0" fontId="62" fillId="0" borderId="35" xfId="4" applyFont="1" applyBorder="1" applyAlignment="1">
      <alignment horizontal="center" vertical="top"/>
    </xf>
    <xf numFmtId="0" fontId="62" fillId="0" borderId="36" xfId="4" applyFont="1" applyBorder="1" applyAlignment="1">
      <alignment horizontal="left" vertical="top" wrapText="1"/>
    </xf>
    <xf numFmtId="0" fontId="62" fillId="0" borderId="37" xfId="4" applyFont="1" applyBorder="1" applyAlignment="1">
      <alignment horizontal="left" vertical="justify"/>
    </xf>
    <xf numFmtId="172" fontId="62" fillId="0" borderId="37" xfId="1" applyNumberFormat="1" applyFont="1" applyBorder="1" applyAlignment="1">
      <alignment horizontal="center" vertical="center"/>
    </xf>
    <xf numFmtId="0" fontId="62" fillId="0" borderId="38" xfId="4" applyFont="1" applyBorder="1" applyAlignment="1">
      <alignment horizontal="center" vertical="center"/>
    </xf>
    <xf numFmtId="0" fontId="62" fillId="0" borderId="38" xfId="4" applyFont="1" applyBorder="1" applyAlignment="1" applyProtection="1">
      <alignment horizontal="center" vertical="center" wrapText="1"/>
      <protection locked="0"/>
    </xf>
    <xf numFmtId="173" fontId="62" fillId="0" borderId="38" xfId="5" applyNumberFormat="1" applyFont="1" applyFill="1" applyBorder="1" applyAlignment="1" applyProtection="1">
      <alignment horizontal="center" vertical="center"/>
      <protection locked="0"/>
    </xf>
    <xf numFmtId="0" fontId="64" fillId="0" borderId="13" xfId="6" applyFont="1" applyAlignment="1">
      <alignment vertical="center" wrapText="1"/>
    </xf>
    <xf numFmtId="0" fontId="64" fillId="0" borderId="13" xfId="6" applyFont="1" applyAlignment="1">
      <alignment vertical="center"/>
    </xf>
    <xf numFmtId="0" fontId="62" fillId="0" borderId="42" xfId="4" applyFont="1" applyBorder="1" applyAlignment="1">
      <alignment horizontal="center" vertical="top"/>
    </xf>
    <xf numFmtId="0" fontId="62" fillId="0" borderId="43" xfId="4" applyFont="1" applyBorder="1" applyAlignment="1">
      <alignment horizontal="left" vertical="justify"/>
    </xf>
    <xf numFmtId="172" fontId="62" fillId="0" borderId="43" xfId="1" applyNumberFormat="1" applyFont="1" applyBorder="1" applyAlignment="1">
      <alignment horizontal="center" vertical="center"/>
    </xf>
    <xf numFmtId="0" fontId="62" fillId="0" borderId="44" xfId="4" applyFont="1" applyBorder="1" applyAlignment="1">
      <alignment horizontal="center" vertical="center"/>
    </xf>
    <xf numFmtId="0" fontId="62" fillId="0" borderId="44" xfId="4" applyFont="1" applyBorder="1" applyAlignment="1" applyProtection="1">
      <alignment horizontal="center" vertical="center" wrapText="1"/>
      <protection locked="0"/>
    </xf>
    <xf numFmtId="173" fontId="62" fillId="0" borderId="44" xfId="5" applyNumberFormat="1" applyFont="1" applyFill="1" applyBorder="1" applyAlignment="1" applyProtection="1">
      <alignment horizontal="center" vertical="center"/>
      <protection locked="0"/>
    </xf>
    <xf numFmtId="0" fontId="64" fillId="0" borderId="13" xfId="7" applyFont="1" applyAlignment="1">
      <alignment vertical="center" wrapText="1"/>
    </xf>
    <xf numFmtId="0" fontId="64" fillId="0" borderId="13" xfId="7" applyFont="1" applyAlignment="1">
      <alignment vertical="center"/>
    </xf>
    <xf numFmtId="0" fontId="62" fillId="0" borderId="42" xfId="4" applyFont="1" applyBorder="1" applyAlignment="1">
      <alignment horizontal="center" vertical="top" wrapText="1"/>
    </xf>
    <xf numFmtId="172" fontId="62" fillId="0" borderId="43" xfId="1" applyNumberFormat="1" applyFont="1" applyFill="1" applyBorder="1" applyAlignment="1">
      <alignment horizontal="center" vertical="center" wrapText="1"/>
    </xf>
    <xf numFmtId="0" fontId="62" fillId="0" borderId="44" xfId="4" applyFont="1" applyBorder="1" applyAlignment="1">
      <alignment horizontal="center" vertical="center" wrapText="1"/>
    </xf>
    <xf numFmtId="167" fontId="62" fillId="0" borderId="43" xfId="1" applyNumberFormat="1" applyFont="1" applyFill="1" applyBorder="1" applyAlignment="1">
      <alignment horizontal="center" vertical="center" wrapText="1"/>
    </xf>
    <xf numFmtId="173" fontId="62" fillId="0" borderId="44" xfId="3" applyNumberFormat="1" applyFont="1" applyFill="1" applyBorder="1" applyAlignment="1" applyProtection="1">
      <alignment horizontal="center" vertical="center"/>
      <protection locked="0"/>
    </xf>
    <xf numFmtId="172" fontId="62" fillId="0" borderId="43" xfId="1" applyNumberFormat="1" applyFont="1" applyBorder="1" applyAlignment="1">
      <alignment horizontal="center" vertical="center" wrapText="1"/>
    </xf>
    <xf numFmtId="0" fontId="63" fillId="0" borderId="42" xfId="4" applyFont="1" applyBorder="1" applyAlignment="1">
      <alignment horizontal="center" vertical="top" wrapText="1"/>
    </xf>
    <xf numFmtId="0" fontId="62" fillId="0" borderId="42" xfId="4" applyFont="1" applyBorder="1" applyAlignment="1">
      <alignment vertical="top" wrapText="1"/>
    </xf>
    <xf numFmtId="172" fontId="63" fillId="0" borderId="43" xfId="1" applyNumberFormat="1" applyFont="1" applyFill="1" applyBorder="1" applyAlignment="1">
      <alignment horizontal="center" vertical="center" wrapText="1"/>
    </xf>
    <xf numFmtId="0" fontId="61" fillId="0" borderId="38" xfId="8" applyFont="1" applyBorder="1" applyAlignment="1">
      <alignment horizontal="center"/>
    </xf>
    <xf numFmtId="0" fontId="62" fillId="0" borderId="36" xfId="4" applyFont="1" applyBorder="1" applyAlignment="1">
      <alignment horizontal="left" vertical="justify"/>
    </xf>
    <xf numFmtId="172" fontId="61" fillId="0" borderId="36" xfId="1" applyNumberFormat="1" applyFont="1" applyBorder="1" applyAlignment="1">
      <alignment horizontal="center" vertical="center"/>
    </xf>
    <xf numFmtId="0" fontId="62" fillId="0" borderId="36" xfId="4" applyFont="1" applyBorder="1" applyAlignment="1">
      <alignment horizontal="center" vertical="center"/>
    </xf>
    <xf numFmtId="173" fontId="61" fillId="0" borderId="38" xfId="5" applyNumberFormat="1" applyFont="1" applyFill="1" applyBorder="1" applyAlignment="1" applyProtection="1">
      <alignment horizontal="center" vertical="center"/>
      <protection locked="0"/>
    </xf>
    <xf numFmtId="0" fontId="62" fillId="0" borderId="13" xfId="4" applyFont="1" applyProtection="1">
      <protection locked="0"/>
    </xf>
    <xf numFmtId="0" fontId="61" fillId="0" borderId="41" xfId="8" applyFont="1" applyBorder="1" applyAlignment="1">
      <alignment horizontal="center"/>
    </xf>
    <xf numFmtId="0" fontId="62" fillId="0" borderId="39" xfId="4" applyFont="1" applyBorder="1" applyAlignment="1">
      <alignment horizontal="center" vertical="top"/>
    </xf>
    <xf numFmtId="0" fontId="62" fillId="0" borderId="34" xfId="4" applyFont="1" applyBorder="1" applyAlignment="1">
      <alignment horizontal="left" vertical="justify"/>
    </xf>
    <xf numFmtId="172" fontId="62" fillId="0" borderId="34" xfId="1" applyNumberFormat="1" applyFont="1" applyBorder="1" applyAlignment="1">
      <alignment horizontal="center" vertical="center"/>
    </xf>
    <xf numFmtId="0" fontId="62" fillId="0" borderId="34" xfId="4" applyFont="1" applyBorder="1" applyAlignment="1">
      <alignment horizontal="center" vertical="center"/>
    </xf>
    <xf numFmtId="173" fontId="62" fillId="0" borderId="41" xfId="5" applyNumberFormat="1" applyFont="1" applyFill="1" applyBorder="1" applyAlignment="1" applyProtection="1">
      <alignment horizontal="center" vertical="center"/>
      <protection locked="0"/>
    </xf>
    <xf numFmtId="0" fontId="11" fillId="0" borderId="0" xfId="0" applyFont="1" applyAlignment="1">
      <alignment horizontal="center" vertical="center"/>
    </xf>
    <xf numFmtId="0" fontId="0" fillId="0" borderId="0" xfId="0" applyAlignment="1">
      <alignment horizontal="center" vertical="center"/>
    </xf>
    <xf numFmtId="0" fontId="62" fillId="0" borderId="13" xfId="2" applyFont="1" applyAlignment="1" applyProtection="1">
      <alignment vertical="top"/>
      <protection locked="0"/>
    </xf>
    <xf numFmtId="173" fontId="61" fillId="0" borderId="13" xfId="3" applyNumberFormat="1" applyFont="1" applyFill="1" applyBorder="1" applyAlignment="1" applyProtection="1">
      <alignment vertical="top"/>
      <protection locked="0"/>
    </xf>
    <xf numFmtId="0" fontId="62" fillId="0" borderId="34" xfId="2" applyFont="1" applyBorder="1" applyAlignment="1" applyProtection="1">
      <alignment vertical="top"/>
      <protection locked="0"/>
    </xf>
    <xf numFmtId="0" fontId="61" fillId="0" borderId="38" xfId="2" applyFont="1" applyBorder="1" applyAlignment="1">
      <alignment horizontal="center"/>
    </xf>
    <xf numFmtId="0" fontId="62" fillId="0" borderId="0" xfId="0" applyFont="1"/>
    <xf numFmtId="0" fontId="61" fillId="0" borderId="44" xfId="2" applyFont="1" applyBorder="1" applyAlignment="1">
      <alignment horizontal="center"/>
    </xf>
    <xf numFmtId="0" fontId="61" fillId="0" borderId="43" xfId="2" applyFont="1" applyBorder="1" applyAlignment="1">
      <alignment horizontal="center"/>
    </xf>
    <xf numFmtId="0" fontId="62" fillId="0" borderId="44" xfId="6" applyFont="1" applyBorder="1" applyAlignment="1">
      <alignment horizontal="center" vertical="center" wrapText="1"/>
    </xf>
    <xf numFmtId="0" fontId="62" fillId="0" borderId="42" xfId="6" applyFont="1" applyBorder="1" applyAlignment="1">
      <alignment horizontal="center" vertical="center" wrapText="1"/>
    </xf>
    <xf numFmtId="0" fontId="62" fillId="0" borderId="43" xfId="6" applyFont="1" applyBorder="1" applyAlignment="1">
      <alignment horizontal="center" vertical="center" wrapText="1"/>
    </xf>
    <xf numFmtId="3" fontId="62" fillId="0" borderId="44" xfId="6" applyNumberFormat="1" applyFont="1" applyBorder="1" applyAlignment="1">
      <alignment horizontal="center" vertical="center" wrapText="1"/>
    </xf>
    <xf numFmtId="0" fontId="62" fillId="0" borderId="44" xfId="6" applyFont="1" applyBorder="1" applyAlignment="1" applyProtection="1">
      <alignment horizontal="center" vertical="center" wrapText="1"/>
      <protection locked="0"/>
    </xf>
    <xf numFmtId="0" fontId="62" fillId="0" borderId="13" xfId="6" applyFont="1" applyAlignment="1" applyProtection="1">
      <alignment vertical="center" wrapText="1"/>
      <protection locked="0"/>
    </xf>
    <xf numFmtId="0" fontId="65" fillId="0" borderId="43" xfId="6" applyFont="1" applyBorder="1" applyAlignment="1">
      <alignment horizontal="left" vertical="center" wrapText="1"/>
    </xf>
    <xf numFmtId="0" fontId="62" fillId="0" borderId="44" xfId="8" applyFont="1" applyBorder="1" applyAlignment="1">
      <alignment horizontal="center" vertical="top"/>
    </xf>
    <xf numFmtId="166" fontId="62" fillId="0" borderId="44" xfId="6" applyNumberFormat="1" applyFont="1" applyBorder="1" applyAlignment="1" applyProtection="1">
      <alignment horizontal="center" vertical="center" wrapText="1"/>
      <protection locked="0"/>
    </xf>
    <xf numFmtId="0" fontId="62" fillId="0" borderId="44" xfId="6" applyFont="1" applyBorder="1" applyAlignment="1">
      <alignment horizontal="center" vertical="top" wrapText="1"/>
    </xf>
    <xf numFmtId="0" fontId="62" fillId="0" borderId="42" xfId="6" applyFont="1" applyBorder="1" applyAlignment="1">
      <alignment horizontal="center" vertical="top" wrapText="1"/>
    </xf>
    <xf numFmtId="0" fontId="62" fillId="0" borderId="43" xfId="6" applyFont="1" applyBorder="1" applyAlignment="1">
      <alignment horizontal="left" vertical="top" wrapText="1"/>
    </xf>
    <xf numFmtId="3" fontId="62" fillId="0" borderId="44" xfId="6" applyNumberFormat="1" applyFont="1" applyBorder="1" applyAlignment="1">
      <alignment horizontal="center" vertical="top" wrapText="1"/>
    </xf>
    <xf numFmtId="0" fontId="66" fillId="0" borderId="43" xfId="6" applyFont="1" applyBorder="1" applyAlignment="1">
      <alignment horizontal="left" vertical="center" wrapText="1"/>
    </xf>
    <xf numFmtId="0" fontId="65" fillId="0" borderId="43" xfId="9" applyFont="1" applyBorder="1" applyAlignment="1">
      <alignment horizontal="left" vertical="center" wrapText="1"/>
    </xf>
    <xf numFmtId="0" fontId="61" fillId="0" borderId="43" xfId="9" applyFont="1" applyBorder="1" applyAlignment="1">
      <alignment horizontal="left" vertical="center"/>
    </xf>
    <xf numFmtId="0" fontId="66" fillId="0" borderId="43" xfId="6" applyFont="1" applyBorder="1" applyAlignment="1">
      <alignment horizontal="left" vertical="top" wrapText="1"/>
    </xf>
    <xf numFmtId="0" fontId="61" fillId="0" borderId="43" xfId="9" applyFont="1" applyBorder="1" applyAlignment="1">
      <alignment horizontal="left" vertical="center" wrapText="1"/>
    </xf>
    <xf numFmtId="0" fontId="62" fillId="0" borderId="43" xfId="9" applyFont="1" applyBorder="1" applyAlignment="1">
      <alignment horizontal="left" vertical="center"/>
    </xf>
    <xf numFmtId="172" fontId="61" fillId="0" borderId="36" xfId="3" applyNumberFormat="1" applyFont="1" applyBorder="1" applyAlignment="1">
      <alignment horizontal="center" vertical="top"/>
    </xf>
    <xf numFmtId="0" fontId="62" fillId="0" borderId="36" xfId="4" applyFont="1" applyBorder="1" applyAlignment="1">
      <alignment horizontal="center" vertical="top"/>
    </xf>
    <xf numFmtId="173" fontId="61" fillId="0" borderId="38" xfId="5" applyNumberFormat="1" applyFont="1" applyFill="1" applyBorder="1" applyAlignment="1" applyProtection="1">
      <alignment vertical="top"/>
      <protection locked="0"/>
    </xf>
    <xf numFmtId="172" fontId="62" fillId="0" borderId="34" xfId="3" applyNumberFormat="1" applyFont="1" applyBorder="1" applyAlignment="1">
      <alignment horizontal="center" vertical="top"/>
    </xf>
    <xf numFmtId="0" fontId="62" fillId="0" borderId="34" xfId="4" applyFont="1" applyBorder="1" applyAlignment="1">
      <alignment horizontal="center" vertical="top"/>
    </xf>
    <xf numFmtId="173" fontId="62" fillId="0" borderId="41" xfId="5" applyNumberFormat="1" applyFont="1" applyFill="1" applyBorder="1" applyAlignment="1" applyProtection="1">
      <alignment vertical="top"/>
      <protection locked="0"/>
    </xf>
    <xf numFmtId="0" fontId="62" fillId="0" borderId="13" xfId="6" applyFont="1" applyAlignment="1">
      <alignment vertical="center" wrapText="1"/>
    </xf>
    <xf numFmtId="0" fontId="62" fillId="0" borderId="43" xfId="6" applyFont="1" applyBorder="1" applyAlignment="1">
      <alignment vertical="center" wrapText="1"/>
    </xf>
    <xf numFmtId="0" fontId="62" fillId="0" borderId="43" xfId="6" applyFont="1" applyBorder="1" applyAlignment="1">
      <alignment horizontal="left" vertical="center" wrapText="1"/>
    </xf>
    <xf numFmtId="0" fontId="62" fillId="0" borderId="44" xfId="8" applyFont="1" applyBorder="1" applyAlignment="1">
      <alignment horizontal="center" vertical="center"/>
    </xf>
    <xf numFmtId="0" fontId="65" fillId="0" borderId="43" xfId="6" applyFont="1" applyBorder="1" applyAlignment="1">
      <alignment horizontal="left" vertical="top" wrapText="1"/>
    </xf>
    <xf numFmtId="0" fontId="61" fillId="0" borderId="43" xfId="6" applyFont="1" applyBorder="1" applyAlignment="1">
      <alignment horizontal="left" vertical="center" wrapText="1"/>
    </xf>
    <xf numFmtId="1" fontId="62" fillId="0" borderId="44" xfId="6" applyNumberFormat="1" applyFont="1" applyBorder="1" applyAlignment="1">
      <alignment horizontal="center" vertical="center" wrapText="1"/>
    </xf>
    <xf numFmtId="1" fontId="62" fillId="0" borderId="42" xfId="6" applyNumberFormat="1" applyFont="1" applyBorder="1" applyAlignment="1">
      <alignment horizontal="center" vertical="center" wrapText="1"/>
    </xf>
    <xf numFmtId="2" fontId="65" fillId="0" borderId="43" xfId="7" applyNumberFormat="1" applyFont="1" applyBorder="1" applyAlignment="1">
      <alignment vertical="center" wrapText="1"/>
    </xf>
    <xf numFmtId="0" fontId="62" fillId="0" borderId="44" xfId="7" applyFont="1" applyBorder="1" applyAlignment="1">
      <alignment horizontal="center" vertical="center" wrapText="1"/>
    </xf>
    <xf numFmtId="167" fontId="62" fillId="0" borderId="44" xfId="7" applyNumberFormat="1" applyFont="1" applyBorder="1" applyAlignment="1" applyProtection="1">
      <alignment horizontal="center" vertical="center" wrapText="1"/>
      <protection locked="0"/>
    </xf>
    <xf numFmtId="2" fontId="62" fillId="0" borderId="43" xfId="7" applyNumberFormat="1" applyFont="1" applyBorder="1" applyAlignment="1">
      <alignment vertical="center" wrapText="1"/>
    </xf>
    <xf numFmtId="0" fontId="62" fillId="0" borderId="38" xfId="6" applyFont="1" applyBorder="1" applyAlignment="1">
      <alignment horizontal="center" vertical="center" wrapText="1"/>
    </xf>
    <xf numFmtId="0" fontId="62" fillId="0" borderId="35" xfId="6" applyFont="1" applyBorder="1" applyAlignment="1">
      <alignment horizontal="center" vertical="center" wrapText="1"/>
    </xf>
    <xf numFmtId="0" fontId="65" fillId="0" borderId="36" xfId="6" applyFont="1" applyBorder="1" applyAlignment="1">
      <alignment horizontal="left" vertical="center" wrapText="1"/>
    </xf>
    <xf numFmtId="0" fontId="65" fillId="0" borderId="37" xfId="6" applyFont="1" applyBorder="1" applyAlignment="1">
      <alignment horizontal="left" vertical="center" wrapText="1"/>
    </xf>
    <xf numFmtId="3" fontId="62" fillId="0" borderId="38" xfId="6" applyNumberFormat="1" applyFont="1" applyBorder="1" applyAlignment="1">
      <alignment horizontal="center" vertical="center" wrapText="1"/>
    </xf>
    <xf numFmtId="166" fontId="62" fillId="0" borderId="38" xfId="6" applyNumberFormat="1" applyFont="1" applyBorder="1" applyAlignment="1" applyProtection="1">
      <alignment horizontal="center" vertical="center" wrapText="1"/>
      <protection locked="0"/>
    </xf>
    <xf numFmtId="0" fontId="62" fillId="0" borderId="13" xfId="6" applyFont="1" applyAlignment="1" applyProtection="1">
      <alignment vertical="center"/>
      <protection locked="0"/>
    </xf>
    <xf numFmtId="0" fontId="62" fillId="0" borderId="41" xfId="6" applyFont="1" applyBorder="1" applyAlignment="1">
      <alignment horizontal="center" vertical="center" wrapText="1"/>
    </xf>
    <xf numFmtId="0" fontId="62" fillId="0" borderId="39" xfId="6" applyFont="1" applyBorder="1" applyAlignment="1">
      <alignment horizontal="center" vertical="center" wrapText="1"/>
    </xf>
    <xf numFmtId="0" fontId="61" fillId="0" borderId="34" xfId="6" applyFont="1" applyBorder="1" applyAlignment="1">
      <alignment vertical="center" wrapText="1"/>
    </xf>
    <xf numFmtId="0" fontId="61" fillId="0" borderId="40" xfId="6" applyFont="1" applyBorder="1" applyAlignment="1">
      <alignment vertical="center" wrapText="1"/>
    </xf>
    <xf numFmtId="3" fontId="61" fillId="0" borderId="41" xfId="6" applyNumberFormat="1" applyFont="1" applyBorder="1" applyAlignment="1">
      <alignment horizontal="center" vertical="center" wrapText="1"/>
    </xf>
    <xf numFmtId="0" fontId="61" fillId="0" borderId="41" xfId="6" applyFont="1" applyBorder="1" applyAlignment="1">
      <alignment vertical="center" wrapText="1"/>
    </xf>
    <xf numFmtId="166" fontId="61" fillId="0" borderId="41" xfId="6" applyNumberFormat="1" applyFont="1" applyBorder="1" applyAlignment="1" applyProtection="1">
      <alignment horizontal="center" vertical="center" wrapText="1"/>
      <protection locked="0"/>
    </xf>
    <xf numFmtId="169" fontId="61" fillId="0" borderId="41" xfId="10" applyNumberFormat="1" applyFont="1" applyBorder="1" applyAlignment="1" applyProtection="1">
      <alignment horizontal="center" vertical="center" wrapText="1"/>
      <protection locked="0"/>
    </xf>
    <xf numFmtId="3" fontId="62" fillId="0" borderId="13" xfId="6" applyNumberFormat="1" applyFont="1" applyAlignment="1">
      <alignment horizontal="center" vertical="center" wrapText="1"/>
    </xf>
    <xf numFmtId="0" fontId="62" fillId="0" borderId="13" xfId="6" applyFont="1" applyAlignment="1">
      <alignment vertical="center"/>
    </xf>
    <xf numFmtId="3" fontId="62" fillId="0" borderId="13" xfId="6" applyNumberFormat="1" applyFont="1" applyAlignment="1">
      <alignment horizontal="center" vertical="center"/>
    </xf>
    <xf numFmtId="0" fontId="68" fillId="15" borderId="45" xfId="0" applyFont="1" applyFill="1" applyBorder="1" applyAlignment="1">
      <alignment vertical="top" wrapText="1"/>
    </xf>
    <xf numFmtId="0" fontId="69" fillId="0" borderId="45" xfId="0" applyFont="1" applyBorder="1" applyAlignment="1">
      <alignment vertical="top" wrapText="1"/>
    </xf>
    <xf numFmtId="0" fontId="69" fillId="16" borderId="45" xfId="0" applyFont="1" applyFill="1" applyBorder="1" applyAlignment="1">
      <alignment vertical="top" wrapText="1"/>
    </xf>
    <xf numFmtId="0" fontId="69" fillId="0" borderId="45" xfId="0" applyFont="1" applyBorder="1" applyAlignment="1">
      <alignment horizontal="right" wrapText="1"/>
    </xf>
    <xf numFmtId="0" fontId="69" fillId="0" borderId="13" xfId="0" applyFont="1" applyBorder="1" applyAlignment="1">
      <alignment vertical="top" wrapText="1"/>
    </xf>
    <xf numFmtId="0" fontId="69" fillId="0" borderId="13" xfId="0" applyFont="1" applyBorder="1" applyAlignment="1">
      <alignment horizontal="right" wrapText="1"/>
    </xf>
    <xf numFmtId="0" fontId="37" fillId="0" borderId="45" xfId="0" applyFont="1" applyBorder="1"/>
    <xf numFmtId="0" fontId="36" fillId="0" borderId="45" xfId="0" applyFont="1" applyBorder="1" applyAlignment="1">
      <alignment horizontal="center" vertical="center"/>
    </xf>
    <xf numFmtId="4" fontId="36" fillId="0" borderId="45" xfId="0" applyNumberFormat="1" applyFont="1" applyBorder="1" applyAlignment="1">
      <alignment horizontal="center" vertical="center"/>
    </xf>
    <xf numFmtId="4" fontId="37" fillId="0" borderId="45" xfId="0" applyNumberFormat="1" applyFont="1" applyBorder="1" applyAlignment="1">
      <alignment horizontal="center" vertical="center"/>
    </xf>
    <xf numFmtId="0" fontId="37" fillId="0" borderId="45" xfId="0" applyFont="1" applyBorder="1" applyAlignment="1">
      <alignment horizontal="center" vertical="center"/>
    </xf>
    <xf numFmtId="0" fontId="37" fillId="4" borderId="45" xfId="0" applyFont="1" applyFill="1" applyBorder="1" applyAlignment="1">
      <alignment horizontal="center" vertical="center"/>
    </xf>
    <xf numFmtId="167" fontId="37" fillId="0" borderId="45" xfId="0" applyNumberFormat="1" applyFont="1" applyBorder="1" applyAlignment="1">
      <alignment horizontal="center" vertical="center"/>
    </xf>
    <xf numFmtId="0" fontId="0" fillId="0" borderId="45" xfId="0" applyBorder="1"/>
    <xf numFmtId="0" fontId="41" fillId="0" borderId="13" xfId="0" applyFont="1" applyBorder="1"/>
    <xf numFmtId="0" fontId="41" fillId="0" borderId="13" xfId="0" applyFont="1" applyBorder="1" applyAlignment="1">
      <alignment horizontal="center" vertical="center"/>
    </xf>
    <xf numFmtId="4" fontId="41" fillId="0" borderId="13" xfId="0" applyNumberFormat="1" applyFont="1" applyBorder="1" applyAlignment="1">
      <alignment horizontal="center" vertical="center"/>
    </xf>
    <xf numFmtId="0" fontId="41" fillId="4" borderId="32" xfId="0" applyFont="1" applyFill="1" applyBorder="1" applyAlignment="1">
      <alignment horizontal="center" vertical="center"/>
    </xf>
    <xf numFmtId="167" fontId="38" fillId="0" borderId="13" xfId="0" applyNumberFormat="1" applyFont="1" applyBorder="1" applyAlignment="1">
      <alignment horizontal="center" vertical="center"/>
    </xf>
    <xf numFmtId="167" fontId="38" fillId="0" borderId="0" xfId="0" applyNumberFormat="1" applyFont="1" applyAlignment="1">
      <alignment horizontal="center" vertical="center"/>
    </xf>
    <xf numFmtId="0" fontId="41" fillId="0" borderId="0" xfId="0" applyFont="1" applyAlignment="1">
      <alignment horizontal="center" vertical="center"/>
    </xf>
    <xf numFmtId="0" fontId="70" fillId="0" borderId="0" xfId="0" applyFont="1"/>
    <xf numFmtId="167" fontId="4" fillId="0" borderId="0" xfId="0" applyNumberFormat="1" applyFont="1"/>
    <xf numFmtId="0" fontId="4" fillId="0" borderId="12" xfId="0" applyFont="1" applyBorder="1" applyAlignment="1">
      <alignment horizontal="center" vertical="top" wrapText="1"/>
    </xf>
    <xf numFmtId="4" fontId="17" fillId="0" borderId="13" xfId="0" applyNumberFormat="1" applyFont="1" applyBorder="1" applyAlignment="1">
      <alignment horizontal="center" vertical="center" wrapText="1"/>
    </xf>
    <xf numFmtId="0" fontId="4" fillId="0" borderId="13" xfId="0" applyFont="1" applyBorder="1" applyAlignment="1">
      <alignment horizontal="center" vertical="center" wrapText="1"/>
    </xf>
    <xf numFmtId="0" fontId="36" fillId="0" borderId="11" xfId="0" applyFont="1" applyBorder="1" applyAlignment="1">
      <alignment vertical="top" wrapText="1"/>
    </xf>
    <xf numFmtId="0" fontId="53" fillId="0" borderId="45" xfId="0" applyFont="1" applyBorder="1"/>
    <xf numFmtId="0" fontId="33" fillId="0" borderId="45" xfId="0" applyFont="1" applyBorder="1" applyAlignment="1">
      <alignment horizontal="center" vertical="center"/>
    </xf>
    <xf numFmtId="171" fontId="53" fillId="0" borderId="45" xfId="0" applyNumberFormat="1" applyFont="1" applyBorder="1" applyAlignment="1">
      <alignment horizontal="center" vertical="center"/>
    </xf>
    <xf numFmtId="171" fontId="36" fillId="0" borderId="45" xfId="0" applyNumberFormat="1" applyFont="1" applyBorder="1" applyAlignment="1">
      <alignment horizontal="center" vertical="center"/>
    </xf>
    <xf numFmtId="4" fontId="4" fillId="0" borderId="12" xfId="0" applyNumberFormat="1" applyFont="1" applyBorder="1" applyAlignment="1">
      <alignment horizontal="center" vertical="center" wrapText="1"/>
    </xf>
    <xf numFmtId="0" fontId="4" fillId="0" borderId="12" xfId="0" applyFont="1" applyBorder="1" applyAlignment="1">
      <alignment horizontal="center" vertical="center" wrapText="1"/>
    </xf>
    <xf numFmtId="165" fontId="4" fillId="0" borderId="14" xfId="0" applyNumberFormat="1" applyFont="1" applyBorder="1" applyAlignment="1">
      <alignment horizontal="center" vertical="center"/>
    </xf>
    <xf numFmtId="0" fontId="4" fillId="0" borderId="14" xfId="0" applyFont="1" applyBorder="1" applyAlignment="1">
      <alignment horizontal="center" vertical="top"/>
    </xf>
    <xf numFmtId="0" fontId="11" fillId="0" borderId="13" xfId="0" applyFont="1" applyBorder="1"/>
    <xf numFmtId="0" fontId="4" fillId="0" borderId="13" xfId="0" applyFont="1" applyBorder="1" applyAlignment="1">
      <alignment horizontal="left" vertical="center"/>
    </xf>
    <xf numFmtId="4" fontId="17" fillId="0" borderId="13" xfId="0" applyNumberFormat="1" applyFont="1" applyBorder="1" applyAlignment="1">
      <alignment horizontal="center" vertical="center"/>
    </xf>
    <xf numFmtId="0" fontId="4" fillId="0" borderId="13" xfId="0" applyFont="1" applyBorder="1" applyAlignment="1">
      <alignment horizontal="center" vertical="center"/>
    </xf>
    <xf numFmtId="4" fontId="17" fillId="0" borderId="12" xfId="0" applyNumberFormat="1" applyFont="1" applyBorder="1" applyAlignment="1">
      <alignment horizontal="center" vertical="center" wrapText="1"/>
    </xf>
    <xf numFmtId="165" fontId="4" fillId="0" borderId="13" xfId="0" applyNumberFormat="1" applyFont="1" applyBorder="1" applyAlignment="1">
      <alignment horizontal="center" vertical="center"/>
    </xf>
    <xf numFmtId="0" fontId="4" fillId="0" borderId="12" xfId="0" applyFont="1" applyBorder="1" applyAlignment="1">
      <alignment horizontal="center" vertical="top"/>
    </xf>
    <xf numFmtId="4" fontId="17" fillId="0" borderId="12" xfId="0" applyNumberFormat="1" applyFont="1" applyBorder="1" applyAlignment="1">
      <alignment horizontal="center" vertical="center"/>
    </xf>
    <xf numFmtId="0" fontId="4" fillId="0" borderId="12" xfId="0" applyFont="1" applyBorder="1" applyAlignment="1">
      <alignment horizontal="center" vertical="center"/>
    </xf>
    <xf numFmtId="0" fontId="0" fillId="0" borderId="0" xfId="0"/>
    <xf numFmtId="0" fontId="0" fillId="0" borderId="0" xfId="0"/>
    <xf numFmtId="165" fontId="6" fillId="0" borderId="13" xfId="0" applyNumberFormat="1" applyFont="1" applyBorder="1" applyAlignment="1">
      <alignment horizontal="center" vertical="center"/>
    </xf>
    <xf numFmtId="165" fontId="6" fillId="0" borderId="13" xfId="0" applyNumberFormat="1" applyFont="1" applyBorder="1" applyAlignment="1">
      <alignment vertical="center"/>
    </xf>
    <xf numFmtId="165" fontId="4" fillId="0" borderId="13" xfId="0" applyNumberFormat="1" applyFont="1" applyBorder="1" applyAlignment="1">
      <alignment vertical="center"/>
    </xf>
    <xf numFmtId="165" fontId="9" fillId="0" borderId="13" xfId="0" applyNumberFormat="1" applyFont="1" applyBorder="1" applyAlignment="1">
      <alignment vertical="center"/>
    </xf>
    <xf numFmtId="165" fontId="10" fillId="0" borderId="13" xfId="0" applyNumberFormat="1" applyFont="1" applyBorder="1" applyAlignment="1">
      <alignment vertical="center"/>
    </xf>
    <xf numFmtId="165" fontId="30" fillId="0" borderId="13" xfId="0" applyNumberFormat="1" applyFont="1" applyBorder="1" applyAlignment="1">
      <alignment horizontal="center" vertical="center"/>
    </xf>
    <xf numFmtId="165" fontId="4" fillId="17" borderId="13" xfId="0" applyNumberFormat="1" applyFont="1" applyFill="1" applyBorder="1" applyAlignment="1">
      <alignment horizontal="center" vertical="center"/>
    </xf>
    <xf numFmtId="0" fontId="12" fillId="0" borderId="0" xfId="0" applyFont="1" applyAlignment="1">
      <alignment horizontal="left" vertical="center"/>
    </xf>
    <xf numFmtId="0" fontId="59" fillId="0" borderId="13" xfId="0" applyFont="1" applyBorder="1" applyAlignment="1">
      <alignment wrapText="1"/>
    </xf>
    <xf numFmtId="4" fontId="4" fillId="0" borderId="12" xfId="0" applyNumberFormat="1" applyFont="1" applyBorder="1" applyAlignment="1">
      <alignment horizontal="center" vertical="center"/>
    </xf>
    <xf numFmtId="0" fontId="62" fillId="0" borderId="44" xfId="4" applyFont="1" applyBorder="1" applyAlignment="1">
      <alignment horizontal="center" vertical="top"/>
    </xf>
    <xf numFmtId="4" fontId="17" fillId="0" borderId="42" xfId="3" applyNumberFormat="1" applyFont="1" applyBorder="1" applyAlignment="1">
      <alignment horizontal="center" vertical="center"/>
    </xf>
    <xf numFmtId="4" fontId="17" fillId="0" borderId="44" xfId="3" applyNumberFormat="1" applyFont="1" applyBorder="1" applyAlignment="1">
      <alignment horizontal="center" vertical="center"/>
    </xf>
    <xf numFmtId="173" fontId="62" fillId="0" borderId="42" xfId="5" applyNumberFormat="1" applyFont="1" applyFill="1" applyBorder="1" applyAlignment="1" applyProtection="1">
      <alignment horizontal="center" vertical="center"/>
      <protection locked="0"/>
    </xf>
    <xf numFmtId="0" fontId="62" fillId="0" borderId="44" xfId="4" applyFont="1" applyBorder="1" applyAlignment="1">
      <alignment vertical="top" wrapText="1"/>
    </xf>
    <xf numFmtId="4" fontId="17" fillId="0" borderId="44" xfId="3" applyNumberFormat="1" applyFont="1" applyBorder="1" applyAlignment="1">
      <alignment horizontal="center" vertical="center" wrapText="1"/>
    </xf>
    <xf numFmtId="0" fontId="62" fillId="0" borderId="44" xfId="4" applyFont="1" applyBorder="1" applyAlignment="1">
      <alignment horizontal="center" vertical="top" wrapText="1"/>
    </xf>
    <xf numFmtId="4" fontId="62" fillId="0" borderId="44" xfId="3" applyNumberFormat="1" applyFont="1" applyFill="1" applyBorder="1" applyAlignment="1">
      <alignment horizontal="center" vertical="center" wrapText="1"/>
    </xf>
    <xf numFmtId="173" fontId="62" fillId="0" borderId="42" xfId="3" applyNumberFormat="1" applyFont="1" applyFill="1" applyBorder="1" applyAlignment="1" applyProtection="1">
      <alignment horizontal="center" vertical="center"/>
      <protection locked="0"/>
    </xf>
    <xf numFmtId="4" fontId="17" fillId="0" borderId="44" xfId="3" applyNumberFormat="1" applyFont="1" applyFill="1" applyBorder="1" applyAlignment="1">
      <alignment horizontal="center" vertical="center" wrapText="1"/>
    </xf>
    <xf numFmtId="166" fontId="62" fillId="0" borderId="42" xfId="11" applyNumberFormat="1" applyFont="1" applyFill="1" applyBorder="1" applyAlignment="1" applyProtection="1">
      <alignment horizontal="center" vertical="center"/>
      <protection locked="0"/>
    </xf>
    <xf numFmtId="9" fontId="62" fillId="0" borderId="42" xfId="11" applyFont="1" applyFill="1" applyBorder="1" applyAlignment="1" applyProtection="1">
      <alignment horizontal="center" vertical="center"/>
      <protection locked="0"/>
    </xf>
    <xf numFmtId="173" fontId="62" fillId="0" borderId="42" xfId="12" applyNumberFormat="1" applyFont="1" applyFill="1" applyBorder="1" applyAlignment="1" applyProtection="1">
      <alignment horizontal="center" vertical="center"/>
      <protection locked="0"/>
    </xf>
    <xf numFmtId="173" fontId="62" fillId="0" borderId="44" xfId="12" applyNumberFormat="1" applyFont="1" applyFill="1" applyBorder="1" applyAlignment="1" applyProtection="1">
      <alignment horizontal="center" vertical="center"/>
      <protection locked="0"/>
    </xf>
    <xf numFmtId="0" fontId="62" fillId="19" borderId="44" xfId="4" applyFont="1" applyFill="1" applyBorder="1" applyAlignment="1">
      <alignment horizontal="center" vertical="top" wrapText="1"/>
    </xf>
    <xf numFmtId="4" fontId="62" fillId="19" borderId="44" xfId="3" applyNumberFormat="1" applyFont="1" applyFill="1" applyBorder="1" applyAlignment="1">
      <alignment horizontal="center" vertical="center" wrapText="1"/>
    </xf>
    <xf numFmtId="0" fontId="62" fillId="19" borderId="44" xfId="4" applyFont="1" applyFill="1" applyBorder="1" applyAlignment="1">
      <alignment horizontal="center" vertical="center" wrapText="1"/>
    </xf>
    <xf numFmtId="173" fontId="62" fillId="19" borderId="42" xfId="3" applyNumberFormat="1" applyFont="1" applyFill="1" applyBorder="1" applyAlignment="1" applyProtection="1">
      <alignment horizontal="center" vertical="center"/>
      <protection locked="0"/>
    </xf>
    <xf numFmtId="173" fontId="62" fillId="19" borderId="44" xfId="3" applyNumberFormat="1" applyFont="1" applyFill="1" applyBorder="1" applyAlignment="1" applyProtection="1">
      <alignment horizontal="center" vertical="center"/>
      <protection locked="0"/>
    </xf>
    <xf numFmtId="0" fontId="62" fillId="19" borderId="42" xfId="4" applyFont="1" applyFill="1" applyBorder="1" applyAlignment="1">
      <alignment horizontal="center" vertical="top"/>
    </xf>
    <xf numFmtId="4" fontId="17" fillId="19" borderId="44" xfId="3" applyNumberFormat="1" applyFont="1" applyFill="1" applyBorder="1" applyAlignment="1">
      <alignment horizontal="center" vertical="center" wrapText="1"/>
    </xf>
    <xf numFmtId="173" fontId="62" fillId="19" borderId="42" xfId="12" applyNumberFormat="1" applyFont="1" applyFill="1" applyBorder="1" applyAlignment="1" applyProtection="1">
      <alignment horizontal="center" vertical="center"/>
      <protection locked="0"/>
    </xf>
    <xf numFmtId="173" fontId="62" fillId="19" borderId="44" xfId="12" applyNumberFormat="1" applyFont="1" applyFill="1" applyBorder="1" applyAlignment="1" applyProtection="1">
      <alignment horizontal="center" vertical="center"/>
      <protection locked="0"/>
    </xf>
    <xf numFmtId="173" fontId="62" fillId="0" borderId="13" xfId="12" applyNumberFormat="1" applyFont="1" applyFill="1" applyBorder="1" applyAlignment="1" applyProtection="1">
      <alignment horizontal="center" vertical="center"/>
      <protection locked="0"/>
    </xf>
    <xf numFmtId="0" fontId="0" fillId="0" borderId="0" xfId="0"/>
    <xf numFmtId="0" fontId="6" fillId="0" borderId="3" xfId="0" applyFont="1" applyBorder="1" applyAlignment="1">
      <alignment horizontal="center" vertical="center"/>
    </xf>
    <xf numFmtId="0" fontId="4" fillId="0" borderId="4" xfId="0" applyFont="1" applyBorder="1" applyAlignment="1">
      <alignment horizontal="center" vertical="center"/>
    </xf>
    <xf numFmtId="173" fontId="61" fillId="0" borderId="38" xfId="3" applyNumberFormat="1" applyFont="1" applyFill="1" applyBorder="1" applyAlignment="1" applyProtection="1">
      <alignment horizontal="center" vertical="center"/>
      <protection locked="0"/>
    </xf>
    <xf numFmtId="173" fontId="61" fillId="0" borderId="41" xfId="3" applyNumberFormat="1" applyFont="1" applyFill="1" applyBorder="1" applyAlignment="1" applyProtection="1">
      <alignment horizontal="center" vertical="center"/>
      <protection locked="0"/>
    </xf>
    <xf numFmtId="173" fontId="61" fillId="0" borderId="44" xfId="3" applyNumberFormat="1" applyFont="1" applyFill="1" applyBorder="1" applyAlignment="1" applyProtection="1">
      <alignment horizontal="center" vertical="center"/>
      <protection locked="0"/>
    </xf>
    <xf numFmtId="165" fontId="4" fillId="0" borderId="14" xfId="0" applyNumberFormat="1" applyFont="1" applyBorder="1" applyAlignment="1">
      <alignment horizontal="center" vertical="center" wrapText="1"/>
    </xf>
    <xf numFmtId="4" fontId="4" fillId="0" borderId="13" xfId="0" applyNumberFormat="1" applyFont="1" applyBorder="1" applyAlignment="1">
      <alignment horizontal="center" vertical="center" wrapText="1"/>
    </xf>
    <xf numFmtId="3" fontId="62" fillId="20" borderId="44" xfId="6" applyNumberFormat="1" applyFont="1" applyFill="1" applyBorder="1" applyAlignment="1">
      <alignment horizontal="center" vertical="center" wrapText="1"/>
    </xf>
    <xf numFmtId="0" fontId="6" fillId="0" borderId="4" xfId="0" applyFont="1" applyBorder="1" applyAlignment="1">
      <alignment horizontal="center" vertical="center"/>
    </xf>
    <xf numFmtId="0" fontId="6" fillId="0" borderId="1" xfId="0" applyFont="1" applyBorder="1" applyAlignment="1">
      <alignment horizontal="left" vertical="center"/>
    </xf>
    <xf numFmtId="165" fontId="6" fillId="0" borderId="6" xfId="0" applyNumberFormat="1" applyFont="1" applyBorder="1"/>
    <xf numFmtId="0" fontId="61" fillId="0" borderId="36" xfId="4" applyFont="1" applyBorder="1" applyAlignment="1">
      <alignment horizontal="left" vertical="justify"/>
    </xf>
    <xf numFmtId="0" fontId="61" fillId="0" borderId="36" xfId="4" applyFont="1" applyBorder="1" applyAlignment="1">
      <alignment horizontal="center" vertical="center"/>
    </xf>
    <xf numFmtId="0" fontId="61" fillId="0" borderId="34" xfId="4" applyFont="1" applyBorder="1" applyAlignment="1">
      <alignment horizontal="left" vertical="justify"/>
    </xf>
    <xf numFmtId="172" fontId="61" fillId="0" borderId="34" xfId="1" applyNumberFormat="1" applyFont="1" applyBorder="1" applyAlignment="1">
      <alignment horizontal="center" vertical="center"/>
    </xf>
    <xf numFmtId="0" fontId="61" fillId="0" borderId="34" xfId="4" applyFont="1" applyBorder="1" applyAlignment="1">
      <alignment horizontal="center" vertical="center"/>
    </xf>
    <xf numFmtId="173" fontId="61" fillId="0" borderId="41" xfId="5" applyNumberFormat="1" applyFont="1" applyFill="1" applyBorder="1" applyAlignment="1" applyProtection="1">
      <alignment horizontal="center" vertical="center"/>
      <protection locked="0"/>
    </xf>
    <xf numFmtId="172" fontId="62" fillId="0" borderId="36" xfId="1" applyNumberFormat="1" applyFont="1" applyBorder="1" applyAlignment="1">
      <alignment horizontal="center" vertical="center"/>
    </xf>
    <xf numFmtId="0" fontId="61" fillId="0" borderId="36" xfId="4" applyFont="1" applyBorder="1" applyAlignment="1">
      <alignment horizontal="center" vertical="top"/>
    </xf>
    <xf numFmtId="172" fontId="61" fillId="0" borderId="34" xfId="3" applyNumberFormat="1" applyFont="1" applyBorder="1" applyAlignment="1">
      <alignment horizontal="center" vertical="top"/>
    </xf>
    <xf numFmtId="0" fontId="61" fillId="0" borderId="34" xfId="4" applyFont="1" applyBorder="1" applyAlignment="1">
      <alignment horizontal="center" vertical="top"/>
    </xf>
    <xf numFmtId="173" fontId="61" fillId="0" borderId="41" xfId="5" applyNumberFormat="1" applyFont="1" applyFill="1" applyBorder="1" applyAlignment="1" applyProtection="1">
      <alignment vertical="top"/>
      <protection locked="0"/>
    </xf>
    <xf numFmtId="38" fontId="9" fillId="0" borderId="4" xfId="0" applyNumberFormat="1" applyFont="1" applyBorder="1" applyAlignment="1">
      <alignment horizontal="center" vertical="center"/>
    </xf>
    <xf numFmtId="167" fontId="75" fillId="0" borderId="5" xfId="0" applyNumberFormat="1" applyFont="1" applyBorder="1" applyAlignment="1">
      <alignment horizontal="center"/>
    </xf>
    <xf numFmtId="165" fontId="9" fillId="0" borderId="9" xfId="0" applyNumberFormat="1" applyFont="1" applyBorder="1" applyAlignment="1">
      <alignment horizontal="center"/>
    </xf>
    <xf numFmtId="0" fontId="6" fillId="0" borderId="1" xfId="0" applyFont="1" applyBorder="1" applyAlignment="1">
      <alignment horizontal="right"/>
    </xf>
    <xf numFmtId="168" fontId="6" fillId="0" borderId="1" xfId="0" applyNumberFormat="1" applyFont="1" applyBorder="1" applyAlignment="1">
      <alignment horizontal="center"/>
    </xf>
    <xf numFmtId="167" fontId="76" fillId="0" borderId="1" xfId="0" applyNumberFormat="1" applyFont="1" applyBorder="1" applyAlignment="1">
      <alignment horizontal="center"/>
    </xf>
    <xf numFmtId="167" fontId="76" fillId="0" borderId="8" xfId="0" applyNumberFormat="1" applyFont="1" applyBorder="1" applyAlignment="1">
      <alignment horizontal="center"/>
    </xf>
    <xf numFmtId="3" fontId="17" fillId="19" borderId="44" xfId="6" applyNumberFormat="1" applyFont="1" applyFill="1" applyBorder="1" applyAlignment="1">
      <alignment horizontal="center" vertical="center" wrapText="1"/>
    </xf>
    <xf numFmtId="0" fontId="5" fillId="0" borderId="42" xfId="0" applyFont="1" applyBorder="1" applyAlignment="1">
      <alignment horizontal="center" wrapText="1"/>
    </xf>
    <xf numFmtId="0" fontId="5" fillId="0" borderId="13" xfId="0" applyFont="1" applyBorder="1" applyAlignment="1">
      <alignment horizontal="center" wrapText="1"/>
    </xf>
    <xf numFmtId="0" fontId="5" fillId="0" borderId="43" xfId="0" applyFont="1" applyBorder="1" applyAlignment="1">
      <alignment horizontal="center" wrapText="1"/>
    </xf>
    <xf numFmtId="0" fontId="6" fillId="0" borderId="42" xfId="0" applyFont="1" applyBorder="1"/>
    <xf numFmtId="0" fontId="4" fillId="0" borderId="13" xfId="0" applyFont="1" applyBorder="1"/>
    <xf numFmtId="0" fontId="4" fillId="0" borderId="43" xfId="0" applyFont="1" applyBorder="1" applyAlignment="1">
      <alignment horizontal="center"/>
    </xf>
    <xf numFmtId="0" fontId="7" fillId="0" borderId="42" xfId="0" applyFont="1" applyBorder="1" applyAlignment="1">
      <alignment horizontal="center"/>
    </xf>
    <xf numFmtId="0" fontId="7" fillId="0" borderId="13" xfId="0" applyFont="1" applyBorder="1" applyAlignment="1">
      <alignment horizontal="center"/>
    </xf>
    <xf numFmtId="0" fontId="7" fillId="0" borderId="43" xfId="0" applyFont="1" applyBorder="1" applyAlignment="1">
      <alignment horizontal="center"/>
    </xf>
    <xf numFmtId="0" fontId="8" fillId="0" borderId="42" xfId="0" applyFont="1" applyBorder="1" applyAlignment="1">
      <alignment horizontal="center"/>
    </xf>
    <xf numFmtId="0" fontId="8" fillId="0" borderId="13" xfId="0" applyFont="1" applyBorder="1" applyAlignment="1">
      <alignment horizontal="center"/>
    </xf>
    <xf numFmtId="0" fontId="8" fillId="0" borderId="43" xfId="0" applyFont="1" applyBorder="1" applyAlignment="1">
      <alignment horizontal="center"/>
    </xf>
    <xf numFmtId="0" fontId="4" fillId="0" borderId="42" xfId="0" applyFont="1" applyBorder="1"/>
    <xf numFmtId="0" fontId="4" fillId="0" borderId="25" xfId="0" applyFont="1" applyBorder="1"/>
    <xf numFmtId="0" fontId="9" fillId="0" borderId="46" xfId="0" applyFont="1" applyBorder="1" applyAlignment="1">
      <alignment horizontal="center"/>
    </xf>
    <xf numFmtId="0" fontId="6" fillId="0" borderId="47" xfId="0" applyFont="1" applyBorder="1" applyAlignment="1">
      <alignment horizontal="center"/>
    </xf>
    <xf numFmtId="165" fontId="6" fillId="0" borderId="48" xfId="0" applyNumberFormat="1" applyFont="1" applyBorder="1" applyAlignment="1">
      <alignment horizontal="center"/>
    </xf>
    <xf numFmtId="0" fontId="6" fillId="0" borderId="49" xfId="0" applyFont="1" applyBorder="1" applyAlignment="1">
      <alignment horizontal="center"/>
    </xf>
    <xf numFmtId="165" fontId="6" fillId="0" borderId="50" xfId="0" applyNumberFormat="1" applyFont="1" applyBorder="1" applyAlignment="1">
      <alignment horizontal="center"/>
    </xf>
    <xf numFmtId="0" fontId="4" fillId="0" borderId="51" xfId="0" applyFont="1" applyBorder="1" applyAlignment="1">
      <alignment horizontal="center" vertical="top"/>
    </xf>
    <xf numFmtId="0" fontId="12" fillId="0" borderId="13" xfId="0" applyFont="1" applyBorder="1" applyAlignment="1">
      <alignment horizontal="left" vertical="top" wrapText="1"/>
    </xf>
    <xf numFmtId="0" fontId="13" fillId="0" borderId="13" xfId="0" applyFont="1" applyBorder="1" applyAlignment="1">
      <alignment horizontal="left" vertical="center"/>
    </xf>
    <xf numFmtId="165" fontId="4" fillId="0" borderId="52" xfId="0" applyNumberFormat="1" applyFont="1" applyBorder="1" applyAlignment="1">
      <alignment horizontal="center"/>
    </xf>
    <xf numFmtId="0" fontId="9" fillId="0" borderId="13" xfId="0" applyFont="1" applyBorder="1"/>
    <xf numFmtId="165" fontId="14" fillId="0" borderId="52" xfId="0" applyNumberFormat="1" applyFont="1" applyBorder="1" applyAlignment="1">
      <alignment horizontal="center"/>
    </xf>
    <xf numFmtId="0" fontId="10" fillId="0" borderId="13" xfId="0" applyFont="1" applyBorder="1"/>
    <xf numFmtId="0" fontId="9" fillId="0" borderId="13" xfId="0" applyFont="1" applyBorder="1" applyAlignment="1">
      <alignment horizontal="left" vertical="top" wrapText="1"/>
    </xf>
    <xf numFmtId="0" fontId="10" fillId="0" borderId="13" xfId="0" applyFont="1" applyBorder="1" applyAlignment="1">
      <alignment horizontal="left" vertical="top" wrapText="1"/>
    </xf>
    <xf numFmtId="0" fontId="4" fillId="0" borderId="13" xfId="0" applyFont="1" applyBorder="1" applyAlignment="1">
      <alignment horizontal="left" vertical="top" wrapText="1"/>
    </xf>
    <xf numFmtId="0" fontId="4" fillId="0" borderId="51" xfId="0" applyFont="1" applyBorder="1" applyAlignment="1">
      <alignment horizontal="center" vertical="top" wrapText="1"/>
    </xf>
    <xf numFmtId="0" fontId="4" fillId="0" borderId="13" xfId="0" applyFont="1" applyBorder="1" applyAlignment="1">
      <alignment horizontal="center" vertical="top"/>
    </xf>
    <xf numFmtId="0" fontId="6" fillId="0" borderId="13" xfId="0" applyFont="1" applyBorder="1" applyAlignment="1">
      <alignment vertical="top" wrapText="1"/>
    </xf>
    <xf numFmtId="165" fontId="14" fillId="0" borderId="50" xfId="0" applyNumberFormat="1" applyFont="1" applyBorder="1" applyAlignment="1">
      <alignment horizontal="center"/>
    </xf>
    <xf numFmtId="0" fontId="9" fillId="0" borderId="13" xfId="0" applyFont="1" applyBorder="1" applyAlignment="1">
      <alignment horizontal="right" vertical="top" wrapText="1"/>
    </xf>
    <xf numFmtId="0" fontId="10" fillId="0" borderId="51" xfId="0" applyFont="1" applyBorder="1" applyAlignment="1">
      <alignment horizontal="center" vertical="top" wrapText="1"/>
    </xf>
    <xf numFmtId="0" fontId="10" fillId="0" borderId="13" xfId="0" applyFont="1" applyBorder="1" applyAlignment="1">
      <alignment horizontal="center" vertical="top"/>
    </xf>
    <xf numFmtId="0" fontId="15" fillId="0" borderId="13" xfId="0" applyFont="1" applyBorder="1" applyAlignment="1">
      <alignment horizontal="left" vertical="center"/>
    </xf>
    <xf numFmtId="0" fontId="4" fillId="0" borderId="47" xfId="0" applyFont="1" applyBorder="1" applyAlignment="1">
      <alignment horizontal="center" vertical="top"/>
    </xf>
    <xf numFmtId="165" fontId="14" fillId="0" borderId="48" xfId="0" applyNumberFormat="1" applyFont="1" applyBorder="1" applyAlignment="1">
      <alignment horizontal="center"/>
    </xf>
    <xf numFmtId="0" fontId="4" fillId="0" borderId="49" xfId="0" applyFont="1" applyBorder="1" applyAlignment="1">
      <alignment horizontal="center" vertical="top"/>
    </xf>
    <xf numFmtId="0" fontId="4" fillId="0" borderId="22" xfId="0" applyFont="1" applyBorder="1" applyAlignment="1">
      <alignment horizontal="center" vertical="top"/>
    </xf>
    <xf numFmtId="0" fontId="4" fillId="0" borderId="25" xfId="0" applyFont="1" applyBorder="1" applyAlignment="1">
      <alignment horizontal="left" vertical="center"/>
    </xf>
    <xf numFmtId="165" fontId="4" fillId="0" borderId="43" xfId="0" applyNumberFormat="1" applyFont="1" applyBorder="1" applyAlignment="1">
      <alignment horizontal="center"/>
    </xf>
    <xf numFmtId="0" fontId="10" fillId="0" borderId="42" xfId="0" applyFont="1" applyBorder="1"/>
    <xf numFmtId="0" fontId="6" fillId="0" borderId="13" xfId="0" applyFont="1" applyBorder="1"/>
    <xf numFmtId="165" fontId="6" fillId="0" borderId="43" xfId="0" applyNumberFormat="1" applyFont="1" applyBorder="1" applyAlignment="1">
      <alignment horizontal="center"/>
    </xf>
    <xf numFmtId="0" fontId="6" fillId="20" borderId="13" xfId="0" applyFont="1" applyFill="1" applyBorder="1"/>
    <xf numFmtId="165" fontId="6" fillId="20" borderId="43" xfId="0" applyNumberFormat="1" applyFont="1" applyFill="1" applyBorder="1" applyAlignment="1">
      <alignment horizontal="center"/>
    </xf>
    <xf numFmtId="0" fontId="4" fillId="0" borderId="39" xfId="0" applyFont="1" applyBorder="1"/>
    <xf numFmtId="0" fontId="4" fillId="0" borderId="34" xfId="0" applyFont="1" applyBorder="1"/>
    <xf numFmtId="165" fontId="4" fillId="0" borderId="40" xfId="0" applyNumberFormat="1" applyFont="1" applyBorder="1" applyAlignment="1">
      <alignment horizontal="center"/>
    </xf>
    <xf numFmtId="0" fontId="6" fillId="18" borderId="13" xfId="0" applyFont="1" applyFill="1" applyBorder="1" applyAlignment="1">
      <alignment horizontal="center"/>
    </xf>
    <xf numFmtId="165" fontId="4" fillId="0" borderId="16" xfId="0" applyNumberFormat="1" applyFont="1" applyBorder="1" applyAlignment="1">
      <alignment horizontal="center" vertical="center"/>
    </xf>
    <xf numFmtId="4" fontId="17" fillId="0" borderId="14" xfId="0" applyNumberFormat="1" applyFont="1" applyBorder="1" applyAlignment="1">
      <alignment horizontal="center" vertical="center"/>
    </xf>
    <xf numFmtId="0" fontId="6" fillId="0" borderId="13" xfId="0" applyFont="1" applyBorder="1" applyAlignment="1">
      <alignment horizontal="center" vertical="center" wrapText="1"/>
    </xf>
    <xf numFmtId="0" fontId="6" fillId="0" borderId="35" xfId="0" applyFont="1" applyBorder="1"/>
    <xf numFmtId="0" fontId="4" fillId="0" borderId="36" xfId="0" applyFont="1" applyBorder="1"/>
    <xf numFmtId="4" fontId="17" fillId="0" borderId="36" xfId="0" applyNumberFormat="1" applyFont="1" applyBorder="1" applyAlignment="1">
      <alignment horizontal="center"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4" fillId="0" borderId="25" xfId="0" applyFont="1" applyBorder="1" applyAlignment="1">
      <alignment horizontal="center" vertical="center"/>
    </xf>
    <xf numFmtId="0" fontId="4" fillId="0" borderId="46" xfId="0" applyFont="1" applyBorder="1" applyAlignment="1">
      <alignment horizontal="center" vertical="center"/>
    </xf>
    <xf numFmtId="0" fontId="9" fillId="0" borderId="47" xfId="0" applyFont="1" applyBorder="1" applyAlignment="1">
      <alignment horizontal="center"/>
    </xf>
    <xf numFmtId="165" fontId="6" fillId="0" borderId="48" xfId="0" applyNumberFormat="1" applyFont="1" applyBorder="1" applyAlignment="1">
      <alignment horizontal="center" vertical="center"/>
    </xf>
    <xf numFmtId="0" fontId="9" fillId="0" borderId="49" xfId="0" applyFont="1" applyBorder="1" applyAlignment="1">
      <alignment horizontal="center"/>
    </xf>
    <xf numFmtId="165" fontId="6" fillId="0" borderId="50" xfId="0" applyNumberFormat="1" applyFont="1" applyBorder="1" applyAlignment="1">
      <alignment horizontal="center" vertical="center"/>
    </xf>
    <xf numFmtId="4" fontId="4" fillId="0" borderId="14" xfId="0" applyNumberFormat="1" applyFont="1" applyBorder="1" applyAlignment="1">
      <alignment horizontal="center" vertical="center"/>
    </xf>
    <xf numFmtId="165" fontId="4" fillId="0" borderId="52" xfId="0" applyNumberFormat="1" applyFont="1" applyBorder="1" applyAlignment="1">
      <alignment horizontal="center" vertical="center"/>
    </xf>
    <xf numFmtId="0" fontId="20" fillId="0" borderId="13" xfId="0" applyFont="1" applyBorder="1" applyAlignment="1">
      <alignment vertical="top" wrapText="1"/>
    </xf>
    <xf numFmtId="0" fontId="4" fillId="0" borderId="51" xfId="0" applyFont="1" applyBorder="1" applyAlignment="1">
      <alignment vertical="top" wrapText="1"/>
    </xf>
    <xf numFmtId="0" fontId="4" fillId="0" borderId="13" xfId="0" applyFont="1" applyBorder="1" applyAlignment="1">
      <alignment vertical="top" wrapText="1"/>
    </xf>
    <xf numFmtId="168" fontId="4" fillId="0" borderId="13" xfId="0" applyNumberFormat="1" applyFont="1" applyBorder="1" applyAlignment="1">
      <alignment horizontal="center" vertical="center"/>
    </xf>
    <xf numFmtId="166" fontId="4" fillId="0" borderId="14" xfId="0" applyNumberFormat="1" applyFont="1" applyBorder="1" applyAlignment="1">
      <alignment horizontal="center" vertical="center"/>
    </xf>
    <xf numFmtId="4" fontId="21" fillId="0" borderId="12" xfId="0" applyNumberFormat="1" applyFont="1" applyBorder="1" applyAlignment="1">
      <alignment horizontal="center" vertical="center" wrapText="1"/>
    </xf>
    <xf numFmtId="0" fontId="22" fillId="0" borderId="47" xfId="0" applyFont="1" applyBorder="1" applyAlignment="1">
      <alignment horizontal="center"/>
    </xf>
    <xf numFmtId="165" fontId="6" fillId="0" borderId="48" xfId="0" applyNumberFormat="1" applyFont="1" applyBorder="1" applyAlignment="1">
      <alignment vertical="center"/>
    </xf>
    <xf numFmtId="0" fontId="23" fillId="0" borderId="49" xfId="0" applyFont="1" applyBorder="1" applyAlignment="1">
      <alignment horizontal="center"/>
    </xf>
    <xf numFmtId="0" fontId="6" fillId="0" borderId="25" xfId="0" applyFont="1" applyBorder="1" applyAlignment="1">
      <alignment horizontal="left" vertical="center"/>
    </xf>
    <xf numFmtId="4" fontId="18" fillId="0" borderId="25" xfId="0" applyNumberFormat="1" applyFont="1" applyBorder="1" applyAlignment="1">
      <alignment horizontal="center" vertical="center"/>
    </xf>
    <xf numFmtId="0" fontId="6" fillId="0" borderId="25" xfId="0" applyFont="1" applyBorder="1" applyAlignment="1">
      <alignment horizontal="center" vertical="center"/>
    </xf>
    <xf numFmtId="165" fontId="6" fillId="0" borderId="50" xfId="0" applyNumberFormat="1" applyFont="1" applyBorder="1" applyAlignment="1">
      <alignment vertical="center"/>
    </xf>
    <xf numFmtId="0" fontId="24" fillId="0" borderId="51" xfId="0" applyFont="1" applyBorder="1" applyAlignment="1">
      <alignment vertical="top" wrapText="1"/>
    </xf>
    <xf numFmtId="0" fontId="24" fillId="0" borderId="12" xfId="0" applyFont="1" applyBorder="1" applyAlignment="1">
      <alignment horizontal="center" vertical="center" wrapText="1"/>
    </xf>
    <xf numFmtId="0" fontId="19" fillId="0" borderId="51" xfId="0" applyFont="1" applyBorder="1" applyAlignment="1">
      <alignment horizontal="center" vertical="top" wrapText="1"/>
    </xf>
    <xf numFmtId="0" fontId="19" fillId="0" borderId="13" xfId="0" applyFont="1" applyBorder="1" applyAlignment="1">
      <alignment horizontal="left" vertical="top" wrapText="1"/>
    </xf>
    <xf numFmtId="4" fontId="25" fillId="0" borderId="12" xfId="0" applyNumberFormat="1" applyFont="1" applyBorder="1" applyAlignment="1">
      <alignment horizontal="center" vertical="center" wrapText="1"/>
    </xf>
    <xf numFmtId="0" fontId="19" fillId="0" borderId="12" xfId="0" applyFont="1" applyBorder="1" applyAlignment="1">
      <alignment horizontal="center" vertical="center" wrapText="1"/>
    </xf>
    <xf numFmtId="0" fontId="4" fillId="0" borderId="53" xfId="0" applyFont="1" applyBorder="1" applyAlignment="1">
      <alignment horizontal="center" vertical="top"/>
    </xf>
    <xf numFmtId="0" fontId="4" fillId="0" borderId="54" xfId="0" applyFont="1" applyBorder="1" applyAlignment="1">
      <alignment horizontal="center" vertical="top"/>
    </xf>
    <xf numFmtId="0" fontId="6" fillId="0" borderId="34" xfId="0" applyFont="1" applyBorder="1" applyAlignment="1">
      <alignment horizontal="left" vertical="center"/>
    </xf>
    <xf numFmtId="4" fontId="18" fillId="0" borderId="34" xfId="0" applyNumberFormat="1" applyFont="1" applyBorder="1" applyAlignment="1">
      <alignment horizontal="center" vertical="center"/>
    </xf>
    <xf numFmtId="0" fontId="6" fillId="0" borderId="34" xfId="0" applyFont="1" applyBorder="1" applyAlignment="1">
      <alignment horizontal="center" vertical="center"/>
    </xf>
    <xf numFmtId="165" fontId="6" fillId="0" borderId="56" xfId="0" applyNumberFormat="1" applyFont="1" applyBorder="1" applyAlignment="1">
      <alignment vertical="center"/>
    </xf>
    <xf numFmtId="0" fontId="4" fillId="0" borderId="57" xfId="0" applyFont="1" applyBorder="1" applyAlignment="1">
      <alignment horizontal="center" vertical="top"/>
    </xf>
    <xf numFmtId="0" fontId="4" fillId="0" borderId="58" xfId="0" applyFont="1" applyBorder="1" applyAlignment="1">
      <alignment horizontal="center" vertical="top"/>
    </xf>
    <xf numFmtId="0" fontId="4" fillId="0" borderId="36" xfId="0" applyFont="1" applyBorder="1" applyAlignment="1">
      <alignment horizontal="left" vertical="center"/>
    </xf>
    <xf numFmtId="4" fontId="17" fillId="0" borderId="58" xfId="0" applyNumberFormat="1" applyFont="1" applyBorder="1" applyAlignment="1">
      <alignment horizontal="center" vertical="center"/>
    </xf>
    <xf numFmtId="0" fontId="4" fillId="0" borderId="59" xfId="0" applyFont="1" applyBorder="1" applyAlignment="1">
      <alignment horizontal="center" vertical="center"/>
    </xf>
    <xf numFmtId="0" fontId="6" fillId="0" borderId="36" xfId="0" applyFont="1" applyBorder="1" applyAlignment="1">
      <alignment horizontal="center" vertical="center" wrapText="1"/>
    </xf>
    <xf numFmtId="165" fontId="4" fillId="0" borderId="60" xfId="0" applyNumberFormat="1" applyFont="1" applyBorder="1" applyAlignment="1">
      <alignment horizontal="center" vertical="center"/>
    </xf>
    <xf numFmtId="0" fontId="24" fillId="0" borderId="13" xfId="0" applyFont="1" applyBorder="1" applyAlignment="1">
      <alignment vertical="top" wrapText="1"/>
    </xf>
    <xf numFmtId="4" fontId="26" fillId="0" borderId="12" xfId="0" applyNumberFormat="1" applyFont="1" applyBorder="1" applyAlignment="1">
      <alignment horizontal="center" vertical="center" wrapText="1"/>
    </xf>
    <xf numFmtId="165" fontId="9" fillId="0" borderId="48" xfId="0" applyNumberFormat="1" applyFont="1" applyBorder="1" applyAlignment="1">
      <alignment vertical="center"/>
    </xf>
    <xf numFmtId="165" fontId="9" fillId="0" borderId="50" xfId="0" applyNumberFormat="1" applyFont="1" applyBorder="1" applyAlignment="1">
      <alignment vertical="center"/>
    </xf>
    <xf numFmtId="0" fontId="22" fillId="0" borderId="49" xfId="0" applyFont="1" applyBorder="1" applyAlignment="1">
      <alignment horizontal="center"/>
    </xf>
    <xf numFmtId="0" fontId="27" fillId="0" borderId="47" xfId="0" applyFont="1" applyBorder="1" applyAlignment="1">
      <alignment horizontal="center" vertical="top"/>
    </xf>
    <xf numFmtId="0" fontId="28" fillId="0" borderId="49" xfId="0" applyFont="1" applyBorder="1" applyAlignment="1">
      <alignment horizontal="center" vertical="top"/>
    </xf>
    <xf numFmtId="166" fontId="4" fillId="0" borderId="13" xfId="0" applyNumberFormat="1" applyFont="1" applyBorder="1" applyAlignment="1">
      <alignment horizontal="center" vertical="center"/>
    </xf>
    <xf numFmtId="0" fontId="29" fillId="0" borderId="12" xfId="0" applyFont="1" applyBorder="1" applyAlignment="1">
      <alignment horizontal="center" vertical="center" wrapText="1"/>
    </xf>
    <xf numFmtId="0" fontId="30" fillId="0" borderId="13" xfId="0" applyFont="1" applyBorder="1" applyAlignment="1">
      <alignment horizontal="center" vertical="top"/>
    </xf>
    <xf numFmtId="0" fontId="31" fillId="0" borderId="13" xfId="0" applyFont="1" applyBorder="1" applyAlignment="1">
      <alignment horizontal="left" vertical="center"/>
    </xf>
    <xf numFmtId="165" fontId="30" fillId="0" borderId="52" xfId="0" applyNumberFormat="1" applyFont="1" applyBorder="1" applyAlignment="1">
      <alignment horizontal="center" vertical="center"/>
    </xf>
    <xf numFmtId="0" fontId="6" fillId="0" borderId="13" xfId="0" applyFont="1" applyBorder="1" applyAlignment="1">
      <alignment horizontal="left" vertical="top" wrapText="1"/>
    </xf>
    <xf numFmtId="0" fontId="4" fillId="0" borderId="34" xfId="0" applyFont="1" applyBorder="1" applyAlignment="1">
      <alignment horizontal="left" vertical="center"/>
    </xf>
    <xf numFmtId="4" fontId="17" fillId="0" borderId="34" xfId="0" applyNumberFormat="1" applyFont="1" applyBorder="1" applyAlignment="1">
      <alignment horizontal="center" vertical="center"/>
    </xf>
    <xf numFmtId="0" fontId="4" fillId="0" borderId="34" xfId="0" applyFont="1" applyBorder="1" applyAlignment="1">
      <alignment horizontal="center" vertical="center"/>
    </xf>
    <xf numFmtId="0" fontId="4" fillId="0" borderId="57" xfId="0" applyFont="1" applyBorder="1" applyAlignment="1">
      <alignment horizontal="center" vertical="top" wrapText="1"/>
    </xf>
    <xf numFmtId="0" fontId="4" fillId="0" borderId="36" xfId="0" applyFont="1" applyBorder="1" applyAlignment="1">
      <alignment horizontal="center" vertical="top"/>
    </xf>
    <xf numFmtId="0" fontId="4" fillId="0" borderId="36" xfId="0" applyFont="1" applyBorder="1" applyAlignment="1">
      <alignment horizontal="left" vertical="top" wrapText="1"/>
    </xf>
    <xf numFmtId="0" fontId="13" fillId="0" borderId="36" xfId="0" applyFont="1" applyBorder="1" applyAlignment="1">
      <alignment horizontal="left" vertical="center"/>
    </xf>
    <xf numFmtId="4" fontId="17" fillId="0" borderId="59" xfId="0" applyNumberFormat="1" applyFont="1" applyBorder="1" applyAlignment="1">
      <alignment horizontal="center" vertical="center" wrapText="1"/>
    </xf>
    <xf numFmtId="0" fontId="4" fillId="0" borderId="59" xfId="0" applyFont="1" applyBorder="1" applyAlignment="1">
      <alignment horizontal="center" vertical="center" wrapText="1"/>
    </xf>
    <xf numFmtId="165" fontId="4" fillId="0" borderId="36" xfId="0" applyNumberFormat="1" applyFont="1" applyBorder="1" applyAlignment="1">
      <alignment horizontal="center" vertical="center"/>
    </xf>
    <xf numFmtId="0" fontId="27" fillId="0" borderId="51" xfId="0" applyFont="1" applyBorder="1" applyAlignment="1">
      <alignment horizontal="center" vertical="top" wrapText="1"/>
    </xf>
    <xf numFmtId="4" fontId="32" fillId="0" borderId="12" xfId="0" applyNumberFormat="1" applyFont="1" applyBorder="1" applyAlignment="1">
      <alignment horizontal="center" vertical="center" wrapText="1"/>
    </xf>
    <xf numFmtId="0" fontId="27" fillId="0" borderId="12" xfId="0" applyFont="1" applyBorder="1" applyAlignment="1">
      <alignment horizontal="center" vertical="center" wrapText="1"/>
    </xf>
    <xf numFmtId="0" fontId="33" fillId="0" borderId="13" xfId="0" applyFont="1" applyBorder="1"/>
    <xf numFmtId="0" fontId="23" fillId="0" borderId="53" xfId="0" applyFont="1" applyBorder="1" applyAlignment="1">
      <alignment horizontal="left"/>
    </xf>
    <xf numFmtId="165" fontId="4" fillId="0" borderId="56" xfId="0" applyNumberFormat="1" applyFont="1" applyBorder="1" applyAlignment="1">
      <alignment vertical="center"/>
    </xf>
    <xf numFmtId="4" fontId="17" fillId="0" borderId="59" xfId="0" applyNumberFormat="1" applyFont="1" applyBorder="1" applyAlignment="1">
      <alignment horizontal="center" vertical="center"/>
    </xf>
    <xf numFmtId="165" fontId="4" fillId="0" borderId="58" xfId="0" applyNumberFormat="1" applyFont="1" applyBorder="1" applyAlignment="1">
      <alignment horizontal="center" vertical="center"/>
    </xf>
    <xf numFmtId="0" fontId="59" fillId="0" borderId="13" xfId="0" applyFont="1" applyBorder="1"/>
    <xf numFmtId="0" fontId="12" fillId="0" borderId="13" xfId="0" applyFont="1" applyBorder="1" applyAlignment="1">
      <alignment vertical="top" wrapText="1"/>
    </xf>
    <xf numFmtId="0" fontId="20" fillId="0" borderId="36" xfId="0" applyFont="1" applyBorder="1" applyAlignment="1">
      <alignment vertical="top" wrapText="1"/>
    </xf>
    <xf numFmtId="0" fontId="0" fillId="0" borderId="13" xfId="0" applyBorder="1"/>
    <xf numFmtId="4" fontId="17" fillId="0" borderId="25" xfId="0" applyNumberFormat="1" applyFont="1" applyBorder="1" applyAlignment="1">
      <alignment horizontal="center" vertical="center"/>
    </xf>
    <xf numFmtId="165" fontId="4" fillId="0" borderId="50" xfId="0" applyNumberFormat="1" applyFont="1" applyBorder="1" applyAlignment="1">
      <alignment vertical="center"/>
    </xf>
    <xf numFmtId="0" fontId="62" fillId="0" borderId="13" xfId="4" applyFont="1" applyBorder="1" applyAlignment="1">
      <alignment horizontal="center" vertical="center"/>
    </xf>
    <xf numFmtId="0" fontId="62" fillId="0" borderId="13" xfId="4" applyFont="1" applyBorder="1" applyAlignment="1">
      <alignment horizontal="left" vertical="justify"/>
    </xf>
    <xf numFmtId="0" fontId="61" fillId="0" borderId="13" xfId="4" applyFont="1" applyBorder="1" applyAlignment="1" applyProtection="1">
      <alignment horizontal="center" vertical="center" wrapText="1"/>
      <protection locked="0"/>
    </xf>
    <xf numFmtId="0" fontId="65" fillId="0" borderId="13" xfId="4" applyFont="1" applyBorder="1" applyAlignment="1">
      <alignment vertical="top" wrapText="1"/>
    </xf>
    <xf numFmtId="0" fontId="65" fillId="0" borderId="13" xfId="4" applyFont="1" applyBorder="1" applyAlignment="1">
      <alignment horizontal="left" vertical="justify"/>
    </xf>
    <xf numFmtId="0" fontId="62" fillId="0" borderId="13" xfId="4" applyFont="1" applyBorder="1" applyAlignment="1">
      <alignment horizontal="center" vertical="top"/>
    </xf>
    <xf numFmtId="0" fontId="65" fillId="0" borderId="13" xfId="4" applyFont="1" applyBorder="1" applyAlignment="1">
      <alignment horizontal="justify" vertical="top" wrapText="1"/>
    </xf>
    <xf numFmtId="0" fontId="62" fillId="0" borderId="13" xfId="4" applyFont="1" applyBorder="1" applyAlignment="1">
      <alignment horizontal="justify" vertical="top" wrapText="1"/>
    </xf>
    <xf numFmtId="0" fontId="62" fillId="19" borderId="13" xfId="4" applyFont="1" applyFill="1" applyBorder="1" applyAlignment="1">
      <alignment horizontal="center" vertical="top"/>
    </xf>
    <xf numFmtId="0" fontId="62" fillId="19" borderId="13" xfId="4" applyFont="1" applyFill="1" applyBorder="1" applyAlignment="1">
      <alignment horizontal="justify" vertical="top" wrapText="1"/>
    </xf>
    <xf numFmtId="0" fontId="65" fillId="19" borderId="13" xfId="4" applyFont="1" applyFill="1" applyBorder="1" applyAlignment="1">
      <alignment horizontal="left" vertical="justify"/>
    </xf>
    <xf numFmtId="0" fontId="28" fillId="0" borderId="51" xfId="0" applyFont="1" applyBorder="1" applyAlignment="1">
      <alignment horizontal="center" vertical="top"/>
    </xf>
    <xf numFmtId="165" fontId="6" fillId="0" borderId="52" xfId="0" applyNumberFormat="1" applyFont="1" applyBorder="1" applyAlignment="1">
      <alignment vertical="center"/>
    </xf>
    <xf numFmtId="0" fontId="6" fillId="0" borderId="51" xfId="0" applyFont="1" applyBorder="1" applyAlignment="1">
      <alignment horizontal="center" vertical="top" wrapText="1"/>
    </xf>
    <xf numFmtId="0" fontId="6" fillId="0" borderId="12" xfId="0" applyFont="1" applyBorder="1" applyAlignment="1">
      <alignment horizontal="center" vertical="center" wrapText="1"/>
    </xf>
    <xf numFmtId="0" fontId="28" fillId="0" borderId="53" xfId="0" applyFont="1" applyBorder="1" applyAlignment="1">
      <alignment horizontal="center" vertical="top"/>
    </xf>
    <xf numFmtId="0" fontId="62" fillId="0" borderId="13" xfId="4" applyFont="1" applyFill="1" applyBorder="1" applyAlignment="1">
      <alignment horizontal="justify" vertical="top" wrapText="1"/>
    </xf>
    <xf numFmtId="0" fontId="62" fillId="19" borderId="13" xfId="4" applyFont="1" applyFill="1" applyBorder="1" applyAlignment="1">
      <alignment horizontal="justify" vertical="top"/>
    </xf>
    <xf numFmtId="9" fontId="4" fillId="0" borderId="13" xfId="0" applyNumberFormat="1" applyFont="1" applyBorder="1" applyAlignment="1">
      <alignment horizontal="center" vertical="center"/>
    </xf>
    <xf numFmtId="165" fontId="4" fillId="0" borderId="48" xfId="0" applyNumberFormat="1" applyFont="1" applyBorder="1" applyAlignment="1">
      <alignment horizontal="center" vertical="center"/>
    </xf>
    <xf numFmtId="4" fontId="17" fillId="0" borderId="54" xfId="0" applyNumberFormat="1" applyFont="1" applyBorder="1" applyAlignment="1">
      <alignment horizontal="center" vertical="center"/>
    </xf>
    <xf numFmtId="165" fontId="6" fillId="0" borderId="56" xfId="0" applyNumberFormat="1" applyFont="1" applyBorder="1" applyAlignment="1">
      <alignment horizontal="center" vertical="center"/>
    </xf>
    <xf numFmtId="168" fontId="4" fillId="0" borderId="36" xfId="0" applyNumberFormat="1" applyFont="1" applyBorder="1" applyAlignment="1">
      <alignment horizontal="center" vertical="top"/>
    </xf>
    <xf numFmtId="0" fontId="4" fillId="0" borderId="36" xfId="0" applyFont="1" applyBorder="1" applyAlignment="1">
      <alignment vertical="top"/>
    </xf>
    <xf numFmtId="0" fontId="4" fillId="0" borderId="37" xfId="0" applyFont="1" applyBorder="1" applyAlignment="1">
      <alignment vertical="top"/>
    </xf>
    <xf numFmtId="0" fontId="6" fillId="0" borderId="42" xfId="0" applyFont="1" applyBorder="1" applyAlignment="1">
      <alignment horizontal="left"/>
    </xf>
    <xf numFmtId="165" fontId="6" fillId="0" borderId="13" xfId="0" applyNumberFormat="1" applyFont="1" applyBorder="1" applyAlignment="1">
      <alignment vertical="top"/>
    </xf>
    <xf numFmtId="0" fontId="6" fillId="0" borderId="13" xfId="0" applyFont="1" applyBorder="1" applyAlignment="1">
      <alignment horizontal="right" vertical="top"/>
    </xf>
    <xf numFmtId="0" fontId="4" fillId="0" borderId="43" xfId="0" applyFont="1" applyBorder="1"/>
    <xf numFmtId="0" fontId="4" fillId="0" borderId="25" xfId="0" applyFont="1" applyBorder="1" applyAlignment="1">
      <alignment vertical="top"/>
    </xf>
    <xf numFmtId="0" fontId="10" fillId="0" borderId="43" xfId="0" applyFont="1" applyBorder="1"/>
    <xf numFmtId="165" fontId="6" fillId="0" borderId="48" xfId="0" applyNumberFormat="1" applyFont="1" applyBorder="1" applyAlignment="1">
      <alignment horizontal="center" vertical="top"/>
    </xf>
    <xf numFmtId="165" fontId="6" fillId="0" borderId="50" xfId="0" applyNumberFormat="1" applyFont="1" applyBorder="1" applyAlignment="1">
      <alignment horizontal="center" vertical="top"/>
    </xf>
    <xf numFmtId="168" fontId="4" fillId="0" borderId="14" xfId="0" applyNumberFormat="1" applyFont="1" applyBorder="1" applyAlignment="1">
      <alignment horizontal="center" vertical="top"/>
    </xf>
    <xf numFmtId="0" fontId="6" fillId="0" borderId="13" xfId="0" applyFont="1" applyBorder="1" applyAlignment="1">
      <alignment horizontal="right" vertical="top" wrapText="1"/>
    </xf>
    <xf numFmtId="165" fontId="4" fillId="0" borderId="52" xfId="0" applyNumberFormat="1" applyFont="1" applyBorder="1" applyAlignment="1">
      <alignment vertical="top"/>
    </xf>
    <xf numFmtId="168" fontId="48" fillId="0" borderId="12" xfId="0" applyNumberFormat="1" applyFont="1" applyBorder="1" applyAlignment="1">
      <alignment horizontal="center" vertical="top" wrapText="1"/>
    </xf>
    <xf numFmtId="165" fontId="4" fillId="0" borderId="13" xfId="0" applyNumberFormat="1" applyFont="1" applyBorder="1" applyAlignment="1">
      <alignment horizontal="center" vertical="top"/>
    </xf>
    <xf numFmtId="165" fontId="4" fillId="0" borderId="52" xfId="0" applyNumberFormat="1" applyFont="1" applyBorder="1" applyAlignment="1">
      <alignment horizontal="center" vertical="top"/>
    </xf>
    <xf numFmtId="165" fontId="4" fillId="0" borderId="14" xfId="0" applyNumberFormat="1" applyFont="1" applyBorder="1" applyAlignment="1">
      <alignment horizontal="center" vertical="top"/>
    </xf>
    <xf numFmtId="168" fontId="4" fillId="0" borderId="12" xfId="0" applyNumberFormat="1" applyFont="1" applyBorder="1" applyAlignment="1">
      <alignment horizontal="center" vertical="top" wrapText="1"/>
    </xf>
    <xf numFmtId="167" fontId="4" fillId="0" borderId="12" xfId="0" applyNumberFormat="1" applyFont="1" applyBorder="1" applyAlignment="1">
      <alignment horizontal="center" vertical="center" wrapText="1"/>
    </xf>
    <xf numFmtId="168" fontId="19" fillId="0" borderId="12" xfId="0" applyNumberFormat="1" applyFont="1" applyBorder="1" applyAlignment="1">
      <alignment horizontal="center" vertical="top" wrapText="1"/>
    </xf>
    <xf numFmtId="0" fontId="19" fillId="0" borderId="12" xfId="0" applyFont="1" applyBorder="1" applyAlignment="1">
      <alignment horizontal="center" vertical="top" wrapText="1"/>
    </xf>
    <xf numFmtId="165" fontId="6" fillId="0" borderId="48" xfId="0" applyNumberFormat="1" applyFont="1" applyBorder="1" applyAlignment="1">
      <alignment vertical="top"/>
    </xf>
    <xf numFmtId="168" fontId="4" fillId="0" borderId="25" xfId="0" applyNumberFormat="1" applyFont="1" applyBorder="1" applyAlignment="1">
      <alignment horizontal="center" vertical="top"/>
    </xf>
    <xf numFmtId="0" fontId="4" fillId="0" borderId="25" xfId="0" applyFont="1" applyBorder="1" applyAlignment="1">
      <alignment horizontal="center" vertical="top"/>
    </xf>
    <xf numFmtId="165" fontId="4" fillId="0" borderId="50" xfId="0" applyNumberFormat="1" applyFont="1" applyBorder="1" applyAlignment="1">
      <alignment vertical="top"/>
    </xf>
    <xf numFmtId="0" fontId="6" fillId="0" borderId="54" xfId="0" applyFont="1" applyBorder="1" applyAlignment="1">
      <alignment horizontal="center" vertical="center"/>
    </xf>
    <xf numFmtId="165" fontId="6" fillId="0" borderId="56" xfId="0" applyNumberFormat="1" applyFont="1" applyBorder="1"/>
    <xf numFmtId="0" fontId="62" fillId="0" borderId="35" xfId="4" applyFont="1" applyBorder="1" applyAlignment="1">
      <alignment horizontal="center" vertical="top" wrapText="1"/>
    </xf>
    <xf numFmtId="167" fontId="62" fillId="0" borderId="37" xfId="1" applyNumberFormat="1" applyFont="1" applyFill="1" applyBorder="1" applyAlignment="1">
      <alignment horizontal="center" vertical="center" wrapText="1"/>
    </xf>
    <xf numFmtId="0" fontId="62" fillId="0" borderId="38" xfId="4" applyFont="1" applyBorder="1" applyAlignment="1">
      <alignment horizontal="center" vertical="center" wrapText="1"/>
    </xf>
    <xf numFmtId="173" fontId="62" fillId="0" borderId="38" xfId="3" applyNumberFormat="1" applyFont="1" applyFill="1" applyBorder="1" applyAlignment="1" applyProtection="1">
      <alignment horizontal="center" vertical="center"/>
      <protection locked="0"/>
    </xf>
    <xf numFmtId="0" fontId="61" fillId="0" borderId="13" xfId="4" applyFont="1" applyBorder="1" applyAlignment="1">
      <alignment horizontal="left" vertical="top" wrapText="1"/>
    </xf>
    <xf numFmtId="0" fontId="62" fillId="0" borderId="13" xfId="4" applyFont="1" applyBorder="1" applyAlignment="1">
      <alignment horizontal="left" vertical="top" wrapText="1"/>
    </xf>
    <xf numFmtId="0" fontId="0" fillId="0" borderId="42" xfId="0" applyBorder="1"/>
    <xf numFmtId="0" fontId="11" fillId="0" borderId="13" xfId="0" applyFont="1" applyBorder="1" applyAlignment="1">
      <alignment horizontal="center" vertical="center"/>
    </xf>
    <xf numFmtId="0" fontId="0" fillId="0" borderId="13" xfId="0" applyBorder="1" applyAlignment="1">
      <alignment horizontal="center" vertical="center"/>
    </xf>
    <xf numFmtId="0" fontId="0" fillId="0" borderId="43" xfId="0" applyBorder="1" applyAlignment="1">
      <alignment horizontal="center" vertical="center"/>
    </xf>
    <xf numFmtId="0" fontId="0" fillId="0" borderId="39" xfId="0" applyBorder="1"/>
    <xf numFmtId="0" fontId="0" fillId="0" borderId="34" xfId="0" applyBorder="1"/>
    <xf numFmtId="0" fontId="70" fillId="0" borderId="34" xfId="0" applyFont="1" applyBorder="1" applyAlignment="1">
      <alignment wrapText="1"/>
    </xf>
    <xf numFmtId="0" fontId="11" fillId="0" borderId="34" xfId="0" applyFont="1" applyBorder="1" applyAlignment="1">
      <alignment horizontal="center" vertical="center"/>
    </xf>
    <xf numFmtId="0" fontId="0" fillId="0" borderId="34" xfId="0" applyBorder="1" applyAlignment="1">
      <alignment horizontal="center" vertical="center"/>
    </xf>
    <xf numFmtId="43" fontId="73" fillId="0" borderId="40" xfId="0" applyNumberFormat="1" applyFont="1" applyBorder="1" applyAlignment="1">
      <alignment horizontal="center" vertical="center"/>
    </xf>
    <xf numFmtId="0" fontId="61" fillId="0" borderId="36" xfId="4" applyFont="1" applyBorder="1" applyAlignment="1">
      <alignment horizontal="left" vertical="top" wrapText="1"/>
    </xf>
    <xf numFmtId="0" fontId="62" fillId="0" borderId="39" xfId="4" applyFont="1" applyBorder="1" applyAlignment="1">
      <alignment horizontal="center" vertical="top" wrapText="1"/>
    </xf>
    <xf numFmtId="0" fontId="62" fillId="0" borderId="34" xfId="4" applyFont="1" applyBorder="1" applyAlignment="1">
      <alignment horizontal="left" vertical="top" wrapText="1"/>
    </xf>
    <xf numFmtId="0" fontId="62" fillId="0" borderId="40" xfId="4" applyFont="1" applyBorder="1" applyAlignment="1">
      <alignment horizontal="left" vertical="justify"/>
    </xf>
    <xf numFmtId="167" fontId="62" fillId="0" borderId="40" xfId="1" applyNumberFormat="1" applyFont="1" applyFill="1" applyBorder="1" applyAlignment="1">
      <alignment horizontal="center" vertical="center" wrapText="1"/>
    </xf>
    <xf numFmtId="0" fontId="62" fillId="0" borderId="41" xfId="4" applyFont="1" applyBorder="1" applyAlignment="1">
      <alignment horizontal="center" vertical="center" wrapText="1"/>
    </xf>
    <xf numFmtId="173" fontId="62" fillId="0" borderId="41" xfId="3" applyNumberFormat="1" applyFont="1" applyFill="1" applyBorder="1" applyAlignment="1" applyProtection="1">
      <alignment horizontal="center" vertical="center"/>
      <protection locked="0"/>
    </xf>
    <xf numFmtId="0" fontId="61" fillId="0" borderId="35" xfId="2" applyFont="1" applyBorder="1"/>
    <xf numFmtId="0" fontId="62" fillId="0" borderId="36" xfId="2" applyFont="1" applyBorder="1"/>
    <xf numFmtId="0" fontId="62" fillId="0" borderId="36" xfId="2" applyFont="1" applyBorder="1" applyAlignment="1">
      <alignment horizontal="left"/>
    </xf>
    <xf numFmtId="0" fontId="62" fillId="0" borderId="36" xfId="2" applyFont="1" applyBorder="1" applyAlignment="1">
      <alignment horizontal="center" vertical="center"/>
    </xf>
    <xf numFmtId="0" fontId="62" fillId="0" borderId="36" xfId="2" applyFont="1" applyBorder="1" applyAlignment="1" applyProtection="1">
      <alignment horizontal="center" vertical="center"/>
      <protection locked="0"/>
    </xf>
    <xf numFmtId="0" fontId="62" fillId="0" borderId="37" xfId="2" applyFont="1" applyBorder="1" applyAlignment="1" applyProtection="1">
      <alignment horizontal="center" vertical="center"/>
      <protection locked="0"/>
    </xf>
    <xf numFmtId="0" fontId="61" fillId="0" borderId="42" xfId="2" applyFont="1" applyBorder="1" applyAlignment="1">
      <alignment horizontal="left"/>
    </xf>
    <xf numFmtId="0" fontId="61" fillId="0" borderId="13" xfId="2" applyFont="1" applyBorder="1"/>
    <xf numFmtId="0" fontId="62" fillId="0" borderId="13" xfId="2" applyFont="1" applyBorder="1" applyAlignment="1">
      <alignment horizontal="left"/>
    </xf>
    <xf numFmtId="0" fontId="62" fillId="0" borderId="13" xfId="2" applyFont="1" applyBorder="1"/>
    <xf numFmtId="0" fontId="61" fillId="0" borderId="13" xfId="2" applyFont="1" applyBorder="1" applyAlignment="1" applyProtection="1">
      <alignment horizontal="center" vertical="center"/>
      <protection locked="0"/>
    </xf>
    <xf numFmtId="0" fontId="62" fillId="0" borderId="13" xfId="2" applyFont="1" applyBorder="1" applyAlignment="1" applyProtection="1">
      <alignment horizontal="center" vertical="center"/>
      <protection locked="0"/>
    </xf>
    <xf numFmtId="0" fontId="62" fillId="0" borderId="43" xfId="2" applyFont="1" applyBorder="1" applyAlignment="1" applyProtection="1">
      <alignment horizontal="center" vertical="center"/>
      <protection locked="0"/>
    </xf>
    <xf numFmtId="0" fontId="62" fillId="0" borderId="42" xfId="2" applyFont="1" applyBorder="1"/>
    <xf numFmtId="0" fontId="63" fillId="0" borderId="13" xfId="4" applyFont="1" applyBorder="1" applyAlignment="1">
      <alignment horizontal="left" vertical="top" wrapText="1"/>
    </xf>
    <xf numFmtId="0" fontId="61" fillId="0" borderId="36" xfId="2" applyFont="1" applyBorder="1"/>
    <xf numFmtId="172" fontId="62" fillId="0" borderId="36" xfId="3" applyNumberFormat="1" applyFont="1" applyBorder="1" applyAlignment="1">
      <alignment horizontal="center" vertical="top"/>
    </xf>
    <xf numFmtId="0" fontId="62" fillId="0" borderId="37" xfId="2" applyFont="1" applyBorder="1" applyAlignment="1">
      <alignment horizontal="center" vertical="top"/>
    </xf>
    <xf numFmtId="0" fontId="61" fillId="0" borderId="13" xfId="2" applyFont="1" applyBorder="1" applyAlignment="1">
      <alignment horizontal="left"/>
    </xf>
    <xf numFmtId="0" fontId="61" fillId="0" borderId="43" xfId="2" applyFont="1" applyBorder="1" applyAlignment="1" applyProtection="1">
      <alignment horizontal="right" vertical="top"/>
      <protection locked="0"/>
    </xf>
    <xf numFmtId="0" fontId="62" fillId="0" borderId="40" xfId="2" applyFont="1" applyBorder="1" applyAlignment="1" applyProtection="1">
      <alignment vertical="top"/>
      <protection locked="0"/>
    </xf>
    <xf numFmtId="0" fontId="62" fillId="0" borderId="13" xfId="6" applyFont="1" applyBorder="1" applyAlignment="1">
      <alignment horizontal="center" vertical="center" wrapText="1"/>
    </xf>
    <xf numFmtId="0" fontId="65" fillId="0" borderId="13" xfId="6" applyFont="1" applyBorder="1" applyAlignment="1">
      <alignment horizontal="left" vertical="center" wrapText="1"/>
    </xf>
    <xf numFmtId="0" fontId="62" fillId="0" borderId="13" xfId="6" applyFont="1" applyBorder="1" applyAlignment="1">
      <alignment horizontal="left" vertical="top" wrapText="1"/>
    </xf>
    <xf numFmtId="0" fontId="66" fillId="0" borderId="13" xfId="6" applyFont="1" applyBorder="1" applyAlignment="1">
      <alignment horizontal="left" vertical="center" wrapText="1"/>
    </xf>
    <xf numFmtId="0" fontId="65" fillId="0" borderId="13" xfId="9" applyFont="1" applyBorder="1" applyAlignment="1">
      <alignment horizontal="left" vertical="center" wrapText="1"/>
    </xf>
    <xf numFmtId="0" fontId="61" fillId="0" borderId="13" xfId="9" applyFont="1" applyBorder="1" applyAlignment="1">
      <alignment horizontal="left" vertical="center"/>
    </xf>
    <xf numFmtId="0" fontId="66" fillId="0" borderId="13" xfId="6" applyFont="1" applyBorder="1" applyAlignment="1">
      <alignment horizontal="left" vertical="top" wrapText="1"/>
    </xf>
    <xf numFmtId="0" fontId="61" fillId="0" borderId="13" xfId="9" applyFont="1" applyBorder="1" applyAlignment="1">
      <alignment horizontal="left" vertical="center" wrapText="1"/>
    </xf>
    <xf numFmtId="0" fontId="62" fillId="0" borderId="13" xfId="9" applyFont="1" applyBorder="1" applyAlignment="1">
      <alignment horizontal="left" vertical="center"/>
    </xf>
    <xf numFmtId="0" fontId="62" fillId="0" borderId="38" xfId="6" applyFont="1" applyBorder="1" applyAlignment="1">
      <alignment horizontal="center" vertical="top"/>
    </xf>
    <xf numFmtId="0" fontId="62" fillId="0" borderId="35" xfId="6" applyFont="1" applyBorder="1" applyAlignment="1">
      <alignment horizontal="center" vertical="top"/>
    </xf>
    <xf numFmtId="0" fontId="62" fillId="0" borderId="36" xfId="6" applyFont="1" applyBorder="1" applyAlignment="1">
      <alignment vertical="center" wrapText="1"/>
    </xf>
    <xf numFmtId="0" fontId="62" fillId="0" borderId="37" xfId="6" applyFont="1" applyBorder="1" applyAlignment="1">
      <alignment vertical="center" wrapText="1"/>
    </xf>
    <xf numFmtId="3" fontId="62" fillId="0" borderId="38" xfId="6" applyNumberFormat="1" applyFont="1" applyBorder="1" applyAlignment="1">
      <alignment horizontal="center" wrapText="1"/>
    </xf>
    <xf numFmtId="0" fontId="62" fillId="0" borderId="38" xfId="6" applyFont="1" applyBorder="1" applyAlignment="1">
      <alignment horizontal="center" wrapText="1"/>
    </xf>
    <xf numFmtId="0" fontId="62" fillId="0" borderId="13" xfId="6" applyFont="1" applyBorder="1" applyAlignment="1">
      <alignment horizontal="left" vertical="center" wrapText="1"/>
    </xf>
    <xf numFmtId="0" fontId="65" fillId="0" borderId="36" xfId="9" applyFont="1" applyBorder="1" applyAlignment="1">
      <alignment horizontal="left" vertical="center" wrapText="1"/>
    </xf>
    <xf numFmtId="0" fontId="65" fillId="0" borderId="37" xfId="9" applyFont="1" applyBorder="1" applyAlignment="1">
      <alignment horizontal="left" vertical="center" wrapText="1"/>
    </xf>
    <xf numFmtId="0" fontId="62" fillId="0" borderId="13" xfId="6" applyFont="1" applyBorder="1" applyAlignment="1">
      <alignment vertical="center" wrapText="1"/>
    </xf>
    <xf numFmtId="0" fontId="65" fillId="0" borderId="13" xfId="6" applyFont="1" applyBorder="1" applyAlignment="1">
      <alignment horizontal="left" vertical="top" wrapText="1"/>
    </xf>
    <xf numFmtId="0" fontId="62" fillId="0" borderId="36" xfId="6" applyFont="1" applyBorder="1" applyAlignment="1">
      <alignment horizontal="left" vertical="center" wrapText="1"/>
    </xf>
    <xf numFmtId="0" fontId="62" fillId="0" borderId="37" xfId="6" applyFont="1" applyBorder="1" applyAlignment="1">
      <alignment horizontal="left" vertical="center" wrapText="1"/>
    </xf>
    <xf numFmtId="0" fontId="61" fillId="0" borderId="13" xfId="6" applyFont="1" applyBorder="1" applyAlignment="1">
      <alignment horizontal="left" vertical="center" wrapText="1"/>
    </xf>
    <xf numFmtId="2" fontId="65" fillId="0" borderId="13" xfId="7" applyNumberFormat="1" applyFont="1" applyBorder="1" applyAlignment="1">
      <alignment vertical="center" wrapText="1"/>
    </xf>
    <xf numFmtId="2" fontId="62" fillId="0" borderId="13" xfId="7" applyNumberFormat="1" applyFont="1" applyBorder="1" applyAlignment="1">
      <alignment vertical="center" wrapText="1"/>
    </xf>
    <xf numFmtId="4" fontId="4" fillId="0" borderId="0" xfId="0" applyNumberFormat="1" applyFont="1"/>
    <xf numFmtId="4" fontId="19" fillId="0" borderId="12" xfId="0" applyNumberFormat="1" applyFont="1" applyBorder="1" applyAlignment="1">
      <alignment horizontal="center" vertical="center" wrapText="1"/>
    </xf>
    <xf numFmtId="0" fontId="0" fillId="0" borderId="0" xfId="0"/>
    <xf numFmtId="0" fontId="0" fillId="0" borderId="0" xfId="0"/>
    <xf numFmtId="0" fontId="6" fillId="0" borderId="45" xfId="0" applyFont="1" applyBorder="1" applyAlignment="1">
      <alignment horizontal="center" vertical="center" wrapText="1"/>
    </xf>
    <xf numFmtId="165" fontId="6" fillId="0" borderId="45" xfId="0" applyNumberFormat="1" applyFont="1" applyBorder="1" applyAlignment="1">
      <alignment horizontal="center" vertical="center" wrapText="1"/>
    </xf>
    <xf numFmtId="0" fontId="9" fillId="0" borderId="45" xfId="0" applyFont="1" applyBorder="1" applyAlignment="1">
      <alignment horizontal="center" vertical="center" wrapText="1"/>
    </xf>
    <xf numFmtId="0" fontId="0" fillId="0" borderId="0" xfId="0"/>
    <xf numFmtId="0" fontId="0" fillId="0" borderId="0" xfId="0"/>
    <xf numFmtId="0" fontId="0" fillId="0" borderId="0" xfId="0"/>
    <xf numFmtId="0" fontId="0" fillId="0" borderId="0" xfId="0"/>
    <xf numFmtId="0" fontId="12" fillId="0" borderId="45" xfId="0" applyFont="1" applyBorder="1" applyAlignment="1">
      <alignment horizontal="center" vertical="center" wrapText="1"/>
    </xf>
    <xf numFmtId="0" fontId="6" fillId="0" borderId="45" xfId="0" applyFont="1" applyBorder="1" applyAlignment="1">
      <alignment horizontal="center" vertical="center"/>
    </xf>
    <xf numFmtId="0" fontId="6" fillId="0" borderId="45" xfId="0" applyFont="1" applyBorder="1"/>
    <xf numFmtId="0" fontId="4" fillId="0" borderId="45" xfId="0" applyFont="1" applyBorder="1"/>
    <xf numFmtId="165" fontId="4" fillId="0" borderId="45" xfId="0" applyNumberFormat="1" applyFont="1" applyBorder="1" applyAlignment="1">
      <alignment horizontal="center"/>
    </xf>
    <xf numFmtId="0" fontId="10" fillId="0" borderId="45" xfId="0" applyFont="1" applyBorder="1"/>
    <xf numFmtId="0" fontId="4" fillId="0" borderId="45" xfId="0" applyFont="1" applyBorder="1" applyAlignment="1">
      <alignment horizontal="center"/>
    </xf>
    <xf numFmtId="0" fontId="4" fillId="0" borderId="45" xfId="0" applyFont="1" applyBorder="1" applyAlignment="1">
      <alignment horizontal="center" vertical="center"/>
    </xf>
    <xf numFmtId="166" fontId="4" fillId="0" borderId="45" xfId="0" applyNumberFormat="1" applyFont="1" applyBorder="1" applyAlignment="1">
      <alignment horizontal="center"/>
    </xf>
    <xf numFmtId="0" fontId="4" fillId="0" borderId="45" xfId="0" applyFont="1" applyBorder="1" applyAlignment="1">
      <alignment wrapText="1"/>
    </xf>
    <xf numFmtId="0" fontId="6" fillId="0" borderId="45" xfId="0" applyFont="1" applyBorder="1" applyAlignment="1">
      <alignment horizontal="center"/>
    </xf>
    <xf numFmtId="169" fontId="4" fillId="0" borderId="45" xfId="1" applyNumberFormat="1" applyFont="1" applyBorder="1" applyAlignment="1">
      <alignment horizontal="center"/>
    </xf>
    <xf numFmtId="0" fontId="12" fillId="0" borderId="45" xfId="0" applyFont="1" applyBorder="1" applyAlignment="1">
      <alignment horizontal="center"/>
    </xf>
    <xf numFmtId="0" fontId="61" fillId="0" borderId="45" xfId="4" applyFont="1" applyBorder="1" applyAlignment="1">
      <alignment horizontal="left" vertical="top" wrapText="1"/>
    </xf>
    <xf numFmtId="0" fontId="62" fillId="0" borderId="45" xfId="4" applyFont="1" applyBorder="1" applyAlignment="1">
      <alignment horizontal="left" vertical="top" wrapText="1"/>
    </xf>
    <xf numFmtId="0" fontId="62" fillId="0" borderId="45" xfId="4" applyFont="1" applyBorder="1" applyAlignment="1">
      <alignment horizontal="left" vertical="center" wrapText="1"/>
    </xf>
    <xf numFmtId="0" fontId="61" fillId="0" borderId="45" xfId="4" applyFont="1" applyBorder="1" applyAlignment="1">
      <alignment horizontal="center" vertical="center" wrapText="1"/>
    </xf>
    <xf numFmtId="0" fontId="12" fillId="0" borderId="45" xfId="0" applyFont="1" applyBorder="1"/>
    <xf numFmtId="0" fontId="62" fillId="0" borderId="45" xfId="6" applyFont="1" applyBorder="1" applyAlignment="1">
      <alignment vertical="center" wrapText="1"/>
    </xf>
    <xf numFmtId="0" fontId="62" fillId="0" borderId="45" xfId="9" applyFont="1" applyBorder="1" applyAlignment="1">
      <alignment horizontal="left" vertical="center"/>
    </xf>
    <xf numFmtId="165" fontId="6" fillId="0" borderId="45" xfId="0" applyNumberFormat="1" applyFont="1" applyBorder="1" applyAlignment="1">
      <alignment horizontal="center"/>
    </xf>
    <xf numFmtId="0" fontId="9" fillId="0" borderId="45" xfId="0" applyFont="1" applyBorder="1"/>
    <xf numFmtId="0" fontId="33" fillId="0" borderId="45" xfId="0" applyFont="1" applyBorder="1"/>
    <xf numFmtId="0" fontId="0" fillId="0" borderId="0" xfId="0"/>
    <xf numFmtId="169" fontId="4" fillId="0" borderId="45" xfId="1" applyNumberFormat="1" applyFont="1" applyBorder="1" applyAlignment="1">
      <alignment horizontal="right" vertical="center"/>
    </xf>
    <xf numFmtId="169" fontId="10" fillId="0" borderId="45" xfId="1" applyNumberFormat="1" applyFont="1" applyBorder="1" applyAlignment="1">
      <alignment horizontal="right" vertical="center"/>
    </xf>
    <xf numFmtId="169" fontId="62" fillId="0" borderId="45" xfId="1" applyNumberFormat="1" applyFont="1" applyFill="1" applyBorder="1" applyAlignment="1" applyProtection="1">
      <alignment horizontal="right" vertical="center"/>
      <protection locked="0"/>
    </xf>
    <xf numFmtId="169" fontId="62" fillId="0" borderId="45" xfId="1" applyNumberFormat="1" applyFont="1" applyBorder="1" applyAlignment="1" applyProtection="1">
      <alignment horizontal="right" vertical="center" wrapText="1"/>
      <protection locked="0"/>
    </xf>
    <xf numFmtId="0" fontId="0" fillId="0" borderId="0" xfId="0"/>
    <xf numFmtId="0" fontId="0" fillId="0" borderId="0" xfId="0"/>
    <xf numFmtId="169" fontId="4" fillId="19" borderId="45" xfId="1" applyNumberFormat="1" applyFont="1" applyFill="1" applyBorder="1" applyAlignment="1">
      <alignment horizontal="right" vertical="center"/>
    </xf>
    <xf numFmtId="0" fontId="0" fillId="0" borderId="0" xfId="0"/>
    <xf numFmtId="169" fontId="4" fillId="19" borderId="45" xfId="1" applyNumberFormat="1" applyFont="1" applyFill="1" applyBorder="1" applyAlignment="1">
      <alignment horizontal="right" vertical="center" wrapText="1"/>
    </xf>
    <xf numFmtId="169" fontId="62" fillId="19" borderId="45" xfId="1" applyNumberFormat="1" applyFont="1" applyFill="1" applyBorder="1" applyAlignment="1">
      <alignment horizontal="right" vertical="center" wrapText="1"/>
    </xf>
    <xf numFmtId="0" fontId="0" fillId="0" borderId="0" xfId="0"/>
    <xf numFmtId="0" fontId="62" fillId="0" borderId="45" xfId="4" applyFont="1" applyBorder="1" applyAlignment="1">
      <alignment vertical="center" wrapText="1"/>
    </xf>
    <xf numFmtId="0" fontId="62" fillId="0" borderId="45" xfId="4" applyFont="1" applyBorder="1" applyAlignment="1">
      <alignment vertical="top" wrapText="1"/>
    </xf>
    <xf numFmtId="169" fontId="62" fillId="19" borderId="45" xfId="1" applyNumberFormat="1" applyFont="1" applyFill="1" applyBorder="1" applyAlignment="1" applyProtection="1">
      <alignment horizontal="right" vertical="center"/>
      <protection locked="0"/>
    </xf>
    <xf numFmtId="169" fontId="62" fillId="19" borderId="45" xfId="1" applyNumberFormat="1" applyFont="1" applyFill="1" applyBorder="1" applyAlignment="1" applyProtection="1">
      <alignment horizontal="right" vertical="center" wrapText="1"/>
      <protection locked="0"/>
    </xf>
    <xf numFmtId="0" fontId="9" fillId="20" borderId="45" xfId="0" applyFont="1" applyFill="1" applyBorder="1"/>
    <xf numFmtId="0" fontId="61" fillId="0" borderId="45" xfId="0" applyFont="1" applyBorder="1" applyAlignment="1">
      <alignment horizontal="center"/>
    </xf>
    <xf numFmtId="0" fontId="61" fillId="0" borderId="45" xfId="0" applyFont="1" applyBorder="1"/>
    <xf numFmtId="0" fontId="0" fillId="0" borderId="0" xfId="0"/>
    <xf numFmtId="0" fontId="0" fillId="0" borderId="0" xfId="0"/>
    <xf numFmtId="0" fontId="0" fillId="0" borderId="0" xfId="0"/>
    <xf numFmtId="0" fontId="70" fillId="0" borderId="45" xfId="0" applyFont="1" applyBorder="1" applyAlignment="1">
      <alignment horizontal="center"/>
    </xf>
    <xf numFmtId="0" fontId="4" fillId="0" borderId="0" xfId="0" applyFont="1" applyAlignment="1">
      <alignment horizontal="left"/>
    </xf>
    <xf numFmtId="0" fontId="3" fillId="0" borderId="35" xfId="0" applyFont="1" applyBorder="1" applyAlignment="1">
      <alignment horizontal="center" wrapText="1"/>
    </xf>
    <xf numFmtId="0" fontId="0" fillId="0" borderId="36" xfId="0" applyBorder="1"/>
    <xf numFmtId="0" fontId="0" fillId="0" borderId="37" xfId="0" applyBorder="1"/>
    <xf numFmtId="0" fontId="7" fillId="0" borderId="42" xfId="0" applyFont="1" applyBorder="1" applyAlignment="1">
      <alignment horizontal="center"/>
    </xf>
    <xf numFmtId="0" fontId="0" fillId="0" borderId="13" xfId="0" applyBorder="1"/>
    <xf numFmtId="0" fontId="0" fillId="0" borderId="43" xfId="0" applyBorder="1"/>
    <xf numFmtId="0" fontId="6" fillId="0" borderId="3" xfId="0" applyFont="1" applyBorder="1" applyAlignment="1">
      <alignment horizontal="center" vertical="center"/>
    </xf>
    <xf numFmtId="0" fontId="11" fillId="0" borderId="4" xfId="0" applyFont="1" applyBorder="1"/>
    <xf numFmtId="0" fontId="11" fillId="0" borderId="22" xfId="0" applyFont="1" applyBorder="1"/>
    <xf numFmtId="0" fontId="11" fillId="0" borderId="25" xfId="0" applyFont="1" applyBorder="1"/>
    <xf numFmtId="0" fontId="16" fillId="0" borderId="4" xfId="0" applyFont="1" applyBorder="1" applyAlignment="1">
      <alignment horizontal="center" vertical="center"/>
    </xf>
    <xf numFmtId="0" fontId="4" fillId="0" borderId="4" xfId="0" applyFont="1" applyBorder="1" applyAlignment="1">
      <alignment horizontal="center" vertical="center"/>
    </xf>
    <xf numFmtId="0" fontId="6" fillId="0" borderId="5" xfId="0" applyFont="1" applyBorder="1" applyAlignment="1">
      <alignment horizontal="center" vertical="center" wrapText="1"/>
    </xf>
    <xf numFmtId="0" fontId="11" fillId="0" borderId="8" xfId="0" applyFont="1" applyBorder="1"/>
    <xf numFmtId="0" fontId="11" fillId="0" borderId="34" xfId="0" applyFont="1" applyBorder="1"/>
    <xf numFmtId="0" fontId="11" fillId="0" borderId="55" xfId="0" applyFont="1" applyBorder="1"/>
    <xf numFmtId="0" fontId="6" fillId="18" borderId="42" xfId="0" applyFont="1" applyFill="1" applyBorder="1" applyAlignment="1">
      <alignment horizontal="center"/>
    </xf>
    <xf numFmtId="0" fontId="6" fillId="18" borderId="13" xfId="0" applyFont="1" applyFill="1" applyBorder="1" applyAlignment="1">
      <alignment horizontal="center"/>
    </xf>
    <xf numFmtId="0" fontId="6" fillId="18" borderId="43" xfId="0" applyFont="1" applyFill="1" applyBorder="1" applyAlignment="1">
      <alignment horizontal="center"/>
    </xf>
    <xf numFmtId="4" fontId="6" fillId="0" borderId="2" xfId="0" applyNumberFormat="1" applyFont="1" applyBorder="1" applyAlignment="1">
      <alignment horizontal="center" vertical="center"/>
    </xf>
    <xf numFmtId="0" fontId="11" fillId="0" borderId="6" xfId="0" applyFont="1" applyBorder="1"/>
    <xf numFmtId="0" fontId="6" fillId="0" borderId="2" xfId="0" applyFont="1" applyBorder="1" applyAlignment="1">
      <alignment horizontal="center" vertical="center"/>
    </xf>
    <xf numFmtId="165" fontId="6" fillId="0" borderId="2" xfId="0" applyNumberFormat="1" applyFont="1" applyBorder="1" applyAlignment="1">
      <alignment horizontal="center" vertical="center"/>
    </xf>
    <xf numFmtId="0" fontId="6" fillId="0" borderId="4" xfId="0" applyFont="1" applyBorder="1" applyAlignment="1">
      <alignment horizontal="center" vertical="center"/>
    </xf>
    <xf numFmtId="0" fontId="74" fillId="0" borderId="25" xfId="0" applyFont="1" applyBorder="1"/>
    <xf numFmtId="0" fontId="74" fillId="0" borderId="8" xfId="0" applyFont="1" applyBorder="1"/>
    <xf numFmtId="0" fontId="74" fillId="0" borderId="34" xfId="0" applyFont="1" applyBorder="1"/>
    <xf numFmtId="167" fontId="19" fillId="2" borderId="2" xfId="0" applyNumberFormat="1" applyFont="1" applyFill="1" applyBorder="1" applyAlignment="1">
      <alignment horizontal="center" vertical="center" wrapText="1"/>
    </xf>
    <xf numFmtId="0" fontId="74" fillId="0" borderId="55" xfId="0" applyFont="1" applyBorder="1"/>
    <xf numFmtId="0" fontId="35" fillId="0" borderId="4" xfId="0" applyFont="1" applyBorder="1" applyAlignment="1">
      <alignment horizontal="center" vertical="center" wrapText="1"/>
    </xf>
    <xf numFmtId="0" fontId="11" fillId="0" borderId="34" xfId="0" applyFont="1" applyBorder="1" applyAlignment="1">
      <alignment wrapText="1"/>
    </xf>
    <xf numFmtId="0" fontId="36" fillId="0" borderId="19" xfId="0" applyFont="1" applyBorder="1" applyAlignment="1">
      <alignment horizontal="center" vertical="center"/>
    </xf>
    <xf numFmtId="0" fontId="11" fillId="0" borderId="21" xfId="0" applyFont="1" applyBorder="1"/>
    <xf numFmtId="0" fontId="54" fillId="0" borderId="19" xfId="0" applyFont="1" applyBorder="1" applyAlignment="1">
      <alignment wrapText="1"/>
    </xf>
    <xf numFmtId="0" fontId="11" fillId="0" borderId="20" xfId="0" applyFont="1" applyBorder="1"/>
    <xf numFmtId="167" fontId="24" fillId="5" borderId="19" xfId="0" applyNumberFormat="1" applyFont="1" applyFill="1" applyBorder="1" applyAlignment="1">
      <alignment horizontal="center" vertical="center"/>
    </xf>
    <xf numFmtId="0" fontId="24" fillId="0" borderId="19" xfId="0" applyFont="1" applyBorder="1" applyAlignment="1">
      <alignment horizontal="center" vertical="center"/>
    </xf>
    <xf numFmtId="167" fontId="24" fillId="6" borderId="19" xfId="0" applyNumberFormat="1" applyFont="1" applyFill="1" applyBorder="1" applyAlignment="1">
      <alignment horizontal="center" vertical="center"/>
    </xf>
    <xf numFmtId="167" fontId="24" fillId="2" borderId="19" xfId="0" applyNumberFormat="1" applyFont="1" applyFill="1" applyBorder="1" applyAlignment="1">
      <alignment horizontal="center" vertical="center" wrapText="1"/>
    </xf>
    <xf numFmtId="167" fontId="24" fillId="9" borderId="19" xfId="0" applyNumberFormat="1" applyFont="1" applyFill="1" applyBorder="1" applyAlignment="1">
      <alignment horizontal="center" vertical="center" wrapText="1"/>
    </xf>
    <xf numFmtId="167" fontId="24" fillId="10" borderId="19" xfId="0" applyNumberFormat="1" applyFont="1" applyFill="1" applyBorder="1" applyAlignment="1">
      <alignment horizontal="center" vertical="center" wrapText="1"/>
    </xf>
    <xf numFmtId="167" fontId="24" fillId="11" borderId="19" xfId="0" applyNumberFormat="1" applyFont="1" applyFill="1" applyBorder="1" applyAlignment="1">
      <alignment horizontal="center" vertical="center" wrapText="1"/>
    </xf>
    <xf numFmtId="4" fontId="24" fillId="12" borderId="19" xfId="0" applyNumberFormat="1" applyFont="1" applyFill="1" applyBorder="1" applyAlignment="1">
      <alignment horizontal="center" vertical="center" wrapText="1"/>
    </xf>
    <xf numFmtId="4" fontId="24" fillId="13" borderId="19" xfId="0" applyNumberFormat="1" applyFont="1" applyFill="1" applyBorder="1" applyAlignment="1">
      <alignment horizontal="center" vertical="center" wrapText="1"/>
    </xf>
    <xf numFmtId="0" fontId="24" fillId="0" borderId="0" xfId="0" applyFont="1" applyAlignment="1">
      <alignment horizontal="center" vertical="center" wrapText="1"/>
    </xf>
    <xf numFmtId="0" fontId="0" fillId="0" borderId="0" xfId="0"/>
    <xf numFmtId="167" fontId="24" fillId="7" borderId="19" xfId="0" applyNumberFormat="1" applyFont="1" applyFill="1" applyBorder="1" applyAlignment="1">
      <alignment horizontal="center" vertical="center"/>
    </xf>
    <xf numFmtId="167" fontId="24" fillId="8" borderId="22" xfId="0" applyNumberFormat="1" applyFont="1" applyFill="1" applyBorder="1" applyAlignment="1">
      <alignment horizontal="center" vertical="center"/>
    </xf>
    <xf numFmtId="0" fontId="11" fillId="0" borderId="23" xfId="0" applyFont="1" applyBorder="1"/>
    <xf numFmtId="0" fontId="11" fillId="0" borderId="24" xfId="0" applyFont="1" applyBorder="1"/>
    <xf numFmtId="0" fontId="24" fillId="10" borderId="25" xfId="0" applyFont="1" applyFill="1" applyBorder="1" applyAlignment="1">
      <alignment horizontal="center" vertical="center"/>
    </xf>
    <xf numFmtId="0" fontId="24" fillId="9" borderId="25" xfId="0" applyFont="1" applyFill="1" applyBorder="1" applyAlignment="1">
      <alignment horizontal="center" vertical="center"/>
    </xf>
    <xf numFmtId="0" fontId="6" fillId="0" borderId="5" xfId="0" applyFont="1" applyBorder="1" applyAlignment="1">
      <alignment horizontal="right" vertical="top" wrapText="1"/>
    </xf>
    <xf numFmtId="0" fontId="35" fillId="0" borderId="4" xfId="0" applyFont="1" applyBorder="1" applyAlignment="1">
      <alignment horizontal="left" vertical="center"/>
    </xf>
    <xf numFmtId="0" fontId="6" fillId="0" borderId="5" xfId="0" applyFont="1" applyBorder="1" applyAlignment="1">
      <alignment horizontal="right" vertical="center" wrapText="1"/>
    </xf>
    <xf numFmtId="168" fontId="6" fillId="0" borderId="2" xfId="0" applyNumberFormat="1" applyFont="1" applyBorder="1" applyAlignment="1">
      <alignment horizontal="center" vertical="center"/>
    </xf>
    <xf numFmtId="0" fontId="61" fillId="0" borderId="36" xfId="4" applyFont="1" applyBorder="1" applyAlignment="1">
      <alignment horizontal="left" vertical="center"/>
    </xf>
    <xf numFmtId="0" fontId="61" fillId="0" borderId="34" xfId="4" applyFont="1" applyBorder="1" applyAlignment="1">
      <alignment horizontal="left" vertical="center"/>
    </xf>
    <xf numFmtId="0" fontId="61" fillId="0" borderId="37" xfId="4" applyFont="1" applyBorder="1" applyAlignment="1" applyProtection="1">
      <alignment horizontal="center" vertical="center" wrapText="1"/>
      <protection locked="0"/>
    </xf>
    <xf numFmtId="0" fontId="61" fillId="0" borderId="40" xfId="4" applyFont="1" applyBorder="1" applyAlignment="1" applyProtection="1">
      <alignment horizontal="center" vertical="center" wrapText="1"/>
      <protection locked="0"/>
    </xf>
    <xf numFmtId="0" fontId="62" fillId="0" borderId="36" xfId="4" applyFont="1" applyBorder="1" applyAlignment="1">
      <alignment horizontal="left" vertical="center"/>
    </xf>
    <xf numFmtId="0" fontId="62" fillId="0" borderId="34" xfId="4" applyFont="1" applyBorder="1" applyAlignment="1">
      <alignment horizontal="left" vertical="center"/>
    </xf>
    <xf numFmtId="0" fontId="61" fillId="0" borderId="35" xfId="2" applyFont="1" applyBorder="1" applyAlignment="1">
      <alignment horizontal="center" vertical="center"/>
    </xf>
    <xf numFmtId="0" fontId="61" fillId="0" borderId="36" xfId="2" applyFont="1" applyBorder="1" applyAlignment="1">
      <alignment horizontal="center" vertical="center"/>
    </xf>
    <xf numFmtId="0" fontId="61" fillId="0" borderId="39" xfId="2" applyFont="1" applyBorder="1" applyAlignment="1">
      <alignment horizontal="center" vertical="center"/>
    </xf>
    <xf numFmtId="0" fontId="61" fillId="0" borderId="34" xfId="2" applyFont="1" applyBorder="1" applyAlignment="1">
      <alignment horizontal="center" vertical="center"/>
    </xf>
    <xf numFmtId="4" fontId="61" fillId="0" borderId="37" xfId="1" applyNumberFormat="1" applyFont="1" applyBorder="1" applyAlignment="1">
      <alignment horizontal="center" vertical="center"/>
    </xf>
    <xf numFmtId="4" fontId="61" fillId="0" borderId="40" xfId="1" applyNumberFormat="1" applyFont="1" applyBorder="1" applyAlignment="1">
      <alignment horizontal="center" vertical="center"/>
    </xf>
    <xf numFmtId="0" fontId="61" fillId="0" borderId="38" xfId="2" applyFont="1" applyBorder="1" applyAlignment="1">
      <alignment horizontal="center" vertical="center"/>
    </xf>
    <xf numFmtId="0" fontId="61" fillId="0" borderId="41" xfId="2" applyFont="1" applyBorder="1" applyAlignment="1">
      <alignment horizontal="center" vertical="center"/>
    </xf>
    <xf numFmtId="173" fontId="61" fillId="0" borderId="38" xfId="3" applyNumberFormat="1" applyFont="1" applyFill="1" applyBorder="1" applyAlignment="1" applyProtection="1">
      <alignment horizontal="center" vertical="center"/>
      <protection locked="0"/>
    </xf>
    <xf numFmtId="173" fontId="61" fillId="0" borderId="41" xfId="3" applyNumberFormat="1" applyFont="1" applyFill="1" applyBorder="1" applyAlignment="1" applyProtection="1">
      <alignment horizontal="center" vertical="center"/>
      <protection locked="0"/>
    </xf>
    <xf numFmtId="4" fontId="61" fillId="0" borderId="38" xfId="3" applyNumberFormat="1" applyFont="1" applyBorder="1" applyAlignment="1">
      <alignment horizontal="center" vertical="center"/>
    </xf>
    <xf numFmtId="4" fontId="61" fillId="0" borderId="44" xfId="3" applyNumberFormat="1" applyFont="1" applyBorder="1" applyAlignment="1">
      <alignment horizontal="center" vertical="center"/>
    </xf>
    <xf numFmtId="0" fontId="61" fillId="0" borderId="44" xfId="2" applyFont="1" applyBorder="1" applyAlignment="1">
      <alignment horizontal="center" vertical="center"/>
    </xf>
    <xf numFmtId="173" fontId="61" fillId="0" borderId="44" xfId="3" applyNumberFormat="1" applyFont="1" applyFill="1" applyBorder="1" applyAlignment="1" applyProtection="1">
      <alignment horizontal="center" vertical="center"/>
      <protection locked="0"/>
    </xf>
    <xf numFmtId="0" fontId="61" fillId="0" borderId="37" xfId="4" applyFont="1" applyBorder="1" applyAlignment="1" applyProtection="1">
      <alignment horizontal="right" vertical="top" wrapText="1"/>
      <protection locked="0"/>
    </xf>
    <xf numFmtId="0" fontId="61" fillId="0" borderId="40" xfId="4" applyFont="1" applyBorder="1" applyAlignment="1" applyProtection="1">
      <alignment horizontal="right" vertical="top" wrapText="1"/>
      <protection locked="0"/>
    </xf>
    <xf numFmtId="0" fontId="54" fillId="0" borderId="19" xfId="0" applyFont="1" applyBorder="1"/>
    <xf numFmtId="0" fontId="55" fillId="0" borderId="19" xfId="0" applyFont="1" applyBorder="1" applyAlignment="1">
      <alignment horizontal="center" wrapText="1"/>
    </xf>
  </cellXfs>
  <cellStyles count="13">
    <cellStyle name="Comma" xfId="1" builtinId="3"/>
    <cellStyle name="Comma 17 2" xfId="10"/>
    <cellStyle name="Comma 2 2 2 4" xfId="12"/>
    <cellStyle name="Comma 2 3" xfId="5"/>
    <cellStyle name="Comma 5 2" xfId="3"/>
    <cellStyle name="Normal" xfId="0" builtinId="0"/>
    <cellStyle name="Normal 10 2" xfId="2"/>
    <cellStyle name="Normal 13 2" xfId="7"/>
    <cellStyle name="Normal 2" xfId="8"/>
    <cellStyle name="Normal 5 2_tENDER BOQ" xfId="9"/>
    <cellStyle name="Normal 6 2" xfId="4"/>
    <cellStyle name="Normal_Hangar Building SALALAH - R2_tENDER BOQ" xfId="6"/>
    <cellStyle name="Percent 2" xf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Z1144"/>
  <sheetViews>
    <sheetView tabSelected="1" zoomScaleNormal="100" workbookViewId="0">
      <pane ySplit="2" topLeftCell="A142" activePane="bottomLeft" state="frozen"/>
      <selection pane="bottomLeft" activeCell="B159" sqref="B159"/>
    </sheetView>
  </sheetViews>
  <sheetFormatPr defaultColWidth="12.5546875" defaultRowHeight="15" customHeight="1"/>
  <cols>
    <col min="1" max="1" width="6.109375" style="704" customWidth="1"/>
    <col min="2" max="2" width="39.77734375" style="704" customWidth="1"/>
    <col min="3" max="3" width="8.6640625" style="704" customWidth="1"/>
    <col min="4" max="4" width="14.5546875" style="704" customWidth="1"/>
    <col min="5" max="5" width="13.33203125" style="704" customWidth="1"/>
    <col min="6" max="6" width="14.5546875" style="704" customWidth="1"/>
    <col min="7" max="7" width="11.77734375" style="704" customWidth="1"/>
    <col min="8" max="8" width="14.44140625" style="704" customWidth="1"/>
    <col min="9" max="9" width="12.77734375" style="704" customWidth="1"/>
    <col min="10" max="10" width="10" style="704" customWidth="1"/>
    <col min="11" max="11" width="11.88671875" style="704" customWidth="1"/>
    <col min="12" max="12" width="12.109375" style="704" customWidth="1"/>
    <col min="13" max="26" width="9.33203125" style="704" customWidth="1"/>
    <col min="27" max="16384" width="12.5546875" style="704"/>
  </cols>
  <sheetData>
    <row r="1" spans="1:26" s="712" customFormat="1" ht="15" customHeight="1">
      <c r="A1" s="758" t="s">
        <v>1678</v>
      </c>
      <c r="B1" s="758"/>
      <c r="C1" s="758"/>
      <c r="D1" s="758"/>
      <c r="E1" s="758"/>
      <c r="F1" s="758"/>
      <c r="G1" s="758"/>
      <c r="H1" s="758"/>
      <c r="I1" s="758"/>
      <c r="J1" s="758"/>
      <c r="K1" s="758"/>
      <c r="L1" s="758"/>
    </row>
    <row r="2" spans="1:26" ht="34.200000000000003" customHeight="1">
      <c r="A2" s="706" t="s">
        <v>1264</v>
      </c>
      <c r="B2" s="706" t="s">
        <v>1265</v>
      </c>
      <c r="C2" s="706" t="s">
        <v>15</v>
      </c>
      <c r="D2" s="706" t="s">
        <v>1266</v>
      </c>
      <c r="E2" s="707" t="s">
        <v>1267</v>
      </c>
      <c r="F2" s="708" t="s">
        <v>3</v>
      </c>
      <c r="G2" s="708" t="s">
        <v>1268</v>
      </c>
      <c r="H2" s="708" t="s">
        <v>1269</v>
      </c>
      <c r="I2" s="708" t="s">
        <v>1273</v>
      </c>
      <c r="J2" s="708" t="s">
        <v>1270</v>
      </c>
      <c r="K2" s="708" t="s">
        <v>1271</v>
      </c>
      <c r="L2" s="708" t="s">
        <v>1272</v>
      </c>
      <c r="M2" s="3"/>
      <c r="N2" s="3"/>
      <c r="O2" s="3"/>
      <c r="P2" s="3"/>
      <c r="Q2" s="3"/>
      <c r="R2" s="3"/>
      <c r="S2" s="3"/>
      <c r="T2" s="3"/>
      <c r="U2" s="3"/>
      <c r="V2" s="3"/>
      <c r="W2" s="3"/>
      <c r="X2" s="3"/>
      <c r="Y2" s="3"/>
      <c r="Z2" s="3"/>
    </row>
    <row r="3" spans="1:26" s="711" customFormat="1" ht="16.8" customHeight="1">
      <c r="A3" s="706"/>
      <c r="B3" s="713" t="s">
        <v>18</v>
      </c>
      <c r="C3" s="706"/>
      <c r="D3" s="706"/>
      <c r="E3" s="707"/>
      <c r="F3" s="708"/>
      <c r="G3" s="708"/>
      <c r="H3" s="708"/>
      <c r="I3" s="708"/>
      <c r="J3" s="708"/>
      <c r="K3" s="708"/>
      <c r="L3" s="708"/>
      <c r="M3" s="3"/>
      <c r="N3" s="3"/>
      <c r="O3" s="3"/>
      <c r="P3" s="3"/>
      <c r="Q3" s="3"/>
      <c r="R3" s="3"/>
      <c r="S3" s="3"/>
      <c r="T3" s="3"/>
      <c r="U3" s="3"/>
      <c r="V3" s="3"/>
      <c r="W3" s="3"/>
      <c r="X3" s="3"/>
      <c r="Y3" s="3"/>
      <c r="Z3" s="3"/>
    </row>
    <row r="4" spans="1:26" ht="14.25" customHeight="1">
      <c r="A4" s="714" t="s">
        <v>22</v>
      </c>
      <c r="B4" s="715" t="s">
        <v>1274</v>
      </c>
      <c r="C4" s="716"/>
      <c r="D4" s="716"/>
      <c r="E4" s="717"/>
      <c r="F4" s="718"/>
      <c r="G4" s="718"/>
      <c r="H4" s="718"/>
      <c r="I4" s="718"/>
      <c r="J4" s="718"/>
      <c r="K4" s="718"/>
      <c r="L4" s="718"/>
      <c r="M4" s="3"/>
      <c r="N4" s="3"/>
      <c r="O4" s="3"/>
      <c r="P4" s="3"/>
      <c r="Q4" s="3"/>
      <c r="R4" s="3"/>
      <c r="S4" s="3"/>
      <c r="T4" s="3"/>
      <c r="U4" s="3"/>
      <c r="V4" s="3"/>
      <c r="W4" s="3"/>
      <c r="X4" s="3"/>
      <c r="Y4" s="3"/>
      <c r="Z4" s="3"/>
    </row>
    <row r="5" spans="1:26" ht="14.25" customHeight="1">
      <c r="A5" s="719">
        <v>1</v>
      </c>
      <c r="B5" s="716" t="s">
        <v>1275</v>
      </c>
      <c r="C5" s="720" t="s">
        <v>1276</v>
      </c>
      <c r="D5" s="737">
        <v>1</v>
      </c>
      <c r="E5" s="737">
        <v>20</v>
      </c>
      <c r="F5" s="738">
        <f>(D5*E5)</f>
        <v>20</v>
      </c>
      <c r="G5" s="738"/>
      <c r="H5" s="738">
        <f>SUM(F5+G5)</f>
        <v>20</v>
      </c>
      <c r="I5" s="718"/>
      <c r="J5" s="718"/>
      <c r="K5" s="718"/>
      <c r="L5" s="718"/>
      <c r="M5" s="3"/>
      <c r="N5" s="3"/>
      <c r="O5" s="3"/>
      <c r="P5" s="3"/>
      <c r="Q5" s="3"/>
      <c r="R5" s="3"/>
      <c r="S5" s="3"/>
      <c r="T5" s="3"/>
      <c r="U5" s="3"/>
      <c r="V5" s="3"/>
      <c r="W5" s="3"/>
      <c r="X5" s="3"/>
      <c r="Y5" s="3"/>
      <c r="Z5" s="3"/>
    </row>
    <row r="6" spans="1:26" ht="14.25" customHeight="1">
      <c r="A6" s="719">
        <v>2</v>
      </c>
      <c r="B6" s="716" t="s">
        <v>1277</v>
      </c>
      <c r="C6" s="720" t="s">
        <v>1276</v>
      </c>
      <c r="D6" s="737">
        <v>1</v>
      </c>
      <c r="E6" s="737">
        <v>40102</v>
      </c>
      <c r="F6" s="738">
        <f>(D6*E6)</f>
        <v>40102</v>
      </c>
      <c r="G6" s="738"/>
      <c r="H6" s="738">
        <f>SUM(F6+G6)</f>
        <v>40102</v>
      </c>
      <c r="I6" s="718"/>
      <c r="J6" s="718"/>
      <c r="K6" s="718"/>
      <c r="L6" s="718"/>
      <c r="M6" s="3"/>
      <c r="N6" s="3"/>
      <c r="O6" s="3"/>
      <c r="P6" s="3"/>
      <c r="Q6" s="3"/>
      <c r="R6" s="3"/>
      <c r="S6" s="3"/>
      <c r="T6" s="3"/>
      <c r="U6" s="3"/>
      <c r="V6" s="3"/>
      <c r="W6" s="3"/>
      <c r="X6" s="3"/>
      <c r="Y6" s="3"/>
      <c r="Z6" s="3"/>
    </row>
    <row r="7" spans="1:26" ht="14.25" customHeight="1">
      <c r="A7" s="719">
        <v>3</v>
      </c>
      <c r="B7" s="716" t="s">
        <v>1294</v>
      </c>
      <c r="C7" s="720" t="s">
        <v>1295</v>
      </c>
      <c r="D7" s="737">
        <v>2721.6</v>
      </c>
      <c r="E7" s="737">
        <v>3.8</v>
      </c>
      <c r="F7" s="738">
        <f>(D7*E7)</f>
        <v>10342.08</v>
      </c>
      <c r="G7" s="738"/>
      <c r="H7" s="738">
        <f>SUM(F7+G7)</f>
        <v>10342.08</v>
      </c>
      <c r="I7" s="718"/>
      <c r="J7" s="718"/>
      <c r="K7" s="718"/>
      <c r="L7" s="718"/>
      <c r="M7" s="3"/>
      <c r="N7" s="3"/>
      <c r="O7" s="3"/>
      <c r="P7" s="3"/>
      <c r="Q7" s="3"/>
      <c r="R7" s="3"/>
      <c r="S7" s="3"/>
      <c r="T7" s="3"/>
      <c r="U7" s="3"/>
      <c r="V7" s="3"/>
      <c r="W7" s="3"/>
      <c r="X7" s="3"/>
      <c r="Y7" s="3"/>
      <c r="Z7" s="3"/>
    </row>
    <row r="8" spans="1:26" ht="14.25" customHeight="1">
      <c r="A8" s="719">
        <v>4</v>
      </c>
      <c r="B8" s="716" t="s">
        <v>1278</v>
      </c>
      <c r="C8" s="720" t="s">
        <v>121</v>
      </c>
      <c r="D8" s="737">
        <v>2</v>
      </c>
      <c r="E8" s="737">
        <v>0.8</v>
      </c>
      <c r="F8" s="738">
        <f t="shared" ref="F8" si="0">(D8*E8)</f>
        <v>1.6</v>
      </c>
      <c r="G8" s="738">
        <f t="shared" ref="G8" si="1">(F8*5%)</f>
        <v>8.0000000000000016E-2</v>
      </c>
      <c r="H8" s="738">
        <f t="shared" ref="H8" si="2">SUM(F8+G8)</f>
        <v>1.6800000000000002</v>
      </c>
      <c r="I8" s="718"/>
      <c r="J8" s="718"/>
      <c r="K8" s="718"/>
      <c r="L8" s="718"/>
      <c r="M8" s="3"/>
      <c r="N8" s="3"/>
      <c r="O8" s="3"/>
      <c r="P8" s="3"/>
      <c r="Q8" s="3"/>
      <c r="R8" s="3"/>
      <c r="S8" s="3"/>
      <c r="T8" s="3"/>
      <c r="U8" s="3"/>
      <c r="V8" s="3"/>
      <c r="W8" s="3"/>
      <c r="X8" s="3"/>
      <c r="Y8" s="3"/>
      <c r="Z8" s="3"/>
    </row>
    <row r="9" spans="1:26" ht="14.25" customHeight="1">
      <c r="A9" s="719">
        <v>5</v>
      </c>
      <c r="B9" s="716" t="s">
        <v>1279</v>
      </c>
      <c r="C9" s="720" t="s">
        <v>1276</v>
      </c>
      <c r="D9" s="737">
        <v>1</v>
      </c>
      <c r="E9" s="737">
        <v>1400</v>
      </c>
      <c r="F9" s="738">
        <f t="shared" ref="F9:F12" si="3">(D9*E9)</f>
        <v>1400</v>
      </c>
      <c r="G9" s="738"/>
      <c r="H9" s="738">
        <f>SUM(F9+G9)</f>
        <v>1400</v>
      </c>
      <c r="I9" s="718"/>
      <c r="J9" s="718"/>
      <c r="K9" s="718"/>
      <c r="L9" s="718"/>
      <c r="M9" s="3"/>
      <c r="N9" s="3"/>
      <c r="O9" s="3"/>
      <c r="P9" s="3"/>
      <c r="Q9" s="3"/>
      <c r="R9" s="3"/>
      <c r="S9" s="3"/>
      <c r="T9" s="3"/>
      <c r="U9" s="3"/>
      <c r="V9" s="3"/>
      <c r="W9" s="3"/>
      <c r="X9" s="3"/>
      <c r="Y9" s="3"/>
      <c r="Z9" s="3"/>
    </row>
    <row r="10" spans="1:26" ht="14.25" customHeight="1">
      <c r="A10" s="719">
        <v>6</v>
      </c>
      <c r="B10" s="716" t="s">
        <v>1280</v>
      </c>
      <c r="C10" s="720" t="s">
        <v>1296</v>
      </c>
      <c r="D10" s="737">
        <v>5</v>
      </c>
      <c r="E10" s="737">
        <v>60</v>
      </c>
      <c r="F10" s="738">
        <f t="shared" si="3"/>
        <v>300</v>
      </c>
      <c r="G10" s="738"/>
      <c r="H10" s="738">
        <f t="shared" ref="H10" si="4">SUM(F10+G10)</f>
        <v>300</v>
      </c>
      <c r="I10" s="718"/>
      <c r="J10" s="718"/>
      <c r="K10" s="718"/>
      <c r="L10" s="718"/>
      <c r="M10" s="3"/>
      <c r="N10" s="3"/>
      <c r="O10" s="3"/>
      <c r="P10" s="3"/>
      <c r="Q10" s="3"/>
      <c r="R10" s="3"/>
      <c r="S10" s="3"/>
      <c r="T10" s="3"/>
      <c r="U10" s="3"/>
      <c r="V10" s="3"/>
      <c r="W10" s="3"/>
      <c r="X10" s="3"/>
      <c r="Y10" s="3"/>
      <c r="Z10" s="3"/>
    </row>
    <row r="11" spans="1:26" ht="14.25" customHeight="1">
      <c r="A11" s="719">
        <v>7</v>
      </c>
      <c r="B11" s="716" t="s">
        <v>1281</v>
      </c>
      <c r="C11" s="720" t="s">
        <v>1295</v>
      </c>
      <c r="D11" s="737">
        <v>450</v>
      </c>
      <c r="E11" s="737">
        <v>0.26500000000000001</v>
      </c>
      <c r="F11" s="738">
        <f t="shared" si="3"/>
        <v>119.25</v>
      </c>
      <c r="G11" s="738">
        <f>(F11*5%)</f>
        <v>5.9625000000000004</v>
      </c>
      <c r="H11" s="738">
        <f>SUM(F11+G11)</f>
        <v>125.21250000000001</v>
      </c>
      <c r="I11" s="718"/>
      <c r="J11" s="718"/>
      <c r="K11" s="718"/>
      <c r="L11" s="718"/>
      <c r="M11" s="3"/>
      <c r="N11" s="3"/>
      <c r="O11" s="3"/>
      <c r="P11" s="3"/>
      <c r="Q11" s="3"/>
      <c r="R11" s="3"/>
      <c r="S11" s="3"/>
      <c r="T11" s="3"/>
      <c r="U11" s="3"/>
      <c r="V11" s="3"/>
      <c r="W11" s="3"/>
      <c r="X11" s="3"/>
      <c r="Y11" s="3"/>
      <c r="Z11" s="3"/>
    </row>
    <row r="12" spans="1:26" ht="31.8" customHeight="1">
      <c r="A12" s="719">
        <v>8</v>
      </c>
      <c r="B12" s="722" t="s">
        <v>1282</v>
      </c>
      <c r="C12" s="720" t="s">
        <v>1293</v>
      </c>
      <c r="D12" s="737">
        <v>35</v>
      </c>
      <c r="E12" s="737">
        <v>5</v>
      </c>
      <c r="F12" s="738">
        <f t="shared" si="3"/>
        <v>175</v>
      </c>
      <c r="G12" s="738">
        <f>(F12*5%)</f>
        <v>8.75</v>
      </c>
      <c r="H12" s="738">
        <f>SUM(F12+G12)</f>
        <v>183.75</v>
      </c>
      <c r="I12" s="718"/>
      <c r="J12" s="718"/>
      <c r="K12" s="718"/>
      <c r="L12" s="718"/>
      <c r="M12" s="3"/>
      <c r="N12" s="3"/>
      <c r="O12" s="3"/>
      <c r="P12" s="3"/>
      <c r="Q12" s="3"/>
      <c r="R12" s="3"/>
      <c r="S12" s="3"/>
      <c r="T12" s="3"/>
      <c r="U12" s="3"/>
      <c r="V12" s="3"/>
      <c r="W12" s="3"/>
      <c r="X12" s="3"/>
      <c r="Y12" s="3"/>
      <c r="Z12" s="3"/>
    </row>
    <row r="13" spans="1:26" ht="14.25" customHeight="1">
      <c r="A13" s="719">
        <v>9</v>
      </c>
      <c r="B13" s="716" t="s">
        <v>1283</v>
      </c>
      <c r="C13" s="720" t="s">
        <v>942</v>
      </c>
      <c r="D13" s="737">
        <v>48</v>
      </c>
      <c r="E13" s="737">
        <v>17</v>
      </c>
      <c r="F13" s="738">
        <f t="shared" ref="F13:F17" si="5">(D13*E13)</f>
        <v>816</v>
      </c>
      <c r="G13" s="738">
        <f t="shared" ref="G13:G22" si="6">(F13*5%)</f>
        <v>40.800000000000004</v>
      </c>
      <c r="H13" s="738">
        <f t="shared" ref="H13:H31" si="7">SUM(F13+G13)</f>
        <v>856.8</v>
      </c>
      <c r="I13" s="718"/>
      <c r="J13" s="718"/>
      <c r="K13" s="718"/>
      <c r="L13" s="718"/>
      <c r="M13" s="3"/>
      <c r="N13" s="3"/>
      <c r="O13" s="3"/>
      <c r="P13" s="3"/>
      <c r="Q13" s="3"/>
      <c r="R13" s="3"/>
      <c r="S13" s="3"/>
      <c r="T13" s="3"/>
      <c r="U13" s="3"/>
      <c r="V13" s="3"/>
      <c r="W13" s="3"/>
      <c r="X13" s="3"/>
      <c r="Y13" s="3"/>
      <c r="Z13" s="3"/>
    </row>
    <row r="14" spans="1:26" ht="14.25" customHeight="1">
      <c r="A14" s="719">
        <v>10</v>
      </c>
      <c r="B14" s="716" t="s">
        <v>1284</v>
      </c>
      <c r="C14" s="720" t="s">
        <v>942</v>
      </c>
      <c r="D14" s="737">
        <v>544</v>
      </c>
      <c r="E14" s="737">
        <v>22</v>
      </c>
      <c r="F14" s="738">
        <f t="shared" si="5"/>
        <v>11968</v>
      </c>
      <c r="G14" s="738">
        <f t="shared" si="6"/>
        <v>598.4</v>
      </c>
      <c r="H14" s="738">
        <f t="shared" si="7"/>
        <v>12566.4</v>
      </c>
      <c r="I14" s="718"/>
      <c r="J14" s="718"/>
      <c r="K14" s="718"/>
      <c r="L14" s="718"/>
      <c r="M14" s="3"/>
      <c r="N14" s="3"/>
      <c r="O14" s="3"/>
      <c r="P14" s="3"/>
      <c r="Q14" s="3"/>
      <c r="R14" s="3"/>
      <c r="S14" s="3"/>
      <c r="T14" s="3"/>
      <c r="U14" s="3"/>
      <c r="V14" s="3"/>
      <c r="W14" s="3"/>
      <c r="X14" s="3"/>
      <c r="Y14" s="3"/>
      <c r="Z14" s="3"/>
    </row>
    <row r="15" spans="1:26" ht="14.25" customHeight="1">
      <c r="A15" s="719">
        <v>11</v>
      </c>
      <c r="B15" s="716" t="s">
        <v>1285</v>
      </c>
      <c r="C15" s="720" t="s">
        <v>942</v>
      </c>
      <c r="D15" s="737">
        <v>1082</v>
      </c>
      <c r="E15" s="737">
        <v>22</v>
      </c>
      <c r="F15" s="738">
        <f t="shared" si="5"/>
        <v>23804</v>
      </c>
      <c r="G15" s="738">
        <f t="shared" si="6"/>
        <v>1190.2</v>
      </c>
      <c r="H15" s="738">
        <f t="shared" si="7"/>
        <v>24994.2</v>
      </c>
      <c r="I15" s="718"/>
      <c r="J15" s="718"/>
      <c r="K15" s="718"/>
      <c r="L15" s="718"/>
      <c r="M15" s="3"/>
      <c r="N15" s="3"/>
      <c r="O15" s="3"/>
      <c r="P15" s="3"/>
      <c r="Q15" s="3"/>
      <c r="R15" s="3"/>
      <c r="S15" s="3"/>
      <c r="T15" s="3"/>
      <c r="U15" s="3"/>
      <c r="V15" s="3"/>
      <c r="W15" s="3"/>
      <c r="X15" s="3"/>
      <c r="Y15" s="3"/>
      <c r="Z15" s="3"/>
    </row>
    <row r="16" spans="1:26" ht="14.25" customHeight="1">
      <c r="A16" s="719">
        <v>12</v>
      </c>
      <c r="B16" s="716" t="s">
        <v>1286</v>
      </c>
      <c r="C16" s="720" t="s">
        <v>942</v>
      </c>
      <c r="D16" s="737">
        <v>42</v>
      </c>
      <c r="E16" s="737">
        <v>18</v>
      </c>
      <c r="F16" s="738">
        <f t="shared" si="5"/>
        <v>756</v>
      </c>
      <c r="G16" s="738">
        <f t="shared" si="6"/>
        <v>37.800000000000004</v>
      </c>
      <c r="H16" s="738">
        <f t="shared" si="7"/>
        <v>793.8</v>
      </c>
      <c r="I16" s="718"/>
      <c r="J16" s="718"/>
      <c r="K16" s="718"/>
      <c r="L16" s="718"/>
      <c r="M16" s="3"/>
      <c r="N16" s="3"/>
      <c r="O16" s="3"/>
      <c r="P16" s="3"/>
      <c r="Q16" s="3"/>
      <c r="R16" s="3"/>
      <c r="S16" s="3"/>
      <c r="T16" s="3"/>
      <c r="U16" s="3"/>
      <c r="V16" s="3"/>
      <c r="W16" s="3"/>
      <c r="X16" s="3"/>
      <c r="Y16" s="3"/>
      <c r="Z16" s="3"/>
    </row>
    <row r="17" spans="1:26" ht="14.25" customHeight="1">
      <c r="A17" s="719">
        <v>13</v>
      </c>
      <c r="B17" s="716" t="s">
        <v>1287</v>
      </c>
      <c r="C17" s="720" t="s">
        <v>121</v>
      </c>
      <c r="D17" s="737">
        <v>30</v>
      </c>
      <c r="E17" s="737">
        <v>6.6</v>
      </c>
      <c r="F17" s="738">
        <f t="shared" si="5"/>
        <v>198</v>
      </c>
      <c r="G17" s="738">
        <f t="shared" si="6"/>
        <v>9.9</v>
      </c>
      <c r="H17" s="738">
        <f t="shared" si="7"/>
        <v>207.9</v>
      </c>
      <c r="I17" s="718"/>
      <c r="J17" s="718"/>
      <c r="K17" s="718"/>
      <c r="L17" s="718"/>
      <c r="M17" s="3"/>
      <c r="N17" s="3"/>
      <c r="O17" s="3"/>
      <c r="P17" s="3"/>
      <c r="Q17" s="3"/>
      <c r="R17" s="3"/>
      <c r="S17" s="3"/>
      <c r="T17" s="3"/>
      <c r="U17" s="3"/>
      <c r="V17" s="3"/>
      <c r="W17" s="3"/>
      <c r="X17" s="3"/>
      <c r="Y17" s="3"/>
      <c r="Z17" s="3"/>
    </row>
    <row r="18" spans="1:26" ht="14.25" customHeight="1">
      <c r="A18" s="719">
        <v>14</v>
      </c>
      <c r="B18" s="716" t="s">
        <v>1288</v>
      </c>
      <c r="C18" s="720" t="s">
        <v>1291</v>
      </c>
      <c r="D18" s="737">
        <v>226.5</v>
      </c>
      <c r="E18" s="737">
        <v>287</v>
      </c>
      <c r="F18" s="738">
        <f>+D18*E18</f>
        <v>65005.5</v>
      </c>
      <c r="G18" s="738">
        <f t="shared" si="6"/>
        <v>3250.2750000000001</v>
      </c>
      <c r="H18" s="738">
        <f t="shared" si="7"/>
        <v>68255.774999999994</v>
      </c>
      <c r="I18" s="718"/>
      <c r="J18" s="718"/>
      <c r="K18" s="718"/>
      <c r="L18" s="718"/>
      <c r="M18" s="3"/>
      <c r="N18" s="3"/>
      <c r="O18" s="3"/>
      <c r="P18" s="3"/>
      <c r="Q18" s="3"/>
      <c r="R18" s="3"/>
      <c r="S18" s="3"/>
      <c r="T18" s="3"/>
      <c r="U18" s="3"/>
      <c r="V18" s="3"/>
      <c r="W18" s="3"/>
      <c r="X18" s="3"/>
      <c r="Y18" s="3"/>
      <c r="Z18" s="3"/>
    </row>
    <row r="19" spans="1:26" ht="14.25" customHeight="1">
      <c r="A19" s="719">
        <v>15</v>
      </c>
      <c r="B19" s="716" t="s">
        <v>1289</v>
      </c>
      <c r="C19" s="720" t="s">
        <v>1290</v>
      </c>
      <c r="D19" s="737">
        <v>1200</v>
      </c>
      <c r="E19" s="737">
        <v>0.6</v>
      </c>
      <c r="F19" s="738">
        <f t="shared" ref="F19:F22" si="8">(D19*E19)</f>
        <v>720</v>
      </c>
      <c r="G19" s="738">
        <f t="shared" si="6"/>
        <v>36</v>
      </c>
      <c r="H19" s="738">
        <f t="shared" si="7"/>
        <v>756</v>
      </c>
      <c r="I19" s="718"/>
      <c r="J19" s="718"/>
      <c r="K19" s="718"/>
      <c r="L19" s="718"/>
      <c r="M19" s="3"/>
      <c r="N19" s="3"/>
      <c r="O19" s="3"/>
      <c r="P19" s="3"/>
      <c r="Q19" s="3"/>
      <c r="R19" s="3"/>
      <c r="S19" s="3"/>
      <c r="T19" s="3"/>
      <c r="U19" s="3"/>
      <c r="V19" s="3"/>
      <c r="W19" s="3"/>
      <c r="X19" s="3"/>
      <c r="Y19" s="3"/>
      <c r="Z19" s="3"/>
    </row>
    <row r="20" spans="1:26" ht="14.25" customHeight="1">
      <c r="A20" s="719">
        <v>16</v>
      </c>
      <c r="B20" s="716" t="s">
        <v>1297</v>
      </c>
      <c r="C20" s="720" t="s">
        <v>1276</v>
      </c>
      <c r="D20" s="737">
        <v>1</v>
      </c>
      <c r="E20" s="737">
        <v>1500</v>
      </c>
      <c r="F20" s="738">
        <f t="shared" si="8"/>
        <v>1500</v>
      </c>
      <c r="G20" s="738"/>
      <c r="H20" s="738">
        <f t="shared" si="7"/>
        <v>1500</v>
      </c>
      <c r="I20" s="718"/>
      <c r="J20" s="718"/>
      <c r="K20" s="718"/>
      <c r="L20" s="718"/>
      <c r="M20" s="3"/>
      <c r="N20" s="3"/>
      <c r="O20" s="3"/>
      <c r="P20" s="3"/>
      <c r="Q20" s="3"/>
      <c r="R20" s="3"/>
      <c r="S20" s="3"/>
      <c r="T20" s="3"/>
      <c r="U20" s="3"/>
      <c r="V20" s="3"/>
      <c r="W20" s="3"/>
      <c r="X20" s="3"/>
      <c r="Y20" s="3"/>
      <c r="Z20" s="3"/>
    </row>
    <row r="21" spans="1:26" ht="14.25" customHeight="1">
      <c r="A21" s="719">
        <v>17</v>
      </c>
      <c r="B21" s="716" t="s">
        <v>1298</v>
      </c>
      <c r="C21" s="720" t="s">
        <v>1299</v>
      </c>
      <c r="D21" s="737">
        <v>50</v>
      </c>
      <c r="E21" s="737">
        <v>1.53</v>
      </c>
      <c r="F21" s="738">
        <f t="shared" si="8"/>
        <v>76.5</v>
      </c>
      <c r="G21" s="738">
        <f t="shared" si="6"/>
        <v>3.8250000000000002</v>
      </c>
      <c r="H21" s="738">
        <f t="shared" si="7"/>
        <v>80.325000000000003</v>
      </c>
      <c r="I21" s="718"/>
      <c r="J21" s="718"/>
      <c r="K21" s="718"/>
      <c r="L21" s="718"/>
      <c r="M21" s="3"/>
      <c r="N21" s="3"/>
      <c r="O21" s="3"/>
      <c r="P21" s="3"/>
      <c r="Q21" s="3"/>
      <c r="R21" s="3"/>
      <c r="S21" s="3"/>
      <c r="T21" s="3"/>
      <c r="U21" s="3"/>
      <c r="V21" s="3"/>
      <c r="W21" s="3"/>
      <c r="X21" s="3"/>
      <c r="Y21" s="3"/>
      <c r="Z21" s="3"/>
    </row>
    <row r="22" spans="1:26" ht="14.25" customHeight="1">
      <c r="A22" s="719">
        <v>18</v>
      </c>
      <c r="B22" s="716" t="s">
        <v>1301</v>
      </c>
      <c r="C22" s="719" t="s">
        <v>1302</v>
      </c>
      <c r="D22" s="737">
        <v>1</v>
      </c>
      <c r="E22" s="737">
        <v>70</v>
      </c>
      <c r="F22" s="738">
        <f t="shared" si="8"/>
        <v>70</v>
      </c>
      <c r="G22" s="738">
        <f t="shared" si="6"/>
        <v>3.5</v>
      </c>
      <c r="H22" s="738">
        <f t="shared" si="7"/>
        <v>73.5</v>
      </c>
      <c r="I22" s="718"/>
      <c r="J22" s="718"/>
      <c r="K22" s="718"/>
      <c r="L22" s="718"/>
      <c r="M22" s="3"/>
      <c r="N22" s="3"/>
      <c r="O22" s="3"/>
      <c r="P22" s="3"/>
      <c r="Q22" s="3"/>
      <c r="R22" s="3"/>
      <c r="S22" s="3"/>
      <c r="T22" s="3"/>
      <c r="U22" s="3"/>
      <c r="V22" s="3"/>
      <c r="W22" s="3"/>
      <c r="X22" s="3"/>
      <c r="Y22" s="3"/>
      <c r="Z22" s="3"/>
    </row>
    <row r="23" spans="1:26" s="705" customFormat="1" ht="14.25" customHeight="1">
      <c r="A23" s="719">
        <v>19</v>
      </c>
      <c r="B23" s="716" t="s">
        <v>1315</v>
      </c>
      <c r="C23" s="719" t="s">
        <v>1316</v>
      </c>
      <c r="D23" s="737">
        <v>4</v>
      </c>
      <c r="E23" s="737">
        <v>45</v>
      </c>
      <c r="F23" s="738">
        <f t="shared" ref="F23" si="9">(D23*E23)</f>
        <v>180</v>
      </c>
      <c r="G23" s="738">
        <f t="shared" ref="G23" si="10">(F23*5%)</f>
        <v>9</v>
      </c>
      <c r="H23" s="738">
        <f t="shared" ref="H23" si="11">SUM(F23+G23)</f>
        <v>189</v>
      </c>
      <c r="I23" s="718"/>
      <c r="J23" s="718"/>
      <c r="K23" s="718"/>
      <c r="L23" s="718"/>
      <c r="M23" s="3"/>
      <c r="N23" s="3"/>
      <c r="O23" s="3"/>
      <c r="P23" s="3"/>
      <c r="Q23" s="3"/>
      <c r="R23" s="3"/>
      <c r="S23" s="3"/>
      <c r="T23" s="3"/>
      <c r="U23" s="3"/>
      <c r="V23" s="3"/>
      <c r="W23" s="3"/>
      <c r="X23" s="3"/>
      <c r="Y23" s="3"/>
      <c r="Z23" s="3"/>
    </row>
    <row r="24" spans="1:26" s="757" customFormat="1" ht="14.25" customHeight="1">
      <c r="A24" s="719"/>
      <c r="B24" s="716"/>
      <c r="C24" s="719"/>
      <c r="D24" s="737"/>
      <c r="E24" s="737"/>
      <c r="F24" s="738"/>
      <c r="G24" s="738"/>
      <c r="H24" s="738"/>
      <c r="I24" s="718"/>
      <c r="J24" s="718"/>
      <c r="K24" s="718"/>
      <c r="L24" s="718"/>
      <c r="M24" s="3"/>
      <c r="N24" s="3"/>
      <c r="O24" s="3"/>
      <c r="P24" s="3"/>
      <c r="Q24" s="3"/>
      <c r="R24" s="3"/>
      <c r="S24" s="3"/>
      <c r="T24" s="3"/>
      <c r="U24" s="3"/>
      <c r="V24" s="3"/>
      <c r="W24" s="3"/>
      <c r="X24" s="3"/>
      <c r="Y24" s="3"/>
      <c r="Z24" s="3"/>
    </row>
    <row r="25" spans="1:26" ht="14.25" customHeight="1">
      <c r="A25" s="723" t="s">
        <v>25</v>
      </c>
      <c r="B25" s="715" t="s">
        <v>1300</v>
      </c>
      <c r="C25" s="716"/>
      <c r="D25" s="737"/>
      <c r="E25" s="737"/>
      <c r="F25" s="738"/>
      <c r="G25" s="738"/>
      <c r="H25" s="738">
        <f t="shared" si="7"/>
        <v>0</v>
      </c>
      <c r="I25" s="718"/>
      <c r="J25" s="718"/>
      <c r="K25" s="718"/>
      <c r="L25" s="718"/>
      <c r="M25" s="3"/>
      <c r="N25" s="3"/>
      <c r="O25" s="3"/>
      <c r="P25" s="3"/>
      <c r="Q25" s="3"/>
      <c r="R25" s="3"/>
      <c r="S25" s="3"/>
      <c r="T25" s="3"/>
      <c r="U25" s="3"/>
      <c r="V25" s="3"/>
      <c r="W25" s="3"/>
      <c r="X25" s="3"/>
      <c r="Y25" s="3"/>
      <c r="Z25" s="3"/>
    </row>
    <row r="26" spans="1:26" ht="14.25" customHeight="1">
      <c r="A26" s="719">
        <v>1</v>
      </c>
      <c r="B26" s="716" t="s">
        <v>1303</v>
      </c>
      <c r="C26" s="719" t="s">
        <v>121</v>
      </c>
      <c r="D26" s="737">
        <v>350</v>
      </c>
      <c r="E26" s="737">
        <v>6</v>
      </c>
      <c r="F26" s="738">
        <f>(D26*E26)</f>
        <v>2100</v>
      </c>
      <c r="G26" s="738">
        <f t="shared" ref="G26:G31" si="12">(F26*5%)</f>
        <v>105</v>
      </c>
      <c r="H26" s="738">
        <f t="shared" si="7"/>
        <v>2205</v>
      </c>
      <c r="I26" s="718"/>
      <c r="J26" s="718"/>
      <c r="K26" s="718"/>
      <c r="L26" s="718"/>
      <c r="M26" s="3"/>
      <c r="N26" s="3"/>
      <c r="O26" s="3"/>
      <c r="P26" s="3"/>
      <c r="Q26" s="3"/>
      <c r="R26" s="3"/>
      <c r="S26" s="3"/>
      <c r="T26" s="3"/>
      <c r="U26" s="3"/>
      <c r="V26" s="3"/>
      <c r="W26" s="3"/>
      <c r="X26" s="3"/>
      <c r="Y26" s="3"/>
      <c r="Z26" s="3"/>
    </row>
    <row r="27" spans="1:26" ht="14.25" customHeight="1">
      <c r="A27" s="719">
        <v>2</v>
      </c>
      <c r="B27" s="716" t="s">
        <v>1304</v>
      </c>
      <c r="C27" s="719" t="s">
        <v>121</v>
      </c>
      <c r="D27" s="737">
        <v>180</v>
      </c>
      <c r="E27" s="737">
        <v>1.45</v>
      </c>
      <c r="F27" s="738">
        <f t="shared" ref="F27:F31" si="13">(D27*E27)</f>
        <v>261</v>
      </c>
      <c r="G27" s="738">
        <f t="shared" si="12"/>
        <v>13.05</v>
      </c>
      <c r="H27" s="738">
        <f t="shared" si="7"/>
        <v>274.05</v>
      </c>
      <c r="I27" s="718"/>
      <c r="J27" s="718"/>
      <c r="K27" s="718"/>
      <c r="L27" s="718"/>
      <c r="M27" s="3"/>
      <c r="N27" s="3"/>
      <c r="O27" s="3"/>
      <c r="P27" s="3"/>
      <c r="Q27" s="3"/>
      <c r="R27" s="3"/>
      <c r="S27" s="3"/>
      <c r="T27" s="3"/>
      <c r="U27" s="3"/>
      <c r="V27" s="3"/>
      <c r="W27" s="3"/>
      <c r="X27" s="3"/>
      <c r="Y27" s="3"/>
      <c r="Z27" s="3"/>
    </row>
    <row r="28" spans="1:26" ht="14.25" customHeight="1">
      <c r="A28" s="719">
        <v>3</v>
      </c>
      <c r="B28" s="716" t="s">
        <v>1305</v>
      </c>
      <c r="C28" s="719" t="s">
        <v>121</v>
      </c>
      <c r="D28" s="737">
        <v>1350</v>
      </c>
      <c r="E28" s="737">
        <v>1.7</v>
      </c>
      <c r="F28" s="738">
        <f t="shared" si="13"/>
        <v>2295</v>
      </c>
      <c r="G28" s="738">
        <f t="shared" si="12"/>
        <v>114.75</v>
      </c>
      <c r="H28" s="738">
        <f t="shared" si="7"/>
        <v>2409.75</v>
      </c>
      <c r="I28" s="718"/>
      <c r="J28" s="718"/>
      <c r="K28" s="718"/>
      <c r="L28" s="718"/>
      <c r="M28" s="3"/>
      <c r="N28" s="3"/>
      <c r="O28" s="3"/>
      <c r="P28" s="3"/>
      <c r="Q28" s="3"/>
      <c r="R28" s="3"/>
      <c r="S28" s="3"/>
      <c r="T28" s="3"/>
      <c r="U28" s="3"/>
      <c r="V28" s="3"/>
      <c r="W28" s="3"/>
      <c r="X28" s="3"/>
      <c r="Y28" s="3"/>
      <c r="Z28" s="3"/>
    </row>
    <row r="29" spans="1:26" ht="14.25" customHeight="1">
      <c r="A29" s="719">
        <v>5</v>
      </c>
      <c r="B29" s="716" t="s">
        <v>1306</v>
      </c>
      <c r="C29" s="719" t="s">
        <v>1307</v>
      </c>
      <c r="D29" s="743">
        <v>8</v>
      </c>
      <c r="E29" s="737">
        <v>750</v>
      </c>
      <c r="F29" s="738">
        <f t="shared" si="13"/>
        <v>6000</v>
      </c>
      <c r="G29" s="738">
        <f t="shared" si="12"/>
        <v>300</v>
      </c>
      <c r="H29" s="738">
        <f t="shared" si="7"/>
        <v>6300</v>
      </c>
      <c r="I29" s="718"/>
      <c r="J29" s="718"/>
      <c r="K29" s="718"/>
      <c r="L29" s="718"/>
      <c r="M29" s="3"/>
      <c r="N29" s="3"/>
      <c r="O29" s="3"/>
      <c r="P29" s="3"/>
      <c r="Q29" s="3"/>
      <c r="R29" s="3"/>
      <c r="S29" s="3"/>
      <c r="T29" s="3"/>
      <c r="U29" s="3"/>
      <c r="V29" s="3"/>
      <c r="W29" s="3"/>
      <c r="X29" s="3"/>
      <c r="Y29" s="3"/>
      <c r="Z29" s="3"/>
    </row>
    <row r="30" spans="1:26" ht="14.25" customHeight="1">
      <c r="A30" s="719">
        <v>6</v>
      </c>
      <c r="B30" s="716" t="s">
        <v>1308</v>
      </c>
      <c r="C30" s="719" t="s">
        <v>1276</v>
      </c>
      <c r="D30" s="737">
        <v>1</v>
      </c>
      <c r="E30" s="737">
        <v>800</v>
      </c>
      <c r="F30" s="738">
        <f t="shared" si="13"/>
        <v>800</v>
      </c>
      <c r="G30" s="738">
        <f t="shared" si="12"/>
        <v>40</v>
      </c>
      <c r="H30" s="738">
        <f t="shared" si="7"/>
        <v>840</v>
      </c>
      <c r="I30" s="718"/>
      <c r="J30" s="718"/>
      <c r="K30" s="718"/>
      <c r="L30" s="718"/>
      <c r="M30" s="3"/>
      <c r="N30" s="3"/>
      <c r="O30" s="3"/>
      <c r="P30" s="3"/>
      <c r="Q30" s="3"/>
      <c r="R30" s="3"/>
      <c r="S30" s="3"/>
      <c r="T30" s="3"/>
      <c r="U30" s="3"/>
      <c r="V30" s="3"/>
      <c r="W30" s="3"/>
      <c r="X30" s="3"/>
      <c r="Y30" s="3"/>
      <c r="Z30" s="3"/>
    </row>
    <row r="31" spans="1:26" ht="14.25" customHeight="1">
      <c r="A31" s="719">
        <v>7</v>
      </c>
      <c r="B31" s="716" t="s">
        <v>1309</v>
      </c>
      <c r="C31" s="719" t="s">
        <v>1310</v>
      </c>
      <c r="D31" s="737">
        <v>25</v>
      </c>
      <c r="E31" s="737">
        <v>3</v>
      </c>
      <c r="F31" s="738">
        <f t="shared" si="13"/>
        <v>75</v>
      </c>
      <c r="G31" s="738">
        <f t="shared" si="12"/>
        <v>3.75</v>
      </c>
      <c r="H31" s="738">
        <f t="shared" si="7"/>
        <v>78.75</v>
      </c>
      <c r="I31" s="718"/>
      <c r="J31" s="718"/>
      <c r="K31" s="718"/>
      <c r="L31" s="718"/>
      <c r="M31" s="3"/>
      <c r="N31" s="3"/>
      <c r="O31" s="3"/>
      <c r="P31" s="3"/>
      <c r="Q31" s="3"/>
      <c r="R31" s="3"/>
      <c r="S31" s="3"/>
      <c r="T31" s="3"/>
      <c r="U31" s="3"/>
      <c r="V31" s="3"/>
      <c r="W31" s="3"/>
      <c r="X31" s="3"/>
      <c r="Y31" s="3"/>
      <c r="Z31" s="3"/>
    </row>
    <row r="32" spans="1:26" ht="14.25" customHeight="1">
      <c r="A32" s="719">
        <v>8</v>
      </c>
      <c r="B32" s="716" t="s">
        <v>1317</v>
      </c>
      <c r="C32" s="719" t="s">
        <v>1367</v>
      </c>
      <c r="D32" s="737">
        <v>300</v>
      </c>
      <c r="E32" s="737">
        <v>0.7</v>
      </c>
      <c r="F32" s="738">
        <f t="shared" ref="F32:F34" si="14">(D32*E32)</f>
        <v>210</v>
      </c>
      <c r="G32" s="738">
        <f t="shared" ref="G32:G34" si="15">(F32*5%)</f>
        <v>10.5</v>
      </c>
      <c r="H32" s="738">
        <f t="shared" ref="H32:H34" si="16">SUM(F32+G32)</f>
        <v>220.5</v>
      </c>
      <c r="I32" s="718"/>
      <c r="J32" s="718"/>
      <c r="K32" s="718"/>
      <c r="L32" s="718"/>
      <c r="M32" s="3"/>
      <c r="N32" s="3"/>
      <c r="O32" s="3"/>
      <c r="P32" s="3"/>
      <c r="Q32" s="3"/>
      <c r="R32" s="3"/>
      <c r="S32" s="3"/>
      <c r="T32" s="3"/>
      <c r="U32" s="3"/>
      <c r="V32" s="3"/>
      <c r="W32" s="3"/>
      <c r="X32" s="3"/>
      <c r="Y32" s="3"/>
      <c r="Z32" s="3"/>
    </row>
    <row r="33" spans="1:26" ht="14.25" customHeight="1">
      <c r="A33" s="719">
        <v>9</v>
      </c>
      <c r="B33" s="716" t="s">
        <v>1318</v>
      </c>
      <c r="C33" s="719" t="s">
        <v>1276</v>
      </c>
      <c r="D33" s="737">
        <v>800</v>
      </c>
      <c r="E33" s="737">
        <v>1</v>
      </c>
      <c r="F33" s="738">
        <f t="shared" si="14"/>
        <v>800</v>
      </c>
      <c r="G33" s="738">
        <f t="shared" si="15"/>
        <v>40</v>
      </c>
      <c r="H33" s="738">
        <f t="shared" si="16"/>
        <v>840</v>
      </c>
      <c r="I33" s="718"/>
      <c r="J33" s="718"/>
      <c r="K33" s="718"/>
      <c r="L33" s="718"/>
      <c r="M33" s="3"/>
      <c r="N33" s="3"/>
      <c r="O33" s="3"/>
      <c r="P33" s="3"/>
      <c r="Q33" s="3"/>
      <c r="R33" s="3"/>
      <c r="S33" s="3"/>
      <c r="T33" s="3"/>
      <c r="U33" s="3"/>
      <c r="V33" s="3"/>
      <c r="W33" s="3"/>
      <c r="X33" s="3"/>
      <c r="Y33" s="3"/>
      <c r="Z33" s="3"/>
    </row>
    <row r="34" spans="1:26" ht="14.25" customHeight="1">
      <c r="A34" s="719">
        <v>10</v>
      </c>
      <c r="B34" s="716" t="s">
        <v>1588</v>
      </c>
      <c r="C34" s="719" t="s">
        <v>1367</v>
      </c>
      <c r="D34" s="737">
        <v>350</v>
      </c>
      <c r="E34" s="737">
        <v>0.4</v>
      </c>
      <c r="F34" s="738">
        <f t="shared" si="14"/>
        <v>140</v>
      </c>
      <c r="G34" s="738">
        <f t="shared" si="15"/>
        <v>7</v>
      </c>
      <c r="H34" s="738">
        <f t="shared" si="16"/>
        <v>147</v>
      </c>
      <c r="I34" s="718"/>
      <c r="J34" s="718"/>
      <c r="K34" s="718"/>
      <c r="L34" s="718"/>
      <c r="M34" s="3"/>
      <c r="N34" s="3"/>
      <c r="O34" s="3"/>
      <c r="P34" s="3"/>
      <c r="Q34" s="3"/>
      <c r="R34" s="3"/>
      <c r="S34" s="3"/>
      <c r="T34" s="3"/>
      <c r="U34" s="3"/>
      <c r="V34" s="3"/>
      <c r="W34" s="3"/>
      <c r="X34" s="3"/>
      <c r="Y34" s="3"/>
      <c r="Z34" s="3"/>
    </row>
    <row r="35" spans="1:26" s="711" customFormat="1" ht="14.25" customHeight="1">
      <c r="A35" s="719"/>
      <c r="B35" s="716"/>
      <c r="C35" s="719"/>
      <c r="D35" s="737"/>
      <c r="E35" s="737"/>
      <c r="F35" s="738"/>
      <c r="G35" s="738"/>
      <c r="H35" s="738"/>
      <c r="I35" s="718"/>
      <c r="J35" s="718"/>
      <c r="K35" s="718"/>
      <c r="L35" s="718"/>
      <c r="M35" s="3"/>
      <c r="N35" s="3"/>
      <c r="O35" s="3"/>
      <c r="P35" s="3"/>
      <c r="Q35" s="3"/>
      <c r="R35" s="3"/>
      <c r="S35" s="3"/>
      <c r="T35" s="3"/>
      <c r="U35" s="3"/>
      <c r="V35" s="3"/>
      <c r="W35" s="3"/>
      <c r="X35" s="3"/>
      <c r="Y35" s="3"/>
      <c r="Z35" s="3"/>
    </row>
    <row r="36" spans="1:26" ht="14.25" customHeight="1">
      <c r="A36" s="723" t="s">
        <v>28</v>
      </c>
      <c r="B36" s="715" t="s">
        <v>1311</v>
      </c>
      <c r="C36" s="716"/>
      <c r="D36" s="737"/>
      <c r="E36" s="737"/>
      <c r="F36" s="738"/>
      <c r="G36" s="738"/>
      <c r="H36" s="738"/>
      <c r="I36" s="718"/>
      <c r="J36" s="718"/>
      <c r="K36" s="718"/>
      <c r="L36" s="718"/>
      <c r="M36" s="3"/>
      <c r="N36" s="3"/>
      <c r="O36" s="3"/>
      <c r="P36" s="3"/>
      <c r="Q36" s="3"/>
      <c r="R36" s="3"/>
      <c r="S36" s="3"/>
      <c r="T36" s="3"/>
      <c r="U36" s="3"/>
      <c r="V36" s="3"/>
      <c r="W36" s="3"/>
      <c r="X36" s="3"/>
      <c r="Y36" s="3"/>
      <c r="Z36" s="3"/>
    </row>
    <row r="37" spans="1:26" ht="14.25" customHeight="1">
      <c r="A37" s="719">
        <v>1</v>
      </c>
      <c r="B37" s="716" t="s">
        <v>1319</v>
      </c>
      <c r="C37" s="724" t="s">
        <v>121</v>
      </c>
      <c r="D37" s="743">
        <v>10000</v>
      </c>
      <c r="E37" s="737">
        <v>0.15</v>
      </c>
      <c r="F37" s="738">
        <f t="shared" ref="F37:F42" si="17">(D37*E37)</f>
        <v>1500</v>
      </c>
      <c r="G37" s="738">
        <f t="shared" ref="G37:G42" si="18">(F37*5%)</f>
        <v>75</v>
      </c>
      <c r="H37" s="738">
        <f t="shared" ref="H37:H42" si="19">SUM(F37+G37)</f>
        <v>1575</v>
      </c>
      <c r="I37" s="718"/>
      <c r="J37" s="718"/>
      <c r="K37" s="718"/>
      <c r="L37" s="718"/>
      <c r="M37" s="3"/>
      <c r="N37" s="3"/>
      <c r="O37" s="3"/>
      <c r="P37" s="3"/>
      <c r="Q37" s="3"/>
      <c r="R37" s="3"/>
      <c r="S37" s="3"/>
      <c r="T37" s="3"/>
      <c r="U37" s="3"/>
      <c r="V37" s="3"/>
      <c r="W37" s="3"/>
      <c r="X37" s="3"/>
      <c r="Y37" s="3"/>
      <c r="Z37" s="3"/>
    </row>
    <row r="38" spans="1:26" ht="14.25" customHeight="1">
      <c r="A38" s="719">
        <v>2</v>
      </c>
      <c r="B38" s="716" t="s">
        <v>1320</v>
      </c>
      <c r="C38" s="721" t="s">
        <v>121</v>
      </c>
      <c r="D38" s="743">
        <v>63000</v>
      </c>
      <c r="E38" s="737">
        <v>0.16</v>
      </c>
      <c r="F38" s="738">
        <f t="shared" si="17"/>
        <v>10080</v>
      </c>
      <c r="G38" s="738">
        <f t="shared" si="18"/>
        <v>504</v>
      </c>
      <c r="H38" s="738">
        <f t="shared" si="19"/>
        <v>10584</v>
      </c>
      <c r="I38" s="718"/>
      <c r="J38" s="718"/>
      <c r="K38" s="718"/>
      <c r="L38" s="718"/>
      <c r="M38" s="3"/>
      <c r="N38" s="3"/>
      <c r="O38" s="3"/>
      <c r="P38" s="3"/>
      <c r="Q38" s="3"/>
      <c r="R38" s="3"/>
      <c r="S38" s="3"/>
      <c r="T38" s="3"/>
      <c r="U38" s="3"/>
      <c r="V38" s="3"/>
      <c r="W38" s="3"/>
      <c r="X38" s="3"/>
      <c r="Y38" s="3"/>
      <c r="Z38" s="3"/>
    </row>
    <row r="39" spans="1:26" ht="14.25" customHeight="1">
      <c r="A39" s="719">
        <v>3</v>
      </c>
      <c r="B39" s="716" t="s">
        <v>1321</v>
      </c>
      <c r="C39" s="719" t="s">
        <v>121</v>
      </c>
      <c r="D39" s="737">
        <v>1</v>
      </c>
      <c r="E39" s="737">
        <v>2750</v>
      </c>
      <c r="F39" s="738">
        <f t="shared" si="17"/>
        <v>2750</v>
      </c>
      <c r="G39" s="738">
        <f t="shared" si="18"/>
        <v>137.5</v>
      </c>
      <c r="H39" s="738">
        <f t="shared" si="19"/>
        <v>2887.5</v>
      </c>
      <c r="I39" s="718"/>
      <c r="J39" s="718"/>
      <c r="K39" s="718"/>
      <c r="L39" s="718"/>
      <c r="M39" s="3"/>
      <c r="N39" s="3"/>
      <c r="O39" s="3"/>
      <c r="P39" s="3"/>
      <c r="Q39" s="3"/>
      <c r="R39" s="3"/>
      <c r="S39" s="3"/>
      <c r="T39" s="3"/>
      <c r="U39" s="3"/>
      <c r="V39" s="3"/>
      <c r="W39" s="3"/>
      <c r="X39" s="3"/>
      <c r="Y39" s="3"/>
      <c r="Z39" s="3"/>
    </row>
    <row r="40" spans="1:26" s="757" customFormat="1" ht="14.25" customHeight="1">
      <c r="A40" s="719">
        <v>4</v>
      </c>
      <c r="B40" s="716" t="s">
        <v>1697</v>
      </c>
      <c r="C40" s="719" t="s">
        <v>1690</v>
      </c>
      <c r="D40" s="737">
        <v>1</v>
      </c>
      <c r="E40" s="737">
        <v>200</v>
      </c>
      <c r="F40" s="738">
        <f t="shared" ref="F40" si="20">(D40*E40)</f>
        <v>200</v>
      </c>
      <c r="G40" s="738"/>
      <c r="H40" s="738">
        <f t="shared" ref="H40" si="21">SUM(F40+G40)</f>
        <v>200</v>
      </c>
      <c r="I40" s="718"/>
      <c r="J40" s="718"/>
      <c r="K40" s="718"/>
      <c r="L40" s="718"/>
      <c r="M40" s="3"/>
      <c r="N40" s="3"/>
      <c r="O40" s="3"/>
      <c r="P40" s="3"/>
      <c r="Q40" s="3"/>
      <c r="R40" s="3"/>
      <c r="S40" s="3"/>
      <c r="T40" s="3"/>
      <c r="U40" s="3"/>
      <c r="V40" s="3"/>
      <c r="W40" s="3"/>
      <c r="X40" s="3"/>
      <c r="Y40" s="3"/>
      <c r="Z40" s="3"/>
    </row>
    <row r="41" spans="1:26" ht="14.25" customHeight="1">
      <c r="A41" s="719">
        <v>5</v>
      </c>
      <c r="B41" s="716" t="s">
        <v>1495</v>
      </c>
      <c r="C41" s="719" t="s">
        <v>1299</v>
      </c>
      <c r="D41" s="737">
        <v>1500</v>
      </c>
      <c r="E41" s="737">
        <v>1.37</v>
      </c>
      <c r="F41" s="738">
        <f t="shared" si="17"/>
        <v>2055</v>
      </c>
      <c r="G41" s="738">
        <f t="shared" si="18"/>
        <v>102.75</v>
      </c>
      <c r="H41" s="738">
        <f t="shared" si="19"/>
        <v>2157.75</v>
      </c>
      <c r="I41" s="718"/>
      <c r="J41" s="718"/>
      <c r="K41" s="718"/>
      <c r="L41" s="718"/>
      <c r="M41" s="3"/>
      <c r="N41" s="3"/>
      <c r="O41" s="3"/>
      <c r="P41" s="3"/>
      <c r="Q41" s="3"/>
      <c r="R41" s="3"/>
      <c r="S41" s="3"/>
      <c r="T41" s="3"/>
      <c r="U41" s="3"/>
      <c r="V41" s="3"/>
      <c r="W41" s="3"/>
      <c r="X41" s="3"/>
      <c r="Y41" s="3"/>
      <c r="Z41" s="3"/>
    </row>
    <row r="42" spans="1:26" ht="14.25" customHeight="1">
      <c r="A42" s="719">
        <v>6</v>
      </c>
      <c r="B42" s="716" t="s">
        <v>1329</v>
      </c>
      <c r="C42" s="719" t="s">
        <v>1292</v>
      </c>
      <c r="D42" s="737">
        <v>3</v>
      </c>
      <c r="E42" s="737">
        <v>50</v>
      </c>
      <c r="F42" s="738">
        <f t="shared" si="17"/>
        <v>150</v>
      </c>
      <c r="G42" s="738">
        <f t="shared" si="18"/>
        <v>7.5</v>
      </c>
      <c r="H42" s="738">
        <f t="shared" si="19"/>
        <v>157.5</v>
      </c>
      <c r="I42" s="718"/>
      <c r="J42" s="718"/>
      <c r="K42" s="718"/>
      <c r="L42" s="718"/>
      <c r="M42" s="3"/>
      <c r="N42" s="3"/>
      <c r="O42" s="3"/>
      <c r="P42" s="3"/>
      <c r="Q42" s="3"/>
      <c r="R42" s="3"/>
      <c r="S42" s="3"/>
      <c r="T42" s="3"/>
      <c r="U42" s="3"/>
      <c r="V42" s="3"/>
      <c r="W42" s="3"/>
      <c r="X42" s="3"/>
      <c r="Y42" s="3"/>
      <c r="Z42" s="3"/>
    </row>
    <row r="43" spans="1:26" ht="14.25" customHeight="1">
      <c r="A43" s="719">
        <v>7</v>
      </c>
      <c r="B43" s="716" t="s">
        <v>1330</v>
      </c>
      <c r="C43" s="719" t="s">
        <v>1331</v>
      </c>
      <c r="D43" s="737">
        <v>2</v>
      </c>
      <c r="E43" s="737">
        <v>5.6</v>
      </c>
      <c r="F43" s="738">
        <f t="shared" ref="F43:F46" si="22">(D43*E43)</f>
        <v>11.2</v>
      </c>
      <c r="G43" s="738">
        <f t="shared" ref="G43:G46" si="23">(F43*5%)</f>
        <v>0.55999999999999994</v>
      </c>
      <c r="H43" s="738">
        <f t="shared" ref="H43:H46" si="24">SUM(F43+G43)</f>
        <v>11.76</v>
      </c>
      <c r="I43" s="718"/>
      <c r="J43" s="718"/>
      <c r="K43" s="718"/>
      <c r="L43" s="718"/>
      <c r="M43" s="3"/>
      <c r="N43" s="3"/>
      <c r="O43" s="3"/>
      <c r="P43" s="3"/>
      <c r="Q43" s="3"/>
      <c r="R43" s="3"/>
      <c r="S43" s="3"/>
      <c r="T43" s="3"/>
      <c r="U43" s="3"/>
      <c r="V43" s="3"/>
      <c r="W43" s="3"/>
      <c r="X43" s="3"/>
      <c r="Y43" s="3"/>
      <c r="Z43" s="3"/>
    </row>
    <row r="44" spans="1:26" ht="14.25" customHeight="1">
      <c r="A44" s="719">
        <v>8</v>
      </c>
      <c r="B44" s="716" t="s">
        <v>1672</v>
      </c>
      <c r="C44" s="719" t="s">
        <v>1276</v>
      </c>
      <c r="D44" s="737">
        <v>1</v>
      </c>
      <c r="E44" s="737">
        <v>300</v>
      </c>
      <c r="F44" s="738">
        <f t="shared" si="22"/>
        <v>300</v>
      </c>
      <c r="G44" s="738">
        <f t="shared" si="23"/>
        <v>15</v>
      </c>
      <c r="H44" s="738">
        <f t="shared" si="24"/>
        <v>315</v>
      </c>
      <c r="I44" s="718"/>
      <c r="J44" s="718"/>
      <c r="K44" s="718"/>
      <c r="L44" s="718"/>
      <c r="M44" s="3"/>
      <c r="N44" s="3"/>
      <c r="O44" s="3"/>
      <c r="P44" s="3"/>
      <c r="Q44" s="3"/>
      <c r="R44" s="3"/>
      <c r="S44" s="3"/>
      <c r="T44" s="3"/>
      <c r="U44" s="3"/>
      <c r="V44" s="3"/>
      <c r="W44" s="3"/>
      <c r="X44" s="3"/>
      <c r="Y44" s="3"/>
      <c r="Z44" s="3"/>
    </row>
    <row r="45" spans="1:26" s="747" customFormat="1" ht="14.25" customHeight="1">
      <c r="A45" s="719">
        <v>9</v>
      </c>
      <c r="B45" s="716" t="s">
        <v>1351</v>
      </c>
      <c r="C45" s="719" t="s">
        <v>1292</v>
      </c>
      <c r="D45" s="737">
        <v>20</v>
      </c>
      <c r="E45" s="737">
        <v>70</v>
      </c>
      <c r="F45" s="738">
        <f t="shared" si="22"/>
        <v>1400</v>
      </c>
      <c r="G45" s="738">
        <f t="shared" si="23"/>
        <v>70</v>
      </c>
      <c r="H45" s="738">
        <f t="shared" si="24"/>
        <v>1470</v>
      </c>
      <c r="I45" s="718"/>
      <c r="J45" s="718"/>
      <c r="K45" s="718"/>
      <c r="L45" s="718"/>
      <c r="M45" s="3"/>
      <c r="N45" s="3"/>
      <c r="O45" s="3"/>
      <c r="P45" s="3"/>
      <c r="Q45" s="3"/>
      <c r="R45" s="3"/>
      <c r="S45" s="3"/>
      <c r="T45" s="3"/>
      <c r="U45" s="3"/>
      <c r="V45" s="3"/>
      <c r="W45" s="3"/>
      <c r="X45" s="3"/>
      <c r="Y45" s="3"/>
      <c r="Z45" s="3"/>
    </row>
    <row r="46" spans="1:26" s="757" customFormat="1" ht="14.25" customHeight="1">
      <c r="A46" s="719">
        <v>10</v>
      </c>
      <c r="B46" s="716" t="s">
        <v>1698</v>
      </c>
      <c r="C46" s="719" t="s">
        <v>1292</v>
      </c>
      <c r="D46" s="737">
        <v>20</v>
      </c>
      <c r="E46" s="737">
        <v>25</v>
      </c>
      <c r="F46" s="738">
        <f t="shared" si="22"/>
        <v>500</v>
      </c>
      <c r="G46" s="738">
        <f t="shared" si="23"/>
        <v>25</v>
      </c>
      <c r="H46" s="738">
        <f t="shared" si="24"/>
        <v>525</v>
      </c>
      <c r="I46" s="718"/>
      <c r="J46" s="718"/>
      <c r="K46" s="718"/>
      <c r="L46" s="718"/>
      <c r="M46" s="3"/>
      <c r="N46" s="3"/>
      <c r="O46" s="3"/>
      <c r="P46" s="3"/>
      <c r="Q46" s="3"/>
      <c r="R46" s="3"/>
      <c r="S46" s="3"/>
      <c r="T46" s="3"/>
      <c r="U46" s="3"/>
      <c r="V46" s="3"/>
      <c r="W46" s="3"/>
      <c r="X46" s="3"/>
      <c r="Y46" s="3"/>
      <c r="Z46" s="3"/>
    </row>
    <row r="47" spans="1:26" s="757" customFormat="1" ht="14.25" customHeight="1">
      <c r="A47" s="719"/>
      <c r="B47" s="716"/>
      <c r="C47" s="719"/>
      <c r="D47" s="737"/>
      <c r="E47" s="737"/>
      <c r="F47" s="738"/>
      <c r="G47" s="738"/>
      <c r="H47" s="738"/>
      <c r="I47" s="718"/>
      <c r="J47" s="718"/>
      <c r="K47" s="718"/>
      <c r="L47" s="718"/>
      <c r="M47" s="3"/>
      <c r="N47" s="3"/>
      <c r="O47" s="3"/>
      <c r="P47" s="3"/>
      <c r="Q47" s="3"/>
      <c r="R47" s="3"/>
      <c r="S47" s="3"/>
      <c r="T47" s="3"/>
      <c r="U47" s="3"/>
      <c r="V47" s="3"/>
      <c r="W47" s="3"/>
      <c r="X47" s="3"/>
      <c r="Y47" s="3"/>
      <c r="Z47" s="3"/>
    </row>
    <row r="48" spans="1:26" ht="14.25" customHeight="1">
      <c r="A48" s="723" t="s">
        <v>31</v>
      </c>
      <c r="B48" s="715" t="s">
        <v>1312</v>
      </c>
      <c r="C48" s="716"/>
      <c r="D48" s="737"/>
      <c r="E48" s="737"/>
      <c r="F48" s="738"/>
      <c r="G48" s="738"/>
      <c r="H48" s="738"/>
      <c r="I48" s="718"/>
      <c r="J48" s="718"/>
      <c r="K48" s="718"/>
      <c r="L48" s="718"/>
      <c r="M48" s="3"/>
      <c r="N48" s="3"/>
      <c r="O48" s="3"/>
      <c r="P48" s="3"/>
      <c r="Q48" s="3"/>
      <c r="R48" s="3"/>
      <c r="S48" s="3"/>
      <c r="T48" s="3"/>
      <c r="U48" s="3"/>
      <c r="V48" s="3"/>
      <c r="W48" s="3"/>
      <c r="X48" s="3"/>
      <c r="Y48" s="3"/>
      <c r="Z48" s="3"/>
    </row>
    <row r="49" spans="1:26" ht="14.25" customHeight="1">
      <c r="A49" s="719">
        <v>1</v>
      </c>
      <c r="B49" s="716" t="s">
        <v>1322</v>
      </c>
      <c r="C49" s="719" t="s">
        <v>1295</v>
      </c>
      <c r="D49" s="743">
        <v>9710</v>
      </c>
      <c r="E49" s="737">
        <v>0.9</v>
      </c>
      <c r="F49" s="738">
        <f t="shared" ref="F49:F55" si="25">(D49*E49)</f>
        <v>8739</v>
      </c>
      <c r="G49" s="738"/>
      <c r="H49" s="738">
        <f t="shared" ref="H49:H54" si="26">SUM(F49+G49)</f>
        <v>8739</v>
      </c>
      <c r="I49" s="718"/>
      <c r="J49" s="718"/>
      <c r="K49" s="718"/>
      <c r="L49" s="718"/>
      <c r="M49" s="3"/>
      <c r="N49" s="3"/>
      <c r="O49" s="3"/>
      <c r="P49" s="3"/>
      <c r="Q49" s="3"/>
      <c r="R49" s="3"/>
      <c r="S49" s="3"/>
      <c r="T49" s="3"/>
      <c r="U49" s="3"/>
      <c r="V49" s="3"/>
      <c r="W49" s="3"/>
      <c r="X49" s="3"/>
      <c r="Y49" s="3"/>
      <c r="Z49" s="3"/>
    </row>
    <row r="50" spans="1:26" ht="14.25" customHeight="1">
      <c r="A50" s="719">
        <v>2</v>
      </c>
      <c r="B50" s="716" t="s">
        <v>1323</v>
      </c>
      <c r="C50" s="719" t="s">
        <v>1295</v>
      </c>
      <c r="D50" s="743">
        <v>1300</v>
      </c>
      <c r="E50" s="737">
        <v>1.6</v>
      </c>
      <c r="F50" s="738">
        <f t="shared" si="25"/>
        <v>2080</v>
      </c>
      <c r="G50" s="738"/>
      <c r="H50" s="738">
        <f t="shared" si="26"/>
        <v>2080</v>
      </c>
      <c r="I50" s="718"/>
      <c r="J50" s="718"/>
      <c r="K50" s="718"/>
      <c r="L50" s="718"/>
      <c r="M50" s="3"/>
      <c r="N50" s="3"/>
      <c r="O50" s="3"/>
      <c r="P50" s="3"/>
      <c r="Q50" s="3"/>
      <c r="R50" s="3"/>
      <c r="S50" s="3"/>
      <c r="T50" s="3"/>
      <c r="U50" s="3"/>
      <c r="V50" s="3"/>
      <c r="W50" s="3"/>
      <c r="X50" s="3"/>
      <c r="Y50" s="3"/>
      <c r="Z50" s="3"/>
    </row>
    <row r="51" spans="1:26" ht="14.25" customHeight="1">
      <c r="A51" s="719">
        <v>3</v>
      </c>
      <c r="B51" s="716" t="s">
        <v>1324</v>
      </c>
      <c r="C51" s="719" t="s">
        <v>1292</v>
      </c>
      <c r="D51" s="737">
        <v>20</v>
      </c>
      <c r="E51" s="737">
        <v>110</v>
      </c>
      <c r="F51" s="738">
        <f t="shared" si="25"/>
        <v>2200</v>
      </c>
      <c r="G51" s="738"/>
      <c r="H51" s="738">
        <f t="shared" si="26"/>
        <v>2200</v>
      </c>
      <c r="I51" s="718"/>
      <c r="J51" s="718"/>
      <c r="K51" s="718"/>
      <c r="L51" s="718"/>
      <c r="M51" s="3"/>
      <c r="N51" s="3"/>
      <c r="O51" s="3"/>
      <c r="P51" s="3"/>
      <c r="Q51" s="3"/>
      <c r="R51" s="3"/>
      <c r="S51" s="3"/>
      <c r="T51" s="3"/>
      <c r="U51" s="3"/>
      <c r="V51" s="3"/>
      <c r="W51" s="3"/>
      <c r="X51" s="3"/>
      <c r="Y51" s="3"/>
      <c r="Z51" s="3"/>
    </row>
    <row r="52" spans="1:26" ht="14.25" customHeight="1">
      <c r="A52" s="719">
        <v>4</v>
      </c>
      <c r="B52" s="716" t="s">
        <v>1325</v>
      </c>
      <c r="C52" s="719" t="s">
        <v>1299</v>
      </c>
      <c r="D52" s="737">
        <v>1500</v>
      </c>
      <c r="E52" s="737">
        <v>1.37</v>
      </c>
      <c r="F52" s="738">
        <f t="shared" si="25"/>
        <v>2055</v>
      </c>
      <c r="G52" s="738"/>
      <c r="H52" s="738">
        <f t="shared" si="26"/>
        <v>2055</v>
      </c>
      <c r="I52" s="718"/>
      <c r="J52" s="718"/>
      <c r="K52" s="718"/>
      <c r="L52" s="718"/>
      <c r="M52" s="3"/>
      <c r="N52" s="3"/>
      <c r="O52" s="3"/>
      <c r="P52" s="3"/>
      <c r="Q52" s="3"/>
      <c r="R52" s="3"/>
      <c r="S52" s="3"/>
      <c r="T52" s="3"/>
      <c r="U52" s="3"/>
      <c r="V52" s="3"/>
      <c r="W52" s="3"/>
      <c r="X52" s="3"/>
      <c r="Y52" s="3"/>
      <c r="Z52" s="3"/>
    </row>
    <row r="53" spans="1:26" ht="14.25" customHeight="1">
      <c r="A53" s="719">
        <v>5</v>
      </c>
      <c r="B53" s="716" t="s">
        <v>1326</v>
      </c>
      <c r="C53" s="719" t="s">
        <v>1276</v>
      </c>
      <c r="D53" s="737">
        <v>70</v>
      </c>
      <c r="E53" s="737">
        <v>1</v>
      </c>
      <c r="F53" s="738">
        <f t="shared" si="25"/>
        <v>70</v>
      </c>
      <c r="G53" s="738"/>
      <c r="H53" s="738">
        <f t="shared" si="26"/>
        <v>70</v>
      </c>
      <c r="I53" s="718"/>
      <c r="J53" s="718"/>
      <c r="K53" s="718"/>
      <c r="L53" s="718"/>
      <c r="M53" s="3"/>
      <c r="N53" s="3"/>
      <c r="O53" s="3"/>
      <c r="P53" s="3"/>
      <c r="Q53" s="3"/>
      <c r="R53" s="3"/>
      <c r="S53" s="3"/>
      <c r="T53" s="3"/>
      <c r="U53" s="3"/>
      <c r="V53" s="3"/>
      <c r="W53" s="3"/>
      <c r="X53" s="3"/>
      <c r="Y53" s="3"/>
      <c r="Z53" s="3"/>
    </row>
    <row r="54" spans="1:26" ht="14.25" customHeight="1">
      <c r="A54" s="719">
        <v>6</v>
      </c>
      <c r="B54" s="716" t="s">
        <v>1327</v>
      </c>
      <c r="C54" s="719" t="s">
        <v>121</v>
      </c>
      <c r="D54" s="737">
        <v>500</v>
      </c>
      <c r="E54" s="737">
        <v>0.8</v>
      </c>
      <c r="F54" s="738">
        <f t="shared" si="25"/>
        <v>400</v>
      </c>
      <c r="G54" s="738">
        <f t="shared" ref="G54:G56" si="27">(F54*5%)</f>
        <v>20</v>
      </c>
      <c r="H54" s="738">
        <f t="shared" si="26"/>
        <v>420</v>
      </c>
      <c r="I54" s="718"/>
      <c r="J54" s="718"/>
      <c r="K54" s="718"/>
      <c r="L54" s="718"/>
      <c r="M54" s="3"/>
      <c r="N54" s="3"/>
      <c r="O54" s="3"/>
      <c r="P54" s="3"/>
      <c r="Q54" s="3"/>
      <c r="R54" s="3"/>
      <c r="S54" s="3"/>
      <c r="T54" s="3"/>
      <c r="U54" s="3"/>
      <c r="V54" s="3"/>
      <c r="W54" s="3"/>
      <c r="X54" s="3"/>
      <c r="Y54" s="3"/>
      <c r="Z54" s="3"/>
    </row>
    <row r="55" spans="1:26" ht="14.25" customHeight="1">
      <c r="A55" s="719">
        <v>7</v>
      </c>
      <c r="B55" s="716" t="s">
        <v>1328</v>
      </c>
      <c r="C55" s="719" t="s">
        <v>121</v>
      </c>
      <c r="D55" s="737">
        <v>500</v>
      </c>
      <c r="E55" s="737">
        <v>1.2</v>
      </c>
      <c r="F55" s="738">
        <f t="shared" si="25"/>
        <v>600</v>
      </c>
      <c r="G55" s="738">
        <f t="shared" si="27"/>
        <v>30</v>
      </c>
      <c r="H55" s="738">
        <f>SUM(F55+G55)</f>
        <v>630</v>
      </c>
      <c r="I55" s="718"/>
      <c r="J55" s="718"/>
      <c r="K55" s="718"/>
      <c r="L55" s="718"/>
      <c r="M55" s="3"/>
      <c r="N55" s="3"/>
      <c r="O55" s="3"/>
      <c r="P55" s="3"/>
      <c r="Q55" s="3"/>
      <c r="R55" s="3"/>
      <c r="S55" s="3"/>
      <c r="T55" s="3"/>
      <c r="U55" s="3"/>
      <c r="V55" s="3"/>
      <c r="W55" s="3"/>
      <c r="X55" s="3"/>
      <c r="Y55" s="3"/>
      <c r="Z55" s="3"/>
    </row>
    <row r="56" spans="1:26" ht="14.25" customHeight="1">
      <c r="A56" s="719">
        <v>8</v>
      </c>
      <c r="B56" s="716" t="s">
        <v>1330</v>
      </c>
      <c r="C56" s="719" t="s">
        <v>1331</v>
      </c>
      <c r="D56" s="737">
        <v>1</v>
      </c>
      <c r="E56" s="737">
        <v>5.6</v>
      </c>
      <c r="F56" s="738">
        <f t="shared" ref="F56:F57" si="28">(D56*E56)</f>
        <v>5.6</v>
      </c>
      <c r="G56" s="738">
        <f t="shared" si="27"/>
        <v>0.27999999999999997</v>
      </c>
      <c r="H56" s="738">
        <f t="shared" ref="H56:H57" si="29">SUM(F56+G56)</f>
        <v>5.88</v>
      </c>
      <c r="I56" s="718"/>
      <c r="J56" s="718"/>
      <c r="K56" s="718"/>
      <c r="L56" s="718"/>
      <c r="M56" s="3"/>
      <c r="N56" s="3"/>
      <c r="O56" s="3"/>
      <c r="P56" s="3"/>
      <c r="Q56" s="3"/>
      <c r="R56" s="3"/>
      <c r="S56" s="3"/>
      <c r="T56" s="3"/>
      <c r="U56" s="3"/>
      <c r="V56" s="3"/>
      <c r="W56" s="3"/>
      <c r="X56" s="3"/>
      <c r="Y56" s="3"/>
      <c r="Z56" s="3"/>
    </row>
    <row r="57" spans="1:26" ht="14.25" customHeight="1">
      <c r="A57" s="719">
        <v>9</v>
      </c>
      <c r="B57" s="716" t="s">
        <v>1359</v>
      </c>
      <c r="C57" s="719" t="s">
        <v>1276</v>
      </c>
      <c r="D57" s="737">
        <v>1</v>
      </c>
      <c r="E57" s="737">
        <v>4000</v>
      </c>
      <c r="F57" s="738">
        <f t="shared" si="28"/>
        <v>4000</v>
      </c>
      <c r="G57" s="738"/>
      <c r="H57" s="738">
        <f t="shared" si="29"/>
        <v>4000</v>
      </c>
      <c r="I57" s="718"/>
      <c r="J57" s="718"/>
      <c r="K57" s="718"/>
      <c r="L57" s="718"/>
      <c r="M57" s="3"/>
      <c r="N57" s="3"/>
      <c r="O57" s="3"/>
      <c r="P57" s="3"/>
      <c r="Q57" s="3"/>
      <c r="R57" s="3"/>
      <c r="S57" s="3"/>
      <c r="T57" s="3"/>
      <c r="U57" s="3"/>
      <c r="V57" s="3"/>
      <c r="W57" s="3"/>
      <c r="X57" s="3"/>
      <c r="Y57" s="3"/>
      <c r="Z57" s="3"/>
    </row>
    <row r="58" spans="1:26" ht="14.25" customHeight="1">
      <c r="A58" s="716"/>
      <c r="B58" s="716"/>
      <c r="C58" s="716"/>
      <c r="D58" s="737"/>
      <c r="E58" s="737"/>
      <c r="F58" s="738"/>
      <c r="G58" s="738"/>
      <c r="H58" s="738"/>
      <c r="I58" s="718"/>
      <c r="J58" s="718"/>
      <c r="K58" s="718"/>
      <c r="L58" s="718"/>
      <c r="M58" s="3"/>
      <c r="N58" s="3"/>
      <c r="O58" s="3"/>
      <c r="P58" s="3"/>
      <c r="Q58" s="3"/>
      <c r="R58" s="3"/>
      <c r="S58" s="3"/>
      <c r="T58" s="3"/>
      <c r="U58" s="3"/>
      <c r="V58" s="3"/>
      <c r="W58" s="3"/>
      <c r="X58" s="3"/>
      <c r="Y58" s="3"/>
      <c r="Z58" s="3"/>
    </row>
    <row r="59" spans="1:26" ht="14.25" customHeight="1">
      <c r="A59" s="723" t="s">
        <v>32</v>
      </c>
      <c r="B59" s="715" t="s">
        <v>1313</v>
      </c>
      <c r="C59" s="716"/>
      <c r="D59" s="737"/>
      <c r="E59" s="737"/>
      <c r="F59" s="738"/>
      <c r="G59" s="738"/>
      <c r="H59" s="738"/>
      <c r="I59" s="718"/>
      <c r="J59" s="718"/>
      <c r="K59" s="718"/>
      <c r="L59" s="718"/>
      <c r="M59" s="3"/>
      <c r="N59" s="3"/>
      <c r="O59" s="3"/>
      <c r="P59" s="3"/>
      <c r="Q59" s="3"/>
      <c r="R59" s="3"/>
      <c r="S59" s="3"/>
      <c r="T59" s="3"/>
      <c r="U59" s="3"/>
      <c r="V59" s="3"/>
      <c r="W59" s="3"/>
      <c r="X59" s="3"/>
      <c r="Y59" s="3"/>
      <c r="Z59" s="3"/>
    </row>
    <row r="60" spans="1:26" s="710" customFormat="1" ht="14.25" customHeight="1">
      <c r="A60" s="723"/>
      <c r="B60" s="715" t="s">
        <v>1349</v>
      </c>
      <c r="C60" s="716"/>
      <c r="D60" s="737"/>
      <c r="E60" s="737"/>
      <c r="F60" s="738"/>
      <c r="G60" s="738"/>
      <c r="H60" s="738"/>
      <c r="I60" s="718"/>
      <c r="J60" s="718"/>
      <c r="K60" s="718"/>
      <c r="L60" s="718"/>
      <c r="M60" s="3"/>
      <c r="N60" s="3"/>
      <c r="O60" s="3"/>
      <c r="P60" s="3"/>
      <c r="Q60" s="3"/>
      <c r="R60" s="3"/>
      <c r="S60" s="3"/>
      <c r="T60" s="3"/>
      <c r="U60" s="3"/>
      <c r="V60" s="3"/>
      <c r="W60" s="3"/>
      <c r="X60" s="3"/>
      <c r="Y60" s="3"/>
      <c r="Z60" s="3"/>
    </row>
    <row r="61" spans="1:26" ht="14.25" customHeight="1">
      <c r="A61" s="719">
        <v>1</v>
      </c>
      <c r="B61" s="716" t="s">
        <v>1344</v>
      </c>
      <c r="C61" s="719" t="s">
        <v>1295</v>
      </c>
      <c r="D61" s="743">
        <v>1650</v>
      </c>
      <c r="E61" s="737">
        <v>2</v>
      </c>
      <c r="F61" s="738">
        <f t="shared" ref="F61:F67" si="30">(D61*E61)</f>
        <v>3300</v>
      </c>
      <c r="G61" s="738">
        <f t="shared" ref="G61:G68" si="31">(F61*5%)</f>
        <v>165</v>
      </c>
      <c r="H61" s="738">
        <f t="shared" ref="H61:H67" si="32">SUM(F61+G61)</f>
        <v>3465</v>
      </c>
      <c r="I61" s="718"/>
      <c r="J61" s="718"/>
      <c r="K61" s="718"/>
      <c r="L61" s="718"/>
      <c r="M61" s="3"/>
      <c r="N61" s="3"/>
      <c r="O61" s="3"/>
      <c r="P61" s="3"/>
      <c r="Q61" s="3"/>
      <c r="R61" s="3"/>
      <c r="S61" s="3"/>
      <c r="T61" s="3"/>
      <c r="U61" s="3"/>
      <c r="V61" s="3"/>
      <c r="W61" s="3"/>
      <c r="X61" s="3"/>
      <c r="Y61" s="3"/>
      <c r="Z61" s="3"/>
    </row>
    <row r="62" spans="1:26" ht="14.25" customHeight="1">
      <c r="A62" s="719">
        <v>2</v>
      </c>
      <c r="B62" s="716" t="s">
        <v>1345</v>
      </c>
      <c r="C62" s="719" t="s">
        <v>1295</v>
      </c>
      <c r="D62" s="743">
        <v>180</v>
      </c>
      <c r="E62" s="737">
        <v>2.8</v>
      </c>
      <c r="F62" s="738">
        <f t="shared" si="30"/>
        <v>503.99999999999994</v>
      </c>
      <c r="G62" s="738">
        <f t="shared" si="31"/>
        <v>25.2</v>
      </c>
      <c r="H62" s="738">
        <f t="shared" si="32"/>
        <v>529.19999999999993</v>
      </c>
      <c r="I62" s="718"/>
      <c r="J62" s="718"/>
      <c r="K62" s="718"/>
      <c r="L62" s="718"/>
      <c r="M62" s="3"/>
      <c r="N62" s="3"/>
      <c r="O62" s="3"/>
      <c r="P62" s="3"/>
      <c r="Q62" s="3"/>
      <c r="R62" s="3"/>
      <c r="S62" s="3"/>
      <c r="T62" s="3"/>
      <c r="U62" s="3"/>
      <c r="V62" s="3"/>
      <c r="W62" s="3"/>
      <c r="X62" s="3"/>
      <c r="Y62" s="3"/>
      <c r="Z62" s="3"/>
    </row>
    <row r="63" spans="1:26" ht="14.25" customHeight="1">
      <c r="A63" s="719">
        <v>3</v>
      </c>
      <c r="B63" s="716" t="s">
        <v>1628</v>
      </c>
      <c r="C63" s="719" t="s">
        <v>1295</v>
      </c>
      <c r="D63" s="743">
        <v>1500</v>
      </c>
      <c r="E63" s="737">
        <v>1.8</v>
      </c>
      <c r="F63" s="738">
        <f t="shared" si="30"/>
        <v>2700</v>
      </c>
      <c r="G63" s="738">
        <f t="shared" si="31"/>
        <v>135</v>
      </c>
      <c r="H63" s="738">
        <f t="shared" si="32"/>
        <v>2835</v>
      </c>
      <c r="I63" s="718"/>
      <c r="J63" s="718"/>
      <c r="K63" s="718"/>
      <c r="L63" s="718"/>
      <c r="M63" s="3"/>
      <c r="N63" s="3"/>
      <c r="O63" s="3"/>
      <c r="P63" s="3"/>
      <c r="Q63" s="3"/>
      <c r="R63" s="3"/>
      <c r="S63" s="3"/>
      <c r="T63" s="3"/>
      <c r="U63" s="3"/>
      <c r="V63" s="3"/>
      <c r="W63" s="3"/>
      <c r="X63" s="3"/>
      <c r="Y63" s="3"/>
      <c r="Z63" s="3"/>
    </row>
    <row r="64" spans="1:26" s="742" customFormat="1" ht="14.25" customHeight="1">
      <c r="A64" s="719">
        <v>4</v>
      </c>
      <c r="B64" s="716" t="s">
        <v>1629</v>
      </c>
      <c r="C64" s="719" t="s">
        <v>1295</v>
      </c>
      <c r="D64" s="743">
        <v>70</v>
      </c>
      <c r="E64" s="737">
        <v>1.8</v>
      </c>
      <c r="F64" s="738">
        <f t="shared" ref="F64" si="33">(D64*E64)</f>
        <v>126</v>
      </c>
      <c r="G64" s="738">
        <f t="shared" ref="G64" si="34">(F64*5%)</f>
        <v>6.3000000000000007</v>
      </c>
      <c r="H64" s="738">
        <f t="shared" ref="H64" si="35">SUM(F64+G64)</f>
        <v>132.30000000000001</v>
      </c>
      <c r="I64" s="718"/>
      <c r="J64" s="718"/>
      <c r="K64" s="718"/>
      <c r="L64" s="718"/>
      <c r="M64" s="3"/>
      <c r="N64" s="3"/>
      <c r="O64" s="3"/>
      <c r="P64" s="3"/>
      <c r="Q64" s="3"/>
      <c r="R64" s="3"/>
      <c r="S64" s="3"/>
      <c r="T64" s="3"/>
      <c r="U64" s="3"/>
      <c r="V64" s="3"/>
      <c r="W64" s="3"/>
      <c r="X64" s="3"/>
      <c r="Y64" s="3"/>
      <c r="Z64" s="3"/>
    </row>
    <row r="65" spans="1:26" ht="14.25" customHeight="1">
      <c r="A65" s="719">
        <v>5</v>
      </c>
      <c r="B65" s="716" t="s">
        <v>1347</v>
      </c>
      <c r="C65" s="719" t="s">
        <v>1295</v>
      </c>
      <c r="D65" s="743">
        <v>450</v>
      </c>
      <c r="E65" s="737">
        <v>1.8</v>
      </c>
      <c r="F65" s="738">
        <f t="shared" si="30"/>
        <v>810</v>
      </c>
      <c r="G65" s="738">
        <f t="shared" si="31"/>
        <v>40.5</v>
      </c>
      <c r="H65" s="738">
        <f t="shared" si="32"/>
        <v>850.5</v>
      </c>
      <c r="I65" s="718"/>
      <c r="J65" s="718"/>
      <c r="K65" s="718"/>
      <c r="L65" s="718"/>
      <c r="M65" s="3"/>
      <c r="N65" s="3"/>
      <c r="O65" s="3"/>
      <c r="P65" s="3"/>
      <c r="Q65" s="3"/>
      <c r="R65" s="3"/>
      <c r="S65" s="3"/>
      <c r="T65" s="3"/>
      <c r="U65" s="3"/>
      <c r="V65" s="3"/>
      <c r="W65" s="3"/>
      <c r="X65" s="3"/>
      <c r="Y65" s="3"/>
      <c r="Z65" s="3"/>
    </row>
    <row r="66" spans="1:26" ht="14.25" customHeight="1">
      <c r="A66" s="719">
        <v>6</v>
      </c>
      <c r="B66" s="716" t="s">
        <v>1348</v>
      </c>
      <c r="C66" s="719" t="s">
        <v>1356</v>
      </c>
      <c r="D66" s="743">
        <v>1700</v>
      </c>
      <c r="E66" s="737">
        <v>0.3</v>
      </c>
      <c r="F66" s="738">
        <f t="shared" si="30"/>
        <v>510</v>
      </c>
      <c r="G66" s="738">
        <f t="shared" si="31"/>
        <v>25.5</v>
      </c>
      <c r="H66" s="738">
        <f t="shared" si="32"/>
        <v>535.5</v>
      </c>
      <c r="I66" s="718"/>
      <c r="J66" s="718"/>
      <c r="K66" s="718"/>
      <c r="L66" s="718"/>
      <c r="M66" s="3"/>
      <c r="N66" s="3"/>
      <c r="O66" s="3"/>
      <c r="P66" s="3"/>
      <c r="Q66" s="3"/>
      <c r="R66" s="3"/>
      <c r="S66" s="3"/>
      <c r="T66" s="3"/>
      <c r="U66" s="3"/>
      <c r="V66" s="3"/>
      <c r="W66" s="3"/>
      <c r="X66" s="3"/>
      <c r="Y66" s="3"/>
      <c r="Z66" s="3"/>
    </row>
    <row r="67" spans="1:26" ht="14.25" customHeight="1">
      <c r="A67" s="719">
        <v>7</v>
      </c>
      <c r="B67" s="716" t="s">
        <v>1677</v>
      </c>
      <c r="C67" s="719" t="s">
        <v>1356</v>
      </c>
      <c r="D67" s="743">
        <v>200</v>
      </c>
      <c r="E67" s="737">
        <v>0.3</v>
      </c>
      <c r="F67" s="738">
        <f t="shared" si="30"/>
        <v>60</v>
      </c>
      <c r="G67" s="738">
        <f t="shared" si="31"/>
        <v>3</v>
      </c>
      <c r="H67" s="738">
        <f t="shared" si="32"/>
        <v>63</v>
      </c>
      <c r="I67" s="718"/>
      <c r="J67" s="718"/>
      <c r="K67" s="718"/>
      <c r="L67" s="718"/>
      <c r="M67" s="3"/>
      <c r="N67" s="3"/>
      <c r="O67" s="3"/>
      <c r="P67" s="3"/>
      <c r="Q67" s="3"/>
      <c r="R67" s="3"/>
      <c r="S67" s="3"/>
      <c r="T67" s="3"/>
      <c r="U67" s="3"/>
      <c r="V67" s="3"/>
      <c r="W67" s="3"/>
      <c r="X67" s="3"/>
      <c r="Y67" s="3"/>
      <c r="Z67" s="3"/>
    </row>
    <row r="68" spans="1:26" s="710" customFormat="1" ht="14.25" customHeight="1">
      <c r="A68" s="719">
        <v>8</v>
      </c>
      <c r="B68" s="716" t="s">
        <v>1350</v>
      </c>
      <c r="C68" s="719" t="s">
        <v>1299</v>
      </c>
      <c r="D68" s="737">
        <v>1680</v>
      </c>
      <c r="E68" s="737">
        <v>1.2</v>
      </c>
      <c r="F68" s="738">
        <f t="shared" ref="F68:F71" si="36">(D68*E68)</f>
        <v>2016</v>
      </c>
      <c r="G68" s="738">
        <f t="shared" si="31"/>
        <v>100.80000000000001</v>
      </c>
      <c r="H68" s="738">
        <f t="shared" ref="H68:H71" si="37">SUM(F68+G68)</f>
        <v>2116.8000000000002</v>
      </c>
      <c r="I68" s="718"/>
      <c r="J68" s="718"/>
      <c r="K68" s="718"/>
      <c r="L68" s="718"/>
      <c r="M68" s="3"/>
      <c r="N68" s="3"/>
      <c r="O68" s="3"/>
      <c r="P68" s="3"/>
      <c r="Q68" s="3"/>
      <c r="R68" s="3"/>
      <c r="S68" s="3"/>
      <c r="T68" s="3"/>
      <c r="U68" s="3"/>
      <c r="V68" s="3"/>
      <c r="W68" s="3"/>
      <c r="X68" s="3"/>
      <c r="Y68" s="3"/>
      <c r="Z68" s="3"/>
    </row>
    <row r="69" spans="1:26" s="710" customFormat="1" ht="14.25" customHeight="1">
      <c r="A69" s="719">
        <v>9</v>
      </c>
      <c r="B69" s="716" t="s">
        <v>1351</v>
      </c>
      <c r="C69" s="719" t="s">
        <v>1292</v>
      </c>
      <c r="D69" s="737">
        <v>18</v>
      </c>
      <c r="E69" s="737">
        <v>60</v>
      </c>
      <c r="F69" s="738">
        <f t="shared" si="36"/>
        <v>1080</v>
      </c>
      <c r="G69" s="738"/>
      <c r="H69" s="738">
        <f t="shared" si="37"/>
        <v>1080</v>
      </c>
      <c r="I69" s="718"/>
      <c r="J69" s="718"/>
      <c r="K69" s="718"/>
      <c r="L69" s="718"/>
      <c r="M69" s="3"/>
      <c r="N69" s="3"/>
      <c r="O69" s="3"/>
      <c r="P69" s="3"/>
      <c r="Q69" s="3"/>
      <c r="R69" s="3"/>
      <c r="S69" s="3"/>
      <c r="T69" s="3"/>
      <c r="U69" s="3"/>
      <c r="V69" s="3"/>
      <c r="W69" s="3"/>
      <c r="X69" s="3"/>
      <c r="Y69" s="3"/>
      <c r="Z69" s="3"/>
    </row>
    <row r="70" spans="1:26" s="710" customFormat="1" ht="14.25" customHeight="1">
      <c r="A70" s="719">
        <v>10</v>
      </c>
      <c r="B70" s="716" t="s">
        <v>1353</v>
      </c>
      <c r="C70" s="719" t="s">
        <v>1591</v>
      </c>
      <c r="D70" s="737">
        <v>1200</v>
      </c>
      <c r="E70" s="737">
        <v>1.37</v>
      </c>
      <c r="F70" s="738">
        <f t="shared" si="36"/>
        <v>1644.0000000000002</v>
      </c>
      <c r="G70" s="738"/>
      <c r="H70" s="738">
        <f t="shared" si="37"/>
        <v>1644.0000000000002</v>
      </c>
      <c r="I70" s="718"/>
      <c r="J70" s="718"/>
      <c r="K70" s="718"/>
      <c r="L70" s="718"/>
      <c r="M70" s="3"/>
      <c r="N70" s="3"/>
      <c r="O70" s="3"/>
      <c r="P70" s="3"/>
      <c r="Q70" s="3"/>
      <c r="R70" s="3"/>
      <c r="S70" s="3"/>
      <c r="T70" s="3"/>
      <c r="U70" s="3"/>
      <c r="V70" s="3"/>
      <c r="W70" s="3"/>
      <c r="X70" s="3"/>
      <c r="Y70" s="3"/>
      <c r="Z70" s="3"/>
    </row>
    <row r="71" spans="1:26" s="710" customFormat="1" ht="14.25" customHeight="1">
      <c r="A71" s="719">
        <v>11</v>
      </c>
      <c r="B71" s="716" t="s">
        <v>1352</v>
      </c>
      <c r="C71" s="719" t="s">
        <v>1299</v>
      </c>
      <c r="D71" s="737">
        <v>25</v>
      </c>
      <c r="E71" s="737">
        <v>1.2</v>
      </c>
      <c r="F71" s="738">
        <f t="shared" si="36"/>
        <v>30</v>
      </c>
      <c r="G71" s="738"/>
      <c r="H71" s="738">
        <f t="shared" si="37"/>
        <v>30</v>
      </c>
      <c r="I71" s="718"/>
      <c r="J71" s="718"/>
      <c r="K71" s="718"/>
      <c r="L71" s="718"/>
      <c r="M71" s="3"/>
      <c r="N71" s="3"/>
      <c r="O71" s="3"/>
      <c r="P71" s="3"/>
      <c r="Q71" s="3"/>
      <c r="R71" s="3"/>
      <c r="S71" s="3"/>
      <c r="T71" s="3"/>
      <c r="U71" s="3"/>
      <c r="V71" s="3"/>
      <c r="W71" s="3"/>
      <c r="X71" s="3"/>
      <c r="Y71" s="3"/>
      <c r="Z71" s="3"/>
    </row>
    <row r="72" spans="1:26" s="710" customFormat="1" ht="14.25" customHeight="1">
      <c r="A72" s="719">
        <v>12</v>
      </c>
      <c r="B72" s="716" t="s">
        <v>1354</v>
      </c>
      <c r="C72" s="719" t="s">
        <v>1356</v>
      </c>
      <c r="D72" s="737">
        <v>180</v>
      </c>
      <c r="E72" s="737">
        <v>5</v>
      </c>
      <c r="F72" s="738">
        <f t="shared" ref="F72:F75" si="38">(D72*E72)</f>
        <v>900</v>
      </c>
      <c r="G72" s="738"/>
      <c r="H72" s="738">
        <f t="shared" ref="H72:H75" si="39">SUM(F72+G72)</f>
        <v>900</v>
      </c>
      <c r="I72" s="718"/>
      <c r="J72" s="718"/>
      <c r="K72" s="718"/>
      <c r="L72" s="718"/>
      <c r="M72" s="3"/>
      <c r="N72" s="3"/>
      <c r="O72" s="3"/>
      <c r="P72" s="3"/>
      <c r="Q72" s="3"/>
      <c r="R72" s="3"/>
      <c r="S72" s="3"/>
      <c r="T72" s="3"/>
      <c r="U72" s="3"/>
      <c r="V72" s="3"/>
      <c r="W72" s="3"/>
      <c r="X72" s="3"/>
      <c r="Y72" s="3"/>
      <c r="Z72" s="3"/>
    </row>
    <row r="73" spans="1:26" ht="14.25" customHeight="1">
      <c r="A73" s="719">
        <v>13</v>
      </c>
      <c r="B73" s="716" t="s">
        <v>1357</v>
      </c>
      <c r="C73" s="719" t="s">
        <v>1591</v>
      </c>
      <c r="D73" s="737">
        <v>100</v>
      </c>
      <c r="E73" s="737">
        <v>2.4</v>
      </c>
      <c r="F73" s="738">
        <f t="shared" si="38"/>
        <v>240</v>
      </c>
      <c r="G73" s="738"/>
      <c r="H73" s="738">
        <f t="shared" si="39"/>
        <v>240</v>
      </c>
      <c r="I73" s="718"/>
      <c r="J73" s="718"/>
      <c r="K73" s="718"/>
      <c r="L73" s="718"/>
      <c r="M73" s="3"/>
      <c r="N73" s="3"/>
      <c r="O73" s="3"/>
      <c r="P73" s="3"/>
      <c r="Q73" s="3"/>
      <c r="R73" s="3"/>
      <c r="S73" s="3"/>
      <c r="T73" s="3"/>
      <c r="U73" s="3"/>
      <c r="V73" s="3"/>
      <c r="W73" s="3"/>
      <c r="X73" s="3"/>
      <c r="Y73" s="3"/>
      <c r="Z73" s="3"/>
    </row>
    <row r="74" spans="1:26" ht="14.25" customHeight="1">
      <c r="A74" s="719">
        <v>14</v>
      </c>
      <c r="B74" s="716" t="s">
        <v>1358</v>
      </c>
      <c r="C74" s="719" t="s">
        <v>1592</v>
      </c>
      <c r="D74" s="737">
        <v>300</v>
      </c>
      <c r="E74" s="737">
        <v>0.3</v>
      </c>
      <c r="F74" s="738">
        <f t="shared" si="38"/>
        <v>90</v>
      </c>
      <c r="G74" s="738"/>
      <c r="H74" s="738">
        <f t="shared" si="39"/>
        <v>90</v>
      </c>
      <c r="I74" s="718"/>
      <c r="J74" s="718"/>
      <c r="K74" s="718"/>
      <c r="L74" s="718"/>
      <c r="M74" s="3"/>
      <c r="N74" s="3"/>
      <c r="O74" s="3"/>
      <c r="P74" s="3"/>
      <c r="Q74" s="3"/>
      <c r="R74" s="3"/>
      <c r="S74" s="3"/>
      <c r="T74" s="3"/>
      <c r="U74" s="3"/>
      <c r="V74" s="3"/>
      <c r="W74" s="3"/>
      <c r="X74" s="3"/>
      <c r="Y74" s="3"/>
      <c r="Z74" s="3"/>
    </row>
    <row r="75" spans="1:26" s="712" customFormat="1" ht="14.25" customHeight="1">
      <c r="A75" s="719">
        <v>15</v>
      </c>
      <c r="B75" s="716" t="s">
        <v>1616</v>
      </c>
      <c r="C75" s="719" t="s">
        <v>1295</v>
      </c>
      <c r="D75" s="737">
        <v>1500</v>
      </c>
      <c r="E75" s="737">
        <v>0.5</v>
      </c>
      <c r="F75" s="738">
        <f t="shared" si="38"/>
        <v>750</v>
      </c>
      <c r="G75" s="738"/>
      <c r="H75" s="738">
        <f t="shared" si="39"/>
        <v>750</v>
      </c>
      <c r="I75" s="718"/>
      <c r="J75" s="718"/>
      <c r="K75" s="718"/>
      <c r="L75" s="718"/>
      <c r="M75" s="3"/>
      <c r="N75" s="3"/>
      <c r="O75" s="3"/>
      <c r="P75" s="3"/>
      <c r="Q75" s="3"/>
      <c r="R75" s="3"/>
      <c r="S75" s="3"/>
      <c r="T75" s="3"/>
      <c r="U75" s="3"/>
      <c r="V75" s="3"/>
      <c r="W75" s="3"/>
      <c r="X75" s="3"/>
      <c r="Y75" s="3"/>
      <c r="Z75" s="3"/>
    </row>
    <row r="76" spans="1:26" ht="14.25" customHeight="1">
      <c r="A76" s="716"/>
      <c r="B76" s="716" t="s">
        <v>1355</v>
      </c>
      <c r="C76" s="716"/>
      <c r="D76" s="737"/>
      <c r="E76" s="737"/>
      <c r="F76" s="738"/>
      <c r="G76" s="738"/>
      <c r="H76" s="738"/>
      <c r="I76" s="718"/>
      <c r="J76" s="718"/>
      <c r="K76" s="718"/>
      <c r="L76" s="718"/>
      <c r="M76" s="3"/>
      <c r="N76" s="3"/>
      <c r="O76" s="3"/>
      <c r="P76" s="3"/>
      <c r="Q76" s="3"/>
      <c r="R76" s="3"/>
      <c r="S76" s="3"/>
      <c r="T76" s="3"/>
      <c r="U76" s="3"/>
      <c r="V76" s="3"/>
      <c r="W76" s="3"/>
      <c r="X76" s="3"/>
      <c r="Y76" s="3"/>
      <c r="Z76" s="3"/>
    </row>
    <row r="77" spans="1:26" s="710" customFormat="1" ht="14.25" customHeight="1">
      <c r="A77" s="719">
        <v>16</v>
      </c>
      <c r="B77" s="716" t="s">
        <v>1344</v>
      </c>
      <c r="C77" s="719" t="s">
        <v>1295</v>
      </c>
      <c r="D77" s="743">
        <v>1650</v>
      </c>
      <c r="E77" s="737">
        <v>1.5</v>
      </c>
      <c r="F77" s="738">
        <f t="shared" ref="F77:F81" si="40">(D77*E77)</f>
        <v>2475</v>
      </c>
      <c r="G77" s="738"/>
      <c r="H77" s="738">
        <f t="shared" ref="H77:H81" si="41">SUM(F77+G77)</f>
        <v>2475</v>
      </c>
      <c r="I77" s="718"/>
      <c r="J77" s="718"/>
      <c r="K77" s="718"/>
      <c r="L77" s="718"/>
      <c r="M77" s="3"/>
      <c r="N77" s="3"/>
      <c r="O77" s="3"/>
      <c r="P77" s="3"/>
      <c r="Q77" s="3"/>
      <c r="R77" s="3"/>
      <c r="S77" s="3"/>
      <c r="T77" s="3"/>
      <c r="U77" s="3"/>
      <c r="V77" s="3"/>
      <c r="W77" s="3"/>
      <c r="X77" s="3"/>
      <c r="Y77" s="3"/>
      <c r="Z77" s="3"/>
    </row>
    <row r="78" spans="1:26" s="710" customFormat="1" ht="14.25" customHeight="1">
      <c r="A78" s="719">
        <v>17</v>
      </c>
      <c r="B78" s="716" t="s">
        <v>1345</v>
      </c>
      <c r="C78" s="719" t="s">
        <v>1295</v>
      </c>
      <c r="D78" s="743">
        <v>180</v>
      </c>
      <c r="E78" s="737">
        <v>1.6</v>
      </c>
      <c r="F78" s="738">
        <f t="shared" si="40"/>
        <v>288</v>
      </c>
      <c r="G78" s="738"/>
      <c r="H78" s="738">
        <f t="shared" si="41"/>
        <v>288</v>
      </c>
      <c r="I78" s="718"/>
      <c r="J78" s="718"/>
      <c r="K78" s="718"/>
      <c r="L78" s="718"/>
      <c r="M78" s="3"/>
      <c r="N78" s="3"/>
      <c r="O78" s="3"/>
      <c r="P78" s="3"/>
      <c r="Q78" s="3"/>
      <c r="R78" s="3"/>
      <c r="S78" s="3"/>
      <c r="T78" s="3"/>
      <c r="U78" s="3"/>
      <c r="V78" s="3"/>
      <c r="W78" s="3"/>
      <c r="X78" s="3"/>
      <c r="Y78" s="3"/>
      <c r="Z78" s="3"/>
    </row>
    <row r="79" spans="1:26" s="710" customFormat="1" ht="14.25" customHeight="1">
      <c r="A79" s="719">
        <v>18</v>
      </c>
      <c r="B79" s="716" t="s">
        <v>1346</v>
      </c>
      <c r="C79" s="719" t="s">
        <v>1295</v>
      </c>
      <c r="D79" s="743">
        <v>1500</v>
      </c>
      <c r="E79" s="737">
        <v>2</v>
      </c>
      <c r="F79" s="738">
        <f t="shared" si="40"/>
        <v>3000</v>
      </c>
      <c r="G79" s="738"/>
      <c r="H79" s="738">
        <f t="shared" si="41"/>
        <v>3000</v>
      </c>
      <c r="I79" s="718"/>
      <c r="J79" s="718"/>
      <c r="K79" s="718"/>
      <c r="L79" s="718"/>
      <c r="M79" s="3"/>
      <c r="N79" s="3"/>
      <c r="O79" s="3"/>
      <c r="P79" s="3"/>
      <c r="Q79" s="3"/>
      <c r="R79" s="3"/>
      <c r="S79" s="3"/>
      <c r="T79" s="3"/>
      <c r="U79" s="3"/>
      <c r="V79" s="3"/>
      <c r="W79" s="3"/>
      <c r="X79" s="3"/>
      <c r="Y79" s="3"/>
      <c r="Z79" s="3"/>
    </row>
    <row r="80" spans="1:26" s="710" customFormat="1" ht="14.25" customHeight="1">
      <c r="A80" s="719">
        <v>19</v>
      </c>
      <c r="B80" s="716" t="s">
        <v>1347</v>
      </c>
      <c r="C80" s="719" t="s">
        <v>1295</v>
      </c>
      <c r="D80" s="743">
        <v>450</v>
      </c>
      <c r="E80" s="737">
        <v>2</v>
      </c>
      <c r="F80" s="738">
        <f t="shared" si="40"/>
        <v>900</v>
      </c>
      <c r="G80" s="738"/>
      <c r="H80" s="738">
        <f t="shared" si="41"/>
        <v>900</v>
      </c>
      <c r="I80" s="718"/>
      <c r="J80" s="718"/>
      <c r="K80" s="718"/>
      <c r="L80" s="718"/>
      <c r="M80" s="3"/>
      <c r="N80" s="3"/>
      <c r="O80" s="3"/>
      <c r="P80" s="3"/>
      <c r="Q80" s="3"/>
      <c r="R80" s="3"/>
      <c r="S80" s="3"/>
      <c r="T80" s="3"/>
      <c r="U80" s="3"/>
      <c r="V80" s="3"/>
      <c r="W80" s="3"/>
      <c r="X80" s="3"/>
      <c r="Y80" s="3"/>
      <c r="Z80" s="3"/>
    </row>
    <row r="81" spans="1:26" ht="14.25" customHeight="1">
      <c r="A81" s="719">
        <v>20</v>
      </c>
      <c r="B81" s="716" t="s">
        <v>1348</v>
      </c>
      <c r="C81" s="719" t="s">
        <v>1356</v>
      </c>
      <c r="D81" s="743">
        <v>1900</v>
      </c>
      <c r="E81" s="737">
        <v>0.6</v>
      </c>
      <c r="F81" s="738">
        <f t="shared" si="40"/>
        <v>1140</v>
      </c>
      <c r="G81" s="738"/>
      <c r="H81" s="738">
        <f t="shared" si="41"/>
        <v>1140</v>
      </c>
      <c r="I81" s="718"/>
      <c r="J81" s="718"/>
      <c r="K81" s="718"/>
      <c r="L81" s="718"/>
      <c r="M81" s="3"/>
      <c r="N81" s="3"/>
      <c r="O81" s="3"/>
      <c r="P81" s="3"/>
      <c r="Q81" s="3"/>
      <c r="R81" s="3"/>
      <c r="S81" s="3"/>
      <c r="T81" s="3"/>
      <c r="U81" s="3"/>
      <c r="V81" s="3"/>
      <c r="W81" s="3"/>
      <c r="X81" s="3"/>
      <c r="Y81" s="3"/>
      <c r="Z81" s="3"/>
    </row>
    <row r="82" spans="1:26" s="710" customFormat="1" ht="14.25" customHeight="1">
      <c r="A82" s="719">
        <v>22</v>
      </c>
      <c r="B82" s="716" t="s">
        <v>1673</v>
      </c>
      <c r="C82" s="719" t="s">
        <v>1356</v>
      </c>
      <c r="D82" s="743">
        <v>180</v>
      </c>
      <c r="E82" s="737">
        <v>5</v>
      </c>
      <c r="F82" s="738">
        <f t="shared" ref="F82" si="42">(D82*E82)</f>
        <v>900</v>
      </c>
      <c r="G82" s="738"/>
      <c r="H82" s="738">
        <f t="shared" ref="H82" si="43">SUM(F82+G82)</f>
        <v>900</v>
      </c>
      <c r="I82" s="718"/>
      <c r="J82" s="718"/>
      <c r="K82" s="718"/>
      <c r="L82" s="718"/>
      <c r="M82" s="3"/>
      <c r="N82" s="3"/>
      <c r="O82" s="3"/>
      <c r="P82" s="3"/>
      <c r="Q82" s="3"/>
      <c r="R82" s="3"/>
      <c r="S82" s="3"/>
      <c r="T82" s="3"/>
      <c r="U82" s="3"/>
      <c r="V82" s="3"/>
      <c r="W82" s="3"/>
      <c r="X82" s="3"/>
      <c r="Y82" s="3"/>
      <c r="Z82" s="3"/>
    </row>
    <row r="83" spans="1:26" s="711" customFormat="1" ht="14.25" customHeight="1">
      <c r="A83" s="719">
        <v>23</v>
      </c>
      <c r="B83" s="716" t="s">
        <v>1676</v>
      </c>
      <c r="C83" s="719" t="s">
        <v>1356</v>
      </c>
      <c r="D83" s="743">
        <v>180</v>
      </c>
      <c r="E83" s="737">
        <v>2</v>
      </c>
      <c r="F83" s="738">
        <f t="shared" ref="F83" si="44">(D83*E83)</f>
        <v>360</v>
      </c>
      <c r="G83" s="738"/>
      <c r="H83" s="738">
        <f t="shared" ref="H83" si="45">SUM(F83+G83)</f>
        <v>360</v>
      </c>
      <c r="I83" s="718"/>
      <c r="J83" s="718"/>
      <c r="K83" s="718"/>
      <c r="L83" s="718"/>
      <c r="M83" s="3"/>
      <c r="N83" s="3"/>
      <c r="O83" s="3"/>
      <c r="P83" s="3"/>
      <c r="Q83" s="3"/>
      <c r="R83" s="3"/>
      <c r="S83" s="3"/>
      <c r="T83" s="3"/>
      <c r="U83" s="3"/>
      <c r="V83" s="3"/>
      <c r="W83" s="3"/>
      <c r="X83" s="3"/>
      <c r="Y83" s="3"/>
      <c r="Z83" s="3"/>
    </row>
    <row r="84" spans="1:26" s="757" customFormat="1" ht="14.25" customHeight="1">
      <c r="A84" s="719"/>
      <c r="B84" s="716"/>
      <c r="C84" s="719"/>
      <c r="D84" s="743"/>
      <c r="E84" s="737"/>
      <c r="F84" s="738"/>
      <c r="G84" s="738"/>
      <c r="H84" s="738"/>
      <c r="I84" s="718"/>
      <c r="J84" s="718"/>
      <c r="K84" s="718"/>
      <c r="L84" s="718"/>
      <c r="M84" s="3"/>
      <c r="N84" s="3"/>
      <c r="O84" s="3"/>
      <c r="P84" s="3"/>
      <c r="Q84" s="3"/>
      <c r="R84" s="3"/>
      <c r="S84" s="3"/>
      <c r="T84" s="3"/>
      <c r="U84" s="3"/>
      <c r="V84" s="3"/>
      <c r="W84" s="3"/>
      <c r="X84" s="3"/>
      <c r="Y84" s="3"/>
      <c r="Z84" s="3"/>
    </row>
    <row r="85" spans="1:26" ht="14.25" customHeight="1">
      <c r="A85" s="723" t="s">
        <v>33</v>
      </c>
      <c r="B85" s="715" t="s">
        <v>1314</v>
      </c>
      <c r="C85" s="716"/>
      <c r="D85" s="737"/>
      <c r="E85" s="737"/>
      <c r="F85" s="738"/>
      <c r="G85" s="738"/>
      <c r="H85" s="738"/>
      <c r="I85" s="718"/>
      <c r="J85" s="718"/>
      <c r="K85" s="718"/>
      <c r="L85" s="718"/>
      <c r="M85" s="3"/>
      <c r="N85" s="3"/>
      <c r="O85" s="3"/>
      <c r="P85" s="3"/>
      <c r="Q85" s="3"/>
      <c r="R85" s="3"/>
      <c r="S85" s="3"/>
      <c r="T85" s="3"/>
      <c r="U85" s="3"/>
      <c r="V85" s="3"/>
      <c r="W85" s="3"/>
      <c r="X85" s="3"/>
      <c r="Y85" s="3"/>
      <c r="Z85" s="3"/>
    </row>
    <row r="86" spans="1:26" ht="26.4" customHeight="1">
      <c r="A86" s="720">
        <v>1</v>
      </c>
      <c r="B86" s="722" t="s">
        <v>1619</v>
      </c>
      <c r="C86" s="720" t="s">
        <v>1295</v>
      </c>
      <c r="D86" s="737">
        <v>2721</v>
      </c>
      <c r="E86" s="737">
        <v>1.8</v>
      </c>
      <c r="F86" s="738">
        <f t="shared" ref="F86" si="46">(D86*E86)</f>
        <v>4897.8</v>
      </c>
      <c r="G86" s="738"/>
      <c r="H86" s="738">
        <f t="shared" ref="H86:H101" si="47">SUM(F86+G86)</f>
        <v>4897.8</v>
      </c>
      <c r="I86" s="718"/>
      <c r="J86" s="718"/>
      <c r="K86" s="718"/>
      <c r="L86" s="718"/>
      <c r="M86" s="3"/>
      <c r="N86" s="3"/>
      <c r="O86" s="3"/>
      <c r="P86" s="3"/>
      <c r="Q86" s="3"/>
      <c r="R86" s="3"/>
      <c r="S86" s="3"/>
      <c r="T86" s="3"/>
      <c r="U86" s="3"/>
      <c r="V86" s="3"/>
      <c r="W86" s="3"/>
      <c r="X86" s="3"/>
      <c r="Y86" s="3"/>
      <c r="Z86" s="3"/>
    </row>
    <row r="87" spans="1:26" s="736" customFormat="1" ht="14.25" customHeight="1">
      <c r="A87" s="719">
        <v>2</v>
      </c>
      <c r="B87" s="716" t="s">
        <v>1620</v>
      </c>
      <c r="C87" s="720" t="s">
        <v>1295</v>
      </c>
      <c r="D87" s="737">
        <v>2721</v>
      </c>
      <c r="E87" s="737">
        <v>1.35</v>
      </c>
      <c r="F87" s="738">
        <f t="shared" ref="F87:F91" si="48">(D87*E87)</f>
        <v>3673.3500000000004</v>
      </c>
      <c r="G87" s="738"/>
      <c r="H87" s="738">
        <f t="shared" ref="H87:H91" si="49">SUM(F87+G87)</f>
        <v>3673.3500000000004</v>
      </c>
      <c r="I87" s="718"/>
      <c r="J87" s="718"/>
      <c r="K87" s="718"/>
      <c r="L87" s="718"/>
      <c r="M87" s="3"/>
      <c r="N87" s="3"/>
      <c r="O87" s="3"/>
      <c r="P87" s="3"/>
      <c r="Q87" s="3"/>
      <c r="R87" s="3"/>
      <c r="S87" s="3"/>
      <c r="T87" s="3"/>
      <c r="U87" s="3"/>
      <c r="V87" s="3"/>
      <c r="W87" s="3"/>
      <c r="X87" s="3"/>
      <c r="Y87" s="3"/>
      <c r="Z87" s="3"/>
    </row>
    <row r="88" spans="1:26" s="736" customFormat="1" ht="14.25" customHeight="1">
      <c r="A88" s="719">
        <v>3</v>
      </c>
      <c r="B88" s="716" t="s">
        <v>1621</v>
      </c>
      <c r="C88" s="720" t="s">
        <v>1299</v>
      </c>
      <c r="D88" s="737">
        <v>70</v>
      </c>
      <c r="E88" s="737">
        <v>1.25</v>
      </c>
      <c r="F88" s="738">
        <f t="shared" si="48"/>
        <v>87.5</v>
      </c>
      <c r="G88" s="738"/>
      <c r="H88" s="738">
        <f t="shared" si="47"/>
        <v>87.5</v>
      </c>
      <c r="I88" s="718"/>
      <c r="J88" s="718"/>
      <c r="K88" s="718"/>
      <c r="L88" s="718"/>
      <c r="M88" s="3"/>
      <c r="N88" s="3"/>
      <c r="O88" s="3"/>
      <c r="P88" s="3"/>
      <c r="Q88" s="3"/>
      <c r="R88" s="3"/>
      <c r="S88" s="3"/>
      <c r="T88" s="3"/>
      <c r="U88" s="3"/>
      <c r="V88" s="3"/>
      <c r="W88" s="3"/>
      <c r="X88" s="3"/>
      <c r="Y88" s="3"/>
      <c r="Z88" s="3"/>
    </row>
    <row r="89" spans="1:26" s="736" customFormat="1" ht="14.25" customHeight="1">
      <c r="A89" s="719">
        <v>4</v>
      </c>
      <c r="B89" s="716" t="s">
        <v>1622</v>
      </c>
      <c r="C89" s="720" t="s">
        <v>1299</v>
      </c>
      <c r="D89" s="737">
        <v>50</v>
      </c>
      <c r="E89" s="737">
        <v>2.4700000000000002</v>
      </c>
      <c r="F89" s="738">
        <f t="shared" si="48"/>
        <v>123.50000000000001</v>
      </c>
      <c r="G89" s="738"/>
      <c r="H89" s="738">
        <f t="shared" si="49"/>
        <v>123.50000000000001</v>
      </c>
      <c r="I89" s="718"/>
      <c r="J89" s="718"/>
      <c r="K89" s="718"/>
      <c r="L89" s="718"/>
      <c r="M89" s="3"/>
      <c r="N89" s="3"/>
      <c r="O89" s="3"/>
      <c r="P89" s="3"/>
      <c r="Q89" s="3"/>
      <c r="R89" s="3"/>
      <c r="S89" s="3"/>
      <c r="T89" s="3"/>
      <c r="U89" s="3"/>
      <c r="V89" s="3"/>
      <c r="W89" s="3"/>
      <c r="X89" s="3"/>
      <c r="Y89" s="3"/>
      <c r="Z89" s="3"/>
    </row>
    <row r="90" spans="1:26" s="736" customFormat="1" ht="14.25" customHeight="1">
      <c r="A90" s="719">
        <v>5</v>
      </c>
      <c r="B90" s="716" t="s">
        <v>1623</v>
      </c>
      <c r="C90" s="719" t="s">
        <v>1624</v>
      </c>
      <c r="D90" s="737">
        <v>50</v>
      </c>
      <c r="E90" s="737">
        <v>2.5</v>
      </c>
      <c r="F90" s="738">
        <f t="shared" si="48"/>
        <v>125</v>
      </c>
      <c r="G90" s="738"/>
      <c r="H90" s="738">
        <f t="shared" si="49"/>
        <v>125</v>
      </c>
      <c r="I90" s="718"/>
      <c r="J90" s="718"/>
      <c r="K90" s="718"/>
      <c r="L90" s="718"/>
      <c r="M90" s="3"/>
      <c r="N90" s="3"/>
      <c r="O90" s="3"/>
      <c r="P90" s="3"/>
      <c r="Q90" s="3"/>
      <c r="R90" s="3"/>
      <c r="S90" s="3"/>
      <c r="T90" s="3"/>
      <c r="U90" s="3"/>
      <c r="V90" s="3"/>
      <c r="W90" s="3"/>
      <c r="X90" s="3"/>
      <c r="Y90" s="3"/>
      <c r="Z90" s="3"/>
    </row>
    <row r="91" spans="1:26" s="741" customFormat="1" ht="14.25" customHeight="1">
      <c r="A91" s="719">
        <v>6</v>
      </c>
      <c r="B91" s="716" t="s">
        <v>1625</v>
      </c>
      <c r="C91" s="719" t="s">
        <v>1626</v>
      </c>
      <c r="D91" s="737">
        <v>8</v>
      </c>
      <c r="E91" s="737">
        <v>2.2000000000000002</v>
      </c>
      <c r="F91" s="738">
        <f t="shared" si="48"/>
        <v>17.600000000000001</v>
      </c>
      <c r="G91" s="738"/>
      <c r="H91" s="738">
        <f t="shared" si="49"/>
        <v>17.600000000000001</v>
      </c>
      <c r="I91" s="718"/>
      <c r="J91" s="718"/>
      <c r="K91" s="718"/>
      <c r="L91" s="718"/>
      <c r="M91" s="3"/>
      <c r="N91" s="3"/>
      <c r="O91" s="3"/>
      <c r="P91" s="3"/>
      <c r="Q91" s="3"/>
      <c r="R91" s="3"/>
      <c r="S91" s="3"/>
      <c r="T91" s="3"/>
      <c r="U91" s="3"/>
      <c r="V91" s="3"/>
      <c r="W91" s="3"/>
      <c r="X91" s="3"/>
      <c r="Y91" s="3"/>
      <c r="Z91" s="3"/>
    </row>
    <row r="92" spans="1:26" s="757" customFormat="1" ht="14.25" customHeight="1">
      <c r="A92" s="719">
        <v>7</v>
      </c>
      <c r="B92" s="716" t="s">
        <v>1689</v>
      </c>
      <c r="C92" s="719" t="s">
        <v>1690</v>
      </c>
      <c r="D92" s="737">
        <v>1</v>
      </c>
      <c r="E92" s="737">
        <v>600</v>
      </c>
      <c r="F92" s="738">
        <f>(D92*E92)</f>
        <v>600</v>
      </c>
      <c r="G92" s="738"/>
      <c r="H92" s="738">
        <f t="shared" ref="H92" si="50">SUM(F92+G92)</f>
        <v>600</v>
      </c>
      <c r="I92" s="718"/>
      <c r="J92" s="718"/>
      <c r="K92" s="718"/>
      <c r="L92" s="718"/>
      <c r="M92" s="3"/>
      <c r="N92" s="3"/>
      <c r="O92" s="3"/>
      <c r="P92" s="3"/>
      <c r="Q92" s="3"/>
      <c r="R92" s="3"/>
      <c r="S92" s="3"/>
      <c r="T92" s="3"/>
      <c r="U92" s="3"/>
      <c r="V92" s="3"/>
      <c r="W92" s="3"/>
      <c r="X92" s="3"/>
      <c r="Y92" s="3"/>
      <c r="Z92" s="3"/>
    </row>
    <row r="93" spans="1:26" s="757" customFormat="1" ht="14.25" customHeight="1">
      <c r="A93" s="719"/>
      <c r="B93" s="716"/>
      <c r="C93" s="719"/>
      <c r="D93" s="737"/>
      <c r="E93" s="737"/>
      <c r="F93" s="738"/>
      <c r="G93" s="738"/>
      <c r="H93" s="738"/>
      <c r="I93" s="718"/>
      <c r="J93" s="718"/>
      <c r="K93" s="718"/>
      <c r="L93" s="718"/>
      <c r="M93" s="3"/>
      <c r="N93" s="3"/>
      <c r="O93" s="3"/>
      <c r="P93" s="3"/>
      <c r="Q93" s="3"/>
      <c r="R93" s="3"/>
      <c r="S93" s="3"/>
      <c r="T93" s="3"/>
      <c r="U93" s="3"/>
      <c r="V93" s="3"/>
      <c r="W93" s="3"/>
      <c r="X93" s="3"/>
      <c r="Y93" s="3"/>
      <c r="Z93" s="3"/>
    </row>
    <row r="94" spans="1:26" s="711" customFormat="1" ht="14.25" customHeight="1">
      <c r="A94" s="723" t="s">
        <v>53</v>
      </c>
      <c r="B94" s="715" t="s">
        <v>1596</v>
      </c>
      <c r="C94" s="719"/>
      <c r="D94" s="737"/>
      <c r="E94" s="737"/>
      <c r="F94" s="738"/>
      <c r="G94" s="738"/>
      <c r="H94" s="738"/>
      <c r="I94" s="718"/>
      <c r="J94" s="718"/>
      <c r="K94" s="718"/>
      <c r="L94" s="718"/>
      <c r="M94" s="3"/>
      <c r="N94" s="3"/>
      <c r="O94" s="3"/>
      <c r="P94" s="3"/>
      <c r="Q94" s="3"/>
      <c r="R94" s="3"/>
      <c r="S94" s="3"/>
      <c r="T94" s="3"/>
      <c r="U94" s="3"/>
      <c r="V94" s="3"/>
      <c r="W94" s="3"/>
      <c r="X94" s="3"/>
      <c r="Y94" s="3"/>
      <c r="Z94" s="3"/>
    </row>
    <row r="95" spans="1:26" s="711" customFormat="1" ht="14.25" customHeight="1">
      <c r="A95" s="719">
        <v>1</v>
      </c>
      <c r="B95" s="735" t="s">
        <v>1680</v>
      </c>
      <c r="C95" s="719" t="s">
        <v>121</v>
      </c>
      <c r="D95" s="745">
        <v>37</v>
      </c>
      <c r="E95" s="737">
        <v>80</v>
      </c>
      <c r="F95" s="738">
        <f t="shared" ref="F95:F101" si="51">(D95*E95)</f>
        <v>2960</v>
      </c>
      <c r="G95" s="738"/>
      <c r="H95" s="738">
        <f t="shared" si="47"/>
        <v>2960</v>
      </c>
      <c r="I95" s="718"/>
      <c r="J95" s="718"/>
      <c r="K95" s="718"/>
      <c r="L95" s="718"/>
      <c r="M95" s="3"/>
      <c r="N95" s="3"/>
      <c r="O95" s="3"/>
      <c r="P95" s="3"/>
      <c r="Q95" s="3"/>
      <c r="R95" s="3"/>
      <c r="S95" s="3"/>
      <c r="T95" s="3"/>
      <c r="U95" s="3"/>
      <c r="V95" s="3"/>
      <c r="W95" s="3"/>
      <c r="X95" s="3"/>
      <c r="Y95" s="3"/>
      <c r="Z95" s="3"/>
    </row>
    <row r="96" spans="1:26" s="711" customFormat="1" ht="14.25" customHeight="1">
      <c r="A96" s="719">
        <v>2</v>
      </c>
      <c r="B96" s="735" t="s">
        <v>1681</v>
      </c>
      <c r="C96" s="719" t="s">
        <v>121</v>
      </c>
      <c r="D96" s="745">
        <v>22</v>
      </c>
      <c r="E96" s="737">
        <v>73</v>
      </c>
      <c r="F96" s="738">
        <f t="shared" si="51"/>
        <v>1606</v>
      </c>
      <c r="G96" s="738"/>
      <c r="H96" s="738">
        <f t="shared" si="47"/>
        <v>1606</v>
      </c>
      <c r="I96" s="718"/>
      <c r="J96" s="718"/>
      <c r="K96" s="718"/>
      <c r="L96" s="718"/>
      <c r="M96" s="3"/>
      <c r="N96" s="3"/>
      <c r="O96" s="3"/>
      <c r="P96" s="3"/>
      <c r="Q96" s="3"/>
      <c r="R96" s="3"/>
      <c r="S96" s="3"/>
      <c r="T96" s="3"/>
      <c r="U96" s="3"/>
      <c r="V96" s="3"/>
      <c r="W96" s="3"/>
      <c r="X96" s="3"/>
      <c r="Y96" s="3"/>
      <c r="Z96" s="3"/>
    </row>
    <row r="97" spans="1:26" s="711" customFormat="1" ht="14.25" customHeight="1">
      <c r="A97" s="719">
        <v>3</v>
      </c>
      <c r="B97" s="735" t="s">
        <v>1682</v>
      </c>
      <c r="C97" s="719" t="s">
        <v>121</v>
      </c>
      <c r="D97" s="745">
        <v>1</v>
      </c>
      <c r="E97" s="737">
        <v>80</v>
      </c>
      <c r="F97" s="738">
        <f t="shared" si="51"/>
        <v>80</v>
      </c>
      <c r="G97" s="738"/>
      <c r="H97" s="738">
        <f t="shared" si="47"/>
        <v>80</v>
      </c>
      <c r="I97" s="718"/>
      <c r="J97" s="718"/>
      <c r="K97" s="718"/>
      <c r="L97" s="718"/>
      <c r="M97" s="3"/>
      <c r="N97" s="3"/>
      <c r="O97" s="3"/>
      <c r="P97" s="3"/>
      <c r="Q97" s="3"/>
      <c r="R97" s="3"/>
      <c r="S97" s="3"/>
      <c r="T97" s="3"/>
      <c r="U97" s="3"/>
      <c r="V97" s="3"/>
      <c r="W97" s="3"/>
      <c r="X97" s="3"/>
      <c r="Y97" s="3"/>
      <c r="Z97" s="3"/>
    </row>
    <row r="98" spans="1:26" s="711" customFormat="1" ht="14.25" customHeight="1">
      <c r="A98" s="719">
        <v>4</v>
      </c>
      <c r="B98" s="735" t="s">
        <v>1686</v>
      </c>
      <c r="C98" s="719" t="s">
        <v>121</v>
      </c>
      <c r="D98" s="745">
        <v>35</v>
      </c>
      <c r="E98" s="737">
        <v>108</v>
      </c>
      <c r="F98" s="738">
        <f t="shared" si="51"/>
        <v>3780</v>
      </c>
      <c r="G98" s="738"/>
      <c r="H98" s="738">
        <f t="shared" si="47"/>
        <v>3780</v>
      </c>
      <c r="I98" s="718"/>
      <c r="J98" s="718"/>
      <c r="K98" s="718"/>
      <c r="L98" s="718"/>
      <c r="M98" s="3"/>
      <c r="N98" s="3"/>
      <c r="O98" s="3"/>
      <c r="P98" s="3"/>
      <c r="Q98" s="3"/>
      <c r="R98" s="3"/>
      <c r="S98" s="3"/>
      <c r="T98" s="3"/>
      <c r="U98" s="3"/>
      <c r="V98" s="3"/>
      <c r="W98" s="3"/>
      <c r="X98" s="3"/>
      <c r="Y98" s="3"/>
      <c r="Z98" s="3"/>
    </row>
    <row r="99" spans="1:26" ht="14.25" customHeight="1">
      <c r="A99" s="719">
        <v>5</v>
      </c>
      <c r="B99" s="735" t="s">
        <v>1683</v>
      </c>
      <c r="C99" s="719" t="s">
        <v>121</v>
      </c>
      <c r="D99" s="745">
        <v>50</v>
      </c>
      <c r="E99" s="737">
        <v>78</v>
      </c>
      <c r="F99" s="738">
        <f t="shared" si="51"/>
        <v>3900</v>
      </c>
      <c r="G99" s="738"/>
      <c r="H99" s="738">
        <f t="shared" si="47"/>
        <v>3900</v>
      </c>
      <c r="I99" s="718"/>
      <c r="J99" s="718"/>
      <c r="K99" s="718"/>
      <c r="L99" s="718"/>
      <c r="M99" s="3"/>
      <c r="N99" s="3"/>
      <c r="O99" s="3"/>
      <c r="P99" s="3"/>
      <c r="Q99" s="3"/>
      <c r="R99" s="3"/>
      <c r="S99" s="3"/>
      <c r="T99" s="3"/>
      <c r="U99" s="3"/>
      <c r="V99" s="3"/>
      <c r="W99" s="3"/>
      <c r="X99" s="3"/>
      <c r="Y99" s="3"/>
      <c r="Z99" s="3"/>
    </row>
    <row r="100" spans="1:26" ht="14.25" customHeight="1">
      <c r="A100" s="719">
        <v>6</v>
      </c>
      <c r="B100" s="735" t="s">
        <v>1684</v>
      </c>
      <c r="C100" s="719" t="s">
        <v>121</v>
      </c>
      <c r="D100" s="745">
        <v>4</v>
      </c>
      <c r="E100" s="737">
        <v>90</v>
      </c>
      <c r="F100" s="738">
        <f t="shared" si="51"/>
        <v>360</v>
      </c>
      <c r="G100" s="738"/>
      <c r="H100" s="738">
        <f t="shared" si="47"/>
        <v>360</v>
      </c>
      <c r="I100" s="718"/>
      <c r="J100" s="718"/>
      <c r="K100" s="718"/>
      <c r="L100" s="718"/>
      <c r="M100" s="3"/>
      <c r="N100" s="3"/>
      <c r="O100" s="3"/>
      <c r="P100" s="3"/>
      <c r="Q100" s="3"/>
      <c r="R100" s="3"/>
      <c r="S100" s="3"/>
      <c r="T100" s="3"/>
      <c r="U100" s="3"/>
      <c r="V100" s="3"/>
      <c r="W100" s="3"/>
      <c r="X100" s="3"/>
      <c r="Y100" s="3"/>
      <c r="Z100" s="3"/>
    </row>
    <row r="101" spans="1:26" ht="14.25" customHeight="1">
      <c r="A101" s="719">
        <v>7</v>
      </c>
      <c r="B101" s="735" t="s">
        <v>1685</v>
      </c>
      <c r="C101" s="719" t="s">
        <v>121</v>
      </c>
      <c r="D101" s="745">
        <v>11</v>
      </c>
      <c r="E101" s="737">
        <v>148</v>
      </c>
      <c r="F101" s="738">
        <f t="shared" si="51"/>
        <v>1628</v>
      </c>
      <c r="G101" s="738"/>
      <c r="H101" s="738">
        <f t="shared" si="47"/>
        <v>1628</v>
      </c>
      <c r="I101" s="718"/>
      <c r="J101" s="718"/>
      <c r="K101" s="718"/>
      <c r="L101" s="718"/>
      <c r="M101" s="3"/>
      <c r="N101" s="3"/>
      <c r="O101" s="3"/>
      <c r="P101" s="3"/>
      <c r="Q101" s="3"/>
      <c r="R101" s="3"/>
      <c r="S101" s="3"/>
      <c r="T101" s="3"/>
      <c r="U101" s="3"/>
      <c r="V101" s="3"/>
      <c r="W101" s="3"/>
      <c r="X101" s="3"/>
      <c r="Y101" s="3"/>
      <c r="Z101" s="3"/>
    </row>
    <row r="102" spans="1:26" ht="14.25" customHeight="1">
      <c r="A102" s="716"/>
      <c r="B102" s="716"/>
      <c r="C102" s="716"/>
      <c r="D102" s="737"/>
      <c r="E102" s="737"/>
      <c r="F102" s="738"/>
      <c r="G102" s="738"/>
      <c r="H102" s="738"/>
      <c r="I102" s="718"/>
      <c r="J102" s="718"/>
      <c r="K102" s="718"/>
      <c r="L102" s="718"/>
      <c r="M102" s="3"/>
      <c r="N102" s="3"/>
      <c r="O102" s="3"/>
      <c r="P102" s="3"/>
      <c r="Q102" s="3"/>
      <c r="R102" s="3"/>
      <c r="S102" s="3"/>
      <c r="T102" s="3"/>
      <c r="U102" s="3"/>
      <c r="V102" s="3"/>
      <c r="W102" s="3"/>
      <c r="X102" s="3"/>
      <c r="Y102" s="3"/>
      <c r="Z102" s="3"/>
    </row>
    <row r="103" spans="1:26" ht="14.25" customHeight="1">
      <c r="A103" s="723" t="s">
        <v>54</v>
      </c>
      <c r="B103" s="715" t="s">
        <v>1332</v>
      </c>
      <c r="C103" s="716"/>
      <c r="D103" s="737"/>
      <c r="E103" s="737"/>
      <c r="F103" s="738"/>
      <c r="G103" s="738"/>
      <c r="H103" s="738"/>
      <c r="I103" s="718"/>
      <c r="J103" s="718"/>
      <c r="K103" s="718"/>
      <c r="L103" s="718"/>
      <c r="M103" s="3"/>
      <c r="N103" s="3"/>
      <c r="O103" s="3"/>
      <c r="P103" s="3"/>
      <c r="Q103" s="3"/>
      <c r="R103" s="3"/>
      <c r="S103" s="3"/>
      <c r="T103" s="3"/>
      <c r="U103" s="3"/>
      <c r="V103" s="3"/>
      <c r="W103" s="3"/>
      <c r="X103" s="3"/>
      <c r="Y103" s="3"/>
      <c r="Z103" s="3"/>
    </row>
    <row r="104" spans="1:26" ht="14.25" customHeight="1">
      <c r="A104" s="719">
        <v>1</v>
      </c>
      <c r="B104" s="716" t="s">
        <v>1334</v>
      </c>
      <c r="C104" s="719" t="s">
        <v>942</v>
      </c>
      <c r="D104" s="737">
        <v>32</v>
      </c>
      <c r="E104" s="737">
        <v>22</v>
      </c>
      <c r="F104" s="738">
        <f t="shared" ref="F104:F106" si="52">(D104*E104)</f>
        <v>704</v>
      </c>
      <c r="G104" s="738">
        <f t="shared" ref="G104:G108" si="53">(F104*5%)</f>
        <v>35.200000000000003</v>
      </c>
      <c r="H104" s="738">
        <f t="shared" ref="H104:H106" si="54">SUM(F104+G104)</f>
        <v>739.2</v>
      </c>
      <c r="I104" s="718"/>
      <c r="J104" s="718"/>
      <c r="K104" s="718"/>
      <c r="L104" s="718"/>
      <c r="M104" s="3"/>
      <c r="N104" s="3"/>
      <c r="O104" s="3"/>
      <c r="P104" s="3"/>
      <c r="Q104" s="3"/>
      <c r="R104" s="3"/>
      <c r="S104" s="3"/>
      <c r="T104" s="3"/>
      <c r="U104" s="3"/>
      <c r="V104" s="3"/>
      <c r="W104" s="3"/>
      <c r="X104" s="3"/>
      <c r="Y104" s="3"/>
      <c r="Z104" s="3"/>
    </row>
    <row r="105" spans="1:26" ht="14.25" customHeight="1">
      <c r="A105" s="719">
        <v>2</v>
      </c>
      <c r="B105" s="716" t="s">
        <v>1335</v>
      </c>
      <c r="C105" s="719" t="s">
        <v>560</v>
      </c>
      <c r="D105" s="737">
        <v>500</v>
      </c>
      <c r="E105" s="737">
        <v>1.65</v>
      </c>
      <c r="F105" s="738">
        <f t="shared" si="52"/>
        <v>825</v>
      </c>
      <c r="G105" s="738">
        <f t="shared" si="53"/>
        <v>41.25</v>
      </c>
      <c r="H105" s="738">
        <f t="shared" si="54"/>
        <v>866.25</v>
      </c>
      <c r="I105" s="718"/>
      <c r="J105" s="718"/>
      <c r="K105" s="718"/>
      <c r="L105" s="718"/>
      <c r="M105" s="3"/>
      <c r="N105" s="3"/>
      <c r="O105" s="3"/>
      <c r="P105" s="3"/>
      <c r="Q105" s="3"/>
      <c r="R105" s="3"/>
      <c r="S105" s="3"/>
      <c r="T105" s="3"/>
      <c r="U105" s="3"/>
      <c r="V105" s="3"/>
      <c r="W105" s="3"/>
      <c r="X105" s="3"/>
      <c r="Y105" s="3"/>
      <c r="Z105" s="3"/>
    </row>
    <row r="106" spans="1:26" s="709" customFormat="1" ht="14.25" customHeight="1">
      <c r="A106" s="719">
        <v>3</v>
      </c>
      <c r="B106" s="716" t="s">
        <v>1341</v>
      </c>
      <c r="C106" s="719" t="s">
        <v>1293</v>
      </c>
      <c r="D106" s="737">
        <v>6</v>
      </c>
      <c r="E106" s="737">
        <v>5.6</v>
      </c>
      <c r="F106" s="738">
        <f t="shared" si="52"/>
        <v>33.599999999999994</v>
      </c>
      <c r="G106" s="738">
        <f t="shared" si="53"/>
        <v>1.6799999999999997</v>
      </c>
      <c r="H106" s="738">
        <f t="shared" si="54"/>
        <v>35.279999999999994</v>
      </c>
      <c r="I106" s="718"/>
      <c r="J106" s="718"/>
      <c r="K106" s="718"/>
      <c r="L106" s="718"/>
      <c r="M106" s="3"/>
      <c r="N106" s="3"/>
      <c r="O106" s="3"/>
      <c r="P106" s="3"/>
      <c r="Q106" s="3"/>
      <c r="R106" s="3"/>
      <c r="S106" s="3"/>
      <c r="T106" s="3"/>
      <c r="U106" s="3"/>
      <c r="V106" s="3"/>
      <c r="W106" s="3"/>
      <c r="X106" s="3"/>
      <c r="Y106" s="3"/>
      <c r="Z106" s="3"/>
    </row>
    <row r="107" spans="1:26" ht="14.25" customHeight="1">
      <c r="A107" s="719">
        <v>4</v>
      </c>
      <c r="B107" s="716" t="s">
        <v>1336</v>
      </c>
      <c r="C107" s="719" t="s">
        <v>1589</v>
      </c>
      <c r="D107" s="737">
        <v>430</v>
      </c>
      <c r="E107" s="737">
        <v>2</v>
      </c>
      <c r="F107" s="738">
        <f t="shared" ref="F107:F112" si="55">(D107*E107)</f>
        <v>860</v>
      </c>
      <c r="G107" s="738">
        <f t="shared" si="53"/>
        <v>43</v>
      </c>
      <c r="H107" s="738">
        <f t="shared" ref="H107:H112" si="56">SUM(F107+G107)</f>
        <v>903</v>
      </c>
      <c r="I107" s="718"/>
      <c r="J107" s="718"/>
      <c r="K107" s="718"/>
      <c r="L107" s="718"/>
      <c r="M107" s="3"/>
      <c r="N107" s="3"/>
      <c r="O107" s="3"/>
      <c r="P107" s="3"/>
      <c r="Q107" s="3"/>
      <c r="R107" s="3"/>
      <c r="S107" s="3"/>
      <c r="T107" s="3"/>
      <c r="U107" s="3"/>
      <c r="V107" s="3"/>
      <c r="W107" s="3"/>
      <c r="X107" s="3"/>
      <c r="Y107" s="3"/>
      <c r="Z107" s="3"/>
    </row>
    <row r="108" spans="1:26" s="709" customFormat="1" ht="14.25" customHeight="1">
      <c r="A108" s="719">
        <v>5</v>
      </c>
      <c r="B108" s="716" t="s">
        <v>1340</v>
      </c>
      <c r="C108" s="719" t="s">
        <v>1356</v>
      </c>
      <c r="D108" s="737">
        <v>200</v>
      </c>
      <c r="E108" s="737">
        <v>1</v>
      </c>
      <c r="F108" s="738">
        <f t="shared" si="55"/>
        <v>200</v>
      </c>
      <c r="G108" s="738">
        <f t="shared" si="53"/>
        <v>10</v>
      </c>
      <c r="H108" s="738">
        <f t="shared" si="56"/>
        <v>210</v>
      </c>
      <c r="I108" s="718"/>
      <c r="J108" s="718"/>
      <c r="K108" s="718"/>
      <c r="L108" s="718"/>
      <c r="M108" s="3"/>
      <c r="N108" s="3"/>
      <c r="O108" s="3"/>
      <c r="P108" s="3"/>
      <c r="Q108" s="3"/>
      <c r="R108" s="3"/>
      <c r="S108" s="3"/>
      <c r="T108" s="3"/>
      <c r="U108" s="3"/>
      <c r="V108" s="3"/>
      <c r="W108" s="3"/>
      <c r="X108" s="3"/>
      <c r="Y108" s="3"/>
      <c r="Z108" s="3"/>
    </row>
    <row r="109" spans="1:26" ht="14.25" customHeight="1">
      <c r="A109" s="719">
        <v>6</v>
      </c>
      <c r="B109" s="716" t="s">
        <v>1337</v>
      </c>
      <c r="C109" s="719" t="s">
        <v>1292</v>
      </c>
      <c r="D109" s="737">
        <v>3</v>
      </c>
      <c r="E109" s="737">
        <v>60</v>
      </c>
      <c r="F109" s="738">
        <f t="shared" si="55"/>
        <v>180</v>
      </c>
      <c r="G109" s="738"/>
      <c r="H109" s="738">
        <f t="shared" si="56"/>
        <v>180</v>
      </c>
      <c r="I109" s="718"/>
      <c r="J109" s="718"/>
      <c r="K109" s="718"/>
      <c r="L109" s="718"/>
      <c r="M109" s="3"/>
      <c r="N109" s="3"/>
      <c r="O109" s="3"/>
      <c r="P109" s="3"/>
      <c r="Q109" s="3"/>
      <c r="R109" s="3"/>
      <c r="S109" s="3"/>
      <c r="T109" s="3"/>
      <c r="U109" s="3"/>
      <c r="V109" s="3"/>
      <c r="W109" s="3"/>
      <c r="X109" s="3"/>
      <c r="Y109" s="3"/>
      <c r="Z109" s="3"/>
    </row>
    <row r="110" spans="1:26" ht="14.25" customHeight="1">
      <c r="A110" s="719">
        <v>7</v>
      </c>
      <c r="B110" s="716" t="s">
        <v>1338</v>
      </c>
      <c r="C110" s="719" t="s">
        <v>1299</v>
      </c>
      <c r="D110" s="737">
        <v>120</v>
      </c>
      <c r="E110" s="737">
        <v>1.37</v>
      </c>
      <c r="F110" s="738">
        <f t="shared" si="55"/>
        <v>164.4</v>
      </c>
      <c r="G110" s="738"/>
      <c r="H110" s="738">
        <f t="shared" si="56"/>
        <v>164.4</v>
      </c>
      <c r="I110" s="718"/>
      <c r="J110" s="718"/>
      <c r="K110" s="718"/>
      <c r="L110" s="718"/>
      <c r="M110" s="3"/>
      <c r="N110" s="3"/>
      <c r="O110" s="3"/>
      <c r="P110" s="3"/>
      <c r="Q110" s="3"/>
      <c r="R110" s="3"/>
      <c r="S110" s="3"/>
      <c r="T110" s="3"/>
      <c r="U110" s="3"/>
      <c r="V110" s="3"/>
      <c r="W110" s="3"/>
      <c r="X110" s="3"/>
      <c r="Y110" s="3"/>
      <c r="Z110" s="3"/>
    </row>
    <row r="111" spans="1:26" s="709" customFormat="1" ht="14.25" customHeight="1">
      <c r="A111" s="719">
        <v>8</v>
      </c>
      <c r="B111" s="716" t="s">
        <v>1339</v>
      </c>
      <c r="C111" s="719" t="s">
        <v>1299</v>
      </c>
      <c r="D111" s="737">
        <v>30</v>
      </c>
      <c r="E111" s="737">
        <v>2.6</v>
      </c>
      <c r="F111" s="738">
        <f t="shared" si="55"/>
        <v>78</v>
      </c>
      <c r="G111" s="738"/>
      <c r="H111" s="738">
        <f t="shared" si="56"/>
        <v>78</v>
      </c>
      <c r="I111" s="718"/>
      <c r="J111" s="718"/>
      <c r="K111" s="718"/>
      <c r="L111" s="718"/>
      <c r="M111" s="3"/>
      <c r="N111" s="3"/>
      <c r="O111" s="3"/>
      <c r="P111" s="3"/>
      <c r="Q111" s="3"/>
      <c r="R111" s="3"/>
      <c r="S111" s="3"/>
      <c r="T111" s="3"/>
      <c r="U111" s="3"/>
      <c r="V111" s="3"/>
      <c r="W111" s="3"/>
      <c r="X111" s="3"/>
      <c r="Y111" s="3"/>
      <c r="Z111" s="3"/>
    </row>
    <row r="112" spans="1:26" s="709" customFormat="1" ht="14.25" customHeight="1">
      <c r="A112" s="719">
        <v>9</v>
      </c>
      <c r="B112" s="716" t="s">
        <v>1590</v>
      </c>
      <c r="C112" s="719" t="s">
        <v>1589</v>
      </c>
      <c r="D112" s="737">
        <v>430</v>
      </c>
      <c r="E112" s="737">
        <v>2</v>
      </c>
      <c r="F112" s="738">
        <f t="shared" si="55"/>
        <v>860</v>
      </c>
      <c r="G112" s="738"/>
      <c r="H112" s="738">
        <f t="shared" si="56"/>
        <v>860</v>
      </c>
      <c r="I112" s="718"/>
      <c r="J112" s="718"/>
      <c r="K112" s="718"/>
      <c r="L112" s="718"/>
      <c r="M112" s="3"/>
      <c r="N112" s="3"/>
      <c r="O112" s="3"/>
      <c r="P112" s="3"/>
      <c r="Q112" s="3"/>
      <c r="R112" s="3"/>
      <c r="S112" s="3"/>
      <c r="T112" s="3"/>
      <c r="U112" s="3"/>
      <c r="V112" s="3"/>
      <c r="W112" s="3"/>
      <c r="X112" s="3"/>
      <c r="Y112" s="3"/>
      <c r="Z112" s="3"/>
    </row>
    <row r="113" spans="1:26" s="711" customFormat="1" ht="14.25" customHeight="1">
      <c r="A113" s="719">
        <v>10</v>
      </c>
      <c r="B113" s="716" t="s">
        <v>1594</v>
      </c>
      <c r="C113" s="719" t="s">
        <v>1356</v>
      </c>
      <c r="D113" s="737">
        <v>200</v>
      </c>
      <c r="E113" s="737">
        <v>0.5</v>
      </c>
      <c r="F113" s="738">
        <f t="shared" ref="F113" si="57">(D113*E113)</f>
        <v>100</v>
      </c>
      <c r="G113" s="738"/>
      <c r="H113" s="738">
        <f t="shared" ref="H113" si="58">SUM(F113+G113)</f>
        <v>100</v>
      </c>
      <c r="I113" s="718"/>
      <c r="J113" s="718"/>
      <c r="K113" s="718"/>
      <c r="L113" s="718"/>
      <c r="M113" s="3"/>
      <c r="N113" s="3"/>
      <c r="O113" s="3"/>
      <c r="P113" s="3"/>
      <c r="Q113" s="3"/>
      <c r="R113" s="3"/>
      <c r="S113" s="3"/>
      <c r="T113" s="3"/>
      <c r="U113" s="3"/>
      <c r="V113" s="3"/>
      <c r="W113" s="3"/>
      <c r="X113" s="3"/>
      <c r="Y113" s="3"/>
      <c r="Z113" s="3"/>
    </row>
    <row r="114" spans="1:26" s="711" customFormat="1" ht="14.25" customHeight="1">
      <c r="A114" s="716"/>
      <c r="B114" s="716"/>
      <c r="C114" s="719"/>
      <c r="D114" s="737"/>
      <c r="E114" s="737"/>
      <c r="F114" s="738"/>
      <c r="G114" s="738"/>
      <c r="H114" s="738"/>
      <c r="I114" s="718"/>
      <c r="J114" s="718"/>
      <c r="K114" s="718"/>
      <c r="L114" s="718"/>
      <c r="M114" s="3"/>
      <c r="N114" s="3"/>
      <c r="O114" s="3"/>
      <c r="P114" s="3"/>
      <c r="Q114" s="3"/>
      <c r="R114" s="3"/>
      <c r="S114" s="3"/>
      <c r="T114" s="3"/>
      <c r="U114" s="3"/>
      <c r="V114" s="3"/>
      <c r="W114" s="3"/>
      <c r="X114" s="3"/>
      <c r="Y114" s="3"/>
      <c r="Z114" s="3"/>
    </row>
    <row r="115" spans="1:26" ht="14.25" customHeight="1">
      <c r="A115" s="723" t="s">
        <v>116</v>
      </c>
      <c r="B115" s="715" t="s">
        <v>1333</v>
      </c>
      <c r="C115" s="719"/>
      <c r="D115" s="737"/>
      <c r="E115" s="737"/>
      <c r="F115" s="738"/>
      <c r="G115" s="738"/>
      <c r="H115" s="738"/>
      <c r="I115" s="718"/>
      <c r="J115" s="718"/>
      <c r="K115" s="718"/>
      <c r="L115" s="718"/>
      <c r="M115" s="3"/>
      <c r="N115" s="3"/>
      <c r="O115" s="3"/>
      <c r="P115" s="3"/>
      <c r="Q115" s="3"/>
      <c r="R115" s="3"/>
      <c r="S115" s="3"/>
      <c r="T115" s="3"/>
      <c r="U115" s="3"/>
      <c r="V115" s="3"/>
      <c r="W115" s="3"/>
      <c r="X115" s="3"/>
      <c r="Y115" s="3"/>
      <c r="Z115" s="3"/>
    </row>
    <row r="116" spans="1:26" ht="14.25" customHeight="1">
      <c r="A116" s="719">
        <v>1</v>
      </c>
      <c r="B116" s="716" t="s">
        <v>1342</v>
      </c>
      <c r="C116" s="719" t="s">
        <v>121</v>
      </c>
      <c r="D116" s="737">
        <v>2</v>
      </c>
      <c r="E116" s="737">
        <v>9000</v>
      </c>
      <c r="F116" s="738">
        <f>(D116*E116)</f>
        <v>18000</v>
      </c>
      <c r="G116" s="738">
        <f t="shared" ref="G116:G123" si="59">(F116*5%)</f>
        <v>900</v>
      </c>
      <c r="H116" s="738">
        <f>SUM(F116+G116)</f>
        <v>18900</v>
      </c>
      <c r="I116" s="718"/>
      <c r="J116" s="718"/>
      <c r="K116" s="718"/>
      <c r="L116" s="718"/>
      <c r="M116" s="3"/>
      <c r="N116" s="3"/>
      <c r="O116" s="3"/>
      <c r="P116" s="3"/>
      <c r="Q116" s="3"/>
      <c r="R116" s="3"/>
      <c r="S116" s="3"/>
      <c r="T116" s="3"/>
      <c r="U116" s="3"/>
      <c r="V116" s="3"/>
      <c r="W116" s="3"/>
      <c r="X116" s="3"/>
      <c r="Y116" s="3"/>
      <c r="Z116" s="3"/>
    </row>
    <row r="117" spans="1:26" ht="30" customHeight="1">
      <c r="A117" s="720">
        <v>2</v>
      </c>
      <c r="B117" s="722" t="s">
        <v>1627</v>
      </c>
      <c r="C117" s="719" t="s">
        <v>121</v>
      </c>
      <c r="D117" s="737">
        <v>35</v>
      </c>
      <c r="E117" s="737">
        <v>537</v>
      </c>
      <c r="F117" s="738">
        <f>(D117*E117)</f>
        <v>18795</v>
      </c>
      <c r="G117" s="738"/>
      <c r="H117" s="738">
        <f>SUM(F117+G117)</f>
        <v>18795</v>
      </c>
      <c r="I117" s="718"/>
      <c r="J117" s="718"/>
      <c r="K117" s="718"/>
      <c r="L117" s="718"/>
      <c r="M117" s="3"/>
      <c r="N117" s="3"/>
      <c r="O117" s="3"/>
      <c r="P117" s="3"/>
      <c r="Q117" s="3"/>
      <c r="R117" s="3"/>
      <c r="S117" s="3"/>
      <c r="T117" s="3"/>
      <c r="U117" s="3"/>
      <c r="V117" s="3"/>
      <c r="W117" s="3"/>
      <c r="X117" s="3"/>
      <c r="Y117" s="3"/>
      <c r="Z117" s="3"/>
    </row>
    <row r="118" spans="1:26" s="757" customFormat="1" ht="18.600000000000001" customHeight="1">
      <c r="A118" s="720">
        <v>3</v>
      </c>
      <c r="B118" s="722" t="s">
        <v>1696</v>
      </c>
      <c r="C118" s="719" t="s">
        <v>121</v>
      </c>
      <c r="D118" s="737">
        <v>35</v>
      </c>
      <c r="E118" s="737">
        <v>50</v>
      </c>
      <c r="F118" s="738">
        <f>(D118*E118)</f>
        <v>1750</v>
      </c>
      <c r="G118" s="738">
        <f t="shared" ref="G118" si="60">(F118*5%)</f>
        <v>87.5</v>
      </c>
      <c r="H118" s="738">
        <f>SUM(F118+G118)</f>
        <v>1837.5</v>
      </c>
      <c r="I118" s="718"/>
      <c r="J118" s="718"/>
      <c r="K118" s="718"/>
      <c r="L118" s="718"/>
      <c r="M118" s="3"/>
      <c r="N118" s="3"/>
      <c r="O118" s="3"/>
      <c r="P118" s="3"/>
      <c r="Q118" s="3"/>
      <c r="R118" s="3"/>
      <c r="S118" s="3"/>
      <c r="T118" s="3"/>
      <c r="U118" s="3"/>
      <c r="V118" s="3"/>
      <c r="W118" s="3"/>
      <c r="X118" s="3"/>
      <c r="Y118" s="3"/>
      <c r="Z118" s="3"/>
    </row>
    <row r="119" spans="1:26" ht="14.25" customHeight="1">
      <c r="A119" s="720">
        <v>5</v>
      </c>
      <c r="B119" s="716" t="s">
        <v>1248</v>
      </c>
      <c r="C119" s="719" t="s">
        <v>1174</v>
      </c>
      <c r="D119" s="737">
        <v>1</v>
      </c>
      <c r="E119" s="737">
        <v>8000</v>
      </c>
      <c r="F119" s="738">
        <f t="shared" ref="F119:F121" si="61">(D119*E119)</f>
        <v>8000</v>
      </c>
      <c r="G119" s="738">
        <f t="shared" si="59"/>
        <v>400</v>
      </c>
      <c r="H119" s="738">
        <f t="shared" ref="H119:H121" si="62">SUM(F119+G119)</f>
        <v>8400</v>
      </c>
      <c r="I119" s="718"/>
      <c r="J119" s="718"/>
      <c r="K119" s="718"/>
      <c r="L119" s="718"/>
      <c r="M119" s="3"/>
      <c r="N119" s="3"/>
      <c r="O119" s="3"/>
      <c r="P119" s="3"/>
      <c r="Q119" s="3"/>
      <c r="R119" s="3"/>
      <c r="S119" s="3"/>
      <c r="T119" s="3"/>
      <c r="U119" s="3"/>
      <c r="V119" s="3"/>
      <c r="W119" s="3"/>
      <c r="X119" s="3"/>
      <c r="Y119" s="3"/>
      <c r="Z119" s="3"/>
    </row>
    <row r="120" spans="1:26" ht="14.25" customHeight="1">
      <c r="A120" s="720">
        <v>6</v>
      </c>
      <c r="B120" s="716" t="s">
        <v>1249</v>
      </c>
      <c r="C120" s="719" t="s">
        <v>1174</v>
      </c>
      <c r="D120" s="737">
        <v>1</v>
      </c>
      <c r="E120" s="737">
        <v>2000</v>
      </c>
      <c r="F120" s="738">
        <f t="shared" si="61"/>
        <v>2000</v>
      </c>
      <c r="G120" s="738">
        <f t="shared" si="59"/>
        <v>100</v>
      </c>
      <c r="H120" s="738">
        <f t="shared" si="62"/>
        <v>2100</v>
      </c>
      <c r="I120" s="718"/>
      <c r="J120" s="718"/>
      <c r="K120" s="718"/>
      <c r="L120" s="718"/>
      <c r="M120" s="3"/>
      <c r="N120" s="3"/>
      <c r="O120" s="3"/>
      <c r="P120" s="3"/>
      <c r="Q120" s="3"/>
      <c r="R120" s="3"/>
      <c r="S120" s="3"/>
      <c r="T120" s="3"/>
      <c r="U120" s="3"/>
      <c r="V120" s="3"/>
      <c r="W120" s="3"/>
      <c r="X120" s="3"/>
      <c r="Y120" s="3"/>
      <c r="Z120" s="3"/>
    </row>
    <row r="121" spans="1:26" ht="14.25" customHeight="1">
      <c r="A121" s="719">
        <v>7</v>
      </c>
      <c r="B121" s="716" t="s">
        <v>1250</v>
      </c>
      <c r="C121" s="719" t="s">
        <v>1174</v>
      </c>
      <c r="D121" s="737">
        <v>1</v>
      </c>
      <c r="E121" s="737">
        <v>1000</v>
      </c>
      <c r="F121" s="738">
        <f t="shared" si="61"/>
        <v>1000</v>
      </c>
      <c r="G121" s="738">
        <f t="shared" si="59"/>
        <v>50</v>
      </c>
      <c r="H121" s="738">
        <f t="shared" si="62"/>
        <v>1050</v>
      </c>
      <c r="I121" s="718"/>
      <c r="J121" s="718"/>
      <c r="K121" s="718"/>
      <c r="L121" s="718"/>
      <c r="M121" s="3"/>
      <c r="N121" s="3"/>
      <c r="O121" s="3"/>
      <c r="P121" s="3"/>
      <c r="Q121" s="3"/>
      <c r="R121" s="3"/>
      <c r="S121" s="3"/>
      <c r="T121" s="3"/>
      <c r="U121" s="3"/>
      <c r="V121" s="3"/>
      <c r="W121" s="3"/>
      <c r="X121" s="3"/>
      <c r="Y121" s="3"/>
      <c r="Z121" s="3"/>
    </row>
    <row r="122" spans="1:26" ht="14.25" customHeight="1">
      <c r="A122" s="720">
        <v>8</v>
      </c>
      <c r="B122" s="716" t="s">
        <v>1343</v>
      </c>
      <c r="C122" s="719" t="s">
        <v>1174</v>
      </c>
      <c r="D122" s="737">
        <v>1</v>
      </c>
      <c r="E122" s="737">
        <v>24500</v>
      </c>
      <c r="F122" s="738">
        <f t="shared" ref="F122:F124" si="63">(D122*E122)</f>
        <v>24500</v>
      </c>
      <c r="G122" s="738">
        <f t="shared" si="59"/>
        <v>1225</v>
      </c>
      <c r="H122" s="738">
        <f t="shared" ref="H122:H124" si="64">SUM(F122+G122)</f>
        <v>25725</v>
      </c>
      <c r="I122" s="718"/>
      <c r="J122" s="718"/>
      <c r="K122" s="718"/>
      <c r="L122" s="718"/>
      <c r="M122" s="3"/>
      <c r="N122" s="3"/>
      <c r="O122" s="3"/>
      <c r="P122" s="3"/>
      <c r="Q122" s="3"/>
      <c r="R122" s="3"/>
      <c r="S122" s="3"/>
      <c r="T122" s="3"/>
      <c r="U122" s="3"/>
      <c r="V122" s="3"/>
      <c r="W122" s="3"/>
      <c r="X122" s="3"/>
      <c r="Y122" s="3"/>
      <c r="Z122" s="3"/>
    </row>
    <row r="123" spans="1:26" ht="14.25" customHeight="1">
      <c r="A123" s="720">
        <v>9</v>
      </c>
      <c r="B123" s="716" t="s">
        <v>1593</v>
      </c>
      <c r="C123" s="719" t="s">
        <v>1380</v>
      </c>
      <c r="D123" s="737">
        <v>73</v>
      </c>
      <c r="E123" s="737">
        <v>15</v>
      </c>
      <c r="F123" s="738">
        <f t="shared" si="63"/>
        <v>1095</v>
      </c>
      <c r="G123" s="738">
        <f t="shared" si="59"/>
        <v>54.75</v>
      </c>
      <c r="H123" s="738">
        <f t="shared" si="64"/>
        <v>1149.75</v>
      </c>
      <c r="I123" s="718"/>
      <c r="J123" s="718"/>
      <c r="K123" s="718"/>
      <c r="L123" s="718"/>
      <c r="M123" s="3"/>
      <c r="N123" s="3"/>
      <c r="O123" s="3"/>
      <c r="P123" s="3"/>
      <c r="Q123" s="3"/>
      <c r="R123" s="3"/>
      <c r="S123" s="3"/>
      <c r="T123" s="3"/>
      <c r="U123" s="3"/>
      <c r="V123" s="3"/>
      <c r="W123" s="3"/>
      <c r="X123" s="3"/>
      <c r="Y123" s="3"/>
      <c r="Z123" s="3"/>
    </row>
    <row r="124" spans="1:26" s="711" customFormat="1" ht="14.25" customHeight="1">
      <c r="A124" s="719">
        <v>10</v>
      </c>
      <c r="B124" s="716" t="s">
        <v>1674</v>
      </c>
      <c r="C124" s="719" t="s">
        <v>1276</v>
      </c>
      <c r="D124" s="737">
        <v>1</v>
      </c>
      <c r="E124" s="737">
        <v>3000</v>
      </c>
      <c r="F124" s="738">
        <f t="shared" si="63"/>
        <v>3000</v>
      </c>
      <c r="G124" s="738"/>
      <c r="H124" s="738">
        <f t="shared" si="64"/>
        <v>3000</v>
      </c>
      <c r="I124" s="718"/>
      <c r="J124" s="718"/>
      <c r="K124" s="718"/>
      <c r="L124" s="718"/>
      <c r="M124" s="3"/>
      <c r="N124" s="3"/>
      <c r="O124" s="3"/>
      <c r="P124" s="3"/>
      <c r="Q124" s="3"/>
      <c r="R124" s="3"/>
      <c r="S124" s="3"/>
      <c r="T124" s="3"/>
      <c r="U124" s="3"/>
      <c r="V124" s="3"/>
      <c r="W124" s="3"/>
      <c r="X124" s="3"/>
      <c r="Y124" s="3"/>
      <c r="Z124" s="3"/>
    </row>
    <row r="125" spans="1:26" s="747" customFormat="1" ht="14.25" customHeight="1">
      <c r="A125" s="719"/>
      <c r="B125" s="716"/>
      <c r="C125" s="719"/>
      <c r="D125" s="737"/>
      <c r="E125" s="737"/>
      <c r="F125" s="738"/>
      <c r="G125" s="738"/>
      <c r="H125" s="738"/>
      <c r="I125" s="718"/>
      <c r="J125" s="718"/>
      <c r="K125" s="718"/>
      <c r="L125" s="718"/>
      <c r="M125" s="3"/>
      <c r="N125" s="3"/>
      <c r="O125" s="3"/>
      <c r="P125" s="3"/>
      <c r="Q125" s="3"/>
      <c r="R125" s="3"/>
      <c r="S125" s="3"/>
      <c r="T125" s="3"/>
      <c r="U125" s="3"/>
      <c r="V125" s="3"/>
      <c r="W125" s="3"/>
      <c r="X125" s="3"/>
      <c r="Y125" s="3"/>
      <c r="Z125" s="3"/>
    </row>
    <row r="126" spans="1:26" s="711" customFormat="1" ht="14.25" customHeight="1">
      <c r="A126" s="719" t="s">
        <v>55</v>
      </c>
      <c r="B126" s="715" t="s">
        <v>1599</v>
      </c>
      <c r="C126" s="719"/>
      <c r="D126" s="737"/>
      <c r="E126" s="737"/>
      <c r="F126" s="738"/>
      <c r="G126" s="738"/>
      <c r="H126" s="738"/>
      <c r="I126" s="718"/>
      <c r="J126" s="718"/>
      <c r="K126" s="718"/>
      <c r="L126" s="718"/>
      <c r="M126" s="3"/>
      <c r="N126" s="3"/>
      <c r="O126" s="3"/>
      <c r="P126" s="3"/>
      <c r="Q126" s="3"/>
      <c r="R126" s="3"/>
      <c r="S126" s="3"/>
      <c r="T126" s="3"/>
      <c r="U126" s="3"/>
      <c r="V126" s="3"/>
      <c r="W126" s="3"/>
      <c r="X126" s="3"/>
      <c r="Y126" s="3"/>
      <c r="Z126" s="3"/>
    </row>
    <row r="127" spans="1:26" s="711" customFormat="1" ht="14.25" customHeight="1">
      <c r="A127" s="719">
        <v>1</v>
      </c>
      <c r="B127" s="716" t="s">
        <v>1609</v>
      </c>
      <c r="C127" s="719" t="s">
        <v>1295</v>
      </c>
      <c r="D127" s="737">
        <v>240</v>
      </c>
      <c r="E127" s="737">
        <v>0.8</v>
      </c>
      <c r="F127" s="738">
        <f t="shared" ref="F127:F143" si="65">(D127*E127)</f>
        <v>192</v>
      </c>
      <c r="G127" s="738"/>
      <c r="H127" s="738">
        <f t="shared" ref="H127:H143" si="66">SUM(F127+G127)</f>
        <v>192</v>
      </c>
      <c r="I127" s="718"/>
      <c r="J127" s="718"/>
      <c r="K127" s="718"/>
      <c r="L127" s="718"/>
      <c r="M127" s="3"/>
      <c r="N127" s="3"/>
      <c r="O127" s="3"/>
      <c r="P127" s="3"/>
      <c r="Q127" s="3"/>
      <c r="R127" s="3"/>
      <c r="S127" s="3"/>
      <c r="T127" s="3"/>
      <c r="U127" s="3"/>
      <c r="V127" s="3"/>
      <c r="W127" s="3"/>
      <c r="X127" s="3"/>
      <c r="Y127" s="3"/>
      <c r="Z127" s="3"/>
    </row>
    <row r="128" spans="1:26" s="711" customFormat="1" ht="14.25" customHeight="1">
      <c r="A128" s="719">
        <v>2</v>
      </c>
      <c r="B128" s="716" t="s">
        <v>1610</v>
      </c>
      <c r="C128" s="719" t="s">
        <v>1356</v>
      </c>
      <c r="D128" s="737">
        <v>50</v>
      </c>
      <c r="E128" s="737">
        <v>1.3</v>
      </c>
      <c r="F128" s="738">
        <f t="shared" si="65"/>
        <v>65</v>
      </c>
      <c r="G128" s="738"/>
      <c r="H128" s="738">
        <f t="shared" si="66"/>
        <v>65</v>
      </c>
      <c r="I128" s="718"/>
      <c r="J128" s="718"/>
      <c r="K128" s="718"/>
      <c r="L128" s="718"/>
      <c r="M128" s="3"/>
      <c r="N128" s="3"/>
      <c r="O128" s="3"/>
      <c r="P128" s="3"/>
      <c r="Q128" s="3"/>
      <c r="R128" s="3"/>
      <c r="S128" s="3"/>
      <c r="T128" s="3"/>
      <c r="U128" s="3"/>
      <c r="V128" s="3"/>
      <c r="W128" s="3"/>
      <c r="X128" s="3"/>
      <c r="Y128" s="3"/>
      <c r="Z128" s="3"/>
    </row>
    <row r="129" spans="1:26" s="711" customFormat="1" ht="14.25" customHeight="1">
      <c r="A129" s="719">
        <v>3</v>
      </c>
      <c r="B129" s="716" t="s">
        <v>1601</v>
      </c>
      <c r="C129" s="719" t="s">
        <v>1292</v>
      </c>
      <c r="D129" s="737">
        <v>4</v>
      </c>
      <c r="E129" s="737">
        <v>70</v>
      </c>
      <c r="F129" s="738">
        <f t="shared" si="65"/>
        <v>280</v>
      </c>
      <c r="G129" s="738"/>
      <c r="H129" s="738">
        <f t="shared" si="66"/>
        <v>280</v>
      </c>
      <c r="I129" s="718"/>
      <c r="J129" s="718"/>
      <c r="K129" s="718"/>
      <c r="L129" s="718"/>
      <c r="M129" s="3"/>
      <c r="N129" s="3"/>
      <c r="O129" s="3"/>
      <c r="P129" s="3"/>
      <c r="Q129" s="3"/>
      <c r="R129" s="3"/>
      <c r="S129" s="3"/>
      <c r="T129" s="3"/>
      <c r="U129" s="3"/>
      <c r="V129" s="3"/>
      <c r="W129" s="3"/>
      <c r="X129" s="3"/>
      <c r="Y129" s="3"/>
      <c r="Z129" s="3"/>
    </row>
    <row r="130" spans="1:26" s="711" customFormat="1" ht="14.25" customHeight="1">
      <c r="A130" s="719">
        <v>4</v>
      </c>
      <c r="B130" s="716" t="s">
        <v>1602</v>
      </c>
      <c r="C130" s="719" t="s">
        <v>1299</v>
      </c>
      <c r="D130" s="737">
        <v>75</v>
      </c>
      <c r="E130" s="737">
        <v>1.37</v>
      </c>
      <c r="F130" s="738">
        <f t="shared" si="65"/>
        <v>102.75000000000001</v>
      </c>
      <c r="G130" s="738"/>
      <c r="H130" s="738">
        <f t="shared" si="66"/>
        <v>102.75000000000001</v>
      </c>
      <c r="I130" s="718"/>
      <c r="J130" s="718"/>
      <c r="K130" s="718"/>
      <c r="L130" s="718"/>
      <c r="M130" s="3"/>
      <c r="N130" s="3"/>
      <c r="O130" s="3"/>
      <c r="P130" s="3"/>
      <c r="Q130" s="3"/>
      <c r="R130" s="3"/>
      <c r="S130" s="3"/>
      <c r="T130" s="3"/>
      <c r="U130" s="3"/>
      <c r="V130" s="3"/>
      <c r="W130" s="3"/>
      <c r="X130" s="3"/>
      <c r="Y130" s="3"/>
      <c r="Z130" s="3"/>
    </row>
    <row r="131" spans="1:26" s="711" customFormat="1" ht="14.25" customHeight="1">
      <c r="A131" s="719">
        <v>5</v>
      </c>
      <c r="B131" s="716" t="s">
        <v>1603</v>
      </c>
      <c r="C131" s="719" t="s">
        <v>1292</v>
      </c>
      <c r="D131" s="737">
        <v>3</v>
      </c>
      <c r="E131" s="737">
        <v>110</v>
      </c>
      <c r="F131" s="738">
        <f t="shared" si="65"/>
        <v>330</v>
      </c>
      <c r="G131" s="738"/>
      <c r="H131" s="738">
        <f t="shared" si="66"/>
        <v>330</v>
      </c>
      <c r="I131" s="718"/>
      <c r="J131" s="718"/>
      <c r="K131" s="718"/>
      <c r="L131" s="718"/>
      <c r="M131" s="3"/>
      <c r="N131" s="3"/>
      <c r="O131" s="3"/>
      <c r="P131" s="3"/>
      <c r="Q131" s="3"/>
      <c r="R131" s="3"/>
      <c r="S131" s="3"/>
      <c r="T131" s="3"/>
      <c r="U131" s="3"/>
      <c r="V131" s="3"/>
      <c r="W131" s="3"/>
      <c r="X131" s="3"/>
      <c r="Y131" s="3"/>
      <c r="Z131" s="3"/>
    </row>
    <row r="132" spans="1:26" s="711" customFormat="1" ht="14.25" customHeight="1">
      <c r="A132" s="719">
        <v>6</v>
      </c>
      <c r="B132" s="716" t="s">
        <v>1611</v>
      </c>
      <c r="C132" s="719" t="s">
        <v>1295</v>
      </c>
      <c r="D132" s="737">
        <v>240</v>
      </c>
      <c r="E132" s="737">
        <v>2</v>
      </c>
      <c r="F132" s="738">
        <f t="shared" si="65"/>
        <v>480</v>
      </c>
      <c r="G132" s="738"/>
      <c r="H132" s="738">
        <f t="shared" si="66"/>
        <v>480</v>
      </c>
      <c r="I132" s="718"/>
      <c r="J132" s="718"/>
      <c r="K132" s="718"/>
      <c r="L132" s="718"/>
      <c r="M132" s="3"/>
      <c r="N132" s="3"/>
      <c r="O132" s="3"/>
      <c r="P132" s="3"/>
      <c r="Q132" s="3"/>
      <c r="R132" s="3"/>
      <c r="S132" s="3"/>
      <c r="T132" s="3"/>
      <c r="U132" s="3"/>
      <c r="V132" s="3"/>
      <c r="W132" s="3"/>
      <c r="X132" s="3"/>
      <c r="Y132" s="3"/>
      <c r="Z132" s="3"/>
    </row>
    <row r="133" spans="1:26" s="711" customFormat="1" ht="14.25" customHeight="1">
      <c r="A133" s="719">
        <v>7</v>
      </c>
      <c r="B133" s="716" t="s">
        <v>1612</v>
      </c>
      <c r="C133" s="719" t="s">
        <v>1356</v>
      </c>
      <c r="D133" s="737">
        <v>50</v>
      </c>
      <c r="E133" s="737">
        <v>2</v>
      </c>
      <c r="F133" s="738">
        <f t="shared" si="65"/>
        <v>100</v>
      </c>
      <c r="G133" s="738"/>
      <c r="H133" s="738">
        <f t="shared" si="66"/>
        <v>100</v>
      </c>
      <c r="I133" s="718"/>
      <c r="J133" s="718"/>
      <c r="K133" s="718"/>
      <c r="L133" s="718"/>
      <c r="M133" s="3"/>
      <c r="N133" s="3"/>
      <c r="O133" s="3"/>
      <c r="P133" s="3"/>
      <c r="Q133" s="3"/>
      <c r="R133" s="3"/>
      <c r="S133" s="3"/>
      <c r="T133" s="3"/>
      <c r="U133" s="3"/>
      <c r="V133" s="3"/>
      <c r="W133" s="3"/>
      <c r="X133" s="3"/>
      <c r="Y133" s="3"/>
      <c r="Z133" s="3"/>
    </row>
    <row r="134" spans="1:26" s="712" customFormat="1" ht="14.25" customHeight="1">
      <c r="A134" s="716"/>
      <c r="B134" s="716"/>
      <c r="C134" s="719"/>
      <c r="D134" s="737"/>
      <c r="E134" s="737"/>
      <c r="F134" s="738"/>
      <c r="G134" s="738"/>
      <c r="H134" s="738"/>
      <c r="I134" s="718"/>
      <c r="J134" s="718"/>
      <c r="K134" s="718"/>
      <c r="L134" s="718"/>
      <c r="M134" s="3"/>
      <c r="N134" s="3"/>
      <c r="O134" s="3"/>
      <c r="P134" s="3"/>
      <c r="Q134" s="3"/>
      <c r="R134" s="3"/>
      <c r="S134" s="3"/>
      <c r="T134" s="3"/>
      <c r="U134" s="3"/>
      <c r="V134" s="3"/>
      <c r="W134" s="3"/>
      <c r="X134" s="3"/>
      <c r="Y134" s="3"/>
      <c r="Z134" s="3"/>
    </row>
    <row r="135" spans="1:26" s="711" customFormat="1" ht="14.25" customHeight="1">
      <c r="A135" s="723" t="s">
        <v>56</v>
      </c>
      <c r="B135" s="715" t="s">
        <v>1600</v>
      </c>
      <c r="C135" s="719"/>
      <c r="D135" s="737"/>
      <c r="E135" s="737"/>
      <c r="F135" s="738"/>
      <c r="G135" s="738"/>
      <c r="H135" s="738"/>
      <c r="I135" s="718"/>
      <c r="J135" s="718"/>
      <c r="K135" s="718"/>
      <c r="L135" s="718"/>
      <c r="M135" s="3"/>
      <c r="N135" s="3"/>
      <c r="O135" s="3"/>
      <c r="P135" s="3"/>
      <c r="Q135" s="3"/>
      <c r="R135" s="3"/>
      <c r="S135" s="3"/>
      <c r="T135" s="3"/>
      <c r="U135" s="3"/>
      <c r="V135" s="3"/>
      <c r="W135" s="3"/>
      <c r="X135" s="3"/>
      <c r="Y135" s="3"/>
      <c r="Z135" s="3"/>
    </row>
    <row r="136" spans="1:26" s="712" customFormat="1" ht="14.25" customHeight="1">
      <c r="A136" s="719">
        <v>1</v>
      </c>
      <c r="B136" s="716" t="s">
        <v>1604</v>
      </c>
      <c r="C136" s="719" t="s">
        <v>1276</v>
      </c>
      <c r="D136" s="737">
        <v>1</v>
      </c>
      <c r="E136" s="737">
        <v>1000</v>
      </c>
      <c r="F136" s="738">
        <f t="shared" si="65"/>
        <v>1000</v>
      </c>
      <c r="G136" s="738"/>
      <c r="H136" s="738">
        <f t="shared" si="66"/>
        <v>1000</v>
      </c>
      <c r="I136" s="718"/>
      <c r="J136" s="718"/>
      <c r="K136" s="718"/>
      <c r="L136" s="718"/>
      <c r="M136" s="3"/>
      <c r="N136" s="3"/>
      <c r="O136" s="3"/>
      <c r="P136" s="3"/>
      <c r="Q136" s="3"/>
      <c r="R136" s="3"/>
      <c r="S136" s="3"/>
      <c r="T136" s="3"/>
      <c r="U136" s="3"/>
      <c r="V136" s="3"/>
      <c r="W136" s="3"/>
      <c r="X136" s="3"/>
      <c r="Y136" s="3"/>
      <c r="Z136" s="3"/>
    </row>
    <row r="137" spans="1:26" s="712" customFormat="1" ht="14.25" customHeight="1">
      <c r="A137" s="719">
        <v>2</v>
      </c>
      <c r="B137" s="716" t="s">
        <v>1605</v>
      </c>
      <c r="C137" s="719" t="s">
        <v>1276</v>
      </c>
      <c r="D137" s="737">
        <v>1</v>
      </c>
      <c r="E137" s="737">
        <v>600</v>
      </c>
      <c r="F137" s="738">
        <f t="shared" si="65"/>
        <v>600</v>
      </c>
      <c r="G137" s="738"/>
      <c r="H137" s="738">
        <f t="shared" si="66"/>
        <v>600</v>
      </c>
      <c r="I137" s="718"/>
      <c r="J137" s="718"/>
      <c r="K137" s="718"/>
      <c r="L137" s="718"/>
      <c r="M137" s="3"/>
      <c r="N137" s="3"/>
      <c r="O137" s="3"/>
      <c r="P137" s="3"/>
      <c r="Q137" s="3"/>
      <c r="R137" s="3"/>
      <c r="S137" s="3"/>
      <c r="T137" s="3"/>
      <c r="U137" s="3"/>
      <c r="V137" s="3"/>
      <c r="W137" s="3"/>
      <c r="X137" s="3"/>
      <c r="Y137" s="3"/>
      <c r="Z137" s="3"/>
    </row>
    <row r="138" spans="1:26" s="712" customFormat="1" ht="14.25" customHeight="1">
      <c r="A138" s="719">
        <v>3</v>
      </c>
      <c r="B138" s="716" t="s">
        <v>1606</v>
      </c>
      <c r="C138" s="719" t="s">
        <v>1307</v>
      </c>
      <c r="D138" s="737">
        <v>18</v>
      </c>
      <c r="E138" s="737">
        <v>100</v>
      </c>
      <c r="F138" s="738">
        <f t="shared" si="65"/>
        <v>1800</v>
      </c>
      <c r="G138" s="738"/>
      <c r="H138" s="738">
        <f t="shared" si="66"/>
        <v>1800</v>
      </c>
      <c r="I138" s="718"/>
      <c r="J138" s="718"/>
      <c r="K138" s="718"/>
      <c r="L138" s="718"/>
      <c r="M138" s="3"/>
      <c r="N138" s="3"/>
      <c r="O138" s="3"/>
      <c r="P138" s="3"/>
      <c r="Q138" s="3"/>
      <c r="R138" s="3"/>
      <c r="S138" s="3"/>
      <c r="T138" s="3"/>
      <c r="U138" s="3"/>
      <c r="V138" s="3"/>
      <c r="W138" s="3"/>
      <c r="X138" s="3"/>
      <c r="Y138" s="3"/>
      <c r="Z138" s="3"/>
    </row>
    <row r="139" spans="1:26" s="711" customFormat="1" ht="14.25" customHeight="1">
      <c r="A139" s="719">
        <v>4</v>
      </c>
      <c r="B139" s="716" t="s">
        <v>1607</v>
      </c>
      <c r="C139" s="719" t="s">
        <v>1307</v>
      </c>
      <c r="D139" s="737">
        <v>20</v>
      </c>
      <c r="E139" s="737">
        <v>50</v>
      </c>
      <c r="F139" s="738">
        <f t="shared" si="65"/>
        <v>1000</v>
      </c>
      <c r="G139" s="738"/>
      <c r="H139" s="738">
        <f t="shared" si="66"/>
        <v>1000</v>
      </c>
      <c r="I139" s="718"/>
      <c r="J139" s="718"/>
      <c r="K139" s="718"/>
      <c r="L139" s="718"/>
      <c r="M139" s="3"/>
      <c r="N139" s="3"/>
      <c r="O139" s="3"/>
      <c r="P139" s="3"/>
      <c r="Q139" s="3"/>
      <c r="R139" s="3"/>
      <c r="S139" s="3"/>
      <c r="T139" s="3"/>
      <c r="U139" s="3"/>
      <c r="V139" s="3"/>
      <c r="W139" s="3"/>
      <c r="X139" s="3"/>
      <c r="Y139" s="3"/>
      <c r="Z139" s="3"/>
    </row>
    <row r="140" spans="1:26" s="711" customFormat="1" ht="14.25" customHeight="1">
      <c r="A140" s="719">
        <v>5</v>
      </c>
      <c r="B140" s="722" t="s">
        <v>1608</v>
      </c>
      <c r="C140" s="719" t="s">
        <v>1276</v>
      </c>
      <c r="D140" s="737">
        <v>1</v>
      </c>
      <c r="E140" s="737">
        <v>900</v>
      </c>
      <c r="F140" s="738">
        <f t="shared" si="65"/>
        <v>900</v>
      </c>
      <c r="G140" s="738"/>
      <c r="H140" s="738">
        <f t="shared" si="66"/>
        <v>900</v>
      </c>
      <c r="I140" s="718"/>
      <c r="J140" s="718"/>
      <c r="K140" s="718"/>
      <c r="L140" s="718"/>
      <c r="M140" s="3"/>
      <c r="N140" s="3"/>
      <c r="O140" s="3"/>
      <c r="P140" s="3"/>
      <c r="Q140" s="3"/>
      <c r="R140" s="3"/>
      <c r="S140" s="3"/>
      <c r="T140" s="3"/>
      <c r="U140" s="3"/>
      <c r="V140" s="3"/>
      <c r="W140" s="3"/>
      <c r="X140" s="3"/>
      <c r="Y140" s="3"/>
      <c r="Z140" s="3"/>
    </row>
    <row r="141" spans="1:26" s="712" customFormat="1" ht="14.25" customHeight="1">
      <c r="A141" s="719">
        <v>6</v>
      </c>
      <c r="B141" s="722" t="s">
        <v>1613</v>
      </c>
      <c r="C141" s="719" t="s">
        <v>121</v>
      </c>
      <c r="D141" s="737">
        <v>2</v>
      </c>
      <c r="E141" s="737">
        <v>15.5</v>
      </c>
      <c r="F141" s="738">
        <f t="shared" si="65"/>
        <v>31</v>
      </c>
      <c r="G141" s="738"/>
      <c r="H141" s="738">
        <f t="shared" si="66"/>
        <v>31</v>
      </c>
      <c r="I141" s="718"/>
      <c r="J141" s="718"/>
      <c r="K141" s="718"/>
      <c r="L141" s="718"/>
      <c r="M141" s="3"/>
      <c r="N141" s="3"/>
      <c r="O141" s="3"/>
      <c r="P141" s="3"/>
      <c r="Q141" s="3"/>
      <c r="R141" s="3"/>
      <c r="S141" s="3"/>
      <c r="T141" s="3"/>
      <c r="U141" s="3"/>
      <c r="V141" s="3"/>
      <c r="W141" s="3"/>
      <c r="X141" s="3"/>
      <c r="Y141" s="3"/>
      <c r="Z141" s="3"/>
    </row>
    <row r="142" spans="1:26" s="712" customFormat="1" ht="14.25" customHeight="1">
      <c r="A142" s="719">
        <v>7</v>
      </c>
      <c r="B142" s="722" t="s">
        <v>1614</v>
      </c>
      <c r="C142" s="719" t="s">
        <v>121</v>
      </c>
      <c r="D142" s="737">
        <v>10</v>
      </c>
      <c r="E142" s="737">
        <v>13</v>
      </c>
      <c r="F142" s="738">
        <f t="shared" si="65"/>
        <v>130</v>
      </c>
      <c r="G142" s="738"/>
      <c r="H142" s="738">
        <f t="shared" si="66"/>
        <v>130</v>
      </c>
      <c r="I142" s="718"/>
      <c r="J142" s="718"/>
      <c r="K142" s="718"/>
      <c r="L142" s="718"/>
      <c r="M142" s="3"/>
      <c r="N142" s="3"/>
      <c r="O142" s="3"/>
      <c r="P142" s="3"/>
      <c r="Q142" s="3"/>
      <c r="R142" s="3"/>
      <c r="S142" s="3"/>
      <c r="T142" s="3"/>
      <c r="U142" s="3"/>
      <c r="V142" s="3"/>
      <c r="W142" s="3"/>
      <c r="X142" s="3"/>
      <c r="Y142" s="3"/>
      <c r="Z142" s="3"/>
    </row>
    <row r="143" spans="1:26" s="712" customFormat="1" ht="14.25" customHeight="1">
      <c r="A143" s="719">
        <v>8</v>
      </c>
      <c r="B143" s="722" t="s">
        <v>1615</v>
      </c>
      <c r="C143" s="719" t="s">
        <v>1293</v>
      </c>
      <c r="D143" s="737">
        <v>20</v>
      </c>
      <c r="E143" s="737">
        <v>5.6</v>
      </c>
      <c r="F143" s="738">
        <f t="shared" si="65"/>
        <v>112</v>
      </c>
      <c r="G143" s="738"/>
      <c r="H143" s="738">
        <f t="shared" si="66"/>
        <v>112</v>
      </c>
      <c r="I143" s="718"/>
      <c r="J143" s="718"/>
      <c r="K143" s="718"/>
      <c r="L143" s="718"/>
      <c r="M143" s="3"/>
      <c r="N143" s="3"/>
      <c r="O143" s="3"/>
      <c r="P143" s="3"/>
      <c r="Q143" s="3"/>
      <c r="R143" s="3"/>
      <c r="S143" s="3"/>
      <c r="T143" s="3"/>
      <c r="U143" s="3"/>
      <c r="V143" s="3"/>
      <c r="W143" s="3"/>
      <c r="X143" s="3"/>
      <c r="Y143" s="3"/>
      <c r="Z143" s="3"/>
    </row>
    <row r="144" spans="1:26" s="712" customFormat="1" ht="14.25" customHeight="1">
      <c r="A144" s="719"/>
      <c r="B144" s="722"/>
      <c r="C144" s="719"/>
      <c r="D144" s="737"/>
      <c r="E144" s="737"/>
      <c r="F144" s="738"/>
      <c r="G144" s="738"/>
      <c r="H144" s="738"/>
      <c r="I144" s="718"/>
      <c r="J144" s="718"/>
      <c r="K144" s="718"/>
      <c r="L144" s="718"/>
      <c r="M144" s="3"/>
      <c r="N144" s="3"/>
      <c r="O144" s="3"/>
      <c r="P144" s="3"/>
      <c r="Q144" s="3"/>
      <c r="R144" s="3"/>
      <c r="S144" s="3"/>
      <c r="T144" s="3"/>
      <c r="U144" s="3"/>
      <c r="V144" s="3"/>
      <c r="W144" s="3"/>
      <c r="X144" s="3"/>
      <c r="Y144" s="3"/>
      <c r="Z144" s="3"/>
    </row>
    <row r="145" spans="1:26" ht="14.25" customHeight="1">
      <c r="A145" s="716"/>
      <c r="B145" s="725" t="s">
        <v>1386</v>
      </c>
      <c r="C145" s="716"/>
      <c r="D145" s="737"/>
      <c r="E145" s="737"/>
      <c r="F145" s="738"/>
      <c r="G145" s="738"/>
      <c r="H145" s="738"/>
      <c r="I145" s="718"/>
      <c r="J145" s="718"/>
      <c r="K145" s="718"/>
      <c r="L145" s="718"/>
      <c r="M145" s="3"/>
      <c r="N145" s="3"/>
      <c r="O145" s="3"/>
      <c r="P145" s="3"/>
      <c r="Q145" s="3"/>
      <c r="R145" s="3"/>
      <c r="S145" s="3"/>
      <c r="T145" s="3"/>
      <c r="U145" s="3"/>
      <c r="V145" s="3"/>
      <c r="W145" s="3"/>
      <c r="X145" s="3"/>
      <c r="Y145" s="3"/>
      <c r="Z145" s="3"/>
    </row>
    <row r="146" spans="1:26" ht="14.25" customHeight="1">
      <c r="A146" s="723" t="s">
        <v>57</v>
      </c>
      <c r="B146" s="715" t="s">
        <v>1379</v>
      </c>
      <c r="C146" s="716"/>
      <c r="D146" s="737"/>
      <c r="E146" s="737"/>
      <c r="F146" s="738"/>
      <c r="G146" s="738"/>
      <c r="H146" s="738"/>
      <c r="I146" s="718"/>
      <c r="J146" s="718"/>
      <c r="K146" s="718"/>
      <c r="L146" s="718"/>
      <c r="M146" s="3"/>
      <c r="N146" s="3"/>
      <c r="O146" s="3"/>
      <c r="P146" s="3"/>
      <c r="Q146" s="3"/>
      <c r="R146" s="3"/>
      <c r="S146" s="3"/>
      <c r="T146" s="3"/>
      <c r="U146" s="3"/>
      <c r="V146" s="3"/>
      <c r="W146" s="3"/>
      <c r="X146" s="3"/>
      <c r="Y146" s="3"/>
      <c r="Z146" s="3"/>
    </row>
    <row r="147" spans="1:26" ht="14.25" customHeight="1">
      <c r="A147" s="719">
        <v>1</v>
      </c>
      <c r="B147" s="716" t="s">
        <v>970</v>
      </c>
      <c r="C147" s="719" t="s">
        <v>121</v>
      </c>
      <c r="D147" s="737">
        <v>1</v>
      </c>
      <c r="E147" s="737">
        <v>750</v>
      </c>
      <c r="F147" s="738">
        <f t="shared" ref="F147:F148" si="67">(D147*E147)</f>
        <v>750</v>
      </c>
      <c r="G147" s="738">
        <f t="shared" ref="G147:G148" si="68">(F147*5%)</f>
        <v>37.5</v>
      </c>
      <c r="H147" s="738">
        <f>SUM(F147+G147)</f>
        <v>787.5</v>
      </c>
      <c r="I147" s="718"/>
      <c r="J147" s="718"/>
      <c r="K147" s="718"/>
      <c r="L147" s="718"/>
      <c r="M147" s="3"/>
      <c r="N147" s="3"/>
      <c r="O147" s="3"/>
      <c r="P147" s="3"/>
      <c r="Q147" s="3"/>
      <c r="R147" s="3"/>
      <c r="S147" s="3"/>
      <c r="T147" s="3"/>
      <c r="U147" s="3"/>
      <c r="V147" s="3"/>
      <c r="W147" s="3"/>
      <c r="X147" s="3"/>
      <c r="Y147" s="3"/>
      <c r="Z147" s="3"/>
    </row>
    <row r="148" spans="1:26" ht="14.25" customHeight="1">
      <c r="A148" s="719">
        <v>2</v>
      </c>
      <c r="B148" s="716" t="s">
        <v>1360</v>
      </c>
      <c r="C148" s="719" t="s">
        <v>121</v>
      </c>
      <c r="D148" s="737">
        <v>1</v>
      </c>
      <c r="E148" s="737">
        <v>750</v>
      </c>
      <c r="F148" s="738">
        <f t="shared" si="67"/>
        <v>750</v>
      </c>
      <c r="G148" s="738">
        <f t="shared" si="68"/>
        <v>37.5</v>
      </c>
      <c r="H148" s="738">
        <f t="shared" ref="H148" si="69">SUM(F148+G148)</f>
        <v>787.5</v>
      </c>
      <c r="I148" s="718"/>
      <c r="J148" s="718"/>
      <c r="K148" s="718"/>
      <c r="L148" s="718"/>
      <c r="M148" s="3"/>
      <c r="N148" s="3"/>
      <c r="O148" s="3"/>
      <c r="P148" s="3"/>
      <c r="Q148" s="3"/>
      <c r="R148" s="3"/>
      <c r="S148" s="3"/>
      <c r="T148" s="3"/>
      <c r="U148" s="3"/>
      <c r="V148" s="3"/>
      <c r="W148" s="3"/>
      <c r="X148" s="3"/>
      <c r="Y148" s="3"/>
      <c r="Z148" s="3"/>
    </row>
    <row r="149" spans="1:26" ht="14.25" customHeight="1">
      <c r="A149" s="719">
        <v>3</v>
      </c>
      <c r="B149" s="716" t="s">
        <v>1361</v>
      </c>
      <c r="C149" s="719" t="s">
        <v>1362</v>
      </c>
      <c r="D149" s="737">
        <v>1</v>
      </c>
      <c r="E149" s="737">
        <v>40</v>
      </c>
      <c r="F149" s="738">
        <f t="shared" ref="F149:F163" si="70">(D149*E149)</f>
        <v>40</v>
      </c>
      <c r="G149" s="738">
        <f t="shared" ref="G149:G163" si="71">(F149*5%)</f>
        <v>2</v>
      </c>
      <c r="H149" s="738">
        <f t="shared" ref="H149:H163" si="72">SUM(F149+G149)</f>
        <v>42</v>
      </c>
      <c r="I149" s="718"/>
      <c r="J149" s="718"/>
      <c r="K149" s="718"/>
      <c r="L149" s="718"/>
      <c r="M149" s="3"/>
      <c r="N149" s="3"/>
      <c r="O149" s="3"/>
      <c r="P149" s="3"/>
      <c r="Q149" s="3"/>
      <c r="R149" s="3"/>
      <c r="S149" s="3"/>
      <c r="T149" s="3"/>
      <c r="U149" s="3"/>
      <c r="V149" s="3"/>
      <c r="W149" s="3"/>
      <c r="X149" s="3"/>
      <c r="Y149" s="3"/>
      <c r="Z149" s="3"/>
    </row>
    <row r="150" spans="1:26" ht="14.25" customHeight="1">
      <c r="A150" s="719">
        <v>4</v>
      </c>
      <c r="B150" s="716" t="s">
        <v>1363</v>
      </c>
      <c r="C150" s="719" t="s">
        <v>121</v>
      </c>
      <c r="D150" s="737">
        <v>35</v>
      </c>
      <c r="E150" s="737">
        <v>17.7</v>
      </c>
      <c r="F150" s="738">
        <f t="shared" si="70"/>
        <v>619.5</v>
      </c>
      <c r="G150" s="738">
        <f t="shared" si="71"/>
        <v>30.975000000000001</v>
      </c>
      <c r="H150" s="738">
        <f t="shared" si="72"/>
        <v>650.47500000000002</v>
      </c>
      <c r="I150" s="718"/>
      <c r="J150" s="718"/>
      <c r="K150" s="718"/>
      <c r="L150" s="718"/>
      <c r="M150" s="3"/>
      <c r="N150" s="3"/>
      <c r="O150" s="3"/>
      <c r="P150" s="3"/>
      <c r="Q150" s="3"/>
      <c r="R150" s="3"/>
      <c r="S150" s="3"/>
      <c r="T150" s="3"/>
      <c r="U150" s="3"/>
      <c r="V150" s="3"/>
      <c r="W150" s="3"/>
      <c r="X150" s="3"/>
      <c r="Y150" s="3"/>
      <c r="Z150" s="3"/>
    </row>
    <row r="151" spans="1:26" ht="14.25" customHeight="1">
      <c r="A151" s="719">
        <v>5</v>
      </c>
      <c r="B151" s="716" t="s">
        <v>1364</v>
      </c>
      <c r="C151" s="719" t="s">
        <v>121</v>
      </c>
      <c r="D151" s="737">
        <v>12</v>
      </c>
      <c r="E151" s="737">
        <v>53.3</v>
      </c>
      <c r="F151" s="738">
        <f t="shared" si="70"/>
        <v>639.59999999999991</v>
      </c>
      <c r="G151" s="738">
        <f t="shared" si="71"/>
        <v>31.979999999999997</v>
      </c>
      <c r="H151" s="738">
        <f t="shared" si="72"/>
        <v>671.57999999999993</v>
      </c>
      <c r="I151" s="718"/>
      <c r="J151" s="718"/>
      <c r="K151" s="718"/>
      <c r="L151" s="718"/>
      <c r="M151" s="3"/>
      <c r="N151" s="3"/>
      <c r="O151" s="3"/>
      <c r="P151" s="3"/>
      <c r="Q151" s="3"/>
      <c r="R151" s="3"/>
      <c r="S151" s="3"/>
      <c r="T151" s="3"/>
      <c r="U151" s="3"/>
      <c r="V151" s="3"/>
      <c r="W151" s="3"/>
      <c r="X151" s="3"/>
      <c r="Y151" s="3"/>
      <c r="Z151" s="3"/>
    </row>
    <row r="152" spans="1:26" ht="14.25" customHeight="1">
      <c r="A152" s="719">
        <v>6</v>
      </c>
      <c r="B152" s="716" t="s">
        <v>1365</v>
      </c>
      <c r="C152" s="719" t="s">
        <v>121</v>
      </c>
      <c r="D152" s="737">
        <v>1</v>
      </c>
      <c r="E152" s="737">
        <v>46.7</v>
      </c>
      <c r="F152" s="738">
        <f t="shared" si="70"/>
        <v>46.7</v>
      </c>
      <c r="G152" s="738">
        <f t="shared" si="71"/>
        <v>2.3350000000000004</v>
      </c>
      <c r="H152" s="738">
        <f t="shared" si="72"/>
        <v>49.035000000000004</v>
      </c>
      <c r="I152" s="718"/>
      <c r="J152" s="718"/>
      <c r="K152" s="718"/>
      <c r="L152" s="718"/>
      <c r="M152" s="3"/>
      <c r="N152" s="3"/>
      <c r="O152" s="3"/>
      <c r="P152" s="3"/>
      <c r="Q152" s="3"/>
      <c r="R152" s="3"/>
      <c r="S152" s="3"/>
      <c r="T152" s="3"/>
      <c r="U152" s="3"/>
      <c r="V152" s="3"/>
      <c r="W152" s="3"/>
      <c r="X152" s="3"/>
      <c r="Y152" s="3"/>
      <c r="Z152" s="3"/>
    </row>
    <row r="153" spans="1:26" ht="14.25" customHeight="1">
      <c r="A153" s="719">
        <v>7</v>
      </c>
      <c r="B153" s="716" t="s">
        <v>1366</v>
      </c>
      <c r="C153" s="719" t="s">
        <v>1367</v>
      </c>
      <c r="D153" s="737">
        <v>35</v>
      </c>
      <c r="E153" s="737">
        <v>15</v>
      </c>
      <c r="F153" s="738">
        <f t="shared" si="70"/>
        <v>525</v>
      </c>
      <c r="G153" s="738">
        <f t="shared" si="71"/>
        <v>26.25</v>
      </c>
      <c r="H153" s="738">
        <f t="shared" si="72"/>
        <v>551.25</v>
      </c>
      <c r="I153" s="718"/>
      <c r="J153" s="718"/>
      <c r="K153" s="718"/>
      <c r="L153" s="718"/>
      <c r="M153" s="3"/>
      <c r="N153" s="3"/>
      <c r="O153" s="3"/>
      <c r="P153" s="3"/>
      <c r="Q153" s="3"/>
      <c r="R153" s="3"/>
      <c r="S153" s="3"/>
      <c r="T153" s="3"/>
      <c r="U153" s="3"/>
      <c r="V153" s="3"/>
      <c r="W153" s="3"/>
      <c r="X153" s="3"/>
      <c r="Y153" s="3"/>
      <c r="Z153" s="3"/>
    </row>
    <row r="154" spans="1:26" ht="14.25" customHeight="1">
      <c r="A154" s="719">
        <v>8</v>
      </c>
      <c r="B154" s="716" t="s">
        <v>1369</v>
      </c>
      <c r="C154" s="719" t="s">
        <v>121</v>
      </c>
      <c r="D154" s="737">
        <v>35</v>
      </c>
      <c r="E154" s="737">
        <v>4.4000000000000004</v>
      </c>
      <c r="F154" s="738">
        <f t="shared" si="70"/>
        <v>154</v>
      </c>
      <c r="G154" s="738">
        <f t="shared" si="71"/>
        <v>7.7</v>
      </c>
      <c r="H154" s="738">
        <f t="shared" si="72"/>
        <v>161.69999999999999</v>
      </c>
      <c r="I154" s="718"/>
      <c r="J154" s="718"/>
      <c r="K154" s="718"/>
      <c r="L154" s="718"/>
      <c r="M154" s="3"/>
      <c r="N154" s="3"/>
      <c r="O154" s="3"/>
      <c r="P154" s="3"/>
      <c r="Q154" s="3"/>
      <c r="R154" s="3"/>
      <c r="S154" s="3"/>
      <c r="T154" s="3"/>
      <c r="U154" s="3"/>
      <c r="V154" s="3"/>
      <c r="W154" s="3"/>
      <c r="X154" s="3"/>
      <c r="Y154" s="3"/>
      <c r="Z154" s="3"/>
    </row>
    <row r="155" spans="1:26" ht="14.25" customHeight="1">
      <c r="A155" s="719">
        <v>9</v>
      </c>
      <c r="B155" s="716" t="s">
        <v>1370</v>
      </c>
      <c r="C155" s="719" t="s">
        <v>121</v>
      </c>
      <c r="D155" s="737">
        <v>13</v>
      </c>
      <c r="E155" s="737">
        <v>28.8</v>
      </c>
      <c r="F155" s="738">
        <f t="shared" si="70"/>
        <v>374.40000000000003</v>
      </c>
      <c r="G155" s="738">
        <f t="shared" si="71"/>
        <v>18.720000000000002</v>
      </c>
      <c r="H155" s="738">
        <f t="shared" si="72"/>
        <v>393.12000000000006</v>
      </c>
      <c r="I155" s="718"/>
      <c r="J155" s="718"/>
      <c r="K155" s="718"/>
      <c r="L155" s="718"/>
      <c r="M155" s="3"/>
      <c r="N155" s="3"/>
      <c r="O155" s="3"/>
      <c r="P155" s="3"/>
      <c r="Q155" s="3"/>
      <c r="R155" s="3"/>
      <c r="S155" s="3"/>
      <c r="T155" s="3"/>
      <c r="U155" s="3"/>
      <c r="V155" s="3"/>
      <c r="W155" s="3"/>
      <c r="X155" s="3"/>
      <c r="Y155" s="3"/>
      <c r="Z155" s="3"/>
    </row>
    <row r="156" spans="1:26" ht="14.25" customHeight="1">
      <c r="A156" s="719">
        <v>10</v>
      </c>
      <c r="B156" s="716" t="s">
        <v>1371</v>
      </c>
      <c r="C156" s="719" t="s">
        <v>121</v>
      </c>
      <c r="D156" s="737">
        <v>13</v>
      </c>
      <c r="E156" s="737">
        <v>9.1</v>
      </c>
      <c r="F156" s="738">
        <f t="shared" si="70"/>
        <v>118.3</v>
      </c>
      <c r="G156" s="738">
        <f t="shared" si="71"/>
        <v>5.915</v>
      </c>
      <c r="H156" s="738">
        <f t="shared" si="72"/>
        <v>124.215</v>
      </c>
      <c r="I156" s="718"/>
      <c r="J156" s="718"/>
      <c r="K156" s="718"/>
      <c r="L156" s="718"/>
      <c r="M156" s="3"/>
      <c r="N156" s="3"/>
      <c r="O156" s="3"/>
      <c r="P156" s="3"/>
      <c r="Q156" s="3"/>
      <c r="R156" s="3"/>
      <c r="S156" s="3"/>
      <c r="T156" s="3"/>
      <c r="U156" s="3"/>
      <c r="V156" s="3"/>
      <c r="W156" s="3"/>
      <c r="X156" s="3"/>
      <c r="Y156" s="3"/>
      <c r="Z156" s="3"/>
    </row>
    <row r="157" spans="1:26" ht="14.25" customHeight="1">
      <c r="A157" s="719">
        <v>11</v>
      </c>
      <c r="B157" s="716" t="s">
        <v>1372</v>
      </c>
      <c r="C157" s="719" t="s">
        <v>121</v>
      </c>
      <c r="D157" s="737">
        <v>222</v>
      </c>
      <c r="E157" s="737">
        <v>1.4</v>
      </c>
      <c r="F157" s="738">
        <f t="shared" si="70"/>
        <v>310.79999999999995</v>
      </c>
      <c r="G157" s="738">
        <f t="shared" si="71"/>
        <v>15.54</v>
      </c>
      <c r="H157" s="738">
        <f t="shared" si="72"/>
        <v>326.33999999999997</v>
      </c>
      <c r="I157" s="718"/>
      <c r="J157" s="718"/>
      <c r="K157" s="718"/>
      <c r="L157" s="718"/>
      <c r="M157" s="3"/>
      <c r="N157" s="3"/>
      <c r="O157" s="3"/>
      <c r="P157" s="3"/>
      <c r="Q157" s="3"/>
      <c r="R157" s="3"/>
      <c r="S157" s="3"/>
      <c r="T157" s="3"/>
      <c r="U157" s="3"/>
      <c r="V157" s="3"/>
      <c r="W157" s="3"/>
      <c r="X157" s="3"/>
      <c r="Y157" s="3"/>
      <c r="Z157" s="3"/>
    </row>
    <row r="158" spans="1:26" ht="14.25" customHeight="1">
      <c r="A158" s="719">
        <v>12</v>
      </c>
      <c r="B158" s="716" t="s">
        <v>1373</v>
      </c>
      <c r="C158" s="719" t="s">
        <v>121</v>
      </c>
      <c r="D158" s="737">
        <v>93</v>
      </c>
      <c r="E158" s="737">
        <v>1.4</v>
      </c>
      <c r="F158" s="738">
        <f t="shared" si="70"/>
        <v>130.19999999999999</v>
      </c>
      <c r="G158" s="738">
        <f t="shared" si="71"/>
        <v>6.51</v>
      </c>
      <c r="H158" s="738">
        <f t="shared" si="72"/>
        <v>136.70999999999998</v>
      </c>
      <c r="I158" s="718"/>
      <c r="J158" s="718"/>
      <c r="K158" s="718"/>
      <c r="L158" s="718"/>
      <c r="M158" s="3"/>
      <c r="N158" s="3"/>
      <c r="O158" s="3"/>
      <c r="P158" s="3"/>
      <c r="Q158" s="3"/>
      <c r="R158" s="3"/>
      <c r="S158" s="3"/>
      <c r="T158" s="3"/>
      <c r="U158" s="3"/>
      <c r="V158" s="3"/>
      <c r="W158" s="3"/>
      <c r="X158" s="3"/>
      <c r="Y158" s="3"/>
      <c r="Z158" s="3"/>
    </row>
    <row r="159" spans="1:26" ht="14.25" customHeight="1">
      <c r="A159" s="719">
        <v>13</v>
      </c>
      <c r="B159" s="716" t="s">
        <v>1374</v>
      </c>
      <c r="C159" s="719" t="s">
        <v>121</v>
      </c>
      <c r="D159" s="737">
        <v>35</v>
      </c>
      <c r="E159" s="737">
        <v>1.4</v>
      </c>
      <c r="F159" s="738">
        <f t="shared" si="70"/>
        <v>49</v>
      </c>
      <c r="G159" s="738">
        <f t="shared" si="71"/>
        <v>2.4500000000000002</v>
      </c>
      <c r="H159" s="738">
        <f t="shared" si="72"/>
        <v>51.45</v>
      </c>
      <c r="I159" s="718"/>
      <c r="J159" s="718"/>
      <c r="K159" s="718"/>
      <c r="L159" s="718"/>
      <c r="M159" s="3"/>
      <c r="N159" s="3"/>
      <c r="O159" s="3"/>
      <c r="P159" s="3"/>
      <c r="Q159" s="3"/>
      <c r="R159" s="3"/>
      <c r="S159" s="3"/>
      <c r="T159" s="3"/>
      <c r="U159" s="3"/>
      <c r="V159" s="3"/>
      <c r="W159" s="3"/>
      <c r="X159" s="3"/>
      <c r="Y159" s="3"/>
      <c r="Z159" s="3"/>
    </row>
    <row r="160" spans="1:26" ht="14.25" customHeight="1">
      <c r="A160" s="719">
        <v>14</v>
      </c>
      <c r="B160" s="716" t="s">
        <v>1375</v>
      </c>
      <c r="C160" s="719" t="s">
        <v>121</v>
      </c>
      <c r="D160" s="737">
        <v>218</v>
      </c>
      <c r="E160" s="737">
        <v>1.55</v>
      </c>
      <c r="F160" s="738">
        <f t="shared" si="70"/>
        <v>337.90000000000003</v>
      </c>
      <c r="G160" s="738">
        <f t="shared" si="71"/>
        <v>16.895000000000003</v>
      </c>
      <c r="H160" s="738">
        <f t="shared" si="72"/>
        <v>354.79500000000002</v>
      </c>
      <c r="I160" s="718"/>
      <c r="J160" s="718"/>
      <c r="K160" s="718"/>
      <c r="L160" s="718"/>
      <c r="M160" s="3"/>
      <c r="N160" s="3"/>
      <c r="O160" s="3"/>
      <c r="P160" s="3"/>
      <c r="Q160" s="3"/>
      <c r="R160" s="3"/>
      <c r="S160" s="3"/>
      <c r="T160" s="3"/>
      <c r="U160" s="3"/>
      <c r="V160" s="3"/>
      <c r="W160" s="3"/>
      <c r="X160" s="3"/>
      <c r="Y160" s="3"/>
      <c r="Z160" s="3"/>
    </row>
    <row r="161" spans="1:26" ht="14.25" customHeight="1">
      <c r="A161" s="719">
        <v>15</v>
      </c>
      <c r="B161" s="716" t="s">
        <v>1376</v>
      </c>
      <c r="C161" s="719" t="s">
        <v>121</v>
      </c>
      <c r="D161" s="737">
        <v>48</v>
      </c>
      <c r="E161" s="737">
        <v>1.4</v>
      </c>
      <c r="F161" s="738">
        <f t="shared" si="70"/>
        <v>67.199999999999989</v>
      </c>
      <c r="G161" s="738">
        <f t="shared" si="71"/>
        <v>3.3599999999999994</v>
      </c>
      <c r="H161" s="738">
        <f t="shared" si="72"/>
        <v>70.559999999999988</v>
      </c>
      <c r="I161" s="718"/>
      <c r="J161" s="718"/>
      <c r="K161" s="718"/>
      <c r="L161" s="718"/>
      <c r="M161" s="3"/>
      <c r="N161" s="3"/>
      <c r="O161" s="3"/>
      <c r="P161" s="3"/>
      <c r="Q161" s="3"/>
      <c r="R161" s="3"/>
      <c r="S161" s="3"/>
      <c r="T161" s="3"/>
      <c r="U161" s="3"/>
      <c r="V161" s="3"/>
      <c r="W161" s="3"/>
      <c r="X161" s="3"/>
      <c r="Y161" s="3"/>
      <c r="Z161" s="3"/>
    </row>
    <row r="162" spans="1:26" ht="14.25" customHeight="1">
      <c r="A162" s="719">
        <v>16</v>
      </c>
      <c r="B162" s="716" t="s">
        <v>1377</v>
      </c>
      <c r="C162" s="719" t="s">
        <v>121</v>
      </c>
      <c r="D162" s="737">
        <v>122</v>
      </c>
      <c r="E162" s="737">
        <v>10</v>
      </c>
      <c r="F162" s="738">
        <f t="shared" si="70"/>
        <v>1220</v>
      </c>
      <c r="G162" s="738">
        <f t="shared" si="71"/>
        <v>61</v>
      </c>
      <c r="H162" s="738">
        <f t="shared" si="72"/>
        <v>1281</v>
      </c>
      <c r="I162" s="718"/>
      <c r="J162" s="718"/>
      <c r="K162" s="718"/>
      <c r="L162" s="718"/>
      <c r="M162" s="3"/>
      <c r="N162" s="3"/>
      <c r="O162" s="3"/>
      <c r="P162" s="3"/>
      <c r="Q162" s="3"/>
      <c r="R162" s="3"/>
      <c r="S162" s="3"/>
      <c r="T162" s="3"/>
      <c r="U162" s="3"/>
      <c r="V162" s="3"/>
      <c r="W162" s="3"/>
      <c r="X162" s="3"/>
      <c r="Y162" s="3"/>
      <c r="Z162" s="3"/>
    </row>
    <row r="163" spans="1:26" ht="14.25" customHeight="1">
      <c r="A163" s="719">
        <v>17</v>
      </c>
      <c r="B163" s="716" t="s">
        <v>1378</v>
      </c>
      <c r="C163" s="719" t="s">
        <v>121</v>
      </c>
      <c r="D163" s="737">
        <v>35</v>
      </c>
      <c r="E163" s="737">
        <v>10</v>
      </c>
      <c r="F163" s="738">
        <f t="shared" si="70"/>
        <v>350</v>
      </c>
      <c r="G163" s="738">
        <f t="shared" si="71"/>
        <v>17.5</v>
      </c>
      <c r="H163" s="738">
        <f t="shared" si="72"/>
        <v>367.5</v>
      </c>
      <c r="I163" s="718"/>
      <c r="J163" s="718"/>
      <c r="K163" s="718"/>
      <c r="L163" s="718"/>
      <c r="M163" s="3"/>
      <c r="N163" s="3"/>
      <c r="O163" s="3"/>
      <c r="P163" s="3"/>
      <c r="Q163" s="3"/>
      <c r="R163" s="3"/>
      <c r="S163" s="3"/>
      <c r="T163" s="3"/>
      <c r="U163" s="3"/>
      <c r="V163" s="3"/>
      <c r="W163" s="3"/>
      <c r="X163" s="3"/>
      <c r="Y163" s="3"/>
      <c r="Z163" s="3"/>
    </row>
    <row r="164" spans="1:26" ht="14.25" customHeight="1">
      <c r="A164" s="716"/>
      <c r="B164" s="716"/>
      <c r="C164" s="716"/>
      <c r="D164" s="737"/>
      <c r="E164" s="737"/>
      <c r="F164" s="738"/>
      <c r="G164" s="738"/>
      <c r="H164" s="738"/>
      <c r="I164" s="718"/>
      <c r="J164" s="718"/>
      <c r="K164" s="718"/>
      <c r="L164" s="718"/>
      <c r="M164" s="3"/>
      <c r="N164" s="3"/>
      <c r="O164" s="3"/>
      <c r="P164" s="3"/>
      <c r="Q164" s="3"/>
      <c r="R164" s="3"/>
      <c r="S164" s="3"/>
      <c r="T164" s="3"/>
      <c r="U164" s="3"/>
      <c r="V164" s="3"/>
      <c r="W164" s="3"/>
      <c r="X164" s="3"/>
      <c r="Y164" s="3"/>
      <c r="Z164" s="3"/>
    </row>
    <row r="165" spans="1:26" ht="14.25" customHeight="1">
      <c r="A165" s="723" t="s">
        <v>58</v>
      </c>
      <c r="B165" s="715" t="s">
        <v>1399</v>
      </c>
      <c r="C165" s="716"/>
      <c r="D165" s="737"/>
      <c r="E165" s="737"/>
      <c r="F165" s="738"/>
      <c r="G165" s="738"/>
      <c r="H165" s="738"/>
      <c r="I165" s="718"/>
      <c r="J165" s="718"/>
      <c r="K165" s="718"/>
      <c r="L165" s="718"/>
      <c r="M165" s="3"/>
      <c r="N165" s="3"/>
      <c r="O165" s="3"/>
      <c r="P165" s="3"/>
      <c r="Q165" s="3"/>
      <c r="R165" s="3"/>
      <c r="S165" s="3"/>
      <c r="T165" s="3"/>
      <c r="U165" s="3"/>
      <c r="V165" s="3"/>
      <c r="W165" s="3"/>
      <c r="X165" s="3"/>
      <c r="Y165" s="3"/>
      <c r="Z165" s="3"/>
    </row>
    <row r="166" spans="1:26" ht="14.25" customHeight="1">
      <c r="A166" s="716"/>
      <c r="B166" s="726" t="s">
        <v>1010</v>
      </c>
      <c r="C166" s="716"/>
      <c r="D166" s="737"/>
      <c r="E166" s="737"/>
      <c r="F166" s="738"/>
      <c r="G166" s="738"/>
      <c r="H166" s="738"/>
      <c r="I166" s="718"/>
      <c r="J166" s="718"/>
      <c r="K166" s="718"/>
      <c r="L166" s="718"/>
      <c r="M166" s="3"/>
      <c r="N166" s="3"/>
      <c r="O166" s="3"/>
      <c r="P166" s="3"/>
      <c r="Q166" s="3"/>
      <c r="R166" s="3"/>
      <c r="S166" s="3"/>
      <c r="T166" s="3"/>
      <c r="U166" s="3"/>
      <c r="V166" s="3"/>
      <c r="W166" s="3"/>
      <c r="X166" s="3"/>
      <c r="Y166" s="3"/>
      <c r="Z166" s="3"/>
    </row>
    <row r="167" spans="1:26" ht="42.6" customHeight="1">
      <c r="A167" s="719">
        <v>1</v>
      </c>
      <c r="B167" s="727" t="s">
        <v>1011</v>
      </c>
      <c r="C167" s="720" t="s">
        <v>1380</v>
      </c>
      <c r="D167" s="737">
        <v>68</v>
      </c>
      <c r="E167" s="737">
        <v>38</v>
      </c>
      <c r="F167" s="738">
        <f t="shared" ref="F167:F170" si="73">(D167*E167)</f>
        <v>2584</v>
      </c>
      <c r="G167" s="738">
        <f t="shared" ref="G167:G170" si="74">(F167*5%)</f>
        <v>129.20000000000002</v>
      </c>
      <c r="H167" s="738">
        <f t="shared" ref="H167:H170" si="75">SUM(F167+G167)</f>
        <v>2713.2</v>
      </c>
      <c r="I167" s="718"/>
      <c r="J167" s="718"/>
      <c r="K167" s="718"/>
      <c r="L167" s="718"/>
      <c r="M167" s="3"/>
      <c r="N167" s="3"/>
      <c r="O167" s="3"/>
      <c r="P167" s="3"/>
      <c r="Q167" s="3"/>
      <c r="R167" s="3"/>
      <c r="S167" s="3"/>
      <c r="T167" s="3"/>
      <c r="U167" s="3"/>
      <c r="V167" s="3"/>
      <c r="W167" s="3"/>
      <c r="X167" s="3"/>
      <c r="Y167" s="3"/>
      <c r="Z167" s="3"/>
    </row>
    <row r="168" spans="1:26" s="711" customFormat="1" ht="30" customHeight="1">
      <c r="A168" s="719">
        <v>2</v>
      </c>
      <c r="B168" s="727" t="s">
        <v>1381</v>
      </c>
      <c r="C168" s="720" t="s">
        <v>1380</v>
      </c>
      <c r="D168" s="737">
        <v>60</v>
      </c>
      <c r="E168" s="737">
        <v>8.6999999999999993</v>
      </c>
      <c r="F168" s="738">
        <f t="shared" si="73"/>
        <v>522</v>
      </c>
      <c r="G168" s="738">
        <f t="shared" si="74"/>
        <v>26.1</v>
      </c>
      <c r="H168" s="738">
        <f t="shared" si="75"/>
        <v>548.1</v>
      </c>
      <c r="I168" s="718"/>
      <c r="J168" s="718"/>
      <c r="K168" s="718"/>
      <c r="L168" s="718"/>
      <c r="M168" s="3"/>
      <c r="N168" s="3"/>
      <c r="O168" s="3"/>
      <c r="P168" s="3"/>
      <c r="Q168" s="3"/>
      <c r="R168" s="3"/>
      <c r="S168" s="3"/>
      <c r="T168" s="3"/>
      <c r="U168" s="3"/>
      <c r="V168" s="3"/>
      <c r="W168" s="3"/>
      <c r="X168" s="3"/>
      <c r="Y168" s="3"/>
      <c r="Z168" s="3"/>
    </row>
    <row r="169" spans="1:26" s="711" customFormat="1" ht="28.2" customHeight="1">
      <c r="A169" s="719">
        <v>3</v>
      </c>
      <c r="B169" s="727" t="s">
        <v>1015</v>
      </c>
      <c r="C169" s="720" t="s">
        <v>1380</v>
      </c>
      <c r="D169" s="737">
        <v>70</v>
      </c>
      <c r="E169" s="737">
        <v>4.5</v>
      </c>
      <c r="F169" s="738">
        <f t="shared" si="73"/>
        <v>315</v>
      </c>
      <c r="G169" s="738">
        <f t="shared" si="74"/>
        <v>15.75</v>
      </c>
      <c r="H169" s="738">
        <f t="shared" si="75"/>
        <v>330.75</v>
      </c>
      <c r="I169" s="718"/>
      <c r="J169" s="718"/>
      <c r="K169" s="718"/>
      <c r="L169" s="718"/>
      <c r="M169" s="3"/>
      <c r="N169" s="3"/>
      <c r="O169" s="3"/>
      <c r="P169" s="3"/>
      <c r="Q169" s="3"/>
      <c r="R169" s="3"/>
      <c r="S169" s="3"/>
      <c r="T169" s="3"/>
      <c r="U169" s="3"/>
      <c r="V169" s="3"/>
      <c r="W169" s="3"/>
      <c r="X169" s="3"/>
      <c r="Y169" s="3"/>
      <c r="Z169" s="3"/>
    </row>
    <row r="170" spans="1:26" s="711" customFormat="1" ht="31.8" customHeight="1">
      <c r="A170" s="719">
        <v>4</v>
      </c>
      <c r="B170" s="727" t="s">
        <v>1016</v>
      </c>
      <c r="C170" s="720" t="s">
        <v>1380</v>
      </c>
      <c r="D170" s="737">
        <v>25</v>
      </c>
      <c r="E170" s="737">
        <v>3.5</v>
      </c>
      <c r="F170" s="738">
        <f t="shared" si="73"/>
        <v>87.5</v>
      </c>
      <c r="G170" s="738">
        <f t="shared" si="74"/>
        <v>4.375</v>
      </c>
      <c r="H170" s="738">
        <f t="shared" si="75"/>
        <v>91.875</v>
      </c>
      <c r="I170" s="718"/>
      <c r="J170" s="718"/>
      <c r="K170" s="718"/>
      <c r="L170" s="718"/>
      <c r="M170" s="3"/>
      <c r="N170" s="3"/>
      <c r="O170" s="3"/>
      <c r="P170" s="3"/>
      <c r="Q170" s="3"/>
      <c r="R170" s="3"/>
      <c r="S170" s="3"/>
      <c r="T170" s="3"/>
      <c r="U170" s="3"/>
      <c r="V170" s="3"/>
      <c r="W170" s="3"/>
      <c r="X170" s="3"/>
      <c r="Y170" s="3"/>
      <c r="Z170" s="3"/>
    </row>
    <row r="171" spans="1:26" s="711" customFormat="1" ht="30" customHeight="1">
      <c r="A171" s="719">
        <v>5</v>
      </c>
      <c r="B171" s="727" t="s">
        <v>1017</v>
      </c>
      <c r="C171" s="720" t="s">
        <v>1380</v>
      </c>
      <c r="D171" s="737">
        <v>20</v>
      </c>
      <c r="E171" s="737">
        <v>3.27</v>
      </c>
      <c r="F171" s="738">
        <f t="shared" ref="F171:F197" si="76">(D171*E171)</f>
        <v>65.400000000000006</v>
      </c>
      <c r="G171" s="738">
        <f t="shared" ref="G171:G197" si="77">(F171*5%)</f>
        <v>3.2700000000000005</v>
      </c>
      <c r="H171" s="738">
        <f t="shared" ref="H171:H197" si="78">SUM(F171+G171)</f>
        <v>68.67</v>
      </c>
      <c r="I171" s="718"/>
      <c r="J171" s="718"/>
      <c r="K171" s="718"/>
      <c r="L171" s="718"/>
      <c r="M171" s="3"/>
      <c r="N171" s="3"/>
      <c r="O171" s="3"/>
      <c r="P171" s="3"/>
      <c r="Q171" s="3"/>
      <c r="R171" s="3"/>
      <c r="S171" s="3"/>
      <c r="T171" s="3"/>
      <c r="U171" s="3"/>
      <c r="V171" s="3"/>
      <c r="W171" s="3"/>
      <c r="X171" s="3"/>
      <c r="Y171" s="3"/>
      <c r="Z171" s="3"/>
    </row>
    <row r="172" spans="1:26" s="711" customFormat="1" ht="28.2" customHeight="1">
      <c r="A172" s="719">
        <v>6</v>
      </c>
      <c r="B172" s="727" t="s">
        <v>1018</v>
      </c>
      <c r="C172" s="720" t="s">
        <v>1380</v>
      </c>
      <c r="D172" s="737">
        <v>70</v>
      </c>
      <c r="E172" s="737">
        <v>2.56</v>
      </c>
      <c r="F172" s="738">
        <f t="shared" si="76"/>
        <v>179.20000000000002</v>
      </c>
      <c r="G172" s="738">
        <f t="shared" si="77"/>
        <v>8.9600000000000009</v>
      </c>
      <c r="H172" s="738">
        <f t="shared" si="78"/>
        <v>188.16000000000003</v>
      </c>
      <c r="I172" s="718"/>
      <c r="J172" s="718"/>
      <c r="K172" s="718"/>
      <c r="L172" s="718"/>
      <c r="M172" s="3"/>
      <c r="N172" s="3"/>
      <c r="O172" s="3"/>
      <c r="P172" s="3"/>
      <c r="Q172" s="3"/>
      <c r="R172" s="3"/>
      <c r="S172" s="3"/>
      <c r="T172" s="3"/>
      <c r="U172" s="3"/>
      <c r="V172" s="3"/>
      <c r="W172" s="3"/>
      <c r="X172" s="3"/>
      <c r="Y172" s="3"/>
      <c r="Z172" s="3"/>
    </row>
    <row r="173" spans="1:26" s="711" customFormat="1" ht="30" customHeight="1">
      <c r="A173" s="719">
        <v>7</v>
      </c>
      <c r="B173" s="727" t="s">
        <v>1382</v>
      </c>
      <c r="C173" s="720" t="s">
        <v>1380</v>
      </c>
      <c r="D173" s="737">
        <v>1200</v>
      </c>
      <c r="E173" s="737">
        <v>6.65</v>
      </c>
      <c r="F173" s="738">
        <f t="shared" si="76"/>
        <v>7980</v>
      </c>
      <c r="G173" s="738">
        <f t="shared" si="77"/>
        <v>399</v>
      </c>
      <c r="H173" s="738">
        <f t="shared" si="78"/>
        <v>8379</v>
      </c>
      <c r="I173" s="718"/>
      <c r="J173" s="718"/>
      <c r="K173" s="718"/>
      <c r="L173" s="718"/>
      <c r="M173" s="3"/>
      <c r="N173" s="3"/>
      <c r="O173" s="3"/>
      <c r="P173" s="3"/>
      <c r="Q173" s="3"/>
      <c r="R173" s="3"/>
      <c r="S173" s="3"/>
      <c r="T173" s="3"/>
      <c r="U173" s="3"/>
      <c r="V173" s="3"/>
      <c r="W173" s="3"/>
      <c r="X173" s="3"/>
      <c r="Y173" s="3"/>
      <c r="Z173" s="3"/>
    </row>
    <row r="174" spans="1:26" s="711" customFormat="1" ht="21" customHeight="1">
      <c r="A174" s="719">
        <v>8</v>
      </c>
      <c r="B174" s="728" t="s">
        <v>1400</v>
      </c>
      <c r="C174" s="720" t="s">
        <v>1293</v>
      </c>
      <c r="D174" s="737">
        <v>80</v>
      </c>
      <c r="E174" s="737">
        <v>5.39</v>
      </c>
      <c r="F174" s="738">
        <f t="shared" si="76"/>
        <v>431.2</v>
      </c>
      <c r="G174" s="738">
        <f t="shared" si="77"/>
        <v>21.560000000000002</v>
      </c>
      <c r="H174" s="738">
        <f t="shared" si="78"/>
        <v>452.76</v>
      </c>
      <c r="I174" s="718"/>
      <c r="J174" s="718"/>
      <c r="K174" s="718"/>
      <c r="L174" s="718"/>
      <c r="M174" s="3"/>
      <c r="N174" s="3"/>
      <c r="O174" s="3"/>
      <c r="P174" s="3"/>
      <c r="Q174" s="3"/>
      <c r="R174" s="3"/>
      <c r="S174" s="3"/>
      <c r="T174" s="3"/>
      <c r="U174" s="3"/>
      <c r="V174" s="3"/>
      <c r="W174" s="3"/>
      <c r="X174" s="3"/>
      <c r="Y174" s="3"/>
      <c r="Z174" s="3"/>
    </row>
    <row r="175" spans="1:26" s="711" customFormat="1" ht="21" customHeight="1">
      <c r="A175" s="719">
        <v>9</v>
      </c>
      <c r="B175" s="728" t="s">
        <v>1401</v>
      </c>
      <c r="C175" s="720" t="s">
        <v>1293</v>
      </c>
      <c r="D175" s="737">
        <v>4</v>
      </c>
      <c r="E175" s="737">
        <v>5.39</v>
      </c>
      <c r="F175" s="738">
        <f t="shared" si="76"/>
        <v>21.56</v>
      </c>
      <c r="G175" s="738">
        <f t="shared" si="77"/>
        <v>1.0780000000000001</v>
      </c>
      <c r="H175" s="738">
        <f t="shared" si="78"/>
        <v>22.637999999999998</v>
      </c>
      <c r="I175" s="718"/>
      <c r="J175" s="718"/>
      <c r="K175" s="718"/>
      <c r="L175" s="718"/>
      <c r="M175" s="3"/>
      <c r="N175" s="3"/>
      <c r="O175" s="3"/>
      <c r="P175" s="3"/>
      <c r="Q175" s="3"/>
      <c r="R175" s="3"/>
      <c r="S175" s="3"/>
      <c r="T175" s="3"/>
      <c r="U175" s="3"/>
      <c r="V175" s="3"/>
      <c r="W175" s="3"/>
      <c r="X175" s="3"/>
      <c r="Y175" s="3"/>
      <c r="Z175" s="3"/>
    </row>
    <row r="176" spans="1:26" s="711" customFormat="1" ht="21" customHeight="1">
      <c r="A176" s="719">
        <v>10</v>
      </c>
      <c r="B176" s="728" t="s">
        <v>1402</v>
      </c>
      <c r="C176" s="720" t="s">
        <v>1293</v>
      </c>
      <c r="D176" s="737">
        <v>4</v>
      </c>
      <c r="E176" s="737">
        <v>5.39</v>
      </c>
      <c r="F176" s="738">
        <f t="shared" si="76"/>
        <v>21.56</v>
      </c>
      <c r="G176" s="738">
        <f t="shared" si="77"/>
        <v>1.0780000000000001</v>
      </c>
      <c r="H176" s="738">
        <f t="shared" si="78"/>
        <v>22.637999999999998</v>
      </c>
      <c r="I176" s="718"/>
      <c r="J176" s="718"/>
      <c r="K176" s="718"/>
      <c r="L176" s="718"/>
      <c r="M176" s="3"/>
      <c r="N176" s="3"/>
      <c r="O176" s="3"/>
      <c r="P176" s="3"/>
      <c r="Q176" s="3"/>
      <c r="R176" s="3"/>
      <c r="S176" s="3"/>
      <c r="T176" s="3"/>
      <c r="U176" s="3"/>
      <c r="V176" s="3"/>
      <c r="W176" s="3"/>
      <c r="X176" s="3"/>
      <c r="Y176" s="3"/>
      <c r="Z176" s="3"/>
    </row>
    <row r="177" spans="1:26" s="711" customFormat="1" ht="21" customHeight="1">
      <c r="A177" s="719">
        <v>11</v>
      </c>
      <c r="B177" s="728" t="s">
        <v>1403</v>
      </c>
      <c r="C177" s="720" t="s">
        <v>1293</v>
      </c>
      <c r="D177" s="737">
        <v>30</v>
      </c>
      <c r="E177" s="737">
        <v>5.39</v>
      </c>
      <c r="F177" s="738">
        <f t="shared" si="76"/>
        <v>161.69999999999999</v>
      </c>
      <c r="G177" s="738">
        <f t="shared" si="77"/>
        <v>8.0849999999999991</v>
      </c>
      <c r="H177" s="738">
        <f t="shared" si="78"/>
        <v>169.785</v>
      </c>
      <c r="I177" s="718"/>
      <c r="J177" s="718"/>
      <c r="K177" s="718"/>
      <c r="L177" s="718"/>
      <c r="M177" s="3"/>
      <c r="N177" s="3"/>
      <c r="O177" s="3"/>
      <c r="P177" s="3"/>
      <c r="Q177" s="3"/>
      <c r="R177" s="3"/>
      <c r="S177" s="3"/>
      <c r="T177" s="3"/>
      <c r="U177" s="3"/>
      <c r="V177" s="3"/>
      <c r="W177" s="3"/>
      <c r="X177" s="3"/>
      <c r="Y177" s="3"/>
      <c r="Z177" s="3"/>
    </row>
    <row r="178" spans="1:26" s="711" customFormat="1" ht="21" customHeight="1">
      <c r="A178" s="719">
        <v>12</v>
      </c>
      <c r="B178" s="728" t="s">
        <v>1404</v>
      </c>
      <c r="C178" s="720" t="s">
        <v>1293</v>
      </c>
      <c r="D178" s="737">
        <v>65</v>
      </c>
      <c r="E178" s="737">
        <v>5.39</v>
      </c>
      <c r="F178" s="738">
        <f t="shared" si="76"/>
        <v>350.34999999999997</v>
      </c>
      <c r="G178" s="738">
        <f t="shared" si="77"/>
        <v>17.517499999999998</v>
      </c>
      <c r="H178" s="738">
        <f t="shared" si="78"/>
        <v>367.86749999999995</v>
      </c>
      <c r="I178" s="718"/>
      <c r="J178" s="718"/>
      <c r="K178" s="718"/>
      <c r="L178" s="718"/>
      <c r="M178" s="3"/>
      <c r="N178" s="3"/>
      <c r="O178" s="3"/>
      <c r="P178" s="3"/>
      <c r="Q178" s="3"/>
      <c r="R178" s="3"/>
      <c r="S178" s="3"/>
      <c r="T178" s="3"/>
      <c r="U178" s="3"/>
      <c r="V178" s="3"/>
      <c r="W178" s="3"/>
      <c r="X178" s="3"/>
      <c r="Y178" s="3"/>
      <c r="Z178" s="3"/>
    </row>
    <row r="179" spans="1:26" s="711" customFormat="1" ht="21" customHeight="1">
      <c r="A179" s="719">
        <v>13</v>
      </c>
      <c r="B179" s="728" t="s">
        <v>1405</v>
      </c>
      <c r="C179" s="720" t="s">
        <v>1293</v>
      </c>
      <c r="D179" s="737">
        <v>36</v>
      </c>
      <c r="E179" s="737">
        <v>8.9</v>
      </c>
      <c r="F179" s="738">
        <f t="shared" si="76"/>
        <v>320.40000000000003</v>
      </c>
      <c r="G179" s="738">
        <f t="shared" si="77"/>
        <v>16.020000000000003</v>
      </c>
      <c r="H179" s="738">
        <f t="shared" si="78"/>
        <v>336.42</v>
      </c>
      <c r="I179" s="718"/>
      <c r="J179" s="718"/>
      <c r="K179" s="718"/>
      <c r="L179" s="718"/>
      <c r="M179" s="3"/>
      <c r="N179" s="3"/>
      <c r="O179" s="3"/>
      <c r="P179" s="3"/>
      <c r="Q179" s="3"/>
      <c r="R179" s="3"/>
      <c r="S179" s="3"/>
      <c r="T179" s="3"/>
      <c r="U179" s="3"/>
      <c r="V179" s="3"/>
      <c r="W179" s="3"/>
      <c r="X179" s="3"/>
      <c r="Y179" s="3"/>
      <c r="Z179" s="3"/>
    </row>
    <row r="180" spans="1:26" s="711" customFormat="1" ht="21" customHeight="1">
      <c r="A180" s="719">
        <v>14</v>
      </c>
      <c r="B180" s="728" t="s">
        <v>1406</v>
      </c>
      <c r="C180" s="720" t="s">
        <v>1293</v>
      </c>
      <c r="D180" s="737">
        <v>4</v>
      </c>
      <c r="E180" s="737">
        <v>8.9</v>
      </c>
      <c r="F180" s="738">
        <f t="shared" si="76"/>
        <v>35.6</v>
      </c>
      <c r="G180" s="738">
        <f t="shared" si="77"/>
        <v>1.7800000000000002</v>
      </c>
      <c r="H180" s="738">
        <f t="shared" si="78"/>
        <v>37.380000000000003</v>
      </c>
      <c r="I180" s="718"/>
      <c r="J180" s="718"/>
      <c r="K180" s="718"/>
      <c r="L180" s="718"/>
      <c r="M180" s="3"/>
      <c r="N180" s="3"/>
      <c r="O180" s="3"/>
      <c r="P180" s="3"/>
      <c r="Q180" s="3"/>
      <c r="R180" s="3"/>
      <c r="S180" s="3"/>
      <c r="T180" s="3"/>
      <c r="U180" s="3"/>
      <c r="V180" s="3"/>
      <c r="W180" s="3"/>
      <c r="X180" s="3"/>
      <c r="Y180" s="3"/>
      <c r="Z180" s="3"/>
    </row>
    <row r="181" spans="1:26" s="711" customFormat="1" ht="21" customHeight="1">
      <c r="A181" s="719">
        <v>15</v>
      </c>
      <c r="B181" s="728" t="s">
        <v>1407</v>
      </c>
      <c r="C181" s="720" t="s">
        <v>1293</v>
      </c>
      <c r="D181" s="737">
        <v>4</v>
      </c>
      <c r="E181" s="737">
        <v>8.9</v>
      </c>
      <c r="F181" s="738">
        <f t="shared" si="76"/>
        <v>35.6</v>
      </c>
      <c r="G181" s="738">
        <f t="shared" si="77"/>
        <v>1.7800000000000002</v>
      </c>
      <c r="H181" s="738">
        <f t="shared" si="78"/>
        <v>37.380000000000003</v>
      </c>
      <c r="I181" s="718"/>
      <c r="J181" s="718"/>
      <c r="K181" s="718"/>
      <c r="L181" s="718"/>
      <c r="M181" s="3"/>
      <c r="N181" s="3"/>
      <c r="O181" s="3"/>
      <c r="P181" s="3"/>
      <c r="Q181" s="3"/>
      <c r="R181" s="3"/>
      <c r="S181" s="3"/>
      <c r="T181" s="3"/>
      <c r="U181" s="3"/>
      <c r="V181" s="3"/>
      <c r="W181" s="3"/>
      <c r="X181" s="3"/>
      <c r="Y181" s="3"/>
      <c r="Z181" s="3"/>
    </row>
    <row r="182" spans="1:26" s="711" customFormat="1" ht="21" customHeight="1">
      <c r="A182" s="719">
        <v>16</v>
      </c>
      <c r="B182" s="728" t="s">
        <v>1408</v>
      </c>
      <c r="C182" s="720" t="s">
        <v>1293</v>
      </c>
      <c r="D182" s="737">
        <v>44</v>
      </c>
      <c r="E182" s="737">
        <v>8.9</v>
      </c>
      <c r="F182" s="738">
        <f t="shared" si="76"/>
        <v>391.6</v>
      </c>
      <c r="G182" s="738">
        <f t="shared" si="77"/>
        <v>19.580000000000002</v>
      </c>
      <c r="H182" s="738">
        <f t="shared" si="78"/>
        <v>411.18</v>
      </c>
      <c r="I182" s="718"/>
      <c r="J182" s="718"/>
      <c r="K182" s="718"/>
      <c r="L182" s="718"/>
      <c r="M182" s="3"/>
      <c r="N182" s="3"/>
      <c r="O182" s="3"/>
      <c r="P182" s="3"/>
      <c r="Q182" s="3"/>
      <c r="R182" s="3"/>
      <c r="S182" s="3"/>
      <c r="T182" s="3"/>
      <c r="U182" s="3"/>
      <c r="V182" s="3"/>
      <c r="W182" s="3"/>
      <c r="X182" s="3"/>
      <c r="Y182" s="3"/>
      <c r="Z182" s="3"/>
    </row>
    <row r="183" spans="1:26" s="711" customFormat="1" ht="21" customHeight="1">
      <c r="A183" s="719">
        <v>17</v>
      </c>
      <c r="B183" s="728" t="s">
        <v>1409</v>
      </c>
      <c r="C183" s="720" t="s">
        <v>1293</v>
      </c>
      <c r="D183" s="737">
        <v>44</v>
      </c>
      <c r="E183" s="737">
        <v>8.9</v>
      </c>
      <c r="F183" s="738">
        <f t="shared" si="76"/>
        <v>391.6</v>
      </c>
      <c r="G183" s="738">
        <f t="shared" si="77"/>
        <v>19.580000000000002</v>
      </c>
      <c r="H183" s="738">
        <f t="shared" si="78"/>
        <v>411.18</v>
      </c>
      <c r="I183" s="718"/>
      <c r="J183" s="718"/>
      <c r="K183" s="718"/>
      <c r="L183" s="718"/>
      <c r="M183" s="3"/>
      <c r="N183" s="3"/>
      <c r="O183" s="3"/>
      <c r="P183" s="3"/>
      <c r="Q183" s="3"/>
      <c r="R183" s="3"/>
      <c r="S183" s="3"/>
      <c r="T183" s="3"/>
      <c r="U183" s="3"/>
      <c r="V183" s="3"/>
      <c r="W183" s="3"/>
      <c r="X183" s="3"/>
      <c r="Y183" s="3"/>
      <c r="Z183" s="3"/>
    </row>
    <row r="184" spans="1:26" s="711" customFormat="1" ht="22.2" customHeight="1">
      <c r="A184" s="719">
        <v>18</v>
      </c>
      <c r="B184" s="728" t="s">
        <v>1410</v>
      </c>
      <c r="C184" s="720" t="s">
        <v>1293</v>
      </c>
      <c r="D184" s="737">
        <v>28</v>
      </c>
      <c r="E184" s="737">
        <v>13.3</v>
      </c>
      <c r="F184" s="738">
        <f t="shared" si="76"/>
        <v>372.40000000000003</v>
      </c>
      <c r="G184" s="738">
        <f t="shared" si="77"/>
        <v>18.62</v>
      </c>
      <c r="H184" s="738">
        <f t="shared" si="78"/>
        <v>391.02000000000004</v>
      </c>
      <c r="I184" s="718"/>
      <c r="J184" s="718"/>
      <c r="K184" s="718"/>
      <c r="L184" s="718"/>
      <c r="M184" s="3"/>
      <c r="N184" s="3"/>
      <c r="O184" s="3"/>
      <c r="P184" s="3"/>
      <c r="Q184" s="3"/>
      <c r="R184" s="3"/>
      <c r="S184" s="3"/>
      <c r="T184" s="3"/>
      <c r="U184" s="3"/>
      <c r="V184" s="3"/>
      <c r="W184" s="3"/>
      <c r="X184" s="3"/>
      <c r="Y184" s="3"/>
      <c r="Z184" s="3"/>
    </row>
    <row r="185" spans="1:26" s="711" customFormat="1" ht="22.2" customHeight="1">
      <c r="A185" s="719">
        <v>19</v>
      </c>
      <c r="B185" s="728" t="s">
        <v>1411</v>
      </c>
      <c r="C185" s="720" t="s">
        <v>1293</v>
      </c>
      <c r="D185" s="737">
        <v>2</v>
      </c>
      <c r="E185" s="737">
        <v>13.3</v>
      </c>
      <c r="F185" s="738">
        <f t="shared" si="76"/>
        <v>26.6</v>
      </c>
      <c r="G185" s="738">
        <f t="shared" si="77"/>
        <v>1.33</v>
      </c>
      <c r="H185" s="738">
        <f t="shared" si="78"/>
        <v>27.93</v>
      </c>
      <c r="I185" s="718"/>
      <c r="J185" s="718"/>
      <c r="K185" s="718"/>
      <c r="L185" s="718"/>
      <c r="M185" s="3"/>
      <c r="N185" s="3"/>
      <c r="O185" s="3"/>
      <c r="P185" s="3"/>
      <c r="Q185" s="3"/>
      <c r="R185" s="3"/>
      <c r="S185" s="3"/>
      <c r="T185" s="3"/>
      <c r="U185" s="3"/>
      <c r="V185" s="3"/>
      <c r="W185" s="3"/>
      <c r="X185" s="3"/>
      <c r="Y185" s="3"/>
      <c r="Z185" s="3"/>
    </row>
    <row r="186" spans="1:26" s="711" customFormat="1" ht="22.2" customHeight="1">
      <c r="A186" s="719">
        <v>20</v>
      </c>
      <c r="B186" s="728" t="s">
        <v>1412</v>
      </c>
      <c r="C186" s="720" t="s">
        <v>1293</v>
      </c>
      <c r="D186" s="737">
        <v>2</v>
      </c>
      <c r="E186" s="737">
        <v>13.3</v>
      </c>
      <c r="F186" s="738">
        <f t="shared" si="76"/>
        <v>26.6</v>
      </c>
      <c r="G186" s="738">
        <f t="shared" si="77"/>
        <v>1.33</v>
      </c>
      <c r="H186" s="738">
        <f t="shared" si="78"/>
        <v>27.93</v>
      </c>
      <c r="I186" s="718"/>
      <c r="J186" s="718"/>
      <c r="K186" s="718"/>
      <c r="L186" s="718"/>
      <c r="M186" s="3"/>
      <c r="N186" s="3"/>
      <c r="O186" s="3"/>
      <c r="P186" s="3"/>
      <c r="Q186" s="3"/>
      <c r="R186" s="3"/>
      <c r="S186" s="3"/>
      <c r="T186" s="3"/>
      <c r="U186" s="3"/>
      <c r="V186" s="3"/>
      <c r="W186" s="3"/>
      <c r="X186" s="3"/>
      <c r="Y186" s="3"/>
      <c r="Z186" s="3"/>
    </row>
    <row r="187" spans="1:26" s="711" customFormat="1" ht="22.2" customHeight="1">
      <c r="A187" s="719">
        <v>21</v>
      </c>
      <c r="B187" s="728" t="s">
        <v>1413</v>
      </c>
      <c r="C187" s="720" t="s">
        <v>1293</v>
      </c>
      <c r="D187" s="737">
        <v>32</v>
      </c>
      <c r="E187" s="737">
        <v>13.3</v>
      </c>
      <c r="F187" s="738">
        <f t="shared" si="76"/>
        <v>425.6</v>
      </c>
      <c r="G187" s="738">
        <f t="shared" si="77"/>
        <v>21.28</v>
      </c>
      <c r="H187" s="738">
        <f t="shared" si="78"/>
        <v>446.88</v>
      </c>
      <c r="I187" s="718"/>
      <c r="J187" s="718"/>
      <c r="K187" s="718"/>
      <c r="L187" s="718"/>
      <c r="M187" s="3"/>
      <c r="N187" s="3"/>
      <c r="O187" s="3"/>
      <c r="P187" s="3"/>
      <c r="Q187" s="3"/>
      <c r="R187" s="3"/>
      <c r="S187" s="3"/>
      <c r="T187" s="3"/>
      <c r="U187" s="3"/>
      <c r="V187" s="3"/>
      <c r="W187" s="3"/>
      <c r="X187" s="3"/>
      <c r="Y187" s="3"/>
      <c r="Z187" s="3"/>
    </row>
    <row r="188" spans="1:26" s="711" customFormat="1" ht="22.2" customHeight="1">
      <c r="A188" s="719">
        <v>22</v>
      </c>
      <c r="B188" s="728" t="s">
        <v>1414</v>
      </c>
      <c r="C188" s="720" t="s">
        <v>1293</v>
      </c>
      <c r="D188" s="737">
        <v>32</v>
      </c>
      <c r="E188" s="737">
        <v>13.3</v>
      </c>
      <c r="F188" s="738">
        <f t="shared" si="76"/>
        <v>425.6</v>
      </c>
      <c r="G188" s="738">
        <f t="shared" si="77"/>
        <v>21.28</v>
      </c>
      <c r="H188" s="738">
        <f t="shared" si="78"/>
        <v>446.88</v>
      </c>
      <c r="I188" s="718"/>
      <c r="J188" s="718"/>
      <c r="K188" s="718"/>
      <c r="L188" s="718"/>
      <c r="M188" s="3"/>
      <c r="N188" s="3"/>
      <c r="O188" s="3"/>
      <c r="P188" s="3"/>
      <c r="Q188" s="3"/>
      <c r="R188" s="3"/>
      <c r="S188" s="3"/>
      <c r="T188" s="3"/>
      <c r="U188" s="3"/>
      <c r="V188" s="3"/>
      <c r="W188" s="3"/>
      <c r="X188" s="3"/>
      <c r="Y188" s="3"/>
      <c r="Z188" s="3"/>
    </row>
    <row r="189" spans="1:26" s="711" customFormat="1" ht="22.2" customHeight="1">
      <c r="A189" s="719">
        <v>23</v>
      </c>
      <c r="B189" s="728" t="s">
        <v>1415</v>
      </c>
      <c r="C189" s="720" t="s">
        <v>1293</v>
      </c>
      <c r="D189" s="737">
        <v>7</v>
      </c>
      <c r="E189" s="737">
        <v>21</v>
      </c>
      <c r="F189" s="738">
        <f t="shared" ref="F189" si="79">(D189*E189)</f>
        <v>147</v>
      </c>
      <c r="G189" s="738">
        <f t="shared" ref="G189" si="80">(F189*5%)</f>
        <v>7.3500000000000005</v>
      </c>
      <c r="H189" s="738">
        <f t="shared" ref="H189" si="81">SUM(F189+G189)</f>
        <v>154.35</v>
      </c>
      <c r="I189" s="718"/>
      <c r="J189" s="718"/>
      <c r="K189" s="718"/>
      <c r="L189" s="718"/>
      <c r="M189" s="3"/>
      <c r="N189" s="3"/>
      <c r="O189" s="3"/>
      <c r="P189" s="3"/>
      <c r="Q189" s="3"/>
      <c r="R189" s="3"/>
      <c r="S189" s="3"/>
      <c r="T189" s="3"/>
      <c r="U189" s="3"/>
      <c r="V189" s="3"/>
      <c r="W189" s="3"/>
      <c r="X189" s="3"/>
      <c r="Y189" s="3"/>
      <c r="Z189" s="3"/>
    </row>
    <row r="190" spans="1:26" s="711" customFormat="1" ht="22.2" customHeight="1">
      <c r="A190" s="719">
        <v>24</v>
      </c>
      <c r="B190" s="728" t="s">
        <v>1416</v>
      </c>
      <c r="C190" s="720" t="s">
        <v>1293</v>
      </c>
      <c r="D190" s="737"/>
      <c r="E190" s="737"/>
      <c r="F190" s="738"/>
      <c r="G190" s="738"/>
      <c r="H190" s="738"/>
      <c r="I190" s="718"/>
      <c r="J190" s="718"/>
      <c r="K190" s="718"/>
      <c r="L190" s="718"/>
      <c r="M190" s="3"/>
      <c r="N190" s="3"/>
      <c r="O190" s="3"/>
      <c r="P190" s="3"/>
      <c r="Q190" s="3"/>
      <c r="R190" s="3"/>
      <c r="S190" s="3"/>
      <c r="T190" s="3"/>
      <c r="U190" s="3"/>
      <c r="V190" s="3"/>
      <c r="W190" s="3"/>
      <c r="X190" s="3"/>
      <c r="Y190" s="3"/>
      <c r="Z190" s="3"/>
    </row>
    <row r="191" spans="1:26" s="711" customFormat="1" ht="22.2" customHeight="1">
      <c r="A191" s="719">
        <v>25</v>
      </c>
      <c r="B191" s="728" t="s">
        <v>1417</v>
      </c>
      <c r="C191" s="720" t="s">
        <v>1293</v>
      </c>
      <c r="D191" s="737"/>
      <c r="E191" s="737"/>
      <c r="F191" s="738"/>
      <c r="G191" s="738"/>
      <c r="H191" s="738"/>
      <c r="I191" s="718"/>
      <c r="J191" s="718"/>
      <c r="K191" s="718"/>
      <c r="L191" s="718"/>
      <c r="M191" s="3"/>
      <c r="N191" s="3"/>
      <c r="O191" s="3"/>
      <c r="P191" s="3"/>
      <c r="Q191" s="3"/>
      <c r="R191" s="3"/>
      <c r="S191" s="3"/>
      <c r="T191" s="3"/>
      <c r="U191" s="3"/>
      <c r="V191" s="3"/>
      <c r="W191" s="3"/>
      <c r="X191" s="3"/>
      <c r="Y191" s="3"/>
      <c r="Z191" s="3"/>
    </row>
    <row r="192" spans="1:26" s="711" customFormat="1" ht="22.2" customHeight="1">
      <c r="A192" s="719">
        <v>26</v>
      </c>
      <c r="B192" s="728" t="s">
        <v>1418</v>
      </c>
      <c r="C192" s="720" t="s">
        <v>1293</v>
      </c>
      <c r="D192" s="737">
        <v>6</v>
      </c>
      <c r="E192" s="737">
        <v>21</v>
      </c>
      <c r="F192" s="738">
        <f t="shared" ref="F192:F193" si="82">(D192*E192)</f>
        <v>126</v>
      </c>
      <c r="G192" s="738">
        <f t="shared" ref="G192:G193" si="83">(F192*5%)</f>
        <v>6.3000000000000007</v>
      </c>
      <c r="H192" s="738">
        <f t="shared" ref="H192:H193" si="84">SUM(F192+G192)</f>
        <v>132.30000000000001</v>
      </c>
      <c r="I192" s="718"/>
      <c r="J192" s="718"/>
      <c r="K192" s="718"/>
      <c r="L192" s="718"/>
      <c r="M192" s="3"/>
      <c r="N192" s="3"/>
      <c r="O192" s="3"/>
      <c r="P192" s="3"/>
      <c r="Q192" s="3"/>
      <c r="R192" s="3"/>
      <c r="S192" s="3"/>
      <c r="T192" s="3"/>
      <c r="U192" s="3"/>
      <c r="V192" s="3"/>
      <c r="W192" s="3"/>
      <c r="X192" s="3"/>
      <c r="Y192" s="3"/>
      <c r="Z192" s="3"/>
    </row>
    <row r="193" spans="1:26" s="711" customFormat="1" ht="30" customHeight="1">
      <c r="A193" s="719">
        <v>27</v>
      </c>
      <c r="B193" s="728" t="s">
        <v>1419</v>
      </c>
      <c r="C193" s="720" t="s">
        <v>1293</v>
      </c>
      <c r="D193" s="737">
        <v>6</v>
      </c>
      <c r="E193" s="737">
        <v>21</v>
      </c>
      <c r="F193" s="738">
        <f t="shared" si="82"/>
        <v>126</v>
      </c>
      <c r="G193" s="738">
        <f t="shared" si="83"/>
        <v>6.3000000000000007</v>
      </c>
      <c r="H193" s="738">
        <f t="shared" si="84"/>
        <v>132.30000000000001</v>
      </c>
      <c r="I193" s="718"/>
      <c r="J193" s="718"/>
      <c r="K193" s="718"/>
      <c r="L193" s="718"/>
      <c r="M193" s="3"/>
      <c r="N193" s="3"/>
      <c r="O193" s="3"/>
      <c r="P193" s="3"/>
      <c r="Q193" s="3"/>
      <c r="R193" s="3"/>
      <c r="S193" s="3"/>
      <c r="T193" s="3"/>
      <c r="U193" s="3"/>
      <c r="V193" s="3"/>
      <c r="W193" s="3"/>
      <c r="X193" s="3"/>
      <c r="Y193" s="3"/>
      <c r="Z193" s="3"/>
    </row>
    <row r="194" spans="1:26" s="711" customFormat="1" ht="20.399999999999999" customHeight="1">
      <c r="A194" s="719">
        <v>28</v>
      </c>
      <c r="B194" s="728" t="s">
        <v>1384</v>
      </c>
      <c r="C194" s="720" t="s">
        <v>1276</v>
      </c>
      <c r="D194" s="737">
        <v>1</v>
      </c>
      <c r="E194" s="737">
        <v>350</v>
      </c>
      <c r="F194" s="738">
        <f t="shared" si="76"/>
        <v>350</v>
      </c>
      <c r="G194" s="738">
        <f t="shared" si="77"/>
        <v>17.5</v>
      </c>
      <c r="H194" s="738">
        <f t="shared" si="78"/>
        <v>367.5</v>
      </c>
      <c r="I194" s="718"/>
      <c r="J194" s="718"/>
      <c r="K194" s="718"/>
      <c r="L194" s="718"/>
      <c r="M194" s="3"/>
      <c r="N194" s="3"/>
      <c r="O194" s="3"/>
      <c r="P194" s="3"/>
      <c r="Q194" s="3"/>
      <c r="R194" s="3"/>
      <c r="S194" s="3"/>
      <c r="T194" s="3"/>
      <c r="U194" s="3"/>
      <c r="V194" s="3"/>
      <c r="W194" s="3"/>
      <c r="X194" s="3"/>
      <c r="Y194" s="3"/>
      <c r="Z194" s="3"/>
    </row>
    <row r="195" spans="1:26" s="711" customFormat="1" ht="20.399999999999999" customHeight="1">
      <c r="A195" s="719">
        <v>29</v>
      </c>
      <c r="B195" s="728" t="s">
        <v>601</v>
      </c>
      <c r="C195" s="720" t="s">
        <v>1380</v>
      </c>
      <c r="D195" s="737">
        <v>80</v>
      </c>
      <c r="E195" s="737">
        <v>16.3</v>
      </c>
      <c r="F195" s="738">
        <f t="shared" si="76"/>
        <v>1304</v>
      </c>
      <c r="G195" s="738">
        <f t="shared" si="77"/>
        <v>65.2</v>
      </c>
      <c r="H195" s="738">
        <f t="shared" si="78"/>
        <v>1369.2</v>
      </c>
      <c r="I195" s="718"/>
      <c r="J195" s="718"/>
      <c r="K195" s="718"/>
      <c r="L195" s="718"/>
      <c r="M195" s="3"/>
      <c r="N195" s="3"/>
      <c r="O195" s="3"/>
      <c r="P195" s="3"/>
      <c r="Q195" s="3"/>
      <c r="R195" s="3"/>
      <c r="S195" s="3"/>
      <c r="T195" s="3"/>
      <c r="U195" s="3"/>
      <c r="V195" s="3"/>
      <c r="W195" s="3"/>
      <c r="X195" s="3"/>
      <c r="Y195" s="3"/>
      <c r="Z195" s="3"/>
    </row>
    <row r="196" spans="1:26" s="711" customFormat="1" ht="20.399999999999999" customHeight="1">
      <c r="A196" s="719">
        <v>30</v>
      </c>
      <c r="B196" s="728" t="s">
        <v>1099</v>
      </c>
      <c r="C196" s="720" t="s">
        <v>1380</v>
      </c>
      <c r="D196" s="737">
        <v>11</v>
      </c>
      <c r="E196" s="737">
        <v>8.5</v>
      </c>
      <c r="F196" s="738">
        <f t="shared" si="76"/>
        <v>93.5</v>
      </c>
      <c r="G196" s="738">
        <f t="shared" si="77"/>
        <v>4.6749999999999998</v>
      </c>
      <c r="H196" s="738">
        <f t="shared" si="78"/>
        <v>98.174999999999997</v>
      </c>
      <c r="I196" s="718"/>
      <c r="J196" s="718"/>
      <c r="K196" s="718"/>
      <c r="L196" s="718"/>
      <c r="M196" s="3"/>
      <c r="N196" s="3"/>
      <c r="O196" s="3"/>
      <c r="P196" s="3"/>
      <c r="Q196" s="3"/>
      <c r="R196" s="3"/>
      <c r="S196" s="3"/>
      <c r="T196" s="3"/>
      <c r="U196" s="3"/>
      <c r="V196" s="3"/>
      <c r="W196" s="3"/>
      <c r="X196" s="3"/>
      <c r="Y196" s="3"/>
      <c r="Z196" s="3"/>
    </row>
    <row r="197" spans="1:26" s="711" customFormat="1" ht="20.399999999999999" customHeight="1">
      <c r="A197" s="719">
        <v>31</v>
      </c>
      <c r="B197" s="728" t="s">
        <v>1420</v>
      </c>
      <c r="C197" s="720" t="s">
        <v>1293</v>
      </c>
      <c r="D197" s="737">
        <v>16</v>
      </c>
      <c r="E197" s="737">
        <v>2.2999999999999998</v>
      </c>
      <c r="F197" s="738">
        <f t="shared" si="76"/>
        <v>36.799999999999997</v>
      </c>
      <c r="G197" s="738">
        <f t="shared" si="77"/>
        <v>1.8399999999999999</v>
      </c>
      <c r="H197" s="738">
        <f t="shared" si="78"/>
        <v>38.64</v>
      </c>
      <c r="I197" s="718"/>
      <c r="J197" s="718"/>
      <c r="K197" s="718"/>
      <c r="L197" s="718"/>
      <c r="M197" s="3"/>
      <c r="N197" s="3"/>
      <c r="O197" s="3"/>
      <c r="P197" s="3"/>
      <c r="Q197" s="3"/>
      <c r="R197" s="3"/>
      <c r="S197" s="3"/>
      <c r="T197" s="3"/>
      <c r="U197" s="3"/>
      <c r="V197" s="3"/>
      <c r="W197" s="3"/>
      <c r="X197" s="3"/>
      <c r="Y197" s="3"/>
      <c r="Z197" s="3"/>
    </row>
    <row r="198" spans="1:26" s="711" customFormat="1" ht="20.399999999999999" customHeight="1">
      <c r="A198" s="719">
        <v>32</v>
      </c>
      <c r="B198" s="728" t="s">
        <v>1421</v>
      </c>
      <c r="C198" s="720" t="s">
        <v>1293</v>
      </c>
      <c r="D198" s="737"/>
      <c r="E198" s="737"/>
      <c r="F198" s="738"/>
      <c r="G198" s="738"/>
      <c r="H198" s="738"/>
      <c r="I198" s="718"/>
      <c r="J198" s="718"/>
      <c r="K198" s="718"/>
      <c r="L198" s="718"/>
      <c r="M198" s="3"/>
      <c r="N198" s="3"/>
      <c r="O198" s="3"/>
      <c r="P198" s="3"/>
      <c r="Q198" s="3"/>
      <c r="R198" s="3"/>
      <c r="S198" s="3"/>
      <c r="T198" s="3"/>
      <c r="U198" s="3"/>
      <c r="V198" s="3"/>
      <c r="W198" s="3"/>
      <c r="X198" s="3"/>
      <c r="Y198" s="3"/>
      <c r="Z198" s="3"/>
    </row>
    <row r="199" spans="1:26" s="711" customFormat="1" ht="20.399999999999999" customHeight="1">
      <c r="A199" s="719">
        <v>33</v>
      </c>
      <c r="B199" s="728" t="s">
        <v>1422</v>
      </c>
      <c r="C199" s="720" t="s">
        <v>1276</v>
      </c>
      <c r="D199" s="737">
        <v>1</v>
      </c>
      <c r="E199" s="737">
        <v>15</v>
      </c>
      <c r="F199" s="738">
        <f t="shared" ref="F199:F200" si="85">(D199*E199)</f>
        <v>15</v>
      </c>
      <c r="G199" s="738">
        <f t="shared" ref="G199:G200" si="86">(F199*5%)</f>
        <v>0.75</v>
      </c>
      <c r="H199" s="738">
        <f t="shared" ref="H199:H200" si="87">SUM(F199+G199)</f>
        <v>15.75</v>
      </c>
      <c r="I199" s="718"/>
      <c r="J199" s="718"/>
      <c r="K199" s="718"/>
      <c r="L199" s="718"/>
      <c r="M199" s="3"/>
      <c r="N199" s="3"/>
      <c r="O199" s="3"/>
      <c r="P199" s="3"/>
      <c r="Q199" s="3"/>
      <c r="R199" s="3"/>
      <c r="S199" s="3"/>
      <c r="T199" s="3"/>
      <c r="U199" s="3"/>
      <c r="V199" s="3"/>
      <c r="W199" s="3"/>
      <c r="X199" s="3"/>
      <c r="Y199" s="3"/>
      <c r="Z199" s="3"/>
    </row>
    <row r="200" spans="1:26" s="711" customFormat="1" ht="20.399999999999999" customHeight="1">
      <c r="A200" s="719">
        <v>34</v>
      </c>
      <c r="B200" s="728" t="s">
        <v>1423</v>
      </c>
      <c r="C200" s="720" t="s">
        <v>121</v>
      </c>
      <c r="D200" s="737">
        <v>150</v>
      </c>
      <c r="E200" s="737">
        <v>0.12</v>
      </c>
      <c r="F200" s="738">
        <f t="shared" si="85"/>
        <v>18</v>
      </c>
      <c r="G200" s="738">
        <f t="shared" si="86"/>
        <v>0.9</v>
      </c>
      <c r="H200" s="738">
        <f t="shared" si="87"/>
        <v>18.899999999999999</v>
      </c>
      <c r="I200" s="718"/>
      <c r="J200" s="718"/>
      <c r="K200" s="718"/>
      <c r="L200" s="718"/>
      <c r="M200" s="3"/>
      <c r="N200" s="3"/>
      <c r="O200" s="3"/>
      <c r="P200" s="3"/>
      <c r="Q200" s="3"/>
      <c r="R200" s="3"/>
      <c r="S200" s="3"/>
      <c r="T200" s="3"/>
      <c r="U200" s="3"/>
      <c r="V200" s="3"/>
      <c r="W200" s="3"/>
      <c r="X200" s="3"/>
      <c r="Y200" s="3"/>
      <c r="Z200" s="3"/>
    </row>
    <row r="201" spans="1:26" s="711" customFormat="1" ht="20.399999999999999" customHeight="1">
      <c r="A201" s="719">
        <v>35</v>
      </c>
      <c r="B201" s="728" t="s">
        <v>1424</v>
      </c>
      <c r="C201" s="720" t="s">
        <v>1595</v>
      </c>
      <c r="D201" s="737">
        <v>23</v>
      </c>
      <c r="E201" s="737">
        <v>0.3</v>
      </c>
      <c r="F201" s="738">
        <f t="shared" ref="F201:F205" si="88">(D201*E201)</f>
        <v>6.8999999999999995</v>
      </c>
      <c r="G201" s="738">
        <f t="shared" ref="G201:G205" si="89">(F201*5%)</f>
        <v>0.34499999999999997</v>
      </c>
      <c r="H201" s="738">
        <f t="shared" ref="H201:H205" si="90">SUM(F201+G201)</f>
        <v>7.2449999999999992</v>
      </c>
      <c r="I201" s="718"/>
      <c r="J201" s="718"/>
      <c r="K201" s="718"/>
      <c r="L201" s="718"/>
      <c r="M201" s="3"/>
      <c r="N201" s="3"/>
      <c r="O201" s="3"/>
      <c r="P201" s="3"/>
      <c r="Q201" s="3"/>
      <c r="R201" s="3"/>
      <c r="S201" s="3"/>
      <c r="T201" s="3"/>
      <c r="U201" s="3"/>
      <c r="V201" s="3"/>
      <c r="W201" s="3"/>
      <c r="X201" s="3"/>
      <c r="Y201" s="3"/>
      <c r="Z201" s="3"/>
    </row>
    <row r="202" spans="1:26" s="711" customFormat="1" ht="20.399999999999999" customHeight="1">
      <c r="A202" s="719">
        <v>36</v>
      </c>
      <c r="B202" s="728" t="s">
        <v>1425</v>
      </c>
      <c r="C202" s="720" t="s">
        <v>1595</v>
      </c>
      <c r="D202" s="737">
        <v>23</v>
      </c>
      <c r="E202" s="737">
        <v>0.75</v>
      </c>
      <c r="F202" s="738">
        <f t="shared" si="88"/>
        <v>17.25</v>
      </c>
      <c r="G202" s="738">
        <f t="shared" si="89"/>
        <v>0.86250000000000004</v>
      </c>
      <c r="H202" s="738">
        <f t="shared" si="90"/>
        <v>18.112500000000001</v>
      </c>
      <c r="I202" s="718"/>
      <c r="J202" s="718"/>
      <c r="K202" s="718"/>
      <c r="L202" s="718"/>
      <c r="M202" s="3"/>
      <c r="N202" s="3"/>
      <c r="O202" s="3"/>
      <c r="P202" s="3"/>
      <c r="Q202" s="3"/>
      <c r="R202" s="3"/>
      <c r="S202" s="3"/>
      <c r="T202" s="3"/>
      <c r="U202" s="3"/>
      <c r="V202" s="3"/>
      <c r="W202" s="3"/>
      <c r="X202" s="3"/>
      <c r="Y202" s="3"/>
      <c r="Z202" s="3"/>
    </row>
    <row r="203" spans="1:26" s="711" customFormat="1" ht="20.399999999999999" customHeight="1">
      <c r="A203" s="719">
        <v>37</v>
      </c>
      <c r="B203" s="728" t="s">
        <v>1426</v>
      </c>
      <c r="C203" s="720" t="s">
        <v>121</v>
      </c>
      <c r="D203" s="737">
        <v>800</v>
      </c>
      <c r="E203" s="737">
        <v>0.08</v>
      </c>
      <c r="F203" s="738">
        <f t="shared" si="88"/>
        <v>64</v>
      </c>
      <c r="G203" s="738">
        <f t="shared" si="89"/>
        <v>3.2</v>
      </c>
      <c r="H203" s="738">
        <f t="shared" si="90"/>
        <v>67.2</v>
      </c>
      <c r="I203" s="718"/>
      <c r="J203" s="718"/>
      <c r="K203" s="718"/>
      <c r="L203" s="718"/>
      <c r="M203" s="3"/>
      <c r="N203" s="3"/>
      <c r="O203" s="3"/>
      <c r="P203" s="3"/>
      <c r="Q203" s="3"/>
      <c r="R203" s="3"/>
      <c r="S203" s="3"/>
      <c r="T203" s="3"/>
      <c r="U203" s="3"/>
      <c r="V203" s="3"/>
      <c r="W203" s="3"/>
      <c r="X203" s="3"/>
      <c r="Y203" s="3"/>
      <c r="Z203" s="3"/>
    </row>
    <row r="204" spans="1:26" s="711" customFormat="1" ht="20.399999999999999" customHeight="1">
      <c r="A204" s="719">
        <v>38</v>
      </c>
      <c r="B204" s="728" t="s">
        <v>1427</v>
      </c>
      <c r="C204" s="720" t="s">
        <v>121</v>
      </c>
      <c r="D204" s="737">
        <v>90</v>
      </c>
      <c r="E204" s="737">
        <v>0.9</v>
      </c>
      <c r="F204" s="738">
        <f t="shared" si="88"/>
        <v>81</v>
      </c>
      <c r="G204" s="738">
        <f t="shared" si="89"/>
        <v>4.05</v>
      </c>
      <c r="H204" s="738">
        <f t="shared" si="90"/>
        <v>85.05</v>
      </c>
      <c r="I204" s="718"/>
      <c r="J204" s="718"/>
      <c r="K204" s="718"/>
      <c r="L204" s="718"/>
      <c r="M204" s="3"/>
      <c r="N204" s="3"/>
      <c r="O204" s="3"/>
      <c r="P204" s="3"/>
      <c r="Q204" s="3"/>
      <c r="R204" s="3"/>
      <c r="S204" s="3"/>
      <c r="T204" s="3"/>
      <c r="U204" s="3"/>
      <c r="V204" s="3"/>
      <c r="W204" s="3"/>
      <c r="X204" s="3"/>
      <c r="Y204" s="3"/>
      <c r="Z204" s="3"/>
    </row>
    <row r="205" spans="1:26" s="711" customFormat="1" ht="20.399999999999999" customHeight="1">
      <c r="A205" s="719">
        <v>39</v>
      </c>
      <c r="B205" s="728" t="s">
        <v>1428</v>
      </c>
      <c r="C205" s="720" t="s">
        <v>121</v>
      </c>
      <c r="D205" s="737">
        <v>50</v>
      </c>
      <c r="E205" s="737">
        <v>0.14000000000000001</v>
      </c>
      <c r="F205" s="738">
        <f t="shared" si="88"/>
        <v>7.0000000000000009</v>
      </c>
      <c r="G205" s="738">
        <f t="shared" si="89"/>
        <v>0.35000000000000009</v>
      </c>
      <c r="H205" s="738">
        <f t="shared" si="90"/>
        <v>7.3500000000000014</v>
      </c>
      <c r="I205" s="718"/>
      <c r="J205" s="718"/>
      <c r="K205" s="718"/>
      <c r="L205" s="718"/>
      <c r="M205" s="3"/>
      <c r="N205" s="3"/>
      <c r="O205" s="3"/>
      <c r="P205" s="3"/>
      <c r="Q205" s="3"/>
      <c r="R205" s="3"/>
      <c r="S205" s="3"/>
      <c r="T205" s="3"/>
      <c r="U205" s="3"/>
      <c r="V205" s="3"/>
      <c r="W205" s="3"/>
      <c r="X205" s="3"/>
      <c r="Y205" s="3"/>
      <c r="Z205" s="3"/>
    </row>
    <row r="206" spans="1:26" s="711" customFormat="1" ht="20.399999999999999" customHeight="1">
      <c r="A206" s="719">
        <v>40</v>
      </c>
      <c r="B206" s="728" t="s">
        <v>1432</v>
      </c>
      <c r="C206" s="720" t="s">
        <v>121</v>
      </c>
      <c r="D206" s="737">
        <v>4150</v>
      </c>
      <c r="E206" s="737">
        <v>0.17</v>
      </c>
      <c r="F206" s="738">
        <f t="shared" ref="F206:F208" si="91">(D206*E206)</f>
        <v>705.5</v>
      </c>
      <c r="G206" s="738">
        <f t="shared" ref="G206:G208" si="92">(F206*5%)</f>
        <v>35.274999999999999</v>
      </c>
      <c r="H206" s="738">
        <f t="shared" ref="H206:H208" si="93">SUM(F206+G206)</f>
        <v>740.77499999999998</v>
      </c>
      <c r="I206" s="718"/>
      <c r="J206" s="718"/>
      <c r="K206" s="718"/>
      <c r="L206" s="718"/>
      <c r="M206" s="3"/>
      <c r="N206" s="3"/>
      <c r="O206" s="3"/>
      <c r="P206" s="3"/>
      <c r="Q206" s="3"/>
      <c r="R206" s="3"/>
      <c r="S206" s="3"/>
      <c r="T206" s="3"/>
      <c r="U206" s="3"/>
      <c r="V206" s="3"/>
      <c r="W206" s="3"/>
      <c r="X206" s="3"/>
      <c r="Y206" s="3"/>
      <c r="Z206" s="3"/>
    </row>
    <row r="207" spans="1:26" s="711" customFormat="1" ht="20.399999999999999" customHeight="1">
      <c r="A207" s="719">
        <v>41</v>
      </c>
      <c r="B207" s="728" t="s">
        <v>1433</v>
      </c>
      <c r="C207" s="720" t="s">
        <v>121</v>
      </c>
      <c r="D207" s="737">
        <v>450</v>
      </c>
      <c r="E207" s="737">
        <v>0.28000000000000003</v>
      </c>
      <c r="F207" s="738">
        <f t="shared" si="91"/>
        <v>126.00000000000001</v>
      </c>
      <c r="G207" s="738">
        <f t="shared" si="92"/>
        <v>6.3000000000000007</v>
      </c>
      <c r="H207" s="738">
        <f t="shared" si="93"/>
        <v>132.30000000000001</v>
      </c>
      <c r="I207" s="718"/>
      <c r="J207" s="718"/>
      <c r="K207" s="718"/>
      <c r="L207" s="718"/>
      <c r="M207" s="3"/>
      <c r="N207" s="3"/>
      <c r="O207" s="3"/>
      <c r="P207" s="3"/>
      <c r="Q207" s="3"/>
      <c r="R207" s="3"/>
      <c r="S207" s="3"/>
      <c r="T207" s="3"/>
      <c r="U207" s="3"/>
      <c r="V207" s="3"/>
      <c r="W207" s="3"/>
      <c r="X207" s="3"/>
      <c r="Y207" s="3"/>
      <c r="Z207" s="3"/>
    </row>
    <row r="208" spans="1:26" s="711" customFormat="1" ht="20.399999999999999" customHeight="1">
      <c r="A208" s="719">
        <v>42</v>
      </c>
      <c r="B208" s="728" t="s">
        <v>1434</v>
      </c>
      <c r="C208" s="720" t="s">
        <v>121</v>
      </c>
      <c r="D208" s="737">
        <v>8500</v>
      </c>
      <c r="E208" s="737">
        <v>0.02</v>
      </c>
      <c r="F208" s="738">
        <f t="shared" si="91"/>
        <v>170</v>
      </c>
      <c r="G208" s="738">
        <f t="shared" si="92"/>
        <v>8.5</v>
      </c>
      <c r="H208" s="738">
        <f t="shared" si="93"/>
        <v>178.5</v>
      </c>
      <c r="I208" s="718"/>
      <c r="J208" s="718"/>
      <c r="K208" s="718"/>
      <c r="L208" s="718"/>
      <c r="M208" s="3"/>
      <c r="N208" s="3"/>
      <c r="O208" s="3"/>
      <c r="P208" s="3"/>
      <c r="Q208" s="3"/>
      <c r="R208" s="3"/>
      <c r="S208" s="3"/>
      <c r="T208" s="3"/>
      <c r="U208" s="3"/>
      <c r="V208" s="3"/>
      <c r="W208" s="3"/>
      <c r="X208" s="3"/>
      <c r="Y208" s="3"/>
      <c r="Z208" s="3"/>
    </row>
    <row r="209" spans="1:26" s="711" customFormat="1" ht="20.399999999999999" customHeight="1">
      <c r="A209" s="719">
        <v>43</v>
      </c>
      <c r="B209" s="728" t="s">
        <v>1435</v>
      </c>
      <c r="C209" s="720" t="s">
        <v>121</v>
      </c>
      <c r="D209" s="737">
        <v>950</v>
      </c>
      <c r="E209" s="737">
        <v>0.05</v>
      </c>
      <c r="F209" s="738">
        <f t="shared" ref="F209:F215" si="94">(D209*E209)</f>
        <v>47.5</v>
      </c>
      <c r="G209" s="738">
        <f t="shared" ref="G209:G214" si="95">(F209*5%)</f>
        <v>2.375</v>
      </c>
      <c r="H209" s="738">
        <f t="shared" ref="H209:H215" si="96">SUM(F209+G209)</f>
        <v>49.875</v>
      </c>
      <c r="I209" s="718"/>
      <c r="J209" s="718"/>
      <c r="K209" s="718"/>
      <c r="L209" s="718"/>
      <c r="M209" s="3"/>
      <c r="N209" s="3"/>
      <c r="O209" s="3"/>
      <c r="P209" s="3"/>
      <c r="Q209" s="3"/>
      <c r="R209" s="3"/>
      <c r="S209" s="3"/>
      <c r="T209" s="3"/>
      <c r="U209" s="3"/>
      <c r="V209" s="3"/>
      <c r="W209" s="3"/>
      <c r="X209" s="3"/>
      <c r="Y209" s="3"/>
      <c r="Z209" s="3"/>
    </row>
    <row r="210" spans="1:26" s="711" customFormat="1" ht="20.399999999999999" customHeight="1">
      <c r="A210" s="719">
        <v>44</v>
      </c>
      <c r="B210" s="728" t="s">
        <v>1429</v>
      </c>
      <c r="C210" s="720" t="s">
        <v>121</v>
      </c>
      <c r="D210" s="737">
        <v>1215</v>
      </c>
      <c r="E210" s="737">
        <v>0.12</v>
      </c>
      <c r="F210" s="738">
        <f t="shared" si="94"/>
        <v>145.79999999999998</v>
      </c>
      <c r="G210" s="738">
        <f t="shared" si="95"/>
        <v>7.2899999999999991</v>
      </c>
      <c r="H210" s="738">
        <f t="shared" si="96"/>
        <v>153.08999999999997</v>
      </c>
      <c r="I210" s="718"/>
      <c r="J210" s="718"/>
      <c r="K210" s="718"/>
      <c r="L210" s="718"/>
      <c r="M210" s="3"/>
      <c r="N210" s="3"/>
      <c r="O210" s="3"/>
      <c r="P210" s="3"/>
      <c r="Q210" s="3"/>
      <c r="R210" s="3"/>
      <c r="S210" s="3"/>
      <c r="T210" s="3"/>
      <c r="U210" s="3"/>
      <c r="V210" s="3"/>
      <c r="W210" s="3"/>
      <c r="X210" s="3"/>
      <c r="Y210" s="3"/>
      <c r="Z210" s="3"/>
    </row>
    <row r="211" spans="1:26" s="711" customFormat="1" ht="20.399999999999999" customHeight="1">
      <c r="A211" s="719">
        <v>45</v>
      </c>
      <c r="B211" s="728" t="s">
        <v>1430</v>
      </c>
      <c r="C211" s="720" t="s">
        <v>121</v>
      </c>
      <c r="D211" s="737">
        <v>125</v>
      </c>
      <c r="E211" s="737">
        <v>0.18</v>
      </c>
      <c r="F211" s="738">
        <f t="shared" si="94"/>
        <v>22.5</v>
      </c>
      <c r="G211" s="738">
        <f t="shared" si="95"/>
        <v>1.125</v>
      </c>
      <c r="H211" s="738">
        <f t="shared" si="96"/>
        <v>23.625</v>
      </c>
      <c r="I211" s="718"/>
      <c r="J211" s="718"/>
      <c r="K211" s="718"/>
      <c r="L211" s="718"/>
      <c r="M211" s="3"/>
      <c r="N211" s="3"/>
      <c r="O211" s="3"/>
      <c r="P211" s="3"/>
      <c r="Q211" s="3"/>
      <c r="R211" s="3"/>
      <c r="S211" s="3"/>
      <c r="T211" s="3"/>
      <c r="U211" s="3"/>
      <c r="V211" s="3"/>
      <c r="W211" s="3"/>
      <c r="X211" s="3"/>
      <c r="Y211" s="3"/>
      <c r="Z211" s="3"/>
    </row>
    <row r="212" spans="1:26" s="711" customFormat="1" ht="20.399999999999999" customHeight="1">
      <c r="A212" s="719">
        <v>46</v>
      </c>
      <c r="B212" s="728" t="s">
        <v>1431</v>
      </c>
      <c r="C212" s="720" t="s">
        <v>121</v>
      </c>
      <c r="D212" s="737">
        <v>3100</v>
      </c>
      <c r="E212" s="737">
        <v>0.06</v>
      </c>
      <c r="F212" s="738">
        <f t="shared" si="94"/>
        <v>186</v>
      </c>
      <c r="G212" s="738">
        <f t="shared" si="95"/>
        <v>9.3000000000000007</v>
      </c>
      <c r="H212" s="738">
        <f t="shared" si="96"/>
        <v>195.3</v>
      </c>
      <c r="I212" s="718"/>
      <c r="J212" s="718"/>
      <c r="K212" s="718"/>
      <c r="L212" s="718"/>
      <c r="M212" s="3"/>
      <c r="N212" s="3"/>
      <c r="O212" s="3"/>
      <c r="P212" s="3"/>
      <c r="Q212" s="3"/>
      <c r="R212" s="3"/>
      <c r="S212" s="3"/>
      <c r="T212" s="3"/>
      <c r="U212" s="3"/>
      <c r="V212" s="3"/>
      <c r="W212" s="3"/>
      <c r="X212" s="3"/>
      <c r="Y212" s="3"/>
      <c r="Z212" s="3"/>
    </row>
    <row r="213" spans="1:26" s="711" customFormat="1" ht="20.399999999999999" customHeight="1">
      <c r="A213" s="719">
        <v>47</v>
      </c>
      <c r="B213" s="728" t="s">
        <v>1436</v>
      </c>
      <c r="C213" s="720" t="s">
        <v>121</v>
      </c>
      <c r="D213" s="737">
        <v>320</v>
      </c>
      <c r="E213" s="737">
        <v>0.08</v>
      </c>
      <c r="F213" s="738">
        <f t="shared" si="94"/>
        <v>25.6</v>
      </c>
      <c r="G213" s="738">
        <f t="shared" si="95"/>
        <v>1.2800000000000002</v>
      </c>
      <c r="H213" s="738">
        <f t="shared" si="96"/>
        <v>26.880000000000003</v>
      </c>
      <c r="I213" s="718"/>
      <c r="J213" s="718"/>
      <c r="K213" s="718"/>
      <c r="L213" s="718"/>
      <c r="M213" s="3"/>
      <c r="N213" s="3"/>
      <c r="O213" s="3"/>
      <c r="P213" s="3"/>
      <c r="Q213" s="3"/>
      <c r="R213" s="3"/>
      <c r="S213" s="3"/>
      <c r="T213" s="3"/>
      <c r="U213" s="3"/>
      <c r="V213" s="3"/>
      <c r="W213" s="3"/>
      <c r="X213" s="3"/>
      <c r="Y213" s="3"/>
      <c r="Z213" s="3"/>
    </row>
    <row r="214" spans="1:26" s="711" customFormat="1" ht="20.399999999999999" customHeight="1">
      <c r="A214" s="719">
        <v>48</v>
      </c>
      <c r="B214" s="728" t="s">
        <v>1437</v>
      </c>
      <c r="C214" s="720" t="s">
        <v>1367</v>
      </c>
      <c r="D214" s="737">
        <v>125</v>
      </c>
      <c r="E214" s="737">
        <v>0.88</v>
      </c>
      <c r="F214" s="738">
        <f t="shared" si="94"/>
        <v>110</v>
      </c>
      <c r="G214" s="738">
        <f t="shared" si="95"/>
        <v>5.5</v>
      </c>
      <c r="H214" s="738">
        <f t="shared" si="96"/>
        <v>115.5</v>
      </c>
      <c r="I214" s="718"/>
      <c r="J214" s="718"/>
      <c r="K214" s="718"/>
      <c r="L214" s="718"/>
      <c r="M214" s="3"/>
      <c r="N214" s="3"/>
      <c r="O214" s="3"/>
      <c r="P214" s="3"/>
      <c r="Q214" s="3"/>
      <c r="R214" s="3"/>
      <c r="S214" s="3"/>
      <c r="T214" s="3"/>
      <c r="U214" s="3"/>
      <c r="V214" s="3"/>
      <c r="W214" s="3"/>
      <c r="X214" s="3"/>
      <c r="Y214" s="3"/>
      <c r="Z214" s="3"/>
    </row>
    <row r="215" spans="1:26" s="711" customFormat="1" ht="20.399999999999999" customHeight="1">
      <c r="A215" s="719">
        <v>49</v>
      </c>
      <c r="B215" s="728" t="s">
        <v>1598</v>
      </c>
      <c r="C215" s="720" t="s">
        <v>1276</v>
      </c>
      <c r="D215" s="737">
        <v>1</v>
      </c>
      <c r="E215" s="737">
        <v>500</v>
      </c>
      <c r="F215" s="738">
        <f t="shared" si="94"/>
        <v>500</v>
      </c>
      <c r="G215" s="738"/>
      <c r="H215" s="738">
        <f t="shared" si="96"/>
        <v>500</v>
      </c>
      <c r="I215" s="718"/>
      <c r="J215" s="718"/>
      <c r="K215" s="718"/>
      <c r="L215" s="718"/>
      <c r="M215" s="3"/>
      <c r="N215" s="3"/>
      <c r="O215" s="3"/>
      <c r="P215" s="3"/>
      <c r="Q215" s="3"/>
      <c r="R215" s="3"/>
      <c r="S215" s="3"/>
      <c r="T215" s="3"/>
      <c r="U215" s="3"/>
      <c r="V215" s="3"/>
      <c r="W215" s="3"/>
      <c r="X215" s="3"/>
      <c r="Y215" s="3"/>
      <c r="Z215" s="3"/>
    </row>
    <row r="216" spans="1:26" s="711" customFormat="1" ht="20.399999999999999" customHeight="1">
      <c r="A216" s="716"/>
      <c r="B216" s="728"/>
      <c r="C216" s="720"/>
      <c r="D216" s="737"/>
      <c r="E216" s="737"/>
      <c r="F216" s="738"/>
      <c r="G216" s="738"/>
      <c r="H216" s="738"/>
      <c r="I216" s="718"/>
      <c r="J216" s="718"/>
      <c r="K216" s="718"/>
      <c r="L216" s="718"/>
      <c r="M216" s="3"/>
      <c r="N216" s="3"/>
      <c r="O216" s="3"/>
      <c r="P216" s="3"/>
      <c r="Q216" s="3"/>
      <c r="R216" s="3"/>
      <c r="S216" s="3"/>
      <c r="T216" s="3"/>
      <c r="U216" s="3"/>
      <c r="V216" s="3"/>
      <c r="W216" s="3"/>
      <c r="X216" s="3"/>
      <c r="Y216" s="3"/>
      <c r="Z216" s="3"/>
    </row>
    <row r="217" spans="1:26" s="711" customFormat="1" ht="15.6" customHeight="1">
      <c r="A217" s="714" t="s">
        <v>83</v>
      </c>
      <c r="B217" s="729" t="s">
        <v>1383</v>
      </c>
      <c r="C217" s="716"/>
      <c r="D217" s="737"/>
      <c r="E217" s="737"/>
      <c r="F217" s="738"/>
      <c r="G217" s="738"/>
      <c r="H217" s="738"/>
      <c r="I217" s="718"/>
      <c r="J217" s="718"/>
      <c r="K217" s="718"/>
      <c r="L217" s="718"/>
      <c r="M217" s="3"/>
      <c r="N217" s="3"/>
      <c r="O217" s="3"/>
      <c r="P217" s="3"/>
      <c r="Q217" s="3"/>
      <c r="R217" s="3"/>
      <c r="S217" s="3"/>
      <c r="T217" s="3"/>
      <c r="U217" s="3"/>
      <c r="V217" s="3"/>
      <c r="W217" s="3"/>
      <c r="X217" s="3"/>
      <c r="Y217" s="3"/>
      <c r="Z217" s="3"/>
    </row>
    <row r="218" spans="1:26" s="711" customFormat="1" ht="15.6" customHeight="1">
      <c r="A218" s="719">
        <v>1</v>
      </c>
      <c r="B218" s="748" t="s">
        <v>1662</v>
      </c>
      <c r="C218" s="720" t="s">
        <v>121</v>
      </c>
      <c r="D218" s="743">
        <v>127</v>
      </c>
      <c r="E218" s="743">
        <v>2</v>
      </c>
      <c r="F218" s="738">
        <f t="shared" ref="F218" si="97">(D218*E218)</f>
        <v>254</v>
      </c>
      <c r="G218" s="738">
        <f t="shared" ref="G218" si="98">(F218*5%)</f>
        <v>12.700000000000001</v>
      </c>
      <c r="H218" s="738">
        <f t="shared" ref="H218" si="99">SUM(F218+G218)</f>
        <v>266.7</v>
      </c>
      <c r="I218" s="718"/>
      <c r="J218" s="718"/>
      <c r="K218" s="718"/>
      <c r="L218" s="718"/>
      <c r="M218" s="3"/>
      <c r="N218" s="3"/>
      <c r="O218" s="3"/>
      <c r="P218" s="3"/>
      <c r="Q218" s="3"/>
      <c r="R218" s="3"/>
      <c r="S218" s="3"/>
      <c r="T218" s="3"/>
      <c r="U218" s="3"/>
      <c r="V218" s="3"/>
      <c r="W218" s="3"/>
      <c r="X218" s="3"/>
      <c r="Y218" s="3"/>
      <c r="Z218" s="3"/>
    </row>
    <row r="219" spans="1:26" s="711" customFormat="1" ht="35.4" customHeight="1">
      <c r="A219" s="720">
        <v>2</v>
      </c>
      <c r="B219" s="748" t="s">
        <v>1687</v>
      </c>
      <c r="C219" s="720" t="s">
        <v>121</v>
      </c>
      <c r="D219" s="743">
        <v>6</v>
      </c>
      <c r="E219" s="743">
        <v>2</v>
      </c>
      <c r="F219" s="738">
        <f t="shared" ref="F219:F225" si="100">(D219*E219)</f>
        <v>12</v>
      </c>
      <c r="G219" s="738">
        <f t="shared" ref="G219:G225" si="101">(F219*5%)</f>
        <v>0.60000000000000009</v>
      </c>
      <c r="H219" s="738">
        <f t="shared" ref="H219:H225" si="102">SUM(F219+G219)</f>
        <v>12.6</v>
      </c>
      <c r="I219" s="718"/>
      <c r="J219" s="718"/>
      <c r="K219" s="718"/>
      <c r="L219" s="718"/>
      <c r="M219" s="3"/>
      <c r="N219" s="3"/>
      <c r="O219" s="3"/>
      <c r="P219" s="3"/>
      <c r="Q219" s="3"/>
      <c r="R219" s="3"/>
      <c r="S219" s="3"/>
      <c r="T219" s="3"/>
      <c r="U219" s="3"/>
      <c r="V219" s="3"/>
      <c r="W219" s="3"/>
      <c r="X219" s="3"/>
      <c r="Y219" s="3"/>
      <c r="Z219" s="3"/>
    </row>
    <row r="220" spans="1:26" s="711" customFormat="1" ht="15.6" customHeight="1">
      <c r="A220" s="719">
        <v>3</v>
      </c>
      <c r="B220" s="748" t="s">
        <v>1663</v>
      </c>
      <c r="C220" s="720" t="s">
        <v>121</v>
      </c>
      <c r="D220" s="743">
        <v>15</v>
      </c>
      <c r="E220" s="743">
        <v>2</v>
      </c>
      <c r="F220" s="738">
        <f t="shared" si="100"/>
        <v>30</v>
      </c>
      <c r="G220" s="738">
        <f t="shared" si="101"/>
        <v>1.5</v>
      </c>
      <c r="H220" s="738">
        <f t="shared" si="102"/>
        <v>31.5</v>
      </c>
      <c r="I220" s="718"/>
      <c r="J220" s="718"/>
      <c r="K220" s="718"/>
      <c r="L220" s="718"/>
      <c r="M220" s="3"/>
      <c r="N220" s="3"/>
      <c r="O220" s="3"/>
      <c r="P220" s="3"/>
      <c r="Q220" s="3"/>
      <c r="R220" s="3"/>
      <c r="S220" s="3"/>
      <c r="T220" s="3"/>
      <c r="U220" s="3"/>
      <c r="V220" s="3"/>
      <c r="W220" s="3"/>
      <c r="X220" s="3"/>
      <c r="Y220" s="3"/>
      <c r="Z220" s="3"/>
    </row>
    <row r="221" spans="1:26" s="711" customFormat="1" ht="26.4" customHeight="1">
      <c r="A221" s="719">
        <v>4</v>
      </c>
      <c r="B221" s="748" t="s">
        <v>1664</v>
      </c>
      <c r="C221" s="720" t="s">
        <v>121</v>
      </c>
      <c r="D221" s="743">
        <f>280+20+45</f>
        <v>345</v>
      </c>
      <c r="E221" s="743">
        <v>1.3</v>
      </c>
      <c r="F221" s="738">
        <f t="shared" si="100"/>
        <v>448.5</v>
      </c>
      <c r="G221" s="738">
        <f t="shared" si="101"/>
        <v>22.425000000000001</v>
      </c>
      <c r="H221" s="738">
        <f t="shared" si="102"/>
        <v>470.92500000000001</v>
      </c>
      <c r="I221" s="718"/>
      <c r="J221" s="718"/>
      <c r="K221" s="718"/>
      <c r="L221" s="718"/>
      <c r="M221" s="3"/>
      <c r="N221" s="3"/>
      <c r="O221" s="3"/>
      <c r="P221" s="3"/>
      <c r="Q221" s="3"/>
      <c r="R221" s="3"/>
      <c r="S221" s="3"/>
      <c r="T221" s="3"/>
      <c r="U221" s="3"/>
      <c r="V221" s="3"/>
      <c r="W221" s="3"/>
      <c r="X221" s="3"/>
      <c r="Y221" s="3"/>
      <c r="Z221" s="3"/>
    </row>
    <row r="222" spans="1:26" s="711" customFormat="1" ht="15.6" customHeight="1">
      <c r="A222" s="720">
        <v>5</v>
      </c>
      <c r="B222" s="748" t="s">
        <v>1665</v>
      </c>
      <c r="C222" s="720" t="s">
        <v>121</v>
      </c>
      <c r="D222" s="743">
        <v>17</v>
      </c>
      <c r="E222" s="743">
        <v>2</v>
      </c>
      <c r="F222" s="738">
        <f t="shared" si="100"/>
        <v>34</v>
      </c>
      <c r="G222" s="738">
        <f t="shared" si="101"/>
        <v>1.7000000000000002</v>
      </c>
      <c r="H222" s="738">
        <f t="shared" si="102"/>
        <v>35.700000000000003</v>
      </c>
      <c r="I222" s="718"/>
      <c r="J222" s="718"/>
      <c r="K222" s="718"/>
      <c r="L222" s="718"/>
      <c r="M222" s="3"/>
      <c r="N222" s="3"/>
      <c r="O222" s="3"/>
      <c r="P222" s="3"/>
      <c r="Q222" s="3"/>
      <c r="R222" s="3"/>
      <c r="S222" s="3"/>
      <c r="T222" s="3"/>
      <c r="U222" s="3"/>
      <c r="V222" s="3"/>
      <c r="W222" s="3"/>
      <c r="X222" s="3"/>
      <c r="Y222" s="3"/>
      <c r="Z222" s="3"/>
    </row>
    <row r="223" spans="1:26" s="711" customFormat="1" ht="15.6" customHeight="1">
      <c r="A223" s="719">
        <v>6</v>
      </c>
      <c r="B223" s="748" t="s">
        <v>1688</v>
      </c>
      <c r="C223" s="720" t="s">
        <v>121</v>
      </c>
      <c r="D223" s="743">
        <v>70</v>
      </c>
      <c r="E223" s="743">
        <v>2.5</v>
      </c>
      <c r="F223" s="738">
        <f t="shared" si="100"/>
        <v>175</v>
      </c>
      <c r="G223" s="738">
        <f t="shared" si="101"/>
        <v>8.75</v>
      </c>
      <c r="H223" s="738">
        <f t="shared" si="102"/>
        <v>183.75</v>
      </c>
      <c r="I223" s="718"/>
      <c r="J223" s="718"/>
      <c r="K223" s="718"/>
      <c r="L223" s="718"/>
      <c r="M223" s="3"/>
      <c r="N223" s="3"/>
      <c r="O223" s="3"/>
      <c r="P223" s="3"/>
      <c r="Q223" s="3"/>
      <c r="R223" s="3"/>
      <c r="S223" s="3"/>
      <c r="T223" s="3"/>
      <c r="U223" s="3"/>
      <c r="V223" s="3"/>
      <c r="W223" s="3"/>
      <c r="X223" s="3"/>
      <c r="Y223" s="3"/>
      <c r="Z223" s="3"/>
    </row>
    <row r="224" spans="1:26" s="711" customFormat="1" ht="15.6" customHeight="1">
      <c r="A224" s="719">
        <v>7</v>
      </c>
      <c r="B224" s="749" t="s">
        <v>1666</v>
      </c>
      <c r="C224" s="720" t="s">
        <v>121</v>
      </c>
      <c r="D224" s="743">
        <v>71</v>
      </c>
      <c r="E224" s="743">
        <v>1.5</v>
      </c>
      <c r="F224" s="738">
        <f t="shared" si="100"/>
        <v>106.5</v>
      </c>
      <c r="G224" s="738">
        <f t="shared" si="101"/>
        <v>5.3250000000000002</v>
      </c>
      <c r="H224" s="738">
        <f t="shared" si="102"/>
        <v>111.825</v>
      </c>
      <c r="I224" s="718"/>
      <c r="J224" s="718"/>
      <c r="K224" s="718"/>
      <c r="L224" s="718"/>
      <c r="M224" s="3"/>
      <c r="N224" s="3"/>
      <c r="O224" s="3"/>
      <c r="P224" s="3"/>
      <c r="Q224" s="3"/>
      <c r="R224" s="3"/>
      <c r="S224" s="3"/>
      <c r="T224" s="3"/>
      <c r="U224" s="3"/>
      <c r="V224" s="3"/>
      <c r="W224" s="3"/>
      <c r="X224" s="3"/>
      <c r="Y224" s="3"/>
      <c r="Z224" s="3"/>
    </row>
    <row r="225" spans="1:26" s="711" customFormat="1" ht="15.6" customHeight="1">
      <c r="A225" s="720">
        <v>8</v>
      </c>
      <c r="B225" s="749" t="s">
        <v>1667</v>
      </c>
      <c r="C225" s="720" t="s">
        <v>121</v>
      </c>
      <c r="D225" s="743">
        <v>70</v>
      </c>
      <c r="E225" s="743">
        <v>2.5</v>
      </c>
      <c r="F225" s="738">
        <f t="shared" si="100"/>
        <v>175</v>
      </c>
      <c r="G225" s="738">
        <f t="shared" si="101"/>
        <v>8.75</v>
      </c>
      <c r="H225" s="738">
        <f t="shared" si="102"/>
        <v>183.75</v>
      </c>
      <c r="I225" s="718"/>
      <c r="J225" s="718"/>
      <c r="K225" s="718"/>
      <c r="L225" s="718"/>
      <c r="M225" s="3"/>
      <c r="N225" s="3"/>
      <c r="O225" s="3"/>
      <c r="P225" s="3"/>
      <c r="Q225" s="3"/>
      <c r="R225" s="3"/>
      <c r="S225" s="3"/>
      <c r="T225" s="3"/>
      <c r="U225" s="3"/>
      <c r="V225" s="3"/>
      <c r="W225" s="3"/>
      <c r="X225" s="3"/>
      <c r="Y225" s="3"/>
      <c r="Z225" s="3"/>
    </row>
    <row r="226" spans="1:26" s="747" customFormat="1" ht="15.6" customHeight="1">
      <c r="A226" s="719">
        <v>9</v>
      </c>
      <c r="B226" s="749" t="s">
        <v>1668</v>
      </c>
      <c r="C226" s="720" t="s">
        <v>121</v>
      </c>
      <c r="D226" s="743">
        <v>36</v>
      </c>
      <c r="E226" s="743">
        <v>2</v>
      </c>
      <c r="F226" s="738">
        <f t="shared" ref="F226:F227" si="103">(D226*E226)</f>
        <v>72</v>
      </c>
      <c r="G226" s="738">
        <f t="shared" ref="G226:G227" si="104">(F226*5%)</f>
        <v>3.6</v>
      </c>
      <c r="H226" s="738">
        <f t="shared" ref="H226:H227" si="105">SUM(F226+G226)</f>
        <v>75.599999999999994</v>
      </c>
      <c r="I226" s="718"/>
      <c r="J226" s="718"/>
      <c r="K226" s="718"/>
      <c r="L226" s="718"/>
      <c r="M226" s="3"/>
      <c r="N226" s="3"/>
      <c r="O226" s="3"/>
      <c r="P226" s="3"/>
      <c r="Q226" s="3"/>
      <c r="R226" s="3"/>
      <c r="S226" s="3"/>
      <c r="T226" s="3"/>
      <c r="U226" s="3"/>
      <c r="V226" s="3"/>
      <c r="W226" s="3"/>
      <c r="X226" s="3"/>
      <c r="Y226" s="3"/>
      <c r="Z226" s="3"/>
    </row>
    <row r="227" spans="1:26" s="711" customFormat="1" ht="31.2" customHeight="1">
      <c r="A227" s="719">
        <v>10</v>
      </c>
      <c r="B227" s="727" t="s">
        <v>1669</v>
      </c>
      <c r="C227" s="720" t="s">
        <v>121</v>
      </c>
      <c r="D227" s="743">
        <v>73</v>
      </c>
      <c r="E227" s="743">
        <v>1.3</v>
      </c>
      <c r="F227" s="738">
        <f t="shared" si="103"/>
        <v>94.9</v>
      </c>
      <c r="G227" s="738">
        <f t="shared" si="104"/>
        <v>4.7450000000000001</v>
      </c>
      <c r="H227" s="738">
        <f t="shared" si="105"/>
        <v>99.64500000000001</v>
      </c>
      <c r="I227" s="718"/>
      <c r="J227" s="718"/>
      <c r="K227" s="718"/>
      <c r="L227" s="718"/>
      <c r="M227" s="3"/>
      <c r="N227" s="3"/>
      <c r="O227" s="3"/>
      <c r="P227" s="3"/>
      <c r="Q227" s="3"/>
      <c r="R227" s="3"/>
      <c r="S227" s="3"/>
      <c r="T227" s="3"/>
      <c r="U227" s="3"/>
      <c r="V227" s="3"/>
      <c r="W227" s="3"/>
      <c r="X227" s="3"/>
      <c r="Y227" s="3"/>
      <c r="Z227" s="3"/>
    </row>
    <row r="228" spans="1:26" s="757" customFormat="1" ht="15.6" customHeight="1">
      <c r="A228" s="719"/>
      <c r="B228" s="727"/>
      <c r="C228" s="720"/>
      <c r="D228" s="743"/>
      <c r="E228" s="743"/>
      <c r="F228" s="738"/>
      <c r="G228" s="738"/>
      <c r="H228" s="738"/>
      <c r="I228" s="718"/>
      <c r="J228" s="718"/>
      <c r="K228" s="718"/>
      <c r="L228" s="718"/>
      <c r="M228" s="3"/>
      <c r="N228" s="3"/>
      <c r="O228" s="3"/>
      <c r="P228" s="3"/>
      <c r="Q228" s="3"/>
      <c r="R228" s="3"/>
      <c r="S228" s="3"/>
      <c r="T228" s="3"/>
      <c r="U228" s="3"/>
      <c r="V228" s="3"/>
      <c r="W228" s="3"/>
      <c r="X228" s="3"/>
      <c r="Y228" s="3"/>
      <c r="Z228" s="3"/>
    </row>
    <row r="229" spans="1:26" ht="14.25" customHeight="1">
      <c r="A229" s="723" t="s">
        <v>117</v>
      </c>
      <c r="B229" s="715" t="s">
        <v>1385</v>
      </c>
      <c r="C229" s="716"/>
      <c r="D229" s="737"/>
      <c r="E229" s="737"/>
      <c r="F229" s="738"/>
      <c r="G229" s="738"/>
      <c r="H229" s="738"/>
      <c r="I229" s="718"/>
      <c r="J229" s="718"/>
      <c r="K229" s="718"/>
      <c r="L229" s="718"/>
      <c r="M229" s="3"/>
      <c r="N229" s="3"/>
      <c r="O229" s="3"/>
      <c r="P229" s="3"/>
      <c r="Q229" s="3"/>
      <c r="R229" s="3"/>
      <c r="S229" s="3"/>
      <c r="T229" s="3"/>
      <c r="U229" s="3"/>
      <c r="V229" s="3"/>
      <c r="W229" s="3"/>
      <c r="X229" s="3"/>
      <c r="Y229" s="3"/>
      <c r="Z229" s="3"/>
    </row>
    <row r="230" spans="1:26" ht="18" customHeight="1">
      <c r="A230" s="719">
        <v>1</v>
      </c>
      <c r="B230" s="727" t="s">
        <v>1647</v>
      </c>
      <c r="C230" s="720" t="s">
        <v>121</v>
      </c>
      <c r="D230" s="746">
        <v>146</v>
      </c>
      <c r="E230" s="750">
        <v>0.57999999999999996</v>
      </c>
      <c r="F230" s="738">
        <f t="shared" ref="F230" si="106">(D230*E230)</f>
        <v>84.679999999999993</v>
      </c>
      <c r="G230" s="738">
        <f t="shared" ref="G230" si="107">(F230*5%)</f>
        <v>4.234</v>
      </c>
      <c r="H230" s="738">
        <f t="shared" ref="H230" si="108">SUM(F230+G230)</f>
        <v>88.913999999999987</v>
      </c>
      <c r="I230" s="718"/>
      <c r="J230" s="718"/>
      <c r="K230" s="718"/>
      <c r="L230" s="718"/>
      <c r="M230" s="3"/>
      <c r="N230" s="3"/>
      <c r="O230" s="3"/>
      <c r="P230" s="3"/>
      <c r="Q230" s="3"/>
      <c r="R230" s="3"/>
      <c r="S230" s="3"/>
      <c r="T230" s="3"/>
      <c r="U230" s="3"/>
      <c r="V230" s="3"/>
      <c r="W230" s="3"/>
      <c r="X230" s="3"/>
      <c r="Y230" s="3"/>
      <c r="Z230" s="3"/>
    </row>
    <row r="231" spans="1:26" ht="18" customHeight="1">
      <c r="A231" s="719">
        <v>2</v>
      </c>
      <c r="B231" s="727" t="s">
        <v>1648</v>
      </c>
      <c r="C231" s="720" t="s">
        <v>121</v>
      </c>
      <c r="D231" s="746">
        <v>108</v>
      </c>
      <c r="E231" s="750">
        <v>0.75</v>
      </c>
      <c r="F231" s="738">
        <f t="shared" ref="F231:F245" si="109">(D231*E231)</f>
        <v>81</v>
      </c>
      <c r="G231" s="738">
        <f t="shared" ref="G231:G245" si="110">(F231*5%)</f>
        <v>4.05</v>
      </c>
      <c r="H231" s="738">
        <f t="shared" ref="H231:H245" si="111">SUM(F231+G231)</f>
        <v>85.05</v>
      </c>
      <c r="I231" s="718"/>
      <c r="J231" s="718"/>
      <c r="K231" s="718"/>
      <c r="L231" s="718"/>
      <c r="M231" s="3"/>
      <c r="N231" s="3"/>
      <c r="O231" s="3"/>
      <c r="P231" s="3"/>
      <c r="Q231" s="3"/>
      <c r="R231" s="3"/>
      <c r="S231" s="3"/>
      <c r="T231" s="3"/>
      <c r="U231" s="3"/>
      <c r="V231" s="3"/>
      <c r="W231" s="3"/>
      <c r="X231" s="3"/>
      <c r="Y231" s="3"/>
      <c r="Z231" s="3"/>
    </row>
    <row r="232" spans="1:26" ht="18" customHeight="1">
      <c r="A232" s="719">
        <v>3</v>
      </c>
      <c r="B232" s="727" t="s">
        <v>1649</v>
      </c>
      <c r="C232" s="720" t="s">
        <v>121</v>
      </c>
      <c r="D232" s="746">
        <v>134</v>
      </c>
      <c r="E232" s="750">
        <v>0.9</v>
      </c>
      <c r="F232" s="738">
        <f t="shared" si="109"/>
        <v>120.60000000000001</v>
      </c>
      <c r="G232" s="738">
        <f t="shared" si="110"/>
        <v>6.0300000000000011</v>
      </c>
      <c r="H232" s="738">
        <f t="shared" si="111"/>
        <v>126.63000000000001</v>
      </c>
      <c r="I232" s="718"/>
      <c r="J232" s="718"/>
      <c r="K232" s="718"/>
      <c r="L232" s="718"/>
      <c r="M232" s="3"/>
      <c r="N232" s="3"/>
      <c r="O232" s="3"/>
      <c r="P232" s="3"/>
      <c r="Q232" s="3"/>
      <c r="R232" s="3"/>
      <c r="S232" s="3"/>
      <c r="T232" s="3"/>
      <c r="U232" s="3"/>
      <c r="V232" s="3"/>
      <c r="W232" s="3"/>
      <c r="X232" s="3"/>
      <c r="Y232" s="3"/>
      <c r="Z232" s="3"/>
    </row>
    <row r="233" spans="1:26" ht="18" customHeight="1">
      <c r="A233" s="719">
        <v>4</v>
      </c>
      <c r="B233" s="727" t="s">
        <v>1650</v>
      </c>
      <c r="C233" s="720" t="s">
        <v>121</v>
      </c>
      <c r="D233" s="746">
        <v>20</v>
      </c>
      <c r="E233" s="750">
        <v>0.57999999999999996</v>
      </c>
      <c r="F233" s="738">
        <f t="shared" si="109"/>
        <v>11.6</v>
      </c>
      <c r="G233" s="738">
        <f t="shared" si="110"/>
        <v>0.57999999999999996</v>
      </c>
      <c r="H233" s="738">
        <f t="shared" si="111"/>
        <v>12.18</v>
      </c>
      <c r="I233" s="718"/>
      <c r="J233" s="718"/>
      <c r="K233" s="718"/>
      <c r="L233" s="718"/>
      <c r="M233" s="3"/>
      <c r="N233" s="3"/>
      <c r="O233" s="3"/>
      <c r="P233" s="3"/>
      <c r="Q233" s="3"/>
      <c r="R233" s="3"/>
      <c r="S233" s="3"/>
      <c r="T233" s="3"/>
      <c r="U233" s="3"/>
      <c r="V233" s="3"/>
      <c r="W233" s="3"/>
      <c r="X233" s="3"/>
      <c r="Y233" s="3"/>
      <c r="Z233" s="3"/>
    </row>
    <row r="234" spans="1:26" ht="18" customHeight="1">
      <c r="A234" s="719">
        <v>5</v>
      </c>
      <c r="B234" s="727" t="s">
        <v>1651</v>
      </c>
      <c r="C234" s="719" t="s">
        <v>1367</v>
      </c>
      <c r="D234" s="746">
        <v>212</v>
      </c>
      <c r="E234" s="750">
        <v>1.5</v>
      </c>
      <c r="F234" s="738">
        <f t="shared" si="109"/>
        <v>318</v>
      </c>
      <c r="G234" s="738">
        <f t="shared" si="110"/>
        <v>15.9</v>
      </c>
      <c r="H234" s="738">
        <f t="shared" si="111"/>
        <v>333.9</v>
      </c>
      <c r="I234" s="718"/>
      <c r="J234" s="718"/>
      <c r="K234" s="718"/>
      <c r="L234" s="718"/>
      <c r="M234" s="3"/>
      <c r="N234" s="3"/>
      <c r="O234" s="3"/>
      <c r="P234" s="3"/>
      <c r="Q234" s="3"/>
      <c r="R234" s="3"/>
      <c r="S234" s="3"/>
      <c r="T234" s="3"/>
      <c r="U234" s="3"/>
      <c r="V234" s="3"/>
      <c r="W234" s="3"/>
      <c r="X234" s="3"/>
      <c r="Y234" s="3"/>
      <c r="Z234" s="3"/>
    </row>
    <row r="235" spans="1:26" ht="18" customHeight="1">
      <c r="A235" s="719">
        <v>6</v>
      </c>
      <c r="B235" s="727" t="s">
        <v>1652</v>
      </c>
      <c r="C235" s="719" t="s">
        <v>1367</v>
      </c>
      <c r="D235" s="746">
        <v>178</v>
      </c>
      <c r="E235" s="750">
        <v>0.85</v>
      </c>
      <c r="F235" s="738">
        <f t="shared" si="109"/>
        <v>151.29999999999998</v>
      </c>
      <c r="G235" s="738">
        <f t="shared" si="110"/>
        <v>7.5649999999999995</v>
      </c>
      <c r="H235" s="738">
        <f t="shared" si="111"/>
        <v>158.86499999999998</v>
      </c>
      <c r="I235" s="718"/>
      <c r="J235" s="718"/>
      <c r="K235" s="718"/>
      <c r="L235" s="718"/>
      <c r="M235" s="3"/>
      <c r="N235" s="3"/>
      <c r="O235" s="3"/>
      <c r="P235" s="3"/>
      <c r="Q235" s="3"/>
      <c r="R235" s="3"/>
      <c r="S235" s="3"/>
      <c r="T235" s="3"/>
      <c r="U235" s="3"/>
      <c r="V235" s="3"/>
      <c r="W235" s="3"/>
      <c r="X235" s="3"/>
      <c r="Y235" s="3"/>
      <c r="Z235" s="3"/>
    </row>
    <row r="236" spans="1:26" ht="18" customHeight="1">
      <c r="A236" s="719">
        <v>7</v>
      </c>
      <c r="B236" s="727" t="s">
        <v>1653</v>
      </c>
      <c r="C236" s="719" t="s">
        <v>1367</v>
      </c>
      <c r="D236" s="746">
        <v>40</v>
      </c>
      <c r="E236" s="750">
        <v>1.35</v>
      </c>
      <c r="F236" s="738">
        <f t="shared" si="109"/>
        <v>54</v>
      </c>
      <c r="G236" s="738">
        <f t="shared" si="110"/>
        <v>2.7</v>
      </c>
      <c r="H236" s="738">
        <f t="shared" si="111"/>
        <v>56.7</v>
      </c>
      <c r="I236" s="718"/>
      <c r="J236" s="718"/>
      <c r="K236" s="718"/>
      <c r="L236" s="718"/>
      <c r="M236" s="3"/>
      <c r="N236" s="3"/>
      <c r="O236" s="3"/>
      <c r="P236" s="3"/>
      <c r="Q236" s="3"/>
      <c r="R236" s="3"/>
      <c r="S236" s="3"/>
      <c r="T236" s="3"/>
      <c r="U236" s="3"/>
      <c r="V236" s="3"/>
      <c r="W236" s="3"/>
      <c r="X236" s="3"/>
      <c r="Y236" s="3"/>
      <c r="Z236" s="3"/>
    </row>
    <row r="237" spans="1:26" ht="18" customHeight="1">
      <c r="A237" s="719">
        <v>8</v>
      </c>
      <c r="B237" s="727" t="s">
        <v>1654</v>
      </c>
      <c r="C237" s="719" t="s">
        <v>1367</v>
      </c>
      <c r="D237" s="746">
        <v>201</v>
      </c>
      <c r="E237" s="750">
        <v>1</v>
      </c>
      <c r="F237" s="738">
        <f t="shared" si="109"/>
        <v>201</v>
      </c>
      <c r="G237" s="738">
        <f t="shared" si="110"/>
        <v>10.050000000000001</v>
      </c>
      <c r="H237" s="738">
        <f t="shared" si="111"/>
        <v>211.05</v>
      </c>
      <c r="I237" s="718"/>
      <c r="J237" s="718"/>
      <c r="K237" s="718"/>
      <c r="L237" s="718"/>
      <c r="M237" s="3"/>
      <c r="N237" s="3"/>
      <c r="O237" s="3"/>
      <c r="P237" s="3"/>
      <c r="Q237" s="3"/>
      <c r="R237" s="3"/>
      <c r="S237" s="3"/>
      <c r="T237" s="3"/>
      <c r="U237" s="3"/>
      <c r="V237" s="3"/>
      <c r="W237" s="3"/>
      <c r="X237" s="3"/>
      <c r="Y237" s="3"/>
      <c r="Z237" s="3"/>
    </row>
    <row r="238" spans="1:26" ht="18" customHeight="1">
      <c r="A238" s="719">
        <v>9</v>
      </c>
      <c r="B238" s="727" t="s">
        <v>1655</v>
      </c>
      <c r="C238" s="719" t="s">
        <v>1367</v>
      </c>
      <c r="D238" s="746">
        <v>120</v>
      </c>
      <c r="E238" s="750">
        <v>0.57999999999999996</v>
      </c>
      <c r="F238" s="738">
        <f t="shared" si="109"/>
        <v>69.599999999999994</v>
      </c>
      <c r="G238" s="738">
        <f t="shared" si="110"/>
        <v>3.48</v>
      </c>
      <c r="H238" s="738">
        <f t="shared" si="111"/>
        <v>73.08</v>
      </c>
      <c r="I238" s="718"/>
      <c r="J238" s="718"/>
      <c r="K238" s="718"/>
      <c r="L238" s="718"/>
      <c r="M238" s="3"/>
      <c r="N238" s="3"/>
      <c r="O238" s="3"/>
      <c r="P238" s="3"/>
      <c r="Q238" s="3"/>
      <c r="R238" s="3"/>
      <c r="S238" s="3"/>
      <c r="T238" s="3"/>
      <c r="U238" s="3"/>
      <c r="V238" s="3"/>
      <c r="W238" s="3"/>
      <c r="X238" s="3"/>
      <c r="Y238" s="3"/>
      <c r="Z238" s="3"/>
    </row>
    <row r="239" spans="1:26" ht="18" customHeight="1">
      <c r="A239" s="719">
        <v>10</v>
      </c>
      <c r="B239" s="727" t="s">
        <v>1656</v>
      </c>
      <c r="C239" s="719" t="s">
        <v>1367</v>
      </c>
      <c r="D239" s="746">
        <v>101</v>
      </c>
      <c r="E239" s="750">
        <v>2</v>
      </c>
      <c r="F239" s="738">
        <f t="shared" si="109"/>
        <v>202</v>
      </c>
      <c r="G239" s="738">
        <f t="shared" si="110"/>
        <v>10.100000000000001</v>
      </c>
      <c r="H239" s="738">
        <f t="shared" si="111"/>
        <v>212.1</v>
      </c>
      <c r="I239" s="718"/>
      <c r="J239" s="718"/>
      <c r="K239" s="718"/>
      <c r="L239" s="718"/>
      <c r="M239" s="3"/>
      <c r="N239" s="3"/>
      <c r="O239" s="3"/>
      <c r="P239" s="3"/>
      <c r="Q239" s="3"/>
      <c r="R239" s="3"/>
      <c r="S239" s="3"/>
      <c r="T239" s="3"/>
      <c r="U239" s="3"/>
      <c r="V239" s="3"/>
      <c r="W239" s="3"/>
      <c r="X239" s="3"/>
      <c r="Y239" s="3"/>
      <c r="Z239" s="3"/>
    </row>
    <row r="240" spans="1:26" ht="18" customHeight="1">
      <c r="A240" s="719">
        <v>11</v>
      </c>
      <c r="B240" s="727" t="s">
        <v>1657</v>
      </c>
      <c r="C240" s="719" t="s">
        <v>1367</v>
      </c>
      <c r="D240" s="746">
        <v>3</v>
      </c>
      <c r="E240" s="750">
        <v>6</v>
      </c>
      <c r="F240" s="738">
        <f t="shared" si="109"/>
        <v>18</v>
      </c>
      <c r="G240" s="738">
        <f t="shared" si="110"/>
        <v>0.9</v>
      </c>
      <c r="H240" s="738">
        <f t="shared" si="111"/>
        <v>18.899999999999999</v>
      </c>
      <c r="I240" s="718"/>
      <c r="J240" s="718"/>
      <c r="K240" s="718"/>
      <c r="L240" s="718"/>
      <c r="M240" s="3"/>
      <c r="N240" s="3"/>
      <c r="O240" s="3"/>
      <c r="P240" s="3"/>
      <c r="Q240" s="3"/>
      <c r="R240" s="3"/>
      <c r="S240" s="3"/>
      <c r="T240" s="3"/>
      <c r="U240" s="3"/>
      <c r="V240" s="3"/>
      <c r="W240" s="3"/>
      <c r="X240" s="3"/>
      <c r="Y240" s="3"/>
      <c r="Z240" s="3"/>
    </row>
    <row r="241" spans="1:26" ht="18" customHeight="1">
      <c r="A241" s="719">
        <v>12</v>
      </c>
      <c r="B241" s="727" t="s">
        <v>1658</v>
      </c>
      <c r="C241" s="719" t="s">
        <v>1367</v>
      </c>
      <c r="D241" s="746">
        <v>3</v>
      </c>
      <c r="E241" s="750">
        <v>2.5</v>
      </c>
      <c r="F241" s="738">
        <f t="shared" si="109"/>
        <v>7.5</v>
      </c>
      <c r="G241" s="738">
        <f t="shared" si="110"/>
        <v>0.375</v>
      </c>
      <c r="H241" s="738">
        <f t="shared" si="111"/>
        <v>7.875</v>
      </c>
      <c r="I241" s="718"/>
      <c r="J241" s="718"/>
      <c r="K241" s="718"/>
      <c r="L241" s="718"/>
      <c r="M241" s="3"/>
      <c r="N241" s="3"/>
      <c r="O241" s="3"/>
      <c r="P241" s="3"/>
      <c r="Q241" s="3"/>
      <c r="R241" s="3"/>
      <c r="S241" s="3"/>
      <c r="T241" s="3"/>
      <c r="U241" s="3"/>
      <c r="V241" s="3"/>
      <c r="W241" s="3"/>
      <c r="X241" s="3"/>
      <c r="Y241" s="3"/>
      <c r="Z241" s="3"/>
    </row>
    <row r="242" spans="1:26" ht="18" customHeight="1">
      <c r="A242" s="719">
        <v>13</v>
      </c>
      <c r="B242" s="727" t="s">
        <v>1659</v>
      </c>
      <c r="C242" s="719" t="s">
        <v>1367</v>
      </c>
      <c r="D242" s="746">
        <v>35</v>
      </c>
      <c r="E242" s="750">
        <v>0.57999999999999996</v>
      </c>
      <c r="F242" s="738">
        <f t="shared" si="109"/>
        <v>20.299999999999997</v>
      </c>
      <c r="G242" s="738">
        <f t="shared" si="110"/>
        <v>1.0149999999999999</v>
      </c>
      <c r="H242" s="738">
        <f t="shared" si="111"/>
        <v>21.314999999999998</v>
      </c>
      <c r="I242" s="718"/>
      <c r="J242" s="718"/>
      <c r="K242" s="718"/>
      <c r="L242" s="718"/>
      <c r="M242" s="3"/>
      <c r="N242" s="3"/>
      <c r="O242" s="3"/>
      <c r="P242" s="3"/>
      <c r="Q242" s="3"/>
      <c r="R242" s="3"/>
      <c r="S242" s="3"/>
      <c r="T242" s="3"/>
      <c r="U242" s="3"/>
      <c r="V242" s="3"/>
      <c r="W242" s="3"/>
      <c r="X242" s="3"/>
      <c r="Y242" s="3"/>
      <c r="Z242" s="3"/>
    </row>
    <row r="243" spans="1:26" ht="18" customHeight="1">
      <c r="A243" s="719">
        <v>14</v>
      </c>
      <c r="B243" s="727" t="s">
        <v>1671</v>
      </c>
      <c r="C243" s="719" t="s">
        <v>1367</v>
      </c>
      <c r="D243" s="746">
        <v>71</v>
      </c>
      <c r="E243" s="750">
        <v>0.57999999999999996</v>
      </c>
      <c r="F243" s="738">
        <f t="shared" si="109"/>
        <v>41.18</v>
      </c>
      <c r="G243" s="738">
        <f t="shared" si="110"/>
        <v>2.0590000000000002</v>
      </c>
      <c r="H243" s="738">
        <f t="shared" si="111"/>
        <v>43.238999999999997</v>
      </c>
      <c r="I243" s="718"/>
      <c r="J243" s="718"/>
      <c r="K243" s="718"/>
      <c r="L243" s="718"/>
      <c r="M243" s="3"/>
      <c r="N243" s="3"/>
      <c r="O243" s="3"/>
      <c r="P243" s="3"/>
      <c r="Q243" s="3"/>
      <c r="R243" s="3"/>
      <c r="S243" s="3"/>
      <c r="T243" s="3"/>
      <c r="U243" s="3"/>
      <c r="V243" s="3"/>
      <c r="W243" s="3"/>
      <c r="X243" s="3"/>
      <c r="Y243" s="3"/>
      <c r="Z243" s="3"/>
    </row>
    <row r="244" spans="1:26" ht="18" customHeight="1">
      <c r="A244" s="719">
        <v>15</v>
      </c>
      <c r="B244" s="727" t="s">
        <v>1660</v>
      </c>
      <c r="C244" s="719" t="s">
        <v>1367</v>
      </c>
      <c r="D244" s="746">
        <v>2</v>
      </c>
      <c r="E244" s="750">
        <v>4.5</v>
      </c>
      <c r="F244" s="738">
        <f t="shared" si="109"/>
        <v>9</v>
      </c>
      <c r="G244" s="738">
        <f t="shared" si="110"/>
        <v>0.45</v>
      </c>
      <c r="H244" s="738">
        <f t="shared" si="111"/>
        <v>9.4499999999999993</v>
      </c>
      <c r="I244" s="718"/>
      <c r="J244" s="718"/>
      <c r="K244" s="718"/>
      <c r="L244" s="718"/>
      <c r="M244" s="3"/>
      <c r="N244" s="3"/>
      <c r="O244" s="3"/>
      <c r="P244" s="3"/>
      <c r="Q244" s="3"/>
      <c r="R244" s="3"/>
      <c r="S244" s="3"/>
      <c r="T244" s="3"/>
      <c r="U244" s="3"/>
      <c r="V244" s="3"/>
      <c r="W244" s="3"/>
      <c r="X244" s="3"/>
      <c r="Y244" s="3"/>
      <c r="Z244" s="3"/>
    </row>
    <row r="245" spans="1:26" ht="18" customHeight="1">
      <c r="A245" s="719">
        <v>16</v>
      </c>
      <c r="B245" s="727" t="s">
        <v>1661</v>
      </c>
      <c r="C245" s="719" t="s">
        <v>1367</v>
      </c>
      <c r="D245" s="746">
        <v>1</v>
      </c>
      <c r="E245" s="750">
        <v>3.8</v>
      </c>
      <c r="F245" s="738">
        <f t="shared" si="109"/>
        <v>3.8</v>
      </c>
      <c r="G245" s="738">
        <f t="shared" si="110"/>
        <v>0.19</v>
      </c>
      <c r="H245" s="738">
        <f t="shared" si="111"/>
        <v>3.9899999999999998</v>
      </c>
      <c r="I245" s="718"/>
      <c r="J245" s="718"/>
      <c r="K245" s="718"/>
      <c r="L245" s="718"/>
      <c r="M245" s="3"/>
      <c r="N245" s="3"/>
      <c r="O245" s="3"/>
      <c r="P245" s="3"/>
      <c r="Q245" s="3"/>
      <c r="R245" s="3"/>
      <c r="S245" s="3"/>
      <c r="T245" s="3"/>
      <c r="U245" s="3"/>
      <c r="V245" s="3"/>
      <c r="W245" s="3"/>
      <c r="X245" s="3"/>
      <c r="Y245" s="3"/>
      <c r="Z245" s="3"/>
    </row>
    <row r="246" spans="1:26" ht="14.25" customHeight="1">
      <c r="A246" s="719"/>
      <c r="B246" s="727"/>
      <c r="C246" s="719"/>
      <c r="D246" s="746"/>
      <c r="E246" s="739"/>
      <c r="F246" s="738"/>
      <c r="G246" s="738"/>
      <c r="H246" s="738"/>
      <c r="I246" s="718"/>
      <c r="J246" s="718"/>
      <c r="K246" s="718"/>
      <c r="L246" s="718"/>
      <c r="M246" s="3"/>
      <c r="N246" s="3"/>
      <c r="O246" s="3"/>
      <c r="P246" s="3"/>
      <c r="Q246" s="3"/>
      <c r="R246" s="3"/>
      <c r="S246" s="3"/>
      <c r="T246" s="3"/>
      <c r="U246" s="3"/>
      <c r="V246" s="3"/>
      <c r="W246" s="3"/>
      <c r="X246" s="3"/>
      <c r="Y246" s="3"/>
      <c r="Z246" s="3"/>
    </row>
    <row r="247" spans="1:26" ht="14.25" customHeight="1">
      <c r="A247" s="723" t="s">
        <v>85</v>
      </c>
      <c r="B247" s="715" t="s">
        <v>1387</v>
      </c>
      <c r="C247" s="716"/>
      <c r="D247" s="737"/>
      <c r="E247" s="737"/>
      <c r="F247" s="738"/>
      <c r="G247" s="738"/>
      <c r="H247" s="738"/>
      <c r="I247" s="718"/>
      <c r="J247" s="718"/>
      <c r="K247" s="718"/>
      <c r="L247" s="718"/>
      <c r="M247" s="3"/>
      <c r="N247" s="3"/>
      <c r="O247" s="3"/>
      <c r="P247" s="3"/>
      <c r="Q247" s="3"/>
      <c r="R247" s="3"/>
      <c r="S247" s="3"/>
      <c r="T247" s="3"/>
      <c r="U247" s="3"/>
      <c r="V247" s="3"/>
      <c r="W247" s="3"/>
      <c r="X247" s="3"/>
      <c r="Y247" s="3"/>
      <c r="Z247" s="3"/>
    </row>
    <row r="248" spans="1:26" ht="14.25" customHeight="1">
      <c r="A248" s="719">
        <v>1</v>
      </c>
      <c r="B248" s="716" t="s">
        <v>1388</v>
      </c>
      <c r="C248" s="719" t="s">
        <v>1276</v>
      </c>
      <c r="D248" s="743">
        <v>1</v>
      </c>
      <c r="E248" s="737">
        <v>864</v>
      </c>
      <c r="F248" s="738">
        <f t="shared" ref="F248:F252" si="112">(D248*E248)</f>
        <v>864</v>
      </c>
      <c r="G248" s="738">
        <f t="shared" ref="G248:G252" si="113">(F248*5%)</f>
        <v>43.2</v>
      </c>
      <c r="H248" s="738">
        <f t="shared" ref="H248:H252" si="114">SUM(F248+G248)</f>
        <v>907.2</v>
      </c>
      <c r="I248" s="718"/>
      <c r="J248" s="718"/>
      <c r="K248" s="718"/>
      <c r="L248" s="718"/>
      <c r="M248" s="3"/>
      <c r="N248" s="3"/>
      <c r="O248" s="3"/>
      <c r="P248" s="3"/>
      <c r="Q248" s="3"/>
      <c r="R248" s="3"/>
      <c r="S248" s="3"/>
      <c r="T248" s="3"/>
      <c r="U248" s="3"/>
      <c r="V248" s="3"/>
      <c r="W248" s="3"/>
      <c r="X248" s="3"/>
      <c r="Y248" s="3"/>
      <c r="Z248" s="3"/>
    </row>
    <row r="249" spans="1:26" ht="14.25" customHeight="1">
      <c r="A249" s="719">
        <v>2</v>
      </c>
      <c r="B249" s="716" t="s">
        <v>1389</v>
      </c>
      <c r="C249" s="719" t="s">
        <v>121</v>
      </c>
      <c r="D249" s="743">
        <v>35</v>
      </c>
      <c r="E249" s="737">
        <v>34</v>
      </c>
      <c r="F249" s="738">
        <f t="shared" si="112"/>
        <v>1190</v>
      </c>
      <c r="G249" s="738">
        <f t="shared" si="113"/>
        <v>59.5</v>
      </c>
      <c r="H249" s="738">
        <f t="shared" si="114"/>
        <v>1249.5</v>
      </c>
      <c r="I249" s="718"/>
      <c r="J249" s="718"/>
      <c r="K249" s="718"/>
      <c r="L249" s="718"/>
      <c r="M249" s="3"/>
      <c r="N249" s="3"/>
      <c r="O249" s="3"/>
      <c r="P249" s="3"/>
      <c r="Q249" s="3"/>
      <c r="R249" s="3"/>
      <c r="S249" s="3"/>
      <c r="T249" s="3"/>
      <c r="U249" s="3"/>
      <c r="V249" s="3"/>
      <c r="W249" s="3"/>
      <c r="X249" s="3"/>
      <c r="Y249" s="3"/>
      <c r="Z249" s="3"/>
    </row>
    <row r="250" spans="1:26" ht="14.25" customHeight="1">
      <c r="A250" s="719">
        <v>3</v>
      </c>
      <c r="B250" s="716" t="s">
        <v>1390</v>
      </c>
      <c r="C250" s="719" t="s">
        <v>121</v>
      </c>
      <c r="D250" s="743">
        <v>35</v>
      </c>
      <c r="E250" s="737">
        <v>2</v>
      </c>
      <c r="F250" s="738">
        <f t="shared" si="112"/>
        <v>70</v>
      </c>
      <c r="G250" s="738">
        <f t="shared" si="113"/>
        <v>3.5</v>
      </c>
      <c r="H250" s="738">
        <f t="shared" si="114"/>
        <v>73.5</v>
      </c>
      <c r="I250" s="718"/>
      <c r="J250" s="718"/>
      <c r="K250" s="718"/>
      <c r="L250" s="718"/>
      <c r="M250" s="3"/>
      <c r="N250" s="3"/>
      <c r="O250" s="3"/>
      <c r="P250" s="3"/>
      <c r="Q250" s="3"/>
      <c r="R250" s="3"/>
      <c r="S250" s="3"/>
      <c r="T250" s="3"/>
      <c r="U250" s="3"/>
      <c r="V250" s="3"/>
      <c r="W250" s="3"/>
      <c r="X250" s="3"/>
      <c r="Y250" s="3"/>
      <c r="Z250" s="3"/>
    </row>
    <row r="251" spans="1:26" ht="14.25" customHeight="1">
      <c r="A251" s="719">
        <v>4</v>
      </c>
      <c r="B251" s="716" t="s">
        <v>1391</v>
      </c>
      <c r="C251" s="719" t="s">
        <v>121</v>
      </c>
      <c r="D251" s="743">
        <v>1</v>
      </c>
      <c r="E251" s="737">
        <v>120</v>
      </c>
      <c r="F251" s="738">
        <f t="shared" si="112"/>
        <v>120</v>
      </c>
      <c r="G251" s="738">
        <f t="shared" si="113"/>
        <v>6</v>
      </c>
      <c r="H251" s="738">
        <f t="shared" si="114"/>
        <v>126</v>
      </c>
      <c r="I251" s="718"/>
      <c r="J251" s="718"/>
      <c r="K251" s="718"/>
      <c r="L251" s="718"/>
      <c r="M251" s="3"/>
      <c r="N251" s="3"/>
      <c r="O251" s="3"/>
      <c r="P251" s="3"/>
      <c r="Q251" s="3"/>
      <c r="R251" s="3"/>
      <c r="S251" s="3"/>
      <c r="T251" s="3"/>
      <c r="U251" s="3"/>
      <c r="V251" s="3"/>
      <c r="W251" s="3"/>
      <c r="X251" s="3"/>
      <c r="Y251" s="3"/>
      <c r="Z251" s="3"/>
    </row>
    <row r="252" spans="1:26" ht="14.25" customHeight="1">
      <c r="A252" s="719">
        <v>5</v>
      </c>
      <c r="B252" s="716" t="s">
        <v>1392</v>
      </c>
      <c r="C252" s="719" t="s">
        <v>121</v>
      </c>
      <c r="D252" s="743">
        <v>6</v>
      </c>
      <c r="E252" s="737">
        <v>20</v>
      </c>
      <c r="F252" s="738">
        <f t="shared" si="112"/>
        <v>120</v>
      </c>
      <c r="G252" s="738">
        <f t="shared" si="113"/>
        <v>6</v>
      </c>
      <c r="H252" s="738">
        <f t="shared" si="114"/>
        <v>126</v>
      </c>
      <c r="I252" s="718"/>
      <c r="J252" s="718"/>
      <c r="K252" s="718"/>
      <c r="L252" s="718"/>
      <c r="M252" s="3"/>
      <c r="N252" s="3"/>
      <c r="O252" s="3"/>
      <c r="P252" s="3"/>
      <c r="Q252" s="3"/>
      <c r="R252" s="3"/>
      <c r="S252" s="3"/>
      <c r="T252" s="3"/>
      <c r="U252" s="3"/>
      <c r="V252" s="3"/>
      <c r="W252" s="3"/>
      <c r="X252" s="3"/>
      <c r="Y252" s="3"/>
      <c r="Z252" s="3"/>
    </row>
    <row r="253" spans="1:26" ht="14.25" customHeight="1">
      <c r="A253" s="719">
        <v>6</v>
      </c>
      <c r="B253" s="716" t="s">
        <v>1393</v>
      </c>
      <c r="C253" s="719" t="s">
        <v>121</v>
      </c>
      <c r="D253" s="743">
        <v>6</v>
      </c>
      <c r="E253" s="737">
        <v>21</v>
      </c>
      <c r="F253" s="738">
        <f t="shared" ref="F253:F258" si="115">(D253*E253)</f>
        <v>126</v>
      </c>
      <c r="G253" s="738">
        <f t="shared" ref="G253:G258" si="116">(F253*5%)</f>
        <v>6.3000000000000007</v>
      </c>
      <c r="H253" s="738">
        <f t="shared" ref="H253:H258" si="117">SUM(F253+G253)</f>
        <v>132.30000000000001</v>
      </c>
      <c r="I253" s="718"/>
      <c r="J253" s="718"/>
      <c r="K253" s="718"/>
      <c r="L253" s="718"/>
      <c r="M253" s="3"/>
      <c r="N253" s="3"/>
      <c r="O253" s="3"/>
      <c r="P253" s="3"/>
      <c r="Q253" s="3"/>
      <c r="R253" s="3"/>
      <c r="S253" s="3"/>
      <c r="T253" s="3"/>
      <c r="U253" s="3"/>
      <c r="V253" s="3"/>
      <c r="W253" s="3"/>
      <c r="X253" s="3"/>
      <c r="Y253" s="3"/>
      <c r="Z253" s="3"/>
    </row>
    <row r="254" spans="1:26" ht="14.25" customHeight="1">
      <c r="A254" s="719">
        <v>7</v>
      </c>
      <c r="B254" s="716" t="s">
        <v>1394</v>
      </c>
      <c r="C254" s="719" t="s">
        <v>121</v>
      </c>
      <c r="D254" s="743">
        <v>1</v>
      </c>
      <c r="E254" s="737">
        <v>58</v>
      </c>
      <c r="F254" s="738">
        <f t="shared" si="115"/>
        <v>58</v>
      </c>
      <c r="G254" s="738">
        <f t="shared" si="116"/>
        <v>2.9000000000000004</v>
      </c>
      <c r="H254" s="738">
        <f t="shared" si="117"/>
        <v>60.9</v>
      </c>
      <c r="I254" s="718"/>
      <c r="J254" s="718"/>
      <c r="K254" s="718"/>
      <c r="L254" s="718"/>
      <c r="M254" s="3"/>
      <c r="N254" s="3"/>
      <c r="O254" s="3"/>
      <c r="P254" s="3"/>
      <c r="Q254" s="3"/>
      <c r="R254" s="3"/>
      <c r="S254" s="3"/>
      <c r="T254" s="3"/>
      <c r="U254" s="3"/>
      <c r="V254" s="3"/>
      <c r="W254" s="3"/>
      <c r="X254" s="3"/>
      <c r="Y254" s="3"/>
      <c r="Z254" s="3"/>
    </row>
    <row r="255" spans="1:26" ht="14.25" customHeight="1">
      <c r="A255" s="719">
        <v>8</v>
      </c>
      <c r="B255" s="716" t="s">
        <v>1395</v>
      </c>
      <c r="C255" s="719" t="s">
        <v>121</v>
      </c>
      <c r="D255" s="743">
        <v>1</v>
      </c>
      <c r="E255" s="737">
        <v>120</v>
      </c>
      <c r="F255" s="738">
        <f t="shared" si="115"/>
        <v>120</v>
      </c>
      <c r="G255" s="738">
        <f t="shared" si="116"/>
        <v>6</v>
      </c>
      <c r="H255" s="738">
        <f t="shared" si="117"/>
        <v>126</v>
      </c>
      <c r="I255" s="718"/>
      <c r="J255" s="718"/>
      <c r="K255" s="718"/>
      <c r="L255" s="718"/>
      <c r="M255" s="3"/>
      <c r="N255" s="3"/>
      <c r="O255" s="3"/>
      <c r="P255" s="3"/>
      <c r="Q255" s="3"/>
      <c r="R255" s="3"/>
      <c r="S255" s="3"/>
      <c r="T255" s="3"/>
      <c r="U255" s="3"/>
      <c r="V255" s="3"/>
      <c r="W255" s="3"/>
      <c r="X255" s="3"/>
      <c r="Y255" s="3"/>
      <c r="Z255" s="3"/>
    </row>
    <row r="256" spans="1:26" ht="14.25" customHeight="1">
      <c r="A256" s="719">
        <v>9</v>
      </c>
      <c r="B256" s="716" t="s">
        <v>1396</v>
      </c>
      <c r="C256" s="719" t="s">
        <v>1293</v>
      </c>
      <c r="D256" s="743">
        <v>10</v>
      </c>
      <c r="E256" s="737">
        <v>14</v>
      </c>
      <c r="F256" s="738">
        <f t="shared" si="115"/>
        <v>140</v>
      </c>
      <c r="G256" s="738">
        <f t="shared" si="116"/>
        <v>7</v>
      </c>
      <c r="H256" s="738">
        <f t="shared" si="117"/>
        <v>147</v>
      </c>
      <c r="I256" s="718"/>
      <c r="J256" s="718"/>
      <c r="K256" s="718"/>
      <c r="L256" s="718"/>
      <c r="M256" s="3"/>
      <c r="N256" s="3"/>
      <c r="O256" s="3"/>
      <c r="P256" s="3"/>
      <c r="Q256" s="3"/>
      <c r="R256" s="3"/>
      <c r="S256" s="3"/>
      <c r="T256" s="3"/>
      <c r="U256" s="3"/>
      <c r="V256" s="3"/>
      <c r="W256" s="3"/>
      <c r="X256" s="3"/>
      <c r="Y256" s="3"/>
      <c r="Z256" s="3"/>
    </row>
    <row r="257" spans="1:26" ht="14.25" customHeight="1">
      <c r="A257" s="719">
        <v>10</v>
      </c>
      <c r="B257" s="716" t="s">
        <v>1397</v>
      </c>
      <c r="C257" s="719" t="s">
        <v>1293</v>
      </c>
      <c r="D257" s="743">
        <v>12</v>
      </c>
      <c r="E257" s="737">
        <v>12.5</v>
      </c>
      <c r="F257" s="738">
        <f t="shared" si="115"/>
        <v>150</v>
      </c>
      <c r="G257" s="738">
        <f t="shared" si="116"/>
        <v>7.5</v>
      </c>
      <c r="H257" s="738">
        <f t="shared" si="117"/>
        <v>157.5</v>
      </c>
      <c r="I257" s="718"/>
      <c r="J257" s="718"/>
      <c r="K257" s="718"/>
      <c r="L257" s="718"/>
      <c r="M257" s="3"/>
      <c r="N257" s="3"/>
      <c r="O257" s="3"/>
      <c r="P257" s="3"/>
      <c r="Q257" s="3"/>
      <c r="R257" s="3"/>
      <c r="S257" s="3"/>
      <c r="T257" s="3"/>
      <c r="U257" s="3"/>
      <c r="V257" s="3"/>
      <c r="W257" s="3"/>
      <c r="X257" s="3"/>
      <c r="Y257" s="3"/>
      <c r="Z257" s="3"/>
    </row>
    <row r="258" spans="1:26" ht="14.25" customHeight="1">
      <c r="A258" s="719">
        <v>11</v>
      </c>
      <c r="B258" s="716" t="s">
        <v>1398</v>
      </c>
      <c r="C258" s="719" t="s">
        <v>121</v>
      </c>
      <c r="D258" s="743">
        <v>71</v>
      </c>
      <c r="E258" s="737">
        <v>1.2</v>
      </c>
      <c r="F258" s="738">
        <f t="shared" si="115"/>
        <v>85.2</v>
      </c>
      <c r="G258" s="738">
        <f t="shared" si="116"/>
        <v>4.2600000000000007</v>
      </c>
      <c r="H258" s="738">
        <f t="shared" si="117"/>
        <v>89.460000000000008</v>
      </c>
      <c r="I258" s="718"/>
      <c r="J258" s="718"/>
      <c r="K258" s="718"/>
      <c r="L258" s="718"/>
      <c r="M258" s="3"/>
      <c r="N258" s="3"/>
      <c r="O258" s="3"/>
      <c r="P258" s="3"/>
      <c r="Q258" s="3"/>
      <c r="R258" s="3"/>
      <c r="S258" s="3"/>
      <c r="T258" s="3"/>
      <c r="U258" s="3"/>
      <c r="V258" s="3"/>
      <c r="W258" s="3"/>
      <c r="X258" s="3"/>
      <c r="Y258" s="3"/>
      <c r="Z258" s="3"/>
    </row>
    <row r="259" spans="1:26" ht="14.25" customHeight="1">
      <c r="A259" s="719">
        <v>12</v>
      </c>
      <c r="B259" s="716" t="s">
        <v>1670</v>
      </c>
      <c r="C259" s="719" t="s">
        <v>121</v>
      </c>
      <c r="D259" s="743">
        <v>71</v>
      </c>
      <c r="E259" s="737">
        <v>2.2000000000000002</v>
      </c>
      <c r="F259" s="738">
        <f t="shared" ref="F259" si="118">(D259*E259)</f>
        <v>156.20000000000002</v>
      </c>
      <c r="G259" s="738">
        <f t="shared" ref="G259" si="119">(F259*5%)</f>
        <v>7.8100000000000014</v>
      </c>
      <c r="H259" s="738">
        <f t="shared" ref="H259" si="120">SUM(F259+G259)</f>
        <v>164.01000000000002</v>
      </c>
      <c r="I259" s="718"/>
      <c r="J259" s="718"/>
      <c r="K259" s="718"/>
      <c r="L259" s="718"/>
      <c r="M259" s="3"/>
      <c r="N259" s="3"/>
      <c r="O259" s="3"/>
      <c r="P259" s="3"/>
      <c r="Q259" s="3"/>
      <c r="R259" s="3"/>
      <c r="S259" s="3"/>
      <c r="T259" s="3"/>
      <c r="U259" s="3"/>
      <c r="V259" s="3"/>
      <c r="W259" s="3"/>
      <c r="X259" s="3"/>
      <c r="Y259" s="3"/>
      <c r="Z259" s="3"/>
    </row>
    <row r="260" spans="1:26" s="756" customFormat="1" ht="14.25" customHeight="1">
      <c r="A260" s="719"/>
      <c r="B260" s="716"/>
      <c r="C260" s="719"/>
      <c r="D260" s="743"/>
      <c r="E260" s="737"/>
      <c r="F260" s="738"/>
      <c r="G260" s="738"/>
      <c r="H260" s="738"/>
      <c r="I260" s="718"/>
      <c r="J260" s="718"/>
      <c r="K260" s="718"/>
      <c r="L260" s="718"/>
      <c r="M260" s="3"/>
      <c r="N260" s="3"/>
      <c r="O260" s="3"/>
      <c r="P260" s="3"/>
      <c r="Q260" s="3"/>
      <c r="R260" s="3"/>
      <c r="S260" s="3"/>
      <c r="T260" s="3"/>
      <c r="U260" s="3"/>
      <c r="V260" s="3"/>
      <c r="W260" s="3"/>
      <c r="X260" s="3"/>
      <c r="Y260" s="3"/>
      <c r="Z260" s="3"/>
    </row>
    <row r="261" spans="1:26" ht="14.25" customHeight="1">
      <c r="A261" s="716"/>
      <c r="B261" s="730" t="s">
        <v>1438</v>
      </c>
      <c r="C261" s="716"/>
      <c r="D261" s="737"/>
      <c r="E261" s="737"/>
      <c r="F261" s="738"/>
      <c r="G261" s="738"/>
      <c r="H261" s="738"/>
      <c r="I261" s="718"/>
      <c r="J261" s="718"/>
      <c r="K261" s="718"/>
      <c r="L261" s="718"/>
      <c r="M261" s="3"/>
      <c r="N261" s="3"/>
      <c r="O261" s="3"/>
      <c r="P261" s="3"/>
      <c r="Q261" s="3"/>
      <c r="R261" s="3"/>
      <c r="S261" s="3"/>
      <c r="T261" s="3"/>
      <c r="U261" s="3"/>
      <c r="V261" s="3"/>
      <c r="W261" s="3"/>
      <c r="X261" s="3"/>
      <c r="Y261" s="3"/>
      <c r="Z261" s="3"/>
    </row>
    <row r="262" spans="1:26" ht="14.25" customHeight="1">
      <c r="A262" s="716"/>
      <c r="B262" s="716"/>
      <c r="C262" s="719"/>
      <c r="D262" s="737"/>
      <c r="E262" s="737"/>
      <c r="F262" s="738"/>
      <c r="G262" s="738"/>
      <c r="H262" s="738"/>
      <c r="I262" s="718"/>
      <c r="J262" s="718"/>
      <c r="K262" s="718"/>
      <c r="L262" s="718"/>
      <c r="M262" s="3"/>
      <c r="N262" s="3"/>
      <c r="O262" s="3"/>
      <c r="P262" s="3"/>
      <c r="Q262" s="3"/>
      <c r="R262" s="3"/>
      <c r="S262" s="3"/>
      <c r="T262" s="3"/>
      <c r="U262" s="3"/>
      <c r="V262" s="3"/>
      <c r="W262" s="3"/>
      <c r="X262" s="3"/>
      <c r="Y262" s="3"/>
      <c r="Z262" s="3"/>
    </row>
    <row r="263" spans="1:26" ht="14.25" customHeight="1">
      <c r="A263" s="723" t="s">
        <v>87</v>
      </c>
      <c r="B263" s="715" t="s">
        <v>1439</v>
      </c>
      <c r="C263" s="716"/>
      <c r="D263" s="737"/>
      <c r="E263" s="737"/>
      <c r="F263" s="738"/>
      <c r="G263" s="738"/>
      <c r="H263" s="738"/>
      <c r="I263" s="718"/>
      <c r="J263" s="718"/>
      <c r="K263" s="718"/>
      <c r="L263" s="718"/>
      <c r="M263" s="3"/>
      <c r="N263" s="3"/>
      <c r="O263" s="3"/>
      <c r="P263" s="3"/>
      <c r="Q263" s="3"/>
      <c r="R263" s="3"/>
      <c r="S263" s="3"/>
      <c r="T263" s="3"/>
      <c r="U263" s="3"/>
      <c r="V263" s="3"/>
      <c r="W263" s="3"/>
      <c r="X263" s="3"/>
      <c r="Y263" s="3"/>
      <c r="Z263" s="3"/>
    </row>
    <row r="264" spans="1:26" ht="14.25" customHeight="1">
      <c r="A264" s="719">
        <v>1</v>
      </c>
      <c r="B264" s="716" t="s">
        <v>1440</v>
      </c>
      <c r="C264" s="719" t="s">
        <v>121</v>
      </c>
      <c r="D264" s="737">
        <v>330</v>
      </c>
      <c r="E264" s="737">
        <v>1.1499999999999999</v>
      </c>
      <c r="F264" s="738">
        <f t="shared" ref="F264:F279" si="121">(D264*E264)</f>
        <v>379.49999999999994</v>
      </c>
      <c r="G264" s="738">
        <f t="shared" ref="G264:G322" si="122">(F264*5%)</f>
        <v>18.974999999999998</v>
      </c>
      <c r="H264" s="738">
        <f t="shared" ref="H264:H322" si="123">SUM(F264+G264)</f>
        <v>398.47499999999997</v>
      </c>
      <c r="I264" s="718"/>
      <c r="J264" s="718"/>
      <c r="K264" s="718"/>
      <c r="L264" s="718"/>
      <c r="M264" s="3"/>
      <c r="N264" s="3"/>
      <c r="O264" s="3"/>
      <c r="P264" s="3"/>
      <c r="Q264" s="3"/>
      <c r="R264" s="3"/>
      <c r="S264" s="3"/>
      <c r="T264" s="3"/>
      <c r="U264" s="3"/>
      <c r="V264" s="3"/>
      <c r="W264" s="3"/>
      <c r="X264" s="3"/>
      <c r="Y264" s="3"/>
      <c r="Z264" s="3"/>
    </row>
    <row r="265" spans="1:26" ht="14.25" customHeight="1">
      <c r="A265" s="719">
        <v>2</v>
      </c>
      <c r="B265" s="716" t="s">
        <v>1441</v>
      </c>
      <c r="C265" s="719" t="s">
        <v>121</v>
      </c>
      <c r="D265" s="737">
        <v>60</v>
      </c>
      <c r="E265" s="737">
        <v>0.95</v>
      </c>
      <c r="F265" s="738">
        <f t="shared" si="121"/>
        <v>57</v>
      </c>
      <c r="G265" s="738">
        <f t="shared" si="122"/>
        <v>2.85</v>
      </c>
      <c r="H265" s="738">
        <f t="shared" si="123"/>
        <v>59.85</v>
      </c>
      <c r="I265" s="718"/>
      <c r="J265" s="718"/>
      <c r="K265" s="718"/>
      <c r="L265" s="718"/>
      <c r="M265" s="3"/>
      <c r="N265" s="3"/>
      <c r="O265" s="3"/>
      <c r="P265" s="3"/>
      <c r="Q265" s="3"/>
      <c r="R265" s="3"/>
      <c r="S265" s="3"/>
      <c r="T265" s="3"/>
      <c r="U265" s="3"/>
      <c r="V265" s="3"/>
      <c r="W265" s="3"/>
      <c r="X265" s="3"/>
      <c r="Y265" s="3"/>
      <c r="Z265" s="3"/>
    </row>
    <row r="266" spans="1:26" ht="14.25" customHeight="1">
      <c r="A266" s="719">
        <v>3</v>
      </c>
      <c r="B266" s="716" t="s">
        <v>1442</v>
      </c>
      <c r="C266" s="719" t="s">
        <v>121</v>
      </c>
      <c r="D266" s="737">
        <v>257</v>
      </c>
      <c r="E266" s="737">
        <v>0.09</v>
      </c>
      <c r="F266" s="738">
        <f t="shared" si="121"/>
        <v>23.13</v>
      </c>
      <c r="G266" s="738">
        <f t="shared" si="122"/>
        <v>1.1565000000000001</v>
      </c>
      <c r="H266" s="738">
        <f t="shared" si="123"/>
        <v>24.2865</v>
      </c>
      <c r="I266" s="718"/>
      <c r="J266" s="718"/>
      <c r="K266" s="718"/>
      <c r="L266" s="718"/>
      <c r="M266" s="3"/>
      <c r="N266" s="3"/>
      <c r="O266" s="3"/>
      <c r="P266" s="3"/>
      <c r="Q266" s="3"/>
      <c r="R266" s="3"/>
      <c r="S266" s="3"/>
      <c r="T266" s="3"/>
      <c r="U266" s="3"/>
      <c r="V266" s="3"/>
      <c r="W266" s="3"/>
      <c r="X266" s="3"/>
      <c r="Y266" s="3"/>
      <c r="Z266" s="3"/>
    </row>
    <row r="267" spans="1:26" ht="14.25" customHeight="1">
      <c r="A267" s="719">
        <v>4</v>
      </c>
      <c r="B267" s="716" t="s">
        <v>1443</v>
      </c>
      <c r="C267" s="719" t="s">
        <v>121</v>
      </c>
      <c r="D267" s="737">
        <v>70</v>
      </c>
      <c r="E267" s="737">
        <v>0.09</v>
      </c>
      <c r="F267" s="738">
        <f t="shared" si="121"/>
        <v>6.3</v>
      </c>
      <c r="G267" s="738">
        <f t="shared" si="122"/>
        <v>0.315</v>
      </c>
      <c r="H267" s="738">
        <f t="shared" si="123"/>
        <v>6.6150000000000002</v>
      </c>
      <c r="I267" s="718"/>
      <c r="J267" s="718"/>
      <c r="K267" s="718"/>
      <c r="L267" s="718"/>
      <c r="M267" s="3"/>
      <c r="N267" s="3"/>
      <c r="O267" s="3"/>
      <c r="P267" s="3"/>
      <c r="Q267" s="3"/>
      <c r="R267" s="3"/>
      <c r="S267" s="3"/>
      <c r="T267" s="3"/>
      <c r="U267" s="3"/>
      <c r="V267" s="3"/>
      <c r="W267" s="3"/>
      <c r="X267" s="3"/>
      <c r="Y267" s="3"/>
      <c r="Z267" s="3"/>
    </row>
    <row r="268" spans="1:26" ht="14.25" customHeight="1">
      <c r="A268" s="719">
        <v>5</v>
      </c>
      <c r="B268" s="716" t="s">
        <v>1444</v>
      </c>
      <c r="C268" s="719" t="s">
        <v>121</v>
      </c>
      <c r="D268" s="737">
        <v>198</v>
      </c>
      <c r="E268" s="737">
        <v>0.85</v>
      </c>
      <c r="F268" s="738">
        <f t="shared" si="121"/>
        <v>168.29999999999998</v>
      </c>
      <c r="G268" s="738">
        <f t="shared" si="122"/>
        <v>8.4149999999999991</v>
      </c>
      <c r="H268" s="738">
        <f t="shared" si="123"/>
        <v>176.71499999999997</v>
      </c>
      <c r="I268" s="718"/>
      <c r="J268" s="718"/>
      <c r="K268" s="718"/>
      <c r="L268" s="718"/>
      <c r="M268" s="3"/>
      <c r="N268" s="3"/>
      <c r="O268" s="3"/>
      <c r="P268" s="3"/>
      <c r="Q268" s="3"/>
      <c r="R268" s="3"/>
      <c r="S268" s="3"/>
      <c r="T268" s="3"/>
      <c r="U268" s="3"/>
      <c r="V268" s="3"/>
      <c r="W268" s="3"/>
      <c r="X268" s="3"/>
      <c r="Y268" s="3"/>
      <c r="Z268" s="3"/>
    </row>
    <row r="269" spans="1:26" ht="14.25" customHeight="1">
      <c r="A269" s="719">
        <v>6</v>
      </c>
      <c r="B269" s="716" t="s">
        <v>1445</v>
      </c>
      <c r="C269" s="719" t="s">
        <v>121</v>
      </c>
      <c r="D269" s="737">
        <v>80</v>
      </c>
      <c r="E269" s="737">
        <v>2.1</v>
      </c>
      <c r="F269" s="738">
        <f t="shared" si="121"/>
        <v>168</v>
      </c>
      <c r="G269" s="738">
        <f t="shared" si="122"/>
        <v>8.4</v>
      </c>
      <c r="H269" s="738">
        <f t="shared" si="123"/>
        <v>176.4</v>
      </c>
      <c r="I269" s="718"/>
      <c r="J269" s="718"/>
      <c r="K269" s="718"/>
      <c r="L269" s="718"/>
      <c r="M269" s="3"/>
      <c r="N269" s="3"/>
      <c r="O269" s="3"/>
      <c r="P269" s="3"/>
      <c r="Q269" s="3"/>
      <c r="R269" s="3"/>
      <c r="S269" s="3"/>
      <c r="T269" s="3"/>
      <c r="U269" s="3"/>
      <c r="V269" s="3"/>
      <c r="W269" s="3"/>
      <c r="X269" s="3"/>
      <c r="Y269" s="3"/>
      <c r="Z269" s="3"/>
    </row>
    <row r="270" spans="1:26" ht="14.25" customHeight="1">
      <c r="A270" s="719">
        <v>7</v>
      </c>
      <c r="B270" s="716" t="s">
        <v>1446</v>
      </c>
      <c r="C270" s="719" t="s">
        <v>121</v>
      </c>
      <c r="D270" s="737">
        <v>8</v>
      </c>
      <c r="E270" s="737">
        <v>5.8</v>
      </c>
      <c r="F270" s="738">
        <f t="shared" si="121"/>
        <v>46.4</v>
      </c>
      <c r="G270" s="738">
        <f t="shared" si="122"/>
        <v>2.3199999999999998</v>
      </c>
      <c r="H270" s="738">
        <f t="shared" si="123"/>
        <v>48.72</v>
      </c>
      <c r="I270" s="718"/>
      <c r="J270" s="718"/>
      <c r="K270" s="718"/>
      <c r="L270" s="718"/>
      <c r="M270" s="3"/>
      <c r="N270" s="3"/>
      <c r="O270" s="3"/>
      <c r="P270" s="3"/>
      <c r="Q270" s="3"/>
      <c r="R270" s="3"/>
      <c r="S270" s="3"/>
      <c r="T270" s="3"/>
      <c r="U270" s="3"/>
      <c r="V270" s="3"/>
      <c r="W270" s="3"/>
      <c r="X270" s="3"/>
      <c r="Y270" s="3"/>
      <c r="Z270" s="3"/>
    </row>
    <row r="271" spans="1:26" ht="14.25" customHeight="1">
      <c r="A271" s="719">
        <v>8</v>
      </c>
      <c r="B271" s="716" t="s">
        <v>1447</v>
      </c>
      <c r="C271" s="719" t="s">
        <v>121</v>
      </c>
      <c r="D271" s="737">
        <v>90</v>
      </c>
      <c r="E271" s="737">
        <v>0.13</v>
      </c>
      <c r="F271" s="738">
        <f t="shared" si="121"/>
        <v>11.700000000000001</v>
      </c>
      <c r="G271" s="738">
        <f t="shared" si="122"/>
        <v>0.58500000000000008</v>
      </c>
      <c r="H271" s="738">
        <f t="shared" si="123"/>
        <v>12.285000000000002</v>
      </c>
      <c r="I271" s="718"/>
      <c r="J271" s="718"/>
      <c r="K271" s="718"/>
      <c r="L271" s="718"/>
      <c r="M271" s="3"/>
      <c r="N271" s="3"/>
      <c r="O271" s="3"/>
      <c r="P271" s="3"/>
      <c r="Q271" s="3"/>
      <c r="R271" s="3"/>
      <c r="S271" s="3"/>
      <c r="T271" s="3"/>
      <c r="U271" s="3"/>
      <c r="V271" s="3"/>
      <c r="W271" s="3"/>
      <c r="X271" s="3"/>
      <c r="Y271" s="3"/>
      <c r="Z271" s="3"/>
    </row>
    <row r="272" spans="1:26" ht="14.25" customHeight="1">
      <c r="A272" s="719">
        <v>9</v>
      </c>
      <c r="B272" s="716" t="s">
        <v>1448</v>
      </c>
      <c r="C272" s="719" t="s">
        <v>121</v>
      </c>
      <c r="D272" s="737">
        <v>340</v>
      </c>
      <c r="E272" s="737">
        <v>1.08</v>
      </c>
      <c r="F272" s="738">
        <f t="shared" si="121"/>
        <v>367.20000000000005</v>
      </c>
      <c r="G272" s="738">
        <f t="shared" si="122"/>
        <v>18.360000000000003</v>
      </c>
      <c r="H272" s="738">
        <f t="shared" si="123"/>
        <v>385.56000000000006</v>
      </c>
      <c r="I272" s="718"/>
      <c r="J272" s="718"/>
      <c r="K272" s="718"/>
      <c r="L272" s="718"/>
      <c r="M272" s="3"/>
      <c r="N272" s="3"/>
      <c r="O272" s="3"/>
      <c r="P272" s="3"/>
      <c r="Q272" s="3"/>
      <c r="R272" s="3"/>
      <c r="S272" s="3"/>
      <c r="T272" s="3"/>
      <c r="U272" s="3"/>
      <c r="V272" s="3"/>
      <c r="W272" s="3"/>
      <c r="X272" s="3"/>
      <c r="Y272" s="3"/>
      <c r="Z272" s="3"/>
    </row>
    <row r="273" spans="1:26" ht="14.25" customHeight="1">
      <c r="A273" s="719">
        <v>10</v>
      </c>
      <c r="B273" s="716" t="s">
        <v>1449</v>
      </c>
      <c r="C273" s="719" t="s">
        <v>121</v>
      </c>
      <c r="D273" s="737">
        <v>208</v>
      </c>
      <c r="E273" s="737">
        <v>0.12</v>
      </c>
      <c r="F273" s="738">
        <f t="shared" si="121"/>
        <v>24.96</v>
      </c>
      <c r="G273" s="738">
        <f t="shared" si="122"/>
        <v>1.2480000000000002</v>
      </c>
      <c r="H273" s="738">
        <f t="shared" si="123"/>
        <v>26.208000000000002</v>
      </c>
      <c r="I273" s="718"/>
      <c r="J273" s="718"/>
      <c r="K273" s="718"/>
      <c r="L273" s="718"/>
      <c r="M273" s="3"/>
      <c r="N273" s="3"/>
      <c r="O273" s="3"/>
      <c r="P273" s="3"/>
      <c r="Q273" s="3"/>
      <c r="R273" s="3"/>
      <c r="S273" s="3"/>
      <c r="T273" s="3"/>
      <c r="U273" s="3"/>
      <c r="V273" s="3"/>
      <c r="W273" s="3"/>
      <c r="X273" s="3"/>
      <c r="Y273" s="3"/>
      <c r="Z273" s="3"/>
    </row>
    <row r="274" spans="1:26" ht="14.25" customHeight="1">
      <c r="A274" s="719">
        <v>11</v>
      </c>
      <c r="B274" s="716" t="s">
        <v>1450</v>
      </c>
      <c r="C274" s="719" t="s">
        <v>121</v>
      </c>
      <c r="D274" s="737">
        <v>170</v>
      </c>
      <c r="E274" s="737">
        <v>0.12</v>
      </c>
      <c r="F274" s="738">
        <f t="shared" si="121"/>
        <v>20.399999999999999</v>
      </c>
      <c r="G274" s="738">
        <f t="shared" si="122"/>
        <v>1.02</v>
      </c>
      <c r="H274" s="738">
        <f t="shared" si="123"/>
        <v>21.419999999999998</v>
      </c>
      <c r="I274" s="718"/>
      <c r="J274" s="718"/>
      <c r="K274" s="718"/>
      <c r="L274" s="718"/>
      <c r="M274" s="3"/>
      <c r="N274" s="3"/>
      <c r="O274" s="3"/>
      <c r="P274" s="3"/>
      <c r="Q274" s="3"/>
      <c r="R274" s="3"/>
      <c r="S274" s="3"/>
      <c r="T274" s="3"/>
      <c r="U274" s="3"/>
      <c r="V274" s="3"/>
      <c r="W274" s="3"/>
      <c r="X274" s="3"/>
      <c r="Y274" s="3"/>
      <c r="Z274" s="3"/>
    </row>
    <row r="275" spans="1:26" ht="14.25" customHeight="1">
      <c r="A275" s="719">
        <v>12</v>
      </c>
      <c r="B275" s="716" t="s">
        <v>1451</v>
      </c>
      <c r="C275" s="719" t="s">
        <v>121</v>
      </c>
      <c r="D275" s="737">
        <v>13</v>
      </c>
      <c r="E275" s="737">
        <v>0.45</v>
      </c>
      <c r="F275" s="738">
        <f t="shared" si="121"/>
        <v>5.8500000000000005</v>
      </c>
      <c r="G275" s="738">
        <f t="shared" si="122"/>
        <v>0.29250000000000004</v>
      </c>
      <c r="H275" s="738">
        <f t="shared" si="123"/>
        <v>6.142500000000001</v>
      </c>
      <c r="I275" s="718"/>
      <c r="J275" s="718"/>
      <c r="K275" s="718"/>
      <c r="L275" s="718"/>
      <c r="M275" s="3"/>
      <c r="N275" s="3"/>
      <c r="O275" s="3"/>
      <c r="P275" s="3"/>
      <c r="Q275" s="3"/>
      <c r="R275" s="3"/>
      <c r="S275" s="3"/>
      <c r="T275" s="3"/>
      <c r="U275" s="3"/>
      <c r="V275" s="3"/>
      <c r="W275" s="3"/>
      <c r="X275" s="3"/>
      <c r="Y275" s="3"/>
      <c r="Z275" s="3"/>
    </row>
    <row r="276" spans="1:26" ht="14.25" customHeight="1">
      <c r="A276" s="719">
        <v>13</v>
      </c>
      <c r="B276" s="716" t="s">
        <v>1452</v>
      </c>
      <c r="C276" s="719" t="s">
        <v>121</v>
      </c>
      <c r="D276" s="737">
        <v>8</v>
      </c>
      <c r="E276" s="737">
        <v>0.4</v>
      </c>
      <c r="F276" s="738">
        <f t="shared" si="121"/>
        <v>3.2</v>
      </c>
      <c r="G276" s="738">
        <f t="shared" si="122"/>
        <v>0.16000000000000003</v>
      </c>
      <c r="H276" s="738">
        <f t="shared" si="123"/>
        <v>3.3600000000000003</v>
      </c>
      <c r="I276" s="718"/>
      <c r="J276" s="718"/>
      <c r="K276" s="718"/>
      <c r="L276" s="718"/>
      <c r="M276" s="3"/>
      <c r="N276" s="3"/>
      <c r="O276" s="3"/>
      <c r="P276" s="3"/>
      <c r="Q276" s="3"/>
      <c r="R276" s="3"/>
      <c r="S276" s="3"/>
      <c r="T276" s="3"/>
      <c r="U276" s="3"/>
      <c r="V276" s="3"/>
      <c r="W276" s="3"/>
      <c r="X276" s="3"/>
      <c r="Y276" s="3"/>
      <c r="Z276" s="3"/>
    </row>
    <row r="277" spans="1:26" ht="14.25" customHeight="1">
      <c r="A277" s="719">
        <v>14</v>
      </c>
      <c r="B277" s="716" t="s">
        <v>1453</v>
      </c>
      <c r="C277" s="719" t="s">
        <v>121</v>
      </c>
      <c r="D277" s="737">
        <v>6</v>
      </c>
      <c r="E277" s="737">
        <v>0.55000000000000004</v>
      </c>
      <c r="F277" s="738">
        <f t="shared" si="121"/>
        <v>3.3000000000000003</v>
      </c>
      <c r="G277" s="738">
        <f t="shared" si="122"/>
        <v>0.16500000000000004</v>
      </c>
      <c r="H277" s="738">
        <f t="shared" si="123"/>
        <v>3.4650000000000003</v>
      </c>
      <c r="I277" s="718"/>
      <c r="J277" s="718"/>
      <c r="K277" s="718"/>
      <c r="L277" s="718"/>
      <c r="M277" s="3"/>
      <c r="N277" s="3"/>
      <c r="O277" s="3"/>
      <c r="P277" s="3"/>
      <c r="Q277" s="3"/>
      <c r="R277" s="3"/>
      <c r="S277" s="3"/>
      <c r="T277" s="3"/>
      <c r="U277" s="3"/>
      <c r="V277" s="3"/>
      <c r="W277" s="3"/>
      <c r="X277" s="3"/>
      <c r="Y277" s="3"/>
      <c r="Z277" s="3"/>
    </row>
    <row r="278" spans="1:26" ht="14.25" customHeight="1">
      <c r="A278" s="719">
        <v>15</v>
      </c>
      <c r="B278" s="716" t="s">
        <v>1454</v>
      </c>
      <c r="C278" s="719" t="s">
        <v>121</v>
      </c>
      <c r="D278" s="737">
        <v>1</v>
      </c>
      <c r="E278" s="737">
        <v>3</v>
      </c>
      <c r="F278" s="738">
        <f t="shared" si="121"/>
        <v>3</v>
      </c>
      <c r="G278" s="738">
        <f t="shared" si="122"/>
        <v>0.15000000000000002</v>
      </c>
      <c r="H278" s="738">
        <f t="shared" si="123"/>
        <v>3.15</v>
      </c>
      <c r="I278" s="718"/>
      <c r="J278" s="718"/>
      <c r="K278" s="718"/>
      <c r="L278" s="718"/>
      <c r="M278" s="3"/>
      <c r="N278" s="3"/>
      <c r="O278" s="3"/>
      <c r="P278" s="3"/>
      <c r="Q278" s="3"/>
      <c r="R278" s="3"/>
      <c r="S278" s="3"/>
      <c r="T278" s="3"/>
      <c r="U278" s="3"/>
      <c r="V278" s="3"/>
      <c r="W278" s="3"/>
      <c r="X278" s="3"/>
      <c r="Y278" s="3"/>
      <c r="Z278" s="3"/>
    </row>
    <row r="279" spans="1:26" ht="14.25" customHeight="1">
      <c r="A279" s="719">
        <v>16</v>
      </c>
      <c r="B279" s="716" t="s">
        <v>1455</v>
      </c>
      <c r="C279" s="719" t="s">
        <v>121</v>
      </c>
      <c r="D279" s="737">
        <v>40</v>
      </c>
      <c r="E279" s="737">
        <v>1.5</v>
      </c>
      <c r="F279" s="738">
        <f t="shared" si="121"/>
        <v>60</v>
      </c>
      <c r="G279" s="738">
        <f t="shared" si="122"/>
        <v>3</v>
      </c>
      <c r="H279" s="738">
        <f t="shared" si="123"/>
        <v>63</v>
      </c>
      <c r="I279" s="718"/>
      <c r="J279" s="718"/>
      <c r="K279" s="718"/>
      <c r="L279" s="718"/>
      <c r="M279" s="3"/>
      <c r="N279" s="3"/>
      <c r="O279" s="3"/>
      <c r="P279" s="3"/>
      <c r="Q279" s="3"/>
      <c r="R279" s="3"/>
      <c r="S279" s="3"/>
      <c r="T279" s="3"/>
      <c r="U279" s="3"/>
      <c r="V279" s="3"/>
      <c r="W279" s="3"/>
      <c r="X279" s="3"/>
      <c r="Y279" s="3"/>
      <c r="Z279" s="3"/>
    </row>
    <row r="280" spans="1:26" ht="14.25" customHeight="1">
      <c r="A280" s="716"/>
      <c r="B280" s="716"/>
      <c r="C280" s="716"/>
      <c r="D280" s="737"/>
      <c r="E280" s="737"/>
      <c r="F280" s="738"/>
      <c r="G280" s="738"/>
      <c r="H280" s="738"/>
      <c r="I280" s="718"/>
      <c r="J280" s="718"/>
      <c r="K280" s="718"/>
      <c r="L280" s="718"/>
      <c r="M280" s="3"/>
      <c r="N280" s="3"/>
      <c r="O280" s="3"/>
      <c r="P280" s="3"/>
      <c r="Q280" s="3"/>
      <c r="R280" s="3"/>
      <c r="S280" s="3"/>
      <c r="T280" s="3"/>
      <c r="U280" s="3"/>
      <c r="V280" s="3"/>
      <c r="W280" s="3"/>
      <c r="X280" s="3"/>
      <c r="Y280" s="3"/>
      <c r="Z280" s="3"/>
    </row>
    <row r="281" spans="1:26" ht="14.25" customHeight="1">
      <c r="A281" s="723" t="s">
        <v>118</v>
      </c>
      <c r="B281" s="715" t="s">
        <v>1456</v>
      </c>
      <c r="C281" s="716"/>
      <c r="D281" s="737"/>
      <c r="E281" s="737"/>
      <c r="F281" s="738"/>
      <c r="G281" s="738"/>
      <c r="H281" s="738"/>
      <c r="I281" s="718"/>
      <c r="J281" s="718"/>
      <c r="K281" s="718"/>
      <c r="L281" s="718"/>
      <c r="M281" s="3"/>
      <c r="N281" s="3"/>
      <c r="O281" s="3"/>
      <c r="P281" s="3"/>
      <c r="Q281" s="3"/>
      <c r="R281" s="3"/>
      <c r="S281" s="3"/>
      <c r="T281" s="3"/>
      <c r="U281" s="3"/>
      <c r="V281" s="3"/>
      <c r="W281" s="3"/>
      <c r="X281" s="3"/>
      <c r="Y281" s="3"/>
      <c r="Z281" s="3"/>
    </row>
    <row r="282" spans="1:26" ht="14.25" customHeight="1">
      <c r="A282" s="719">
        <v>1</v>
      </c>
      <c r="B282" s="716" t="s">
        <v>1440</v>
      </c>
      <c r="C282" s="719" t="s">
        <v>121</v>
      </c>
      <c r="D282" s="737">
        <v>740</v>
      </c>
      <c r="E282" s="737">
        <v>1.1499999999999999</v>
      </c>
      <c r="F282" s="738">
        <f t="shared" ref="F282:F345" si="124">(D282*E282)</f>
        <v>850.99999999999989</v>
      </c>
      <c r="G282" s="738">
        <f t="shared" si="122"/>
        <v>42.55</v>
      </c>
      <c r="H282" s="738">
        <f t="shared" si="123"/>
        <v>893.54999999999984</v>
      </c>
      <c r="I282" s="718"/>
      <c r="J282" s="718"/>
      <c r="K282" s="718"/>
      <c r="L282" s="718"/>
      <c r="M282" s="3"/>
      <c r="N282" s="3"/>
      <c r="O282" s="3"/>
      <c r="P282" s="3"/>
      <c r="Q282" s="3"/>
      <c r="R282" s="3"/>
      <c r="S282" s="3"/>
      <c r="T282" s="3"/>
      <c r="U282" s="3"/>
      <c r="V282" s="3"/>
      <c r="W282" s="3"/>
      <c r="X282" s="3"/>
      <c r="Y282" s="3"/>
      <c r="Z282" s="3"/>
    </row>
    <row r="283" spans="1:26" ht="14.25" customHeight="1">
      <c r="A283" s="719">
        <v>2</v>
      </c>
      <c r="B283" s="716" t="s">
        <v>1457</v>
      </c>
      <c r="C283" s="719" t="s">
        <v>121</v>
      </c>
      <c r="D283" s="737">
        <v>212</v>
      </c>
      <c r="E283" s="737">
        <v>1.9</v>
      </c>
      <c r="F283" s="738">
        <f t="shared" si="124"/>
        <v>402.79999999999995</v>
      </c>
      <c r="G283" s="738">
        <f t="shared" si="122"/>
        <v>20.14</v>
      </c>
      <c r="H283" s="738">
        <f t="shared" si="123"/>
        <v>422.93999999999994</v>
      </c>
      <c r="I283" s="718"/>
      <c r="J283" s="718"/>
      <c r="K283" s="718"/>
      <c r="L283" s="718"/>
      <c r="M283" s="3"/>
      <c r="N283" s="3"/>
      <c r="O283" s="3"/>
      <c r="P283" s="3"/>
      <c r="Q283" s="3"/>
      <c r="R283" s="3"/>
      <c r="S283" s="3"/>
      <c r="T283" s="3"/>
      <c r="U283" s="3"/>
      <c r="V283" s="3"/>
      <c r="W283" s="3"/>
      <c r="X283" s="3"/>
      <c r="Y283" s="3"/>
      <c r="Z283" s="3"/>
    </row>
    <row r="284" spans="1:26" ht="14.25" customHeight="1">
      <c r="A284" s="719">
        <v>3</v>
      </c>
      <c r="B284" s="716" t="s">
        <v>1458</v>
      </c>
      <c r="C284" s="719" t="s">
        <v>121</v>
      </c>
      <c r="D284" s="737">
        <v>70</v>
      </c>
      <c r="E284" s="737">
        <v>0.95</v>
      </c>
      <c r="F284" s="738">
        <f t="shared" si="124"/>
        <v>66.5</v>
      </c>
      <c r="G284" s="738">
        <f t="shared" si="122"/>
        <v>3.3250000000000002</v>
      </c>
      <c r="H284" s="738">
        <f t="shared" si="123"/>
        <v>69.825000000000003</v>
      </c>
      <c r="I284" s="718"/>
      <c r="J284" s="718"/>
      <c r="K284" s="718"/>
      <c r="L284" s="718"/>
      <c r="M284" s="3"/>
      <c r="N284" s="3"/>
      <c r="O284" s="3"/>
      <c r="P284" s="3"/>
      <c r="Q284" s="3"/>
      <c r="R284" s="3"/>
      <c r="S284" s="3"/>
      <c r="T284" s="3"/>
      <c r="U284" s="3"/>
      <c r="V284" s="3"/>
      <c r="W284" s="3"/>
      <c r="X284" s="3"/>
      <c r="Y284" s="3"/>
      <c r="Z284" s="3"/>
    </row>
    <row r="285" spans="1:26" ht="14.25" customHeight="1">
      <c r="A285" s="719">
        <v>4</v>
      </c>
      <c r="B285" s="716" t="s">
        <v>1459</v>
      </c>
      <c r="C285" s="719" t="s">
        <v>121</v>
      </c>
      <c r="D285" s="737">
        <v>140</v>
      </c>
      <c r="E285" s="737">
        <v>0.85</v>
      </c>
      <c r="F285" s="738">
        <f t="shared" si="124"/>
        <v>119</v>
      </c>
      <c r="G285" s="738">
        <f t="shared" si="122"/>
        <v>5.95</v>
      </c>
      <c r="H285" s="738">
        <f t="shared" si="123"/>
        <v>124.95</v>
      </c>
      <c r="I285" s="718"/>
      <c r="J285" s="718"/>
      <c r="K285" s="718"/>
      <c r="L285" s="718"/>
      <c r="M285" s="3"/>
      <c r="N285" s="3"/>
      <c r="O285" s="3"/>
      <c r="P285" s="3"/>
      <c r="Q285" s="3"/>
      <c r="R285" s="3"/>
      <c r="S285" s="3"/>
      <c r="T285" s="3"/>
      <c r="U285" s="3"/>
      <c r="V285" s="3"/>
      <c r="W285" s="3"/>
      <c r="X285" s="3"/>
      <c r="Y285" s="3"/>
      <c r="Z285" s="3"/>
    </row>
    <row r="286" spans="1:26" ht="14.25" customHeight="1">
      <c r="A286" s="719">
        <v>5</v>
      </c>
      <c r="B286" s="716" t="s">
        <v>1460</v>
      </c>
      <c r="C286" s="719" t="s">
        <v>121</v>
      </c>
      <c r="D286" s="737">
        <v>70</v>
      </c>
      <c r="E286" s="737">
        <v>1.95</v>
      </c>
      <c r="F286" s="738">
        <f t="shared" si="124"/>
        <v>136.5</v>
      </c>
      <c r="G286" s="738">
        <f t="shared" si="122"/>
        <v>6.8250000000000002</v>
      </c>
      <c r="H286" s="738">
        <f t="shared" si="123"/>
        <v>143.32499999999999</v>
      </c>
      <c r="I286" s="718"/>
      <c r="J286" s="718"/>
      <c r="K286" s="718"/>
      <c r="L286" s="718"/>
      <c r="M286" s="3"/>
      <c r="N286" s="3"/>
      <c r="O286" s="3"/>
      <c r="P286" s="3"/>
      <c r="Q286" s="3"/>
      <c r="R286" s="3"/>
      <c r="S286" s="3"/>
      <c r="T286" s="3"/>
      <c r="U286" s="3"/>
      <c r="V286" s="3"/>
      <c r="W286" s="3"/>
      <c r="X286" s="3"/>
      <c r="Y286" s="3"/>
      <c r="Z286" s="3"/>
    </row>
    <row r="287" spans="1:26" ht="14.25" customHeight="1">
      <c r="A287" s="719">
        <v>6</v>
      </c>
      <c r="B287" s="716" t="s">
        <v>1461</v>
      </c>
      <c r="C287" s="719" t="s">
        <v>121</v>
      </c>
      <c r="D287" s="737">
        <v>170</v>
      </c>
      <c r="E287" s="737">
        <v>2.1</v>
      </c>
      <c r="F287" s="738">
        <f t="shared" si="124"/>
        <v>357</v>
      </c>
      <c r="G287" s="738">
        <f t="shared" si="122"/>
        <v>17.850000000000001</v>
      </c>
      <c r="H287" s="738">
        <f t="shared" si="123"/>
        <v>374.85</v>
      </c>
      <c r="I287" s="718"/>
      <c r="J287" s="718"/>
      <c r="K287" s="718"/>
      <c r="L287" s="718"/>
      <c r="M287" s="3"/>
      <c r="N287" s="3"/>
      <c r="O287" s="3"/>
      <c r="P287" s="3"/>
      <c r="Q287" s="3"/>
      <c r="R287" s="3"/>
      <c r="S287" s="3"/>
      <c r="T287" s="3"/>
      <c r="U287" s="3"/>
      <c r="V287" s="3"/>
      <c r="W287" s="3"/>
      <c r="X287" s="3"/>
      <c r="Y287" s="3"/>
      <c r="Z287" s="3"/>
    </row>
    <row r="288" spans="1:26" ht="14.25" customHeight="1">
      <c r="A288" s="719">
        <v>7</v>
      </c>
      <c r="B288" s="716" t="s">
        <v>1446</v>
      </c>
      <c r="C288" s="719" t="s">
        <v>121</v>
      </c>
      <c r="D288" s="737">
        <v>30</v>
      </c>
      <c r="E288" s="737">
        <v>5.8</v>
      </c>
      <c r="F288" s="738">
        <f t="shared" si="124"/>
        <v>174</v>
      </c>
      <c r="G288" s="738">
        <f t="shared" si="122"/>
        <v>8.7000000000000011</v>
      </c>
      <c r="H288" s="738">
        <f t="shared" si="123"/>
        <v>182.7</v>
      </c>
      <c r="I288" s="718"/>
      <c r="J288" s="718"/>
      <c r="K288" s="718"/>
      <c r="L288" s="718"/>
      <c r="M288" s="3"/>
      <c r="N288" s="3"/>
      <c r="O288" s="3"/>
      <c r="P288" s="3"/>
      <c r="Q288" s="3"/>
      <c r="R288" s="3"/>
      <c r="S288" s="3"/>
      <c r="T288" s="3"/>
      <c r="U288" s="3"/>
      <c r="V288" s="3"/>
      <c r="W288" s="3"/>
      <c r="X288" s="3"/>
      <c r="Y288" s="3"/>
      <c r="Z288" s="3"/>
    </row>
    <row r="289" spans="1:26" ht="14.25" customHeight="1">
      <c r="A289" s="719">
        <v>8</v>
      </c>
      <c r="B289" s="716" t="s">
        <v>1462</v>
      </c>
      <c r="C289" s="719" t="s">
        <v>121</v>
      </c>
      <c r="D289" s="737">
        <v>60</v>
      </c>
      <c r="E289" s="737">
        <v>2.1</v>
      </c>
      <c r="F289" s="738">
        <f t="shared" si="124"/>
        <v>126</v>
      </c>
      <c r="G289" s="738">
        <f t="shared" si="122"/>
        <v>6.3000000000000007</v>
      </c>
      <c r="H289" s="738">
        <f t="shared" si="123"/>
        <v>132.30000000000001</v>
      </c>
      <c r="I289" s="718"/>
      <c r="J289" s="718"/>
      <c r="K289" s="718"/>
      <c r="L289" s="718"/>
      <c r="M289" s="3"/>
      <c r="N289" s="3"/>
      <c r="O289" s="3"/>
      <c r="P289" s="3"/>
      <c r="Q289" s="3"/>
      <c r="R289" s="3"/>
      <c r="S289" s="3"/>
      <c r="T289" s="3"/>
      <c r="U289" s="3"/>
      <c r="V289" s="3"/>
      <c r="W289" s="3"/>
      <c r="X289" s="3"/>
      <c r="Y289" s="3"/>
      <c r="Z289" s="3"/>
    </row>
    <row r="290" spans="1:26" ht="14.25" customHeight="1">
      <c r="A290" s="719">
        <v>9</v>
      </c>
      <c r="B290" s="716" t="s">
        <v>1463</v>
      </c>
      <c r="C290" s="719" t="s">
        <v>121</v>
      </c>
      <c r="D290" s="737">
        <v>445</v>
      </c>
      <c r="E290" s="737">
        <v>0.12</v>
      </c>
      <c r="F290" s="738">
        <f t="shared" si="124"/>
        <v>53.4</v>
      </c>
      <c r="G290" s="738">
        <f t="shared" si="122"/>
        <v>2.67</v>
      </c>
      <c r="H290" s="738">
        <f t="shared" si="123"/>
        <v>56.07</v>
      </c>
      <c r="I290" s="718"/>
      <c r="J290" s="718"/>
      <c r="K290" s="718"/>
      <c r="L290" s="718"/>
      <c r="M290" s="3"/>
      <c r="N290" s="3"/>
      <c r="O290" s="3"/>
      <c r="P290" s="3"/>
      <c r="Q290" s="3"/>
      <c r="R290" s="3"/>
      <c r="S290" s="3"/>
      <c r="T290" s="3"/>
      <c r="U290" s="3"/>
      <c r="V290" s="3"/>
      <c r="W290" s="3"/>
      <c r="X290" s="3"/>
      <c r="Y290" s="3"/>
      <c r="Z290" s="3"/>
    </row>
    <row r="291" spans="1:26" ht="14.25" customHeight="1">
      <c r="A291" s="719">
        <v>10</v>
      </c>
      <c r="B291" s="716" t="s">
        <v>1464</v>
      </c>
      <c r="C291" s="719" t="s">
        <v>121</v>
      </c>
      <c r="D291" s="737">
        <v>445</v>
      </c>
      <c r="E291" s="737">
        <v>0.12</v>
      </c>
      <c r="F291" s="738">
        <f t="shared" si="124"/>
        <v>53.4</v>
      </c>
      <c r="G291" s="738">
        <f t="shared" si="122"/>
        <v>2.67</v>
      </c>
      <c r="H291" s="738">
        <f t="shared" si="123"/>
        <v>56.07</v>
      </c>
      <c r="I291" s="718"/>
      <c r="J291" s="718"/>
      <c r="K291" s="718"/>
      <c r="L291" s="718"/>
      <c r="M291" s="3"/>
      <c r="N291" s="3"/>
      <c r="O291" s="3"/>
      <c r="P291" s="3"/>
      <c r="Q291" s="3"/>
      <c r="R291" s="3"/>
      <c r="S291" s="3"/>
      <c r="T291" s="3"/>
      <c r="U291" s="3"/>
      <c r="V291" s="3"/>
      <c r="W291" s="3"/>
      <c r="X291" s="3"/>
      <c r="Y291" s="3"/>
      <c r="Z291" s="3"/>
    </row>
    <row r="292" spans="1:26" ht="14.25" customHeight="1">
      <c r="A292" s="719">
        <v>11</v>
      </c>
      <c r="B292" s="716" t="s">
        <v>1465</v>
      </c>
      <c r="C292" s="719" t="s">
        <v>121</v>
      </c>
      <c r="D292" s="737">
        <v>240</v>
      </c>
      <c r="E292" s="737">
        <v>0.14000000000000001</v>
      </c>
      <c r="F292" s="738">
        <f t="shared" si="124"/>
        <v>33.6</v>
      </c>
      <c r="G292" s="738">
        <f t="shared" si="122"/>
        <v>1.6800000000000002</v>
      </c>
      <c r="H292" s="738">
        <f t="shared" si="123"/>
        <v>35.28</v>
      </c>
      <c r="I292" s="718"/>
      <c r="J292" s="718"/>
      <c r="K292" s="718"/>
      <c r="L292" s="718"/>
      <c r="M292" s="3"/>
      <c r="N292" s="3"/>
      <c r="O292" s="3"/>
      <c r="P292" s="3"/>
      <c r="Q292" s="3"/>
      <c r="R292" s="3"/>
      <c r="S292" s="3"/>
      <c r="T292" s="3"/>
      <c r="U292" s="3"/>
      <c r="V292" s="3"/>
      <c r="W292" s="3"/>
      <c r="X292" s="3"/>
      <c r="Y292" s="3"/>
      <c r="Z292" s="3"/>
    </row>
    <row r="293" spans="1:26" ht="14.25" customHeight="1">
      <c r="A293" s="719">
        <v>12</v>
      </c>
      <c r="B293" s="716" t="s">
        <v>1466</v>
      </c>
      <c r="C293" s="719" t="s">
        <v>121</v>
      </c>
      <c r="D293" s="737">
        <v>252</v>
      </c>
      <c r="E293" s="737">
        <v>0.34</v>
      </c>
      <c r="F293" s="738">
        <f t="shared" si="124"/>
        <v>85.68</v>
      </c>
      <c r="G293" s="738">
        <f t="shared" si="122"/>
        <v>4.2840000000000007</v>
      </c>
      <c r="H293" s="738">
        <f t="shared" si="123"/>
        <v>89.964000000000013</v>
      </c>
      <c r="I293" s="718"/>
      <c r="J293" s="718"/>
      <c r="K293" s="718"/>
      <c r="L293" s="718"/>
      <c r="M293" s="3"/>
      <c r="N293" s="3"/>
      <c r="O293" s="3"/>
      <c r="P293" s="3"/>
      <c r="Q293" s="3"/>
      <c r="R293" s="3"/>
      <c r="S293" s="3"/>
      <c r="T293" s="3"/>
      <c r="U293" s="3"/>
      <c r="V293" s="3"/>
      <c r="W293" s="3"/>
      <c r="X293" s="3"/>
      <c r="Y293" s="3"/>
      <c r="Z293" s="3"/>
    </row>
    <row r="294" spans="1:26" ht="14.25" customHeight="1">
      <c r="A294" s="719">
        <v>13</v>
      </c>
      <c r="B294" s="716" t="s">
        <v>1467</v>
      </c>
      <c r="C294" s="719" t="s">
        <v>121</v>
      </c>
      <c r="D294" s="737">
        <v>120</v>
      </c>
      <c r="E294" s="737">
        <v>0.28000000000000003</v>
      </c>
      <c r="F294" s="738">
        <f t="shared" si="124"/>
        <v>33.6</v>
      </c>
      <c r="G294" s="738">
        <f t="shared" si="122"/>
        <v>1.6800000000000002</v>
      </c>
      <c r="H294" s="738">
        <f t="shared" si="123"/>
        <v>35.28</v>
      </c>
      <c r="I294" s="718"/>
      <c r="J294" s="718"/>
      <c r="K294" s="718"/>
      <c r="L294" s="718"/>
      <c r="M294" s="3"/>
      <c r="N294" s="3"/>
      <c r="O294" s="3"/>
      <c r="P294" s="3"/>
      <c r="Q294" s="3"/>
      <c r="R294" s="3"/>
      <c r="S294" s="3"/>
      <c r="T294" s="3"/>
      <c r="U294" s="3"/>
      <c r="V294" s="3"/>
      <c r="W294" s="3"/>
      <c r="X294" s="3"/>
      <c r="Y294" s="3"/>
      <c r="Z294" s="3"/>
    </row>
    <row r="295" spans="1:26" ht="14.25" customHeight="1">
      <c r="A295" s="719">
        <v>14</v>
      </c>
      <c r="B295" s="716" t="s">
        <v>1468</v>
      </c>
      <c r="C295" s="719" t="s">
        <v>121</v>
      </c>
      <c r="D295" s="737">
        <v>140</v>
      </c>
      <c r="E295" s="737">
        <v>0.45</v>
      </c>
      <c r="F295" s="738">
        <f t="shared" si="124"/>
        <v>63</v>
      </c>
      <c r="G295" s="738">
        <f t="shared" si="122"/>
        <v>3.1500000000000004</v>
      </c>
      <c r="H295" s="738">
        <f t="shared" si="123"/>
        <v>66.150000000000006</v>
      </c>
      <c r="I295" s="718"/>
      <c r="J295" s="718"/>
      <c r="K295" s="718"/>
      <c r="L295" s="718"/>
      <c r="M295" s="3"/>
      <c r="N295" s="3"/>
      <c r="O295" s="3"/>
      <c r="P295" s="3"/>
      <c r="Q295" s="3"/>
      <c r="R295" s="3"/>
      <c r="S295" s="3"/>
      <c r="T295" s="3"/>
      <c r="U295" s="3"/>
      <c r="V295" s="3"/>
      <c r="W295" s="3"/>
      <c r="X295" s="3"/>
      <c r="Y295" s="3"/>
      <c r="Z295" s="3"/>
    </row>
    <row r="296" spans="1:26" ht="14.25" customHeight="1">
      <c r="A296" s="719">
        <v>15</v>
      </c>
      <c r="B296" s="716" t="s">
        <v>1469</v>
      </c>
      <c r="C296" s="719" t="s">
        <v>121</v>
      </c>
      <c r="D296" s="737">
        <v>85</v>
      </c>
      <c r="E296" s="737">
        <v>0.45</v>
      </c>
      <c r="F296" s="738">
        <f t="shared" si="124"/>
        <v>38.25</v>
      </c>
      <c r="G296" s="738">
        <f t="shared" si="122"/>
        <v>1.9125000000000001</v>
      </c>
      <c r="H296" s="738">
        <f t="shared" si="123"/>
        <v>40.162500000000001</v>
      </c>
      <c r="I296" s="718"/>
      <c r="J296" s="718"/>
      <c r="K296" s="718"/>
      <c r="L296" s="718"/>
      <c r="M296" s="3"/>
      <c r="N296" s="3"/>
      <c r="O296" s="3"/>
      <c r="P296" s="3"/>
      <c r="Q296" s="3"/>
      <c r="R296" s="3"/>
      <c r="S296" s="3"/>
      <c r="T296" s="3"/>
      <c r="U296" s="3"/>
      <c r="V296" s="3"/>
      <c r="W296" s="3"/>
      <c r="X296" s="3"/>
      <c r="Y296" s="3"/>
      <c r="Z296" s="3"/>
    </row>
    <row r="297" spans="1:26" ht="14.25" customHeight="1">
      <c r="A297" s="719">
        <v>16</v>
      </c>
      <c r="B297" s="716" t="s">
        <v>1470</v>
      </c>
      <c r="C297" s="719" t="s">
        <v>121</v>
      </c>
      <c r="D297" s="737">
        <v>138</v>
      </c>
      <c r="E297" s="737">
        <v>0.4</v>
      </c>
      <c r="F297" s="738">
        <f t="shared" si="124"/>
        <v>55.2</v>
      </c>
      <c r="G297" s="738">
        <f t="shared" si="122"/>
        <v>2.7600000000000002</v>
      </c>
      <c r="H297" s="738">
        <f t="shared" si="123"/>
        <v>57.96</v>
      </c>
      <c r="I297" s="718"/>
      <c r="J297" s="718"/>
      <c r="K297" s="718"/>
      <c r="L297" s="718"/>
      <c r="M297" s="3"/>
      <c r="N297" s="3"/>
      <c r="O297" s="3"/>
      <c r="P297" s="3"/>
      <c r="Q297" s="3"/>
      <c r="R297" s="3"/>
      <c r="S297" s="3"/>
      <c r="T297" s="3"/>
      <c r="U297" s="3"/>
      <c r="V297" s="3"/>
      <c r="W297" s="3"/>
      <c r="X297" s="3"/>
      <c r="Y297" s="3"/>
      <c r="Z297" s="3"/>
    </row>
    <row r="298" spans="1:26" ht="14.25" customHeight="1">
      <c r="A298" s="719">
        <v>17</v>
      </c>
      <c r="B298" s="716" t="s">
        <v>1471</v>
      </c>
      <c r="C298" s="719" t="s">
        <v>121</v>
      </c>
      <c r="D298" s="737">
        <v>62</v>
      </c>
      <c r="E298" s="737">
        <v>0.4</v>
      </c>
      <c r="F298" s="738">
        <f t="shared" si="124"/>
        <v>24.8</v>
      </c>
      <c r="G298" s="738">
        <f t="shared" si="122"/>
        <v>1.2400000000000002</v>
      </c>
      <c r="H298" s="738">
        <f t="shared" si="123"/>
        <v>26.04</v>
      </c>
      <c r="I298" s="718"/>
      <c r="J298" s="718"/>
      <c r="K298" s="718"/>
      <c r="L298" s="718"/>
      <c r="M298" s="3"/>
      <c r="N298" s="3"/>
      <c r="O298" s="3"/>
      <c r="P298" s="3"/>
      <c r="Q298" s="3"/>
      <c r="R298" s="3"/>
      <c r="S298" s="3"/>
      <c r="T298" s="3"/>
      <c r="U298" s="3"/>
      <c r="V298" s="3"/>
      <c r="W298" s="3"/>
      <c r="X298" s="3"/>
      <c r="Y298" s="3"/>
      <c r="Z298" s="3"/>
    </row>
    <row r="299" spans="1:26" ht="14.25" customHeight="1">
      <c r="A299" s="719">
        <v>18</v>
      </c>
      <c r="B299" s="716" t="s">
        <v>1472</v>
      </c>
      <c r="C299" s="719" t="s">
        <v>121</v>
      </c>
      <c r="D299" s="737">
        <v>18</v>
      </c>
      <c r="E299" s="737">
        <v>0.3</v>
      </c>
      <c r="F299" s="738">
        <f t="shared" si="124"/>
        <v>5.3999999999999995</v>
      </c>
      <c r="G299" s="738">
        <f t="shared" si="122"/>
        <v>0.26999999999999996</v>
      </c>
      <c r="H299" s="738">
        <f t="shared" si="123"/>
        <v>5.669999999999999</v>
      </c>
      <c r="I299" s="718"/>
      <c r="J299" s="718"/>
      <c r="K299" s="718"/>
      <c r="L299" s="718"/>
      <c r="M299" s="3"/>
      <c r="N299" s="3"/>
      <c r="O299" s="3"/>
      <c r="P299" s="3"/>
      <c r="Q299" s="3"/>
      <c r="R299" s="3"/>
      <c r="S299" s="3"/>
      <c r="T299" s="3"/>
      <c r="U299" s="3"/>
      <c r="V299" s="3"/>
      <c r="W299" s="3"/>
      <c r="X299" s="3"/>
      <c r="Y299" s="3"/>
      <c r="Z299" s="3"/>
    </row>
    <row r="300" spans="1:26" ht="14.25" customHeight="1">
      <c r="A300" s="719">
        <v>19</v>
      </c>
      <c r="B300" s="716" t="s">
        <v>1473</v>
      </c>
      <c r="C300" s="719" t="s">
        <v>121</v>
      </c>
      <c r="D300" s="737">
        <v>48</v>
      </c>
      <c r="E300" s="737">
        <v>0.3</v>
      </c>
      <c r="F300" s="738">
        <f t="shared" si="124"/>
        <v>14.399999999999999</v>
      </c>
      <c r="G300" s="738">
        <f t="shared" si="122"/>
        <v>0.72</v>
      </c>
      <c r="H300" s="738">
        <f t="shared" si="123"/>
        <v>15.12</v>
      </c>
      <c r="I300" s="718"/>
      <c r="J300" s="718"/>
      <c r="K300" s="718"/>
      <c r="L300" s="718"/>
      <c r="M300" s="3"/>
      <c r="N300" s="3"/>
      <c r="O300" s="3"/>
      <c r="P300" s="3"/>
      <c r="Q300" s="3"/>
      <c r="R300" s="3"/>
      <c r="S300" s="3"/>
      <c r="T300" s="3"/>
      <c r="U300" s="3"/>
      <c r="V300" s="3"/>
      <c r="W300" s="3"/>
      <c r="X300" s="3"/>
      <c r="Y300" s="3"/>
      <c r="Z300" s="3"/>
    </row>
    <row r="301" spans="1:26" ht="14.25" customHeight="1">
      <c r="A301" s="719">
        <v>20</v>
      </c>
      <c r="B301" s="716" t="s">
        <v>1474</v>
      </c>
      <c r="C301" s="719" t="s">
        <v>121</v>
      </c>
      <c r="D301" s="737">
        <v>41</v>
      </c>
      <c r="E301" s="737">
        <v>0.3</v>
      </c>
      <c r="F301" s="738">
        <f t="shared" si="124"/>
        <v>12.299999999999999</v>
      </c>
      <c r="G301" s="738">
        <f t="shared" si="122"/>
        <v>0.61499999999999999</v>
      </c>
      <c r="H301" s="738">
        <f t="shared" si="123"/>
        <v>12.914999999999999</v>
      </c>
      <c r="I301" s="718"/>
      <c r="J301" s="718"/>
      <c r="K301" s="718"/>
      <c r="L301" s="718"/>
      <c r="M301" s="3"/>
      <c r="N301" s="3"/>
      <c r="O301" s="3"/>
      <c r="P301" s="3"/>
      <c r="Q301" s="3"/>
      <c r="R301" s="3"/>
      <c r="S301" s="3"/>
      <c r="T301" s="3"/>
      <c r="U301" s="3"/>
      <c r="V301" s="3"/>
      <c r="W301" s="3"/>
      <c r="X301" s="3"/>
      <c r="Y301" s="3"/>
      <c r="Z301" s="3"/>
    </row>
    <row r="302" spans="1:26" ht="14.25" customHeight="1">
      <c r="A302" s="719">
        <v>21</v>
      </c>
      <c r="B302" s="716" t="s">
        <v>1475</v>
      </c>
      <c r="C302" s="719" t="s">
        <v>121</v>
      </c>
      <c r="D302" s="737">
        <v>10</v>
      </c>
      <c r="E302" s="737">
        <v>0.4</v>
      </c>
      <c r="F302" s="738">
        <f t="shared" si="124"/>
        <v>4</v>
      </c>
      <c r="G302" s="738">
        <f t="shared" si="122"/>
        <v>0.2</v>
      </c>
      <c r="H302" s="738">
        <f t="shared" si="123"/>
        <v>4.2</v>
      </c>
      <c r="I302" s="718"/>
      <c r="J302" s="718"/>
      <c r="K302" s="718"/>
      <c r="L302" s="718"/>
      <c r="M302" s="3"/>
      <c r="N302" s="3"/>
      <c r="O302" s="3"/>
      <c r="P302" s="3"/>
      <c r="Q302" s="3"/>
      <c r="R302" s="3"/>
      <c r="S302" s="3"/>
      <c r="T302" s="3"/>
      <c r="U302" s="3"/>
      <c r="V302" s="3"/>
      <c r="W302" s="3"/>
      <c r="X302" s="3"/>
      <c r="Y302" s="3"/>
      <c r="Z302" s="3"/>
    </row>
    <row r="303" spans="1:26" ht="14.25" customHeight="1">
      <c r="A303" s="719">
        <v>22</v>
      </c>
      <c r="B303" s="716" t="s">
        <v>1476</v>
      </c>
      <c r="C303" s="719" t="s">
        <v>121</v>
      </c>
      <c r="D303" s="737">
        <v>5</v>
      </c>
      <c r="E303" s="737">
        <v>1.6</v>
      </c>
      <c r="F303" s="738">
        <f t="shared" si="124"/>
        <v>8</v>
      </c>
      <c r="G303" s="738">
        <f t="shared" si="122"/>
        <v>0.4</v>
      </c>
      <c r="H303" s="738">
        <f t="shared" si="123"/>
        <v>8.4</v>
      </c>
      <c r="I303" s="718"/>
      <c r="J303" s="718"/>
      <c r="K303" s="718"/>
      <c r="L303" s="718"/>
      <c r="M303" s="3"/>
      <c r="N303" s="3"/>
      <c r="O303" s="3"/>
      <c r="P303" s="3"/>
      <c r="Q303" s="3"/>
      <c r="R303" s="3"/>
      <c r="S303" s="3"/>
      <c r="T303" s="3"/>
      <c r="U303" s="3"/>
      <c r="V303" s="3"/>
      <c r="W303" s="3"/>
      <c r="X303" s="3"/>
      <c r="Y303" s="3"/>
      <c r="Z303" s="3"/>
    </row>
    <row r="304" spans="1:26" ht="14.25" customHeight="1">
      <c r="A304" s="719">
        <v>23</v>
      </c>
      <c r="B304" s="716" t="s">
        <v>1477</v>
      </c>
      <c r="C304" s="719" t="s">
        <v>121</v>
      </c>
      <c r="D304" s="737">
        <v>104</v>
      </c>
      <c r="E304" s="737">
        <v>0.55000000000000004</v>
      </c>
      <c r="F304" s="738">
        <f t="shared" si="124"/>
        <v>57.2</v>
      </c>
      <c r="G304" s="738">
        <f t="shared" si="122"/>
        <v>2.8600000000000003</v>
      </c>
      <c r="H304" s="738">
        <f t="shared" si="123"/>
        <v>60.06</v>
      </c>
      <c r="I304" s="718"/>
      <c r="J304" s="718"/>
      <c r="K304" s="718"/>
      <c r="L304" s="718"/>
      <c r="M304" s="3"/>
      <c r="N304" s="3"/>
      <c r="O304" s="3"/>
      <c r="P304" s="3"/>
      <c r="Q304" s="3"/>
      <c r="R304" s="3"/>
      <c r="S304" s="3"/>
      <c r="T304" s="3"/>
      <c r="U304" s="3"/>
      <c r="V304" s="3"/>
      <c r="W304" s="3"/>
      <c r="X304" s="3"/>
      <c r="Y304" s="3"/>
      <c r="Z304" s="3"/>
    </row>
    <row r="305" spans="1:26" ht="14.25" customHeight="1">
      <c r="A305" s="719">
        <v>24</v>
      </c>
      <c r="B305" s="716" t="s">
        <v>1478</v>
      </c>
      <c r="C305" s="719" t="s">
        <v>121</v>
      </c>
      <c r="D305" s="737">
        <v>41</v>
      </c>
      <c r="E305" s="737">
        <v>0.37</v>
      </c>
      <c r="F305" s="738">
        <f t="shared" si="124"/>
        <v>15.17</v>
      </c>
      <c r="G305" s="738">
        <f t="shared" si="122"/>
        <v>0.75850000000000006</v>
      </c>
      <c r="H305" s="738">
        <f t="shared" si="123"/>
        <v>15.9285</v>
      </c>
      <c r="I305" s="718"/>
      <c r="J305" s="718"/>
      <c r="K305" s="718"/>
      <c r="L305" s="718"/>
      <c r="M305" s="3"/>
      <c r="N305" s="3"/>
      <c r="O305" s="3"/>
      <c r="P305" s="3"/>
      <c r="Q305" s="3"/>
      <c r="R305" s="3"/>
      <c r="S305" s="3"/>
      <c r="T305" s="3"/>
      <c r="U305" s="3"/>
      <c r="V305" s="3"/>
      <c r="W305" s="3"/>
      <c r="X305" s="3"/>
      <c r="Y305" s="3"/>
      <c r="Z305" s="3"/>
    </row>
    <row r="306" spans="1:26" ht="14.25" customHeight="1">
      <c r="A306" s="719">
        <v>25</v>
      </c>
      <c r="B306" s="716" t="s">
        <v>1479</v>
      </c>
      <c r="C306" s="719" t="s">
        <v>121</v>
      </c>
      <c r="D306" s="737">
        <v>100</v>
      </c>
      <c r="E306" s="737">
        <v>0.37</v>
      </c>
      <c r="F306" s="738">
        <f t="shared" si="124"/>
        <v>37</v>
      </c>
      <c r="G306" s="738">
        <f t="shared" si="122"/>
        <v>1.85</v>
      </c>
      <c r="H306" s="738">
        <f t="shared" si="123"/>
        <v>38.85</v>
      </c>
      <c r="I306" s="718"/>
      <c r="J306" s="718"/>
      <c r="K306" s="718"/>
      <c r="L306" s="718"/>
      <c r="M306" s="3"/>
      <c r="N306" s="3"/>
      <c r="O306" s="3"/>
      <c r="P306" s="3"/>
      <c r="Q306" s="3"/>
      <c r="R306" s="3"/>
      <c r="S306" s="3"/>
      <c r="T306" s="3"/>
      <c r="U306" s="3"/>
      <c r="V306" s="3"/>
      <c r="W306" s="3"/>
      <c r="X306" s="3"/>
      <c r="Y306" s="3"/>
      <c r="Z306" s="3"/>
    </row>
    <row r="307" spans="1:26" ht="14.25" customHeight="1">
      <c r="A307" s="719">
        <v>26</v>
      </c>
      <c r="B307" s="716" t="s">
        <v>1480</v>
      </c>
      <c r="C307" s="719" t="s">
        <v>121</v>
      </c>
      <c r="D307" s="737">
        <v>15</v>
      </c>
      <c r="E307" s="737">
        <v>2.9</v>
      </c>
      <c r="F307" s="738">
        <f t="shared" si="124"/>
        <v>43.5</v>
      </c>
      <c r="G307" s="738">
        <f t="shared" si="122"/>
        <v>2.1750000000000003</v>
      </c>
      <c r="H307" s="738">
        <f t="shared" si="123"/>
        <v>45.674999999999997</v>
      </c>
      <c r="I307" s="718"/>
      <c r="J307" s="718"/>
      <c r="K307" s="718"/>
      <c r="L307" s="718"/>
      <c r="M307" s="3"/>
      <c r="N307" s="3"/>
      <c r="O307" s="3"/>
      <c r="P307" s="3"/>
      <c r="Q307" s="3"/>
      <c r="R307" s="3"/>
      <c r="S307" s="3"/>
      <c r="T307" s="3"/>
      <c r="U307" s="3"/>
      <c r="V307" s="3"/>
      <c r="W307" s="3"/>
      <c r="X307" s="3"/>
      <c r="Y307" s="3"/>
      <c r="Z307" s="3"/>
    </row>
    <row r="308" spans="1:26" ht="14.25" customHeight="1">
      <c r="A308" s="719">
        <v>27</v>
      </c>
      <c r="B308" s="716" t="s">
        <v>1481</v>
      </c>
      <c r="C308" s="719" t="s">
        <v>121</v>
      </c>
      <c r="D308" s="737">
        <v>12</v>
      </c>
      <c r="E308" s="737">
        <v>1.7</v>
      </c>
      <c r="F308" s="738">
        <f t="shared" si="124"/>
        <v>20.399999999999999</v>
      </c>
      <c r="G308" s="738">
        <f t="shared" si="122"/>
        <v>1.02</v>
      </c>
      <c r="H308" s="738">
        <f t="shared" si="123"/>
        <v>21.419999999999998</v>
      </c>
      <c r="I308" s="718"/>
      <c r="J308" s="718"/>
      <c r="K308" s="718"/>
      <c r="L308" s="718"/>
      <c r="M308" s="3"/>
      <c r="N308" s="3"/>
      <c r="O308" s="3"/>
      <c r="P308" s="3"/>
      <c r="Q308" s="3"/>
      <c r="R308" s="3"/>
      <c r="S308" s="3"/>
      <c r="T308" s="3"/>
      <c r="U308" s="3"/>
      <c r="V308" s="3"/>
      <c r="W308" s="3"/>
      <c r="X308" s="3"/>
      <c r="Y308" s="3"/>
      <c r="Z308" s="3"/>
    </row>
    <row r="309" spans="1:26" ht="14.25" customHeight="1">
      <c r="A309" s="719">
        <v>28</v>
      </c>
      <c r="B309" s="716" t="s">
        <v>1482</v>
      </c>
      <c r="C309" s="719" t="s">
        <v>121</v>
      </c>
      <c r="D309" s="737">
        <v>10</v>
      </c>
      <c r="E309" s="737">
        <v>1.75</v>
      </c>
      <c r="F309" s="738">
        <f t="shared" si="124"/>
        <v>17.5</v>
      </c>
      <c r="G309" s="738">
        <f t="shared" si="122"/>
        <v>0.875</v>
      </c>
      <c r="H309" s="738">
        <f t="shared" si="123"/>
        <v>18.375</v>
      </c>
      <c r="I309" s="718"/>
      <c r="J309" s="718"/>
      <c r="K309" s="718"/>
      <c r="L309" s="718"/>
      <c r="M309" s="3"/>
      <c r="N309" s="3"/>
      <c r="O309" s="3"/>
      <c r="P309" s="3"/>
      <c r="Q309" s="3"/>
      <c r="R309" s="3"/>
      <c r="S309" s="3"/>
      <c r="T309" s="3"/>
      <c r="U309" s="3"/>
      <c r="V309" s="3"/>
      <c r="W309" s="3"/>
      <c r="X309" s="3"/>
      <c r="Y309" s="3"/>
      <c r="Z309" s="3"/>
    </row>
    <row r="310" spans="1:26" s="711" customFormat="1" ht="14.25" customHeight="1">
      <c r="A310" s="719">
        <v>29</v>
      </c>
      <c r="B310" s="716" t="s">
        <v>1483</v>
      </c>
      <c r="C310" s="719" t="s">
        <v>121</v>
      </c>
      <c r="D310" s="737">
        <v>23</v>
      </c>
      <c r="E310" s="737">
        <v>2.94</v>
      </c>
      <c r="F310" s="738">
        <f t="shared" si="124"/>
        <v>67.62</v>
      </c>
      <c r="G310" s="738">
        <f t="shared" si="122"/>
        <v>3.3810000000000002</v>
      </c>
      <c r="H310" s="738">
        <f t="shared" si="123"/>
        <v>71.001000000000005</v>
      </c>
      <c r="I310" s="718"/>
      <c r="J310" s="718"/>
      <c r="K310" s="718"/>
      <c r="L310" s="718"/>
      <c r="M310" s="3"/>
      <c r="N310" s="3"/>
      <c r="O310" s="3"/>
      <c r="P310" s="3"/>
      <c r="Q310" s="3"/>
      <c r="R310" s="3"/>
      <c r="S310" s="3"/>
      <c r="T310" s="3"/>
      <c r="U310" s="3"/>
      <c r="V310" s="3"/>
      <c r="W310" s="3"/>
      <c r="X310" s="3"/>
      <c r="Y310" s="3"/>
      <c r="Z310" s="3"/>
    </row>
    <row r="311" spans="1:26" s="711" customFormat="1" ht="14.25" customHeight="1">
      <c r="A311" s="719">
        <v>30</v>
      </c>
      <c r="B311" s="716" t="s">
        <v>1484</v>
      </c>
      <c r="C311" s="719" t="s">
        <v>121</v>
      </c>
      <c r="D311" s="737">
        <v>10</v>
      </c>
      <c r="E311" s="737">
        <v>0.95</v>
      </c>
      <c r="F311" s="738">
        <f t="shared" si="124"/>
        <v>9.5</v>
      </c>
      <c r="G311" s="738">
        <f t="shared" si="122"/>
        <v>0.47500000000000003</v>
      </c>
      <c r="H311" s="738">
        <f t="shared" si="123"/>
        <v>9.9749999999999996</v>
      </c>
      <c r="I311" s="718"/>
      <c r="J311" s="718"/>
      <c r="K311" s="718"/>
      <c r="L311" s="718"/>
      <c r="M311" s="3"/>
      <c r="N311" s="3"/>
      <c r="O311" s="3"/>
      <c r="P311" s="3"/>
      <c r="Q311" s="3"/>
      <c r="R311" s="3"/>
      <c r="S311" s="3"/>
      <c r="T311" s="3"/>
      <c r="U311" s="3"/>
      <c r="V311" s="3"/>
      <c r="W311" s="3"/>
      <c r="X311" s="3"/>
      <c r="Y311" s="3"/>
      <c r="Z311" s="3"/>
    </row>
    <row r="312" spans="1:26" s="711" customFormat="1" ht="14.25" customHeight="1">
      <c r="A312" s="719">
        <v>31</v>
      </c>
      <c r="B312" s="716" t="s">
        <v>1485</v>
      </c>
      <c r="C312" s="719" t="s">
        <v>121</v>
      </c>
      <c r="D312" s="737">
        <v>90</v>
      </c>
      <c r="E312" s="737">
        <v>0.94</v>
      </c>
      <c r="F312" s="738">
        <f t="shared" si="124"/>
        <v>84.6</v>
      </c>
      <c r="G312" s="738">
        <f t="shared" si="122"/>
        <v>4.2299999999999995</v>
      </c>
      <c r="H312" s="738">
        <f t="shared" si="123"/>
        <v>88.83</v>
      </c>
      <c r="I312" s="718"/>
      <c r="J312" s="718"/>
      <c r="K312" s="718"/>
      <c r="L312" s="718"/>
      <c r="M312" s="3"/>
      <c r="N312" s="3"/>
      <c r="O312" s="3"/>
      <c r="P312" s="3"/>
      <c r="Q312" s="3"/>
      <c r="R312" s="3"/>
      <c r="S312" s="3"/>
      <c r="T312" s="3"/>
      <c r="U312" s="3"/>
      <c r="V312" s="3"/>
      <c r="W312" s="3"/>
      <c r="X312" s="3"/>
      <c r="Y312" s="3"/>
      <c r="Z312" s="3"/>
    </row>
    <row r="313" spans="1:26" s="711" customFormat="1" ht="14.25" customHeight="1">
      <c r="A313" s="719">
        <v>32</v>
      </c>
      <c r="B313" s="716" t="s">
        <v>1486</v>
      </c>
      <c r="C313" s="719" t="s">
        <v>121</v>
      </c>
      <c r="D313" s="737">
        <v>3</v>
      </c>
      <c r="E313" s="737">
        <v>3</v>
      </c>
      <c r="F313" s="738">
        <f t="shared" si="124"/>
        <v>9</v>
      </c>
      <c r="G313" s="738">
        <f t="shared" si="122"/>
        <v>0.45</v>
      </c>
      <c r="H313" s="738">
        <f t="shared" si="123"/>
        <v>9.4499999999999993</v>
      </c>
      <c r="I313" s="718"/>
      <c r="J313" s="718"/>
      <c r="K313" s="718"/>
      <c r="L313" s="718"/>
      <c r="M313" s="3"/>
      <c r="N313" s="3"/>
      <c r="O313" s="3"/>
      <c r="P313" s="3"/>
      <c r="Q313" s="3"/>
      <c r="R313" s="3"/>
      <c r="S313" s="3"/>
      <c r="T313" s="3"/>
      <c r="U313" s="3"/>
      <c r="V313" s="3"/>
      <c r="W313" s="3"/>
      <c r="X313" s="3"/>
      <c r="Y313" s="3"/>
      <c r="Z313" s="3"/>
    </row>
    <row r="314" spans="1:26" s="711" customFormat="1" ht="14.25" customHeight="1">
      <c r="A314" s="719">
        <v>33</v>
      </c>
      <c r="B314" s="716" t="s">
        <v>1487</v>
      </c>
      <c r="C314" s="719" t="s">
        <v>121</v>
      </c>
      <c r="D314" s="737">
        <v>8</v>
      </c>
      <c r="E314" s="737">
        <v>4.5</v>
      </c>
      <c r="F314" s="738">
        <f t="shared" si="124"/>
        <v>36</v>
      </c>
      <c r="G314" s="738">
        <f t="shared" si="122"/>
        <v>1.8</v>
      </c>
      <c r="H314" s="738">
        <f t="shared" si="123"/>
        <v>37.799999999999997</v>
      </c>
      <c r="I314" s="718"/>
      <c r="J314" s="718"/>
      <c r="K314" s="718"/>
      <c r="L314" s="718"/>
      <c r="M314" s="3"/>
      <c r="N314" s="3"/>
      <c r="O314" s="3"/>
      <c r="P314" s="3"/>
      <c r="Q314" s="3"/>
      <c r="R314" s="3"/>
      <c r="S314" s="3"/>
      <c r="T314" s="3"/>
      <c r="U314" s="3"/>
      <c r="V314" s="3"/>
      <c r="W314" s="3"/>
      <c r="X314" s="3"/>
      <c r="Y314" s="3"/>
      <c r="Z314" s="3"/>
    </row>
    <row r="315" spans="1:26" s="711" customFormat="1" ht="14.25" customHeight="1">
      <c r="A315" s="719">
        <v>34</v>
      </c>
      <c r="B315" s="716" t="s">
        <v>1442</v>
      </c>
      <c r="C315" s="719" t="s">
        <v>121</v>
      </c>
      <c r="D315" s="737">
        <v>480</v>
      </c>
      <c r="E315" s="737">
        <v>0.09</v>
      </c>
      <c r="F315" s="738">
        <f t="shared" si="124"/>
        <v>43.199999999999996</v>
      </c>
      <c r="G315" s="738">
        <f t="shared" si="122"/>
        <v>2.1599999999999997</v>
      </c>
      <c r="H315" s="738">
        <f t="shared" si="123"/>
        <v>45.359999999999992</v>
      </c>
      <c r="I315" s="718"/>
      <c r="J315" s="718"/>
      <c r="K315" s="718"/>
      <c r="L315" s="718"/>
      <c r="M315" s="3"/>
      <c r="N315" s="3"/>
      <c r="O315" s="3"/>
      <c r="P315" s="3"/>
      <c r="Q315" s="3"/>
      <c r="R315" s="3"/>
      <c r="S315" s="3"/>
      <c r="T315" s="3"/>
      <c r="U315" s="3"/>
      <c r="V315" s="3"/>
      <c r="W315" s="3"/>
      <c r="X315" s="3"/>
      <c r="Y315" s="3"/>
      <c r="Z315" s="3"/>
    </row>
    <row r="316" spans="1:26" s="711" customFormat="1" ht="14.25" customHeight="1">
      <c r="A316" s="719">
        <v>35</v>
      </c>
      <c r="B316" s="716" t="s">
        <v>1443</v>
      </c>
      <c r="C316" s="719" t="s">
        <v>121</v>
      </c>
      <c r="D316" s="737">
        <v>110</v>
      </c>
      <c r="E316" s="737">
        <v>0.09</v>
      </c>
      <c r="F316" s="738">
        <f t="shared" si="124"/>
        <v>9.9</v>
      </c>
      <c r="G316" s="738">
        <f t="shared" si="122"/>
        <v>0.49500000000000005</v>
      </c>
      <c r="H316" s="738">
        <f t="shared" si="123"/>
        <v>10.395</v>
      </c>
      <c r="I316" s="718"/>
      <c r="J316" s="718"/>
      <c r="K316" s="718"/>
      <c r="L316" s="718"/>
      <c r="M316" s="3"/>
      <c r="N316" s="3"/>
      <c r="O316" s="3"/>
      <c r="P316" s="3"/>
      <c r="Q316" s="3"/>
      <c r="R316" s="3"/>
      <c r="S316" s="3"/>
      <c r="T316" s="3"/>
      <c r="U316" s="3"/>
      <c r="V316" s="3"/>
      <c r="W316" s="3"/>
      <c r="X316" s="3"/>
      <c r="Y316" s="3"/>
      <c r="Z316" s="3"/>
    </row>
    <row r="317" spans="1:26" s="711" customFormat="1" ht="14.25" customHeight="1">
      <c r="A317" s="719">
        <v>36</v>
      </c>
      <c r="B317" s="716" t="s">
        <v>1496</v>
      </c>
      <c r="C317" s="719" t="s">
        <v>121</v>
      </c>
      <c r="D317" s="737">
        <v>56</v>
      </c>
      <c r="E317" s="737">
        <v>0.13</v>
      </c>
      <c r="F317" s="738">
        <f t="shared" si="124"/>
        <v>7.28</v>
      </c>
      <c r="G317" s="738">
        <f t="shared" si="122"/>
        <v>0.36400000000000005</v>
      </c>
      <c r="H317" s="738">
        <f t="shared" si="123"/>
        <v>7.6440000000000001</v>
      </c>
      <c r="I317" s="718"/>
      <c r="J317" s="718"/>
      <c r="K317" s="718"/>
      <c r="L317" s="718"/>
      <c r="M317" s="3"/>
      <c r="N317" s="3"/>
      <c r="O317" s="3"/>
      <c r="P317" s="3"/>
      <c r="Q317" s="3"/>
      <c r="R317" s="3"/>
      <c r="S317" s="3"/>
      <c r="T317" s="3"/>
      <c r="U317" s="3"/>
      <c r="V317" s="3"/>
      <c r="W317" s="3"/>
      <c r="X317" s="3"/>
      <c r="Y317" s="3"/>
      <c r="Z317" s="3"/>
    </row>
    <row r="318" spans="1:26" s="711" customFormat="1" ht="14.25" customHeight="1">
      <c r="A318" s="719">
        <v>37</v>
      </c>
      <c r="B318" s="716" t="s">
        <v>1497</v>
      </c>
      <c r="C318" s="719" t="s">
        <v>121</v>
      </c>
      <c r="D318" s="737">
        <v>80</v>
      </c>
      <c r="E318" s="737">
        <v>0.23</v>
      </c>
      <c r="F318" s="738">
        <f t="shared" si="124"/>
        <v>18.400000000000002</v>
      </c>
      <c r="G318" s="738">
        <f t="shared" si="122"/>
        <v>0.92000000000000015</v>
      </c>
      <c r="H318" s="738">
        <f t="shared" si="123"/>
        <v>19.320000000000004</v>
      </c>
      <c r="I318" s="718"/>
      <c r="J318" s="718"/>
      <c r="K318" s="718"/>
      <c r="L318" s="718"/>
      <c r="M318" s="3"/>
      <c r="N318" s="3"/>
      <c r="O318" s="3"/>
      <c r="P318" s="3"/>
      <c r="Q318" s="3"/>
      <c r="R318" s="3"/>
      <c r="S318" s="3"/>
      <c r="T318" s="3"/>
      <c r="U318" s="3"/>
      <c r="V318" s="3"/>
      <c r="W318" s="3"/>
      <c r="X318" s="3"/>
      <c r="Y318" s="3"/>
      <c r="Z318" s="3"/>
    </row>
    <row r="319" spans="1:26" s="711" customFormat="1" ht="14.25" customHeight="1">
      <c r="A319" s="719">
        <v>38</v>
      </c>
      <c r="B319" s="716" t="s">
        <v>1498</v>
      </c>
      <c r="C319" s="719" t="s">
        <v>121</v>
      </c>
      <c r="D319" s="737">
        <v>5</v>
      </c>
      <c r="E319" s="737">
        <v>0.1</v>
      </c>
      <c r="F319" s="738">
        <f t="shared" si="124"/>
        <v>0.5</v>
      </c>
      <c r="G319" s="738">
        <f t="shared" si="122"/>
        <v>2.5000000000000001E-2</v>
      </c>
      <c r="H319" s="738">
        <f t="shared" si="123"/>
        <v>0.52500000000000002</v>
      </c>
      <c r="I319" s="718"/>
      <c r="J319" s="718"/>
      <c r="K319" s="718"/>
      <c r="L319" s="718"/>
      <c r="M319" s="3"/>
      <c r="N319" s="3"/>
      <c r="O319" s="3"/>
      <c r="P319" s="3"/>
      <c r="Q319" s="3"/>
      <c r="R319" s="3"/>
      <c r="S319" s="3"/>
      <c r="T319" s="3"/>
      <c r="U319" s="3"/>
      <c r="V319" s="3"/>
      <c r="W319" s="3"/>
      <c r="X319" s="3"/>
      <c r="Y319" s="3"/>
      <c r="Z319" s="3"/>
    </row>
    <row r="320" spans="1:26" s="711" customFormat="1" ht="14.25" customHeight="1">
      <c r="A320" s="719">
        <v>39</v>
      </c>
      <c r="B320" s="716" t="s">
        <v>1499</v>
      </c>
      <c r="C320" s="719" t="s">
        <v>121</v>
      </c>
      <c r="D320" s="737">
        <v>3</v>
      </c>
      <c r="E320" s="737">
        <v>1.2</v>
      </c>
      <c r="F320" s="738">
        <f t="shared" si="124"/>
        <v>3.5999999999999996</v>
      </c>
      <c r="G320" s="738">
        <f t="shared" si="122"/>
        <v>0.18</v>
      </c>
      <c r="H320" s="738">
        <f t="shared" si="123"/>
        <v>3.78</v>
      </c>
      <c r="I320" s="718"/>
      <c r="J320" s="718"/>
      <c r="K320" s="718"/>
      <c r="L320" s="718"/>
      <c r="M320" s="3"/>
      <c r="N320" s="3"/>
      <c r="O320" s="3"/>
      <c r="P320" s="3"/>
      <c r="Q320" s="3"/>
      <c r="R320" s="3"/>
      <c r="S320" s="3"/>
      <c r="T320" s="3"/>
      <c r="U320" s="3"/>
      <c r="V320" s="3"/>
      <c r="W320" s="3"/>
      <c r="X320" s="3"/>
      <c r="Y320" s="3"/>
      <c r="Z320" s="3"/>
    </row>
    <row r="321" spans="1:26" s="711" customFormat="1" ht="14.25" customHeight="1">
      <c r="A321" s="719">
        <v>40</v>
      </c>
      <c r="B321" s="716" t="s">
        <v>1500</v>
      </c>
      <c r="C321" s="719" t="s">
        <v>121</v>
      </c>
      <c r="D321" s="737">
        <v>108</v>
      </c>
      <c r="E321" s="737">
        <v>2.2999999999999998</v>
      </c>
      <c r="F321" s="738">
        <f t="shared" si="124"/>
        <v>248.39999999999998</v>
      </c>
      <c r="G321" s="738">
        <f t="shared" si="122"/>
        <v>12.42</v>
      </c>
      <c r="H321" s="738">
        <f t="shared" si="123"/>
        <v>260.82</v>
      </c>
      <c r="I321" s="718"/>
      <c r="J321" s="718"/>
      <c r="K321" s="718"/>
      <c r="L321" s="718"/>
      <c r="M321" s="3"/>
      <c r="N321" s="3"/>
      <c r="O321" s="3"/>
      <c r="P321" s="3"/>
      <c r="Q321" s="3"/>
      <c r="R321" s="3"/>
      <c r="S321" s="3"/>
      <c r="T321" s="3"/>
      <c r="U321" s="3"/>
      <c r="V321" s="3"/>
      <c r="W321" s="3"/>
      <c r="X321" s="3"/>
      <c r="Y321" s="3"/>
      <c r="Z321" s="3"/>
    </row>
    <row r="322" spans="1:26" s="711" customFormat="1" ht="14.25" customHeight="1">
      <c r="A322" s="719">
        <v>41</v>
      </c>
      <c r="B322" s="716" t="s">
        <v>1501</v>
      </c>
      <c r="C322" s="719" t="s">
        <v>121</v>
      </c>
      <c r="D322" s="737">
        <v>22</v>
      </c>
      <c r="E322" s="737">
        <v>0.39</v>
      </c>
      <c r="F322" s="738">
        <f t="shared" si="124"/>
        <v>8.58</v>
      </c>
      <c r="G322" s="738">
        <f t="shared" si="122"/>
        <v>0.42900000000000005</v>
      </c>
      <c r="H322" s="738">
        <f t="shared" si="123"/>
        <v>9.0090000000000003</v>
      </c>
      <c r="I322" s="718"/>
      <c r="J322" s="718"/>
      <c r="K322" s="718"/>
      <c r="L322" s="718"/>
      <c r="M322" s="3"/>
      <c r="N322" s="3"/>
      <c r="O322" s="3"/>
      <c r="P322" s="3"/>
      <c r="Q322" s="3"/>
      <c r="R322" s="3"/>
      <c r="S322" s="3"/>
      <c r="T322" s="3"/>
      <c r="U322" s="3"/>
      <c r="V322" s="3"/>
      <c r="W322" s="3"/>
      <c r="X322" s="3"/>
      <c r="Y322" s="3"/>
      <c r="Z322" s="3"/>
    </row>
    <row r="323" spans="1:26" s="711" customFormat="1" ht="14.25" customHeight="1">
      <c r="A323" s="719">
        <v>42</v>
      </c>
      <c r="B323" s="716" t="s">
        <v>1502</v>
      </c>
      <c r="C323" s="719" t="s">
        <v>121</v>
      </c>
      <c r="D323" s="737">
        <v>10</v>
      </c>
      <c r="E323" s="737">
        <v>0.95</v>
      </c>
      <c r="F323" s="738">
        <f t="shared" si="124"/>
        <v>9.5</v>
      </c>
      <c r="G323" s="738">
        <f t="shared" ref="G323:G387" si="125">(F323*5%)</f>
        <v>0.47500000000000003</v>
      </c>
      <c r="H323" s="738">
        <f t="shared" ref="H323:H387" si="126">SUM(F323+G323)</f>
        <v>9.9749999999999996</v>
      </c>
      <c r="I323" s="718"/>
      <c r="J323" s="718"/>
      <c r="K323" s="718"/>
      <c r="L323" s="718"/>
      <c r="M323" s="3"/>
      <c r="N323" s="3"/>
      <c r="O323" s="3"/>
      <c r="P323" s="3"/>
      <c r="Q323" s="3"/>
      <c r="R323" s="3"/>
      <c r="S323" s="3"/>
      <c r="T323" s="3"/>
      <c r="U323" s="3"/>
      <c r="V323" s="3"/>
      <c r="W323" s="3"/>
      <c r="X323" s="3"/>
      <c r="Y323" s="3"/>
      <c r="Z323" s="3"/>
    </row>
    <row r="324" spans="1:26" s="711" customFormat="1" ht="14.25" customHeight="1">
      <c r="A324" s="719">
        <v>43</v>
      </c>
      <c r="B324" s="716" t="s">
        <v>1503</v>
      </c>
      <c r="C324" s="719" t="s">
        <v>121</v>
      </c>
      <c r="D324" s="737">
        <v>99</v>
      </c>
      <c r="E324" s="737">
        <v>1.75</v>
      </c>
      <c r="F324" s="738">
        <f t="shared" si="124"/>
        <v>173.25</v>
      </c>
      <c r="G324" s="738">
        <f t="shared" si="125"/>
        <v>8.6624999999999996</v>
      </c>
      <c r="H324" s="738">
        <f t="shared" si="126"/>
        <v>181.91249999999999</v>
      </c>
      <c r="I324" s="718"/>
      <c r="J324" s="718"/>
      <c r="K324" s="718"/>
      <c r="L324" s="718"/>
      <c r="M324" s="3"/>
      <c r="N324" s="3"/>
      <c r="O324" s="3"/>
      <c r="P324" s="3"/>
      <c r="Q324" s="3"/>
      <c r="R324" s="3"/>
      <c r="S324" s="3"/>
      <c r="T324" s="3"/>
      <c r="U324" s="3"/>
      <c r="V324" s="3"/>
      <c r="W324" s="3"/>
      <c r="X324" s="3"/>
      <c r="Y324" s="3"/>
      <c r="Z324" s="3"/>
    </row>
    <row r="325" spans="1:26" s="711" customFormat="1" ht="14.25" customHeight="1">
      <c r="A325" s="719">
        <v>44</v>
      </c>
      <c r="B325" s="716" t="s">
        <v>1504</v>
      </c>
      <c r="C325" s="719" t="s">
        <v>121</v>
      </c>
      <c r="D325" s="737">
        <v>101</v>
      </c>
      <c r="E325" s="737">
        <v>0.44</v>
      </c>
      <c r="F325" s="738">
        <f t="shared" si="124"/>
        <v>44.44</v>
      </c>
      <c r="G325" s="738">
        <f t="shared" si="125"/>
        <v>2.222</v>
      </c>
      <c r="H325" s="738">
        <f t="shared" si="126"/>
        <v>46.661999999999999</v>
      </c>
      <c r="I325" s="718"/>
      <c r="J325" s="718"/>
      <c r="K325" s="718"/>
      <c r="L325" s="718"/>
      <c r="M325" s="3"/>
      <c r="N325" s="3"/>
      <c r="O325" s="3"/>
      <c r="P325" s="3"/>
      <c r="Q325" s="3"/>
      <c r="R325" s="3"/>
      <c r="S325" s="3"/>
      <c r="T325" s="3"/>
      <c r="U325" s="3"/>
      <c r="V325" s="3"/>
      <c r="W325" s="3"/>
      <c r="X325" s="3"/>
      <c r="Y325" s="3"/>
      <c r="Z325" s="3"/>
    </row>
    <row r="326" spans="1:26" s="711" customFormat="1" ht="14.25" customHeight="1">
      <c r="A326" s="719">
        <v>45</v>
      </c>
      <c r="B326" s="716" t="s">
        <v>1505</v>
      </c>
      <c r="C326" s="719" t="s">
        <v>121</v>
      </c>
      <c r="D326" s="737">
        <v>130</v>
      </c>
      <c r="E326" s="737">
        <v>0.31</v>
      </c>
      <c r="F326" s="738">
        <f t="shared" si="124"/>
        <v>40.299999999999997</v>
      </c>
      <c r="G326" s="738">
        <f t="shared" si="125"/>
        <v>2.0150000000000001</v>
      </c>
      <c r="H326" s="738">
        <f t="shared" si="126"/>
        <v>42.314999999999998</v>
      </c>
      <c r="I326" s="718"/>
      <c r="J326" s="718"/>
      <c r="K326" s="718"/>
      <c r="L326" s="718"/>
      <c r="M326" s="3"/>
      <c r="N326" s="3"/>
      <c r="O326" s="3"/>
      <c r="P326" s="3"/>
      <c r="Q326" s="3"/>
      <c r="R326" s="3"/>
      <c r="S326" s="3"/>
      <c r="T326" s="3"/>
      <c r="U326" s="3"/>
      <c r="V326" s="3"/>
      <c r="W326" s="3"/>
      <c r="X326" s="3"/>
      <c r="Y326" s="3"/>
      <c r="Z326" s="3"/>
    </row>
    <row r="327" spans="1:26" s="711" customFormat="1" ht="14.25" customHeight="1">
      <c r="A327" s="719">
        <v>46</v>
      </c>
      <c r="B327" s="716" t="s">
        <v>1506</v>
      </c>
      <c r="C327" s="719" t="s">
        <v>121</v>
      </c>
      <c r="D327" s="737">
        <v>100</v>
      </c>
      <c r="E327" s="737">
        <v>0.28000000000000003</v>
      </c>
      <c r="F327" s="738">
        <f t="shared" si="124"/>
        <v>28.000000000000004</v>
      </c>
      <c r="G327" s="738">
        <f t="shared" si="125"/>
        <v>1.4000000000000004</v>
      </c>
      <c r="H327" s="738">
        <f t="shared" si="126"/>
        <v>29.400000000000006</v>
      </c>
      <c r="I327" s="718"/>
      <c r="J327" s="718"/>
      <c r="K327" s="718"/>
      <c r="L327" s="718"/>
      <c r="M327" s="3"/>
      <c r="N327" s="3"/>
      <c r="O327" s="3"/>
      <c r="P327" s="3"/>
      <c r="Q327" s="3"/>
      <c r="R327" s="3"/>
      <c r="S327" s="3"/>
      <c r="T327" s="3"/>
      <c r="U327" s="3"/>
      <c r="V327" s="3"/>
      <c r="W327" s="3"/>
      <c r="X327" s="3"/>
      <c r="Y327" s="3"/>
      <c r="Z327" s="3"/>
    </row>
    <row r="328" spans="1:26" s="711" customFormat="1" ht="14.25" customHeight="1">
      <c r="A328" s="719">
        <v>47</v>
      </c>
      <c r="B328" s="716" t="s">
        <v>1507</v>
      </c>
      <c r="C328" s="719" t="s">
        <v>121</v>
      </c>
      <c r="D328" s="737">
        <v>28</v>
      </c>
      <c r="E328" s="737">
        <v>0.17</v>
      </c>
      <c r="F328" s="738">
        <f t="shared" si="124"/>
        <v>4.7600000000000007</v>
      </c>
      <c r="G328" s="738">
        <f t="shared" si="125"/>
        <v>0.23800000000000004</v>
      </c>
      <c r="H328" s="738">
        <f t="shared" si="126"/>
        <v>4.9980000000000011</v>
      </c>
      <c r="I328" s="718"/>
      <c r="J328" s="718"/>
      <c r="K328" s="718"/>
      <c r="L328" s="718"/>
      <c r="M328" s="3"/>
      <c r="N328" s="3"/>
      <c r="O328" s="3"/>
      <c r="P328" s="3"/>
      <c r="Q328" s="3"/>
      <c r="R328" s="3"/>
      <c r="S328" s="3"/>
      <c r="T328" s="3"/>
      <c r="U328" s="3"/>
      <c r="V328" s="3"/>
      <c r="W328" s="3"/>
      <c r="X328" s="3"/>
      <c r="Y328" s="3"/>
      <c r="Z328" s="3"/>
    </row>
    <row r="329" spans="1:26" s="711" customFormat="1" ht="14.25" customHeight="1">
      <c r="A329" s="719">
        <v>48</v>
      </c>
      <c r="B329" s="716" t="s">
        <v>1508</v>
      </c>
      <c r="C329" s="719" t="s">
        <v>121</v>
      </c>
      <c r="D329" s="737">
        <v>52</v>
      </c>
      <c r="E329" s="737">
        <v>0.15</v>
      </c>
      <c r="F329" s="738">
        <f t="shared" si="124"/>
        <v>7.8</v>
      </c>
      <c r="G329" s="738">
        <f t="shared" si="125"/>
        <v>0.39</v>
      </c>
      <c r="H329" s="738">
        <f t="shared" si="126"/>
        <v>8.19</v>
      </c>
      <c r="I329" s="718"/>
      <c r="J329" s="718"/>
      <c r="K329" s="718"/>
      <c r="L329" s="718"/>
      <c r="M329" s="3"/>
      <c r="N329" s="3"/>
      <c r="O329" s="3"/>
      <c r="P329" s="3"/>
      <c r="Q329" s="3"/>
      <c r="R329" s="3"/>
      <c r="S329" s="3"/>
      <c r="T329" s="3"/>
      <c r="U329" s="3"/>
      <c r="V329" s="3"/>
      <c r="W329" s="3"/>
      <c r="X329" s="3"/>
      <c r="Y329" s="3"/>
      <c r="Z329" s="3"/>
    </row>
    <row r="330" spans="1:26" s="711" customFormat="1" ht="14.25" customHeight="1">
      <c r="A330" s="719">
        <v>49</v>
      </c>
      <c r="B330" s="716" t="s">
        <v>1509</v>
      </c>
      <c r="C330" s="719" t="s">
        <v>121</v>
      </c>
      <c r="D330" s="737"/>
      <c r="E330" s="737"/>
      <c r="F330" s="738"/>
      <c r="G330" s="738"/>
      <c r="H330" s="738"/>
      <c r="I330" s="718"/>
      <c r="J330" s="718"/>
      <c r="K330" s="718"/>
      <c r="L330" s="718"/>
      <c r="M330" s="3"/>
      <c r="N330" s="3"/>
      <c r="O330" s="3"/>
      <c r="P330" s="3"/>
      <c r="Q330" s="3"/>
      <c r="R330" s="3"/>
      <c r="S330" s="3"/>
      <c r="T330" s="3"/>
      <c r="U330" s="3"/>
      <c r="V330" s="3"/>
      <c r="W330" s="3"/>
      <c r="X330" s="3"/>
      <c r="Y330" s="3"/>
      <c r="Z330" s="3"/>
    </row>
    <row r="331" spans="1:26" s="711" customFormat="1" ht="14.25" customHeight="1">
      <c r="A331" s="719">
        <v>50</v>
      </c>
      <c r="B331" s="716" t="s">
        <v>1510</v>
      </c>
      <c r="C331" s="719" t="s">
        <v>121</v>
      </c>
      <c r="D331" s="737">
        <v>660</v>
      </c>
      <c r="E331" s="737">
        <v>0.15</v>
      </c>
      <c r="F331" s="738">
        <f t="shared" si="124"/>
        <v>99</v>
      </c>
      <c r="G331" s="738">
        <f t="shared" si="125"/>
        <v>4.95</v>
      </c>
      <c r="H331" s="738">
        <f t="shared" si="126"/>
        <v>103.95</v>
      </c>
      <c r="I331" s="718"/>
      <c r="J331" s="718"/>
      <c r="K331" s="718"/>
      <c r="L331" s="718"/>
      <c r="M331" s="3"/>
      <c r="N331" s="3"/>
      <c r="O331" s="3"/>
      <c r="P331" s="3"/>
      <c r="Q331" s="3"/>
      <c r="R331" s="3"/>
      <c r="S331" s="3"/>
      <c r="T331" s="3"/>
      <c r="U331" s="3"/>
      <c r="V331" s="3"/>
      <c r="W331" s="3"/>
      <c r="X331" s="3"/>
      <c r="Y331" s="3"/>
      <c r="Z331" s="3"/>
    </row>
    <row r="332" spans="1:26" s="711" customFormat="1" ht="14.25" customHeight="1">
      <c r="A332" s="719">
        <v>51</v>
      </c>
      <c r="B332" s="716" t="s">
        <v>1511</v>
      </c>
      <c r="C332" s="719" t="s">
        <v>121</v>
      </c>
      <c r="D332" s="737">
        <v>650</v>
      </c>
      <c r="E332" s="737">
        <v>0.13</v>
      </c>
      <c r="F332" s="738">
        <f t="shared" si="124"/>
        <v>84.5</v>
      </c>
      <c r="G332" s="738">
        <f t="shared" si="125"/>
        <v>4.2250000000000005</v>
      </c>
      <c r="H332" s="738">
        <f t="shared" si="126"/>
        <v>88.724999999999994</v>
      </c>
      <c r="I332" s="718"/>
      <c r="J332" s="718"/>
      <c r="K332" s="718"/>
      <c r="L332" s="718"/>
      <c r="M332" s="3"/>
      <c r="N332" s="3"/>
      <c r="O332" s="3"/>
      <c r="P332" s="3"/>
      <c r="Q332" s="3"/>
      <c r="R332" s="3"/>
      <c r="S332" s="3"/>
      <c r="T332" s="3"/>
      <c r="U332" s="3"/>
      <c r="V332" s="3"/>
      <c r="W332" s="3"/>
      <c r="X332" s="3"/>
      <c r="Y332" s="3"/>
      <c r="Z332" s="3"/>
    </row>
    <row r="333" spans="1:26" s="711" customFormat="1" ht="14.25" customHeight="1">
      <c r="A333" s="719">
        <v>52</v>
      </c>
      <c r="B333" s="716" t="s">
        <v>1512</v>
      </c>
      <c r="C333" s="719" t="s">
        <v>121</v>
      </c>
      <c r="D333" s="737">
        <v>1020</v>
      </c>
      <c r="E333" s="737">
        <v>0.09</v>
      </c>
      <c r="F333" s="738">
        <f t="shared" si="124"/>
        <v>91.8</v>
      </c>
      <c r="G333" s="738">
        <f t="shared" si="125"/>
        <v>4.59</v>
      </c>
      <c r="H333" s="738">
        <f t="shared" si="126"/>
        <v>96.39</v>
      </c>
      <c r="I333" s="718"/>
      <c r="J333" s="718"/>
      <c r="K333" s="718"/>
      <c r="L333" s="718"/>
      <c r="M333" s="3"/>
      <c r="N333" s="3"/>
      <c r="O333" s="3"/>
      <c r="P333" s="3"/>
      <c r="Q333" s="3"/>
      <c r="R333" s="3"/>
      <c r="S333" s="3"/>
      <c r="T333" s="3"/>
      <c r="U333" s="3"/>
      <c r="V333" s="3"/>
      <c r="W333" s="3"/>
      <c r="X333" s="3"/>
      <c r="Y333" s="3"/>
      <c r="Z333" s="3"/>
    </row>
    <row r="334" spans="1:26" s="711" customFormat="1" ht="14.25" customHeight="1">
      <c r="A334" s="719">
        <v>53</v>
      </c>
      <c r="B334" s="716" t="s">
        <v>1513</v>
      </c>
      <c r="C334" s="719" t="s">
        <v>121</v>
      </c>
      <c r="D334" s="737">
        <v>418</v>
      </c>
      <c r="E334" s="737">
        <v>0.09</v>
      </c>
      <c r="F334" s="738">
        <f t="shared" si="124"/>
        <v>37.619999999999997</v>
      </c>
      <c r="G334" s="738">
        <f t="shared" si="125"/>
        <v>1.881</v>
      </c>
      <c r="H334" s="738">
        <f t="shared" si="126"/>
        <v>39.500999999999998</v>
      </c>
      <c r="I334" s="718"/>
      <c r="J334" s="718"/>
      <c r="K334" s="718"/>
      <c r="L334" s="718"/>
      <c r="M334" s="3"/>
      <c r="N334" s="3"/>
      <c r="O334" s="3"/>
      <c r="P334" s="3"/>
      <c r="Q334" s="3"/>
      <c r="R334" s="3"/>
      <c r="S334" s="3"/>
      <c r="T334" s="3"/>
      <c r="U334" s="3"/>
      <c r="V334" s="3"/>
      <c r="W334" s="3"/>
      <c r="X334" s="3"/>
      <c r="Y334" s="3"/>
      <c r="Z334" s="3"/>
    </row>
    <row r="335" spans="1:26" s="711" customFormat="1" ht="14.25" customHeight="1">
      <c r="A335" s="719">
        <v>54</v>
      </c>
      <c r="B335" s="716" t="s">
        <v>1514</v>
      </c>
      <c r="C335" s="719" t="s">
        <v>121</v>
      </c>
      <c r="D335" s="737">
        <v>438</v>
      </c>
      <c r="E335" s="737">
        <v>0.13</v>
      </c>
      <c r="F335" s="738">
        <f t="shared" si="124"/>
        <v>56.940000000000005</v>
      </c>
      <c r="G335" s="738">
        <f t="shared" si="125"/>
        <v>2.8470000000000004</v>
      </c>
      <c r="H335" s="738">
        <f t="shared" si="126"/>
        <v>59.787000000000006</v>
      </c>
      <c r="I335" s="718"/>
      <c r="J335" s="718"/>
      <c r="K335" s="718"/>
      <c r="L335" s="718"/>
      <c r="M335" s="3"/>
      <c r="N335" s="3"/>
      <c r="O335" s="3"/>
      <c r="P335" s="3"/>
      <c r="Q335" s="3"/>
      <c r="R335" s="3"/>
      <c r="S335" s="3"/>
      <c r="T335" s="3"/>
      <c r="U335" s="3"/>
      <c r="V335" s="3"/>
      <c r="W335" s="3"/>
      <c r="X335" s="3"/>
      <c r="Y335" s="3"/>
      <c r="Z335" s="3"/>
    </row>
    <row r="336" spans="1:26" s="711" customFormat="1" ht="14.25" customHeight="1">
      <c r="A336" s="719">
        <v>55</v>
      </c>
      <c r="B336" s="716" t="s">
        <v>1515</v>
      </c>
      <c r="C336" s="719" t="s">
        <v>121</v>
      </c>
      <c r="D336" s="737">
        <v>632</v>
      </c>
      <c r="E336" s="737">
        <v>0.47</v>
      </c>
      <c r="F336" s="738">
        <f t="shared" si="124"/>
        <v>297.03999999999996</v>
      </c>
      <c r="G336" s="738">
        <f t="shared" si="125"/>
        <v>14.851999999999999</v>
      </c>
      <c r="H336" s="738">
        <f t="shared" si="126"/>
        <v>311.89199999999994</v>
      </c>
      <c r="I336" s="718"/>
      <c r="J336" s="718"/>
      <c r="K336" s="718"/>
      <c r="L336" s="718"/>
      <c r="M336" s="3"/>
      <c r="N336" s="3"/>
      <c r="O336" s="3"/>
      <c r="P336" s="3"/>
      <c r="Q336" s="3"/>
      <c r="R336" s="3"/>
      <c r="S336" s="3"/>
      <c r="T336" s="3"/>
      <c r="U336" s="3"/>
      <c r="V336" s="3"/>
      <c r="W336" s="3"/>
      <c r="X336" s="3"/>
      <c r="Y336" s="3"/>
      <c r="Z336" s="3"/>
    </row>
    <row r="337" spans="1:26" s="711" customFormat="1" ht="14.25" customHeight="1">
      <c r="A337" s="719">
        <v>56</v>
      </c>
      <c r="B337" s="716" t="s">
        <v>1516</v>
      </c>
      <c r="C337" s="719" t="s">
        <v>121</v>
      </c>
      <c r="D337" s="737">
        <v>120</v>
      </c>
      <c r="E337" s="737">
        <v>0.6</v>
      </c>
      <c r="F337" s="738">
        <f t="shared" si="124"/>
        <v>72</v>
      </c>
      <c r="G337" s="738">
        <f t="shared" si="125"/>
        <v>3.6</v>
      </c>
      <c r="H337" s="738">
        <f t="shared" si="126"/>
        <v>75.599999999999994</v>
      </c>
      <c r="I337" s="718"/>
      <c r="J337" s="718"/>
      <c r="K337" s="718"/>
      <c r="L337" s="718"/>
      <c r="M337" s="3"/>
      <c r="N337" s="3"/>
      <c r="O337" s="3"/>
      <c r="P337" s="3"/>
      <c r="Q337" s="3"/>
      <c r="R337" s="3"/>
      <c r="S337" s="3"/>
      <c r="T337" s="3"/>
      <c r="U337" s="3"/>
      <c r="V337" s="3"/>
      <c r="W337" s="3"/>
      <c r="X337" s="3"/>
      <c r="Y337" s="3"/>
      <c r="Z337" s="3"/>
    </row>
    <row r="338" spans="1:26" s="711" customFormat="1" ht="14.25" customHeight="1">
      <c r="A338" s="719">
        <v>57</v>
      </c>
      <c r="B338" s="716" t="s">
        <v>1517</v>
      </c>
      <c r="C338" s="719" t="s">
        <v>121</v>
      </c>
      <c r="D338" s="737">
        <v>380</v>
      </c>
      <c r="E338" s="737">
        <v>0.19</v>
      </c>
      <c r="F338" s="738">
        <f t="shared" si="124"/>
        <v>72.2</v>
      </c>
      <c r="G338" s="738">
        <f t="shared" si="125"/>
        <v>3.6100000000000003</v>
      </c>
      <c r="H338" s="738">
        <f t="shared" si="126"/>
        <v>75.81</v>
      </c>
      <c r="I338" s="718"/>
      <c r="J338" s="718"/>
      <c r="K338" s="718"/>
      <c r="L338" s="718"/>
      <c r="M338" s="3"/>
      <c r="N338" s="3"/>
      <c r="O338" s="3"/>
      <c r="P338" s="3"/>
      <c r="Q338" s="3"/>
      <c r="R338" s="3"/>
      <c r="S338" s="3"/>
      <c r="T338" s="3"/>
      <c r="U338" s="3"/>
      <c r="V338" s="3"/>
      <c r="W338" s="3"/>
      <c r="X338" s="3"/>
      <c r="Y338" s="3"/>
      <c r="Z338" s="3"/>
    </row>
    <row r="339" spans="1:26" s="711" customFormat="1" ht="14.25" customHeight="1">
      <c r="A339" s="719">
        <v>58</v>
      </c>
      <c r="B339" s="716" t="s">
        <v>1518</v>
      </c>
      <c r="C339" s="719" t="s">
        <v>121</v>
      </c>
      <c r="D339" s="737">
        <v>112</v>
      </c>
      <c r="E339" s="737">
        <v>0.18</v>
      </c>
      <c r="F339" s="738">
        <f t="shared" si="124"/>
        <v>20.16</v>
      </c>
      <c r="G339" s="738">
        <f t="shared" si="125"/>
        <v>1.008</v>
      </c>
      <c r="H339" s="738">
        <f t="shared" si="126"/>
        <v>21.167999999999999</v>
      </c>
      <c r="I339" s="718"/>
      <c r="J339" s="718"/>
      <c r="K339" s="718"/>
      <c r="L339" s="718"/>
      <c r="M339" s="3"/>
      <c r="N339" s="3"/>
      <c r="O339" s="3"/>
      <c r="P339" s="3"/>
      <c r="Q339" s="3"/>
      <c r="R339" s="3"/>
      <c r="S339" s="3"/>
      <c r="T339" s="3"/>
      <c r="U339" s="3"/>
      <c r="V339" s="3"/>
      <c r="W339" s="3"/>
      <c r="X339" s="3"/>
      <c r="Y339" s="3"/>
      <c r="Z339" s="3"/>
    </row>
    <row r="340" spans="1:26" s="711" customFormat="1" ht="14.25" customHeight="1">
      <c r="A340" s="719">
        <v>59</v>
      </c>
      <c r="B340" s="716" t="s">
        <v>1519</v>
      </c>
      <c r="C340" s="719" t="s">
        <v>121</v>
      </c>
      <c r="D340" s="737">
        <v>112</v>
      </c>
      <c r="E340" s="737">
        <v>0.2</v>
      </c>
      <c r="F340" s="738">
        <f t="shared" si="124"/>
        <v>22.400000000000002</v>
      </c>
      <c r="G340" s="738">
        <f t="shared" si="125"/>
        <v>1.1200000000000001</v>
      </c>
      <c r="H340" s="738">
        <f t="shared" si="126"/>
        <v>23.520000000000003</v>
      </c>
      <c r="I340" s="718"/>
      <c r="J340" s="718"/>
      <c r="K340" s="718"/>
      <c r="L340" s="718"/>
      <c r="M340" s="3"/>
      <c r="N340" s="3"/>
      <c r="O340" s="3"/>
      <c r="P340" s="3"/>
      <c r="Q340" s="3"/>
      <c r="R340" s="3"/>
      <c r="S340" s="3"/>
      <c r="T340" s="3"/>
      <c r="U340" s="3"/>
      <c r="V340" s="3"/>
      <c r="W340" s="3"/>
      <c r="X340" s="3"/>
      <c r="Y340" s="3"/>
      <c r="Z340" s="3"/>
    </row>
    <row r="341" spans="1:26" s="711" customFormat="1" ht="14.25" customHeight="1">
      <c r="A341" s="719">
        <v>60</v>
      </c>
      <c r="B341" s="716" t="s">
        <v>1520</v>
      </c>
      <c r="C341" s="719" t="s">
        <v>121</v>
      </c>
      <c r="D341" s="737"/>
      <c r="E341" s="737"/>
      <c r="F341" s="738">
        <f t="shared" si="124"/>
        <v>0</v>
      </c>
      <c r="G341" s="738">
        <f t="shared" si="125"/>
        <v>0</v>
      </c>
      <c r="H341" s="738">
        <f t="shared" si="126"/>
        <v>0</v>
      </c>
      <c r="I341" s="718"/>
      <c r="J341" s="718"/>
      <c r="K341" s="718"/>
      <c r="L341" s="718"/>
      <c r="M341" s="3"/>
      <c r="N341" s="3"/>
      <c r="O341" s="3"/>
      <c r="P341" s="3"/>
      <c r="Q341" s="3"/>
      <c r="R341" s="3"/>
      <c r="S341" s="3"/>
      <c r="T341" s="3"/>
      <c r="U341" s="3"/>
      <c r="V341" s="3"/>
      <c r="W341" s="3"/>
      <c r="X341" s="3"/>
      <c r="Y341" s="3"/>
      <c r="Z341" s="3"/>
    </row>
    <row r="342" spans="1:26" s="711" customFormat="1" ht="14.25" customHeight="1">
      <c r="A342" s="719">
        <v>61</v>
      </c>
      <c r="B342" s="716" t="s">
        <v>1521</v>
      </c>
      <c r="C342" s="719" t="s">
        <v>121</v>
      </c>
      <c r="D342" s="737">
        <v>8</v>
      </c>
      <c r="E342" s="737">
        <v>0.95</v>
      </c>
      <c r="F342" s="738">
        <f t="shared" si="124"/>
        <v>7.6</v>
      </c>
      <c r="G342" s="738">
        <f t="shared" si="125"/>
        <v>0.38</v>
      </c>
      <c r="H342" s="738">
        <f t="shared" si="126"/>
        <v>7.9799999999999995</v>
      </c>
      <c r="I342" s="718"/>
      <c r="J342" s="718"/>
      <c r="K342" s="718"/>
      <c r="L342" s="718"/>
      <c r="M342" s="3"/>
      <c r="N342" s="3"/>
      <c r="O342" s="3"/>
      <c r="P342" s="3"/>
      <c r="Q342" s="3"/>
      <c r="R342" s="3"/>
      <c r="S342" s="3"/>
      <c r="T342" s="3"/>
      <c r="U342" s="3"/>
      <c r="V342" s="3"/>
      <c r="W342" s="3"/>
      <c r="X342" s="3"/>
      <c r="Y342" s="3"/>
      <c r="Z342" s="3"/>
    </row>
    <row r="343" spans="1:26" s="711" customFormat="1" ht="14.25" customHeight="1">
      <c r="A343" s="719">
        <v>62</v>
      </c>
      <c r="B343" s="716" t="s">
        <v>1522</v>
      </c>
      <c r="C343" s="719" t="s">
        <v>121</v>
      </c>
      <c r="D343" s="737">
        <v>34</v>
      </c>
      <c r="E343" s="737">
        <v>0.08</v>
      </c>
      <c r="F343" s="738">
        <f t="shared" si="124"/>
        <v>2.72</v>
      </c>
      <c r="G343" s="738">
        <f t="shared" si="125"/>
        <v>0.13600000000000001</v>
      </c>
      <c r="H343" s="738">
        <f t="shared" si="126"/>
        <v>2.8560000000000003</v>
      </c>
      <c r="I343" s="718"/>
      <c r="J343" s="718"/>
      <c r="K343" s="718"/>
      <c r="L343" s="718"/>
      <c r="M343" s="3"/>
      <c r="N343" s="3"/>
      <c r="O343" s="3"/>
      <c r="P343" s="3"/>
      <c r="Q343" s="3"/>
      <c r="R343" s="3"/>
      <c r="S343" s="3"/>
      <c r="T343" s="3"/>
      <c r="U343" s="3"/>
      <c r="V343" s="3"/>
      <c r="W343" s="3"/>
      <c r="X343" s="3"/>
      <c r="Y343" s="3"/>
      <c r="Z343" s="3"/>
    </row>
    <row r="344" spans="1:26" s="711" customFormat="1" ht="14.25" customHeight="1">
      <c r="A344" s="719">
        <v>63</v>
      </c>
      <c r="B344" s="716" t="s">
        <v>1523</v>
      </c>
      <c r="C344" s="719" t="s">
        <v>121</v>
      </c>
      <c r="D344" s="737"/>
      <c r="E344" s="737"/>
      <c r="F344" s="738">
        <f t="shared" si="124"/>
        <v>0</v>
      </c>
      <c r="G344" s="738">
        <f t="shared" si="125"/>
        <v>0</v>
      </c>
      <c r="H344" s="738">
        <f t="shared" si="126"/>
        <v>0</v>
      </c>
      <c r="I344" s="718"/>
      <c r="J344" s="718"/>
      <c r="K344" s="718"/>
      <c r="L344" s="718"/>
      <c r="M344" s="3"/>
      <c r="N344" s="3"/>
      <c r="O344" s="3"/>
      <c r="P344" s="3"/>
      <c r="Q344" s="3"/>
      <c r="R344" s="3"/>
      <c r="S344" s="3"/>
      <c r="T344" s="3"/>
      <c r="U344" s="3"/>
      <c r="V344" s="3"/>
      <c r="W344" s="3"/>
      <c r="X344" s="3"/>
      <c r="Y344" s="3"/>
      <c r="Z344" s="3"/>
    </row>
    <row r="345" spans="1:26" s="711" customFormat="1" ht="14.25" customHeight="1">
      <c r="A345" s="719">
        <v>64</v>
      </c>
      <c r="B345" s="716" t="s">
        <v>1524</v>
      </c>
      <c r="C345" s="719" t="s">
        <v>121</v>
      </c>
      <c r="D345" s="737">
        <v>34</v>
      </c>
      <c r="E345" s="737">
        <v>0.4</v>
      </c>
      <c r="F345" s="738">
        <f t="shared" si="124"/>
        <v>13.600000000000001</v>
      </c>
      <c r="G345" s="738">
        <f t="shared" si="125"/>
        <v>0.68000000000000016</v>
      </c>
      <c r="H345" s="738">
        <f t="shared" si="126"/>
        <v>14.280000000000001</v>
      </c>
      <c r="I345" s="718"/>
      <c r="J345" s="718"/>
      <c r="K345" s="718"/>
      <c r="L345" s="718"/>
      <c r="M345" s="3"/>
      <c r="N345" s="3"/>
      <c r="O345" s="3"/>
      <c r="P345" s="3"/>
      <c r="Q345" s="3"/>
      <c r="R345" s="3"/>
      <c r="S345" s="3"/>
      <c r="T345" s="3"/>
      <c r="U345" s="3"/>
      <c r="V345" s="3"/>
      <c r="W345" s="3"/>
      <c r="X345" s="3"/>
      <c r="Y345" s="3"/>
      <c r="Z345" s="3"/>
    </row>
    <row r="346" spans="1:26" s="711" customFormat="1" ht="14.25" customHeight="1">
      <c r="A346" s="719">
        <v>65</v>
      </c>
      <c r="B346" s="716" t="s">
        <v>1525</v>
      </c>
      <c r="C346" s="719" t="s">
        <v>121</v>
      </c>
      <c r="D346" s="737">
        <v>138</v>
      </c>
      <c r="E346" s="737">
        <v>0.4</v>
      </c>
      <c r="F346" s="738">
        <f t="shared" ref="F346:F382" si="127">(D346*E346)</f>
        <v>55.2</v>
      </c>
      <c r="G346" s="738">
        <f t="shared" si="125"/>
        <v>2.7600000000000002</v>
      </c>
      <c r="H346" s="738">
        <f t="shared" si="126"/>
        <v>57.96</v>
      </c>
      <c r="I346" s="718"/>
      <c r="J346" s="718"/>
      <c r="K346" s="718"/>
      <c r="L346" s="718"/>
      <c r="M346" s="3"/>
      <c r="N346" s="3"/>
      <c r="O346" s="3"/>
      <c r="P346" s="3"/>
      <c r="Q346" s="3"/>
      <c r="R346" s="3"/>
      <c r="S346" s="3"/>
      <c r="T346" s="3"/>
      <c r="U346" s="3"/>
      <c r="V346" s="3"/>
      <c r="W346" s="3"/>
      <c r="X346" s="3"/>
      <c r="Y346" s="3"/>
      <c r="Z346" s="3"/>
    </row>
    <row r="347" spans="1:26" s="711" customFormat="1" ht="14.25" customHeight="1">
      <c r="A347" s="719">
        <v>66</v>
      </c>
      <c r="B347" s="716" t="s">
        <v>1526</v>
      </c>
      <c r="C347" s="719" t="s">
        <v>121</v>
      </c>
      <c r="D347" s="737">
        <v>80</v>
      </c>
      <c r="E347" s="737">
        <v>0.35</v>
      </c>
      <c r="F347" s="738">
        <f t="shared" si="127"/>
        <v>28</v>
      </c>
      <c r="G347" s="738">
        <f t="shared" si="125"/>
        <v>1.4000000000000001</v>
      </c>
      <c r="H347" s="738">
        <f t="shared" si="126"/>
        <v>29.4</v>
      </c>
      <c r="I347" s="718"/>
      <c r="J347" s="718"/>
      <c r="K347" s="718"/>
      <c r="L347" s="718"/>
      <c r="M347" s="3"/>
      <c r="N347" s="3"/>
      <c r="O347" s="3"/>
      <c r="P347" s="3"/>
      <c r="Q347" s="3"/>
      <c r="R347" s="3"/>
      <c r="S347" s="3"/>
      <c r="T347" s="3"/>
      <c r="U347" s="3"/>
      <c r="V347" s="3"/>
      <c r="W347" s="3"/>
      <c r="X347" s="3"/>
      <c r="Y347" s="3"/>
      <c r="Z347" s="3"/>
    </row>
    <row r="348" spans="1:26" s="711" customFormat="1" ht="14.25" customHeight="1">
      <c r="A348" s="719">
        <v>67</v>
      </c>
      <c r="B348" s="716" t="s">
        <v>1527</v>
      </c>
      <c r="C348" s="719" t="s">
        <v>121</v>
      </c>
      <c r="D348" s="737">
        <v>32</v>
      </c>
      <c r="E348" s="737">
        <v>0.22</v>
      </c>
      <c r="F348" s="738">
        <f t="shared" si="127"/>
        <v>7.04</v>
      </c>
      <c r="G348" s="738">
        <f t="shared" si="125"/>
        <v>0.35200000000000004</v>
      </c>
      <c r="H348" s="738">
        <f t="shared" si="126"/>
        <v>7.3920000000000003</v>
      </c>
      <c r="I348" s="718"/>
      <c r="J348" s="718"/>
      <c r="K348" s="718"/>
      <c r="L348" s="718"/>
      <c r="M348" s="3"/>
      <c r="N348" s="3"/>
      <c r="O348" s="3"/>
      <c r="P348" s="3"/>
      <c r="Q348" s="3"/>
      <c r="R348" s="3"/>
      <c r="S348" s="3"/>
      <c r="T348" s="3"/>
      <c r="U348" s="3"/>
      <c r="V348" s="3"/>
      <c r="W348" s="3"/>
      <c r="X348" s="3"/>
      <c r="Y348" s="3"/>
      <c r="Z348" s="3"/>
    </row>
    <row r="349" spans="1:26" s="711" customFormat="1" ht="14.25" customHeight="1">
      <c r="A349" s="719">
        <v>68</v>
      </c>
      <c r="B349" s="716" t="s">
        <v>1528</v>
      </c>
      <c r="C349" s="719" t="s">
        <v>121</v>
      </c>
      <c r="D349" s="737">
        <v>69</v>
      </c>
      <c r="E349" s="737">
        <v>0.2</v>
      </c>
      <c r="F349" s="738">
        <f t="shared" si="127"/>
        <v>13.8</v>
      </c>
      <c r="G349" s="738">
        <f t="shared" si="125"/>
        <v>0.69000000000000006</v>
      </c>
      <c r="H349" s="738">
        <f t="shared" si="126"/>
        <v>14.49</v>
      </c>
      <c r="I349" s="718"/>
      <c r="J349" s="718"/>
      <c r="K349" s="718"/>
      <c r="L349" s="718"/>
      <c r="M349" s="3"/>
      <c r="N349" s="3"/>
      <c r="O349" s="3"/>
      <c r="P349" s="3"/>
      <c r="Q349" s="3"/>
      <c r="R349" s="3"/>
      <c r="S349" s="3"/>
      <c r="T349" s="3"/>
      <c r="U349" s="3"/>
      <c r="V349" s="3"/>
      <c r="W349" s="3"/>
      <c r="X349" s="3"/>
      <c r="Y349" s="3"/>
      <c r="Z349" s="3"/>
    </row>
    <row r="350" spans="1:26" s="711" customFormat="1" ht="14.25" customHeight="1">
      <c r="A350" s="719">
        <v>69</v>
      </c>
      <c r="B350" s="716" t="s">
        <v>1529</v>
      </c>
      <c r="C350" s="719" t="s">
        <v>121</v>
      </c>
      <c r="D350" s="737">
        <v>38</v>
      </c>
      <c r="E350" s="737">
        <v>9.1</v>
      </c>
      <c r="F350" s="738">
        <f t="shared" si="127"/>
        <v>345.8</v>
      </c>
      <c r="G350" s="738">
        <f t="shared" si="125"/>
        <v>17.290000000000003</v>
      </c>
      <c r="H350" s="738">
        <f t="shared" si="126"/>
        <v>363.09000000000003</v>
      </c>
      <c r="I350" s="718"/>
      <c r="J350" s="718"/>
      <c r="K350" s="718"/>
      <c r="L350" s="718"/>
      <c r="M350" s="3"/>
      <c r="N350" s="3"/>
      <c r="O350" s="3"/>
      <c r="P350" s="3"/>
      <c r="Q350" s="3"/>
      <c r="R350" s="3"/>
      <c r="S350" s="3"/>
      <c r="T350" s="3"/>
      <c r="U350" s="3"/>
      <c r="V350" s="3"/>
      <c r="W350" s="3"/>
      <c r="X350" s="3"/>
      <c r="Y350" s="3"/>
      <c r="Z350" s="3"/>
    </row>
    <row r="351" spans="1:26" s="711" customFormat="1" ht="14.25" customHeight="1">
      <c r="A351" s="719">
        <v>70</v>
      </c>
      <c r="B351" s="716" t="s">
        <v>1531</v>
      </c>
      <c r="C351" s="719" t="s">
        <v>121</v>
      </c>
      <c r="D351" s="737">
        <v>38</v>
      </c>
      <c r="E351" s="737">
        <v>1.17</v>
      </c>
      <c r="F351" s="738">
        <f t="shared" si="127"/>
        <v>44.459999999999994</v>
      </c>
      <c r="G351" s="738">
        <f t="shared" si="125"/>
        <v>2.2229999999999999</v>
      </c>
      <c r="H351" s="738">
        <f t="shared" si="126"/>
        <v>46.682999999999993</v>
      </c>
      <c r="I351" s="718"/>
      <c r="J351" s="718"/>
      <c r="K351" s="718"/>
      <c r="L351" s="718"/>
      <c r="M351" s="3"/>
      <c r="N351" s="3"/>
      <c r="O351" s="3"/>
      <c r="P351" s="3"/>
      <c r="Q351" s="3"/>
      <c r="R351" s="3"/>
      <c r="S351" s="3"/>
      <c r="T351" s="3"/>
      <c r="U351" s="3"/>
      <c r="V351" s="3"/>
      <c r="W351" s="3"/>
      <c r="X351" s="3"/>
      <c r="Y351" s="3"/>
      <c r="Z351" s="3"/>
    </row>
    <row r="352" spans="1:26" s="711" customFormat="1" ht="14.25" customHeight="1">
      <c r="A352" s="719">
        <v>71</v>
      </c>
      <c r="B352" s="716" t="s">
        <v>1530</v>
      </c>
      <c r="C352" s="719" t="s">
        <v>121</v>
      </c>
      <c r="D352" s="737">
        <v>4</v>
      </c>
      <c r="E352" s="737">
        <v>0.99</v>
      </c>
      <c r="F352" s="738">
        <f t="shared" si="127"/>
        <v>3.96</v>
      </c>
      <c r="G352" s="738">
        <f t="shared" si="125"/>
        <v>0.19800000000000001</v>
      </c>
      <c r="H352" s="738">
        <f t="shared" si="126"/>
        <v>4.1580000000000004</v>
      </c>
      <c r="I352" s="718"/>
      <c r="J352" s="718"/>
      <c r="K352" s="718"/>
      <c r="L352" s="718"/>
      <c r="M352" s="3"/>
      <c r="N352" s="3"/>
      <c r="O352" s="3"/>
      <c r="P352" s="3"/>
      <c r="Q352" s="3"/>
      <c r="R352" s="3"/>
      <c r="S352" s="3"/>
      <c r="T352" s="3"/>
      <c r="U352" s="3"/>
      <c r="V352" s="3"/>
      <c r="W352" s="3"/>
      <c r="X352" s="3"/>
      <c r="Y352" s="3"/>
      <c r="Z352" s="3"/>
    </row>
    <row r="353" spans="1:26" s="711" customFormat="1" ht="14.25" customHeight="1">
      <c r="A353" s="719">
        <v>72</v>
      </c>
      <c r="B353" s="716" t="s">
        <v>1532</v>
      </c>
      <c r="C353" s="719" t="s">
        <v>121</v>
      </c>
      <c r="D353" s="737">
        <v>23</v>
      </c>
      <c r="E353" s="737">
        <v>1.45</v>
      </c>
      <c r="F353" s="738">
        <f t="shared" si="127"/>
        <v>33.35</v>
      </c>
      <c r="G353" s="738">
        <f t="shared" si="125"/>
        <v>1.6675000000000002</v>
      </c>
      <c r="H353" s="738">
        <f t="shared" si="126"/>
        <v>35.017499999999998</v>
      </c>
      <c r="I353" s="718"/>
      <c r="J353" s="718"/>
      <c r="K353" s="718"/>
      <c r="L353" s="718"/>
      <c r="M353" s="3"/>
      <c r="N353" s="3"/>
      <c r="O353" s="3"/>
      <c r="P353" s="3"/>
      <c r="Q353" s="3"/>
      <c r="R353" s="3"/>
      <c r="S353" s="3"/>
      <c r="T353" s="3"/>
      <c r="U353" s="3"/>
      <c r="V353" s="3"/>
      <c r="W353" s="3"/>
      <c r="X353" s="3"/>
      <c r="Y353" s="3"/>
      <c r="Z353" s="3"/>
    </row>
    <row r="354" spans="1:26" s="711" customFormat="1" ht="14.25" customHeight="1">
      <c r="A354" s="719">
        <v>73</v>
      </c>
      <c r="B354" s="716" t="s">
        <v>1533</v>
      </c>
      <c r="C354" s="719" t="s">
        <v>121</v>
      </c>
      <c r="D354" s="737">
        <v>7</v>
      </c>
      <c r="E354" s="737">
        <v>0.55000000000000004</v>
      </c>
      <c r="F354" s="738">
        <f t="shared" si="127"/>
        <v>3.8500000000000005</v>
      </c>
      <c r="G354" s="738">
        <f t="shared" si="125"/>
        <v>0.19250000000000003</v>
      </c>
      <c r="H354" s="738">
        <f t="shared" si="126"/>
        <v>4.0425000000000004</v>
      </c>
      <c r="I354" s="718"/>
      <c r="J354" s="718"/>
      <c r="K354" s="718"/>
      <c r="L354" s="718"/>
      <c r="M354" s="3"/>
      <c r="N354" s="3"/>
      <c r="O354" s="3"/>
      <c r="P354" s="3"/>
      <c r="Q354" s="3"/>
      <c r="R354" s="3"/>
      <c r="S354" s="3"/>
      <c r="T354" s="3"/>
      <c r="U354" s="3"/>
      <c r="V354" s="3"/>
      <c r="W354" s="3"/>
      <c r="X354" s="3"/>
      <c r="Y354" s="3"/>
      <c r="Z354" s="3"/>
    </row>
    <row r="355" spans="1:26" s="711" customFormat="1" ht="14.25" customHeight="1">
      <c r="A355" s="719">
        <v>74</v>
      </c>
      <c r="B355" s="716" t="s">
        <v>1534</v>
      </c>
      <c r="C355" s="719" t="s">
        <v>121</v>
      </c>
      <c r="D355" s="737">
        <v>4</v>
      </c>
      <c r="E355" s="737">
        <v>4.9000000000000004</v>
      </c>
      <c r="F355" s="738">
        <f t="shared" si="127"/>
        <v>19.600000000000001</v>
      </c>
      <c r="G355" s="738">
        <f t="shared" si="125"/>
        <v>0.98000000000000009</v>
      </c>
      <c r="H355" s="738">
        <f t="shared" si="126"/>
        <v>20.580000000000002</v>
      </c>
      <c r="I355" s="718"/>
      <c r="J355" s="718"/>
      <c r="K355" s="718"/>
      <c r="L355" s="718"/>
      <c r="M355" s="3"/>
      <c r="N355" s="3"/>
      <c r="O355" s="3"/>
      <c r="P355" s="3"/>
      <c r="Q355" s="3"/>
      <c r="R355" s="3"/>
      <c r="S355" s="3"/>
      <c r="T355" s="3"/>
      <c r="U355" s="3"/>
      <c r="V355" s="3"/>
      <c r="W355" s="3"/>
      <c r="X355" s="3"/>
      <c r="Y355" s="3"/>
      <c r="Z355" s="3"/>
    </row>
    <row r="356" spans="1:26" s="711" customFormat="1" ht="14.25" customHeight="1">
      <c r="A356" s="719">
        <v>75</v>
      </c>
      <c r="B356" s="716" t="s">
        <v>1535</v>
      </c>
      <c r="C356" s="719" t="s">
        <v>121</v>
      </c>
      <c r="D356" s="737">
        <v>16</v>
      </c>
      <c r="E356" s="737">
        <v>0.65</v>
      </c>
      <c r="F356" s="738">
        <f t="shared" si="127"/>
        <v>10.4</v>
      </c>
      <c r="G356" s="738">
        <f t="shared" si="125"/>
        <v>0.52</v>
      </c>
      <c r="H356" s="738">
        <f t="shared" si="126"/>
        <v>10.92</v>
      </c>
      <c r="I356" s="718"/>
      <c r="J356" s="718"/>
      <c r="K356" s="718"/>
      <c r="L356" s="718"/>
      <c r="M356" s="3"/>
      <c r="N356" s="3"/>
      <c r="O356" s="3"/>
      <c r="P356" s="3"/>
      <c r="Q356" s="3"/>
      <c r="R356" s="3"/>
      <c r="S356" s="3"/>
      <c r="T356" s="3"/>
      <c r="U356" s="3"/>
      <c r="V356" s="3"/>
      <c r="W356" s="3"/>
      <c r="X356" s="3"/>
      <c r="Y356" s="3"/>
      <c r="Z356" s="3"/>
    </row>
    <row r="357" spans="1:26" s="711" customFormat="1" ht="14.25" customHeight="1">
      <c r="A357" s="719">
        <v>76</v>
      </c>
      <c r="B357" s="716" t="s">
        <v>1536</v>
      </c>
      <c r="C357" s="719" t="s">
        <v>121</v>
      </c>
      <c r="D357" s="737">
        <v>7</v>
      </c>
      <c r="E357" s="737">
        <v>2.2999999999999998</v>
      </c>
      <c r="F357" s="738">
        <f t="shared" si="127"/>
        <v>16.099999999999998</v>
      </c>
      <c r="G357" s="738">
        <f t="shared" si="125"/>
        <v>0.80499999999999994</v>
      </c>
      <c r="H357" s="738">
        <f t="shared" si="126"/>
        <v>16.904999999999998</v>
      </c>
      <c r="I357" s="718"/>
      <c r="J357" s="718"/>
      <c r="K357" s="718"/>
      <c r="L357" s="718"/>
      <c r="M357" s="3"/>
      <c r="N357" s="3"/>
      <c r="O357" s="3"/>
      <c r="P357" s="3"/>
      <c r="Q357" s="3"/>
      <c r="R357" s="3"/>
      <c r="S357" s="3"/>
      <c r="T357" s="3"/>
      <c r="U357" s="3"/>
      <c r="V357" s="3"/>
      <c r="W357" s="3"/>
      <c r="X357" s="3"/>
      <c r="Y357" s="3"/>
      <c r="Z357" s="3"/>
    </row>
    <row r="358" spans="1:26" s="711" customFormat="1" ht="14.25" customHeight="1">
      <c r="A358" s="719">
        <v>77</v>
      </c>
      <c r="B358" s="716" t="s">
        <v>1537</v>
      </c>
      <c r="C358" s="719" t="s">
        <v>121</v>
      </c>
      <c r="D358" s="737">
        <v>31</v>
      </c>
      <c r="E358" s="737">
        <v>0.5</v>
      </c>
      <c r="F358" s="738">
        <f t="shared" si="127"/>
        <v>15.5</v>
      </c>
      <c r="G358" s="738">
        <f t="shared" si="125"/>
        <v>0.77500000000000002</v>
      </c>
      <c r="H358" s="738">
        <f t="shared" si="126"/>
        <v>16.274999999999999</v>
      </c>
      <c r="I358" s="718"/>
      <c r="J358" s="718"/>
      <c r="K358" s="718"/>
      <c r="L358" s="718"/>
      <c r="M358" s="3"/>
      <c r="N358" s="3"/>
      <c r="O358" s="3"/>
      <c r="P358" s="3"/>
      <c r="Q358" s="3"/>
      <c r="R358" s="3"/>
      <c r="S358" s="3"/>
      <c r="T358" s="3"/>
      <c r="U358" s="3"/>
      <c r="V358" s="3"/>
      <c r="W358" s="3"/>
      <c r="X358" s="3"/>
      <c r="Y358" s="3"/>
      <c r="Z358" s="3"/>
    </row>
    <row r="359" spans="1:26" s="711" customFormat="1" ht="14.25" customHeight="1">
      <c r="A359" s="719">
        <v>78</v>
      </c>
      <c r="B359" s="716" t="s">
        <v>1538</v>
      </c>
      <c r="C359" s="719" t="s">
        <v>121</v>
      </c>
      <c r="D359" s="737">
        <v>31</v>
      </c>
      <c r="E359" s="737">
        <v>0.5</v>
      </c>
      <c r="F359" s="738">
        <f t="shared" si="127"/>
        <v>15.5</v>
      </c>
      <c r="G359" s="738">
        <f t="shared" si="125"/>
        <v>0.77500000000000002</v>
      </c>
      <c r="H359" s="738">
        <f t="shared" si="126"/>
        <v>16.274999999999999</v>
      </c>
      <c r="I359" s="718"/>
      <c r="J359" s="718"/>
      <c r="K359" s="718"/>
      <c r="L359" s="718"/>
      <c r="M359" s="3"/>
      <c r="N359" s="3"/>
      <c r="O359" s="3"/>
      <c r="P359" s="3"/>
      <c r="Q359" s="3"/>
      <c r="R359" s="3"/>
      <c r="S359" s="3"/>
      <c r="T359" s="3"/>
      <c r="U359" s="3"/>
      <c r="V359" s="3"/>
      <c r="W359" s="3"/>
      <c r="X359" s="3"/>
      <c r="Y359" s="3"/>
      <c r="Z359" s="3"/>
    </row>
    <row r="360" spans="1:26" s="711" customFormat="1" ht="14.25" customHeight="1">
      <c r="A360" s="719">
        <v>79</v>
      </c>
      <c r="B360" s="716" t="s">
        <v>1539</v>
      </c>
      <c r="C360" s="719" t="s">
        <v>121</v>
      </c>
      <c r="D360" s="737">
        <v>34</v>
      </c>
      <c r="E360" s="737">
        <v>3.1</v>
      </c>
      <c r="F360" s="738">
        <f t="shared" si="127"/>
        <v>105.4</v>
      </c>
      <c r="G360" s="738">
        <f t="shared" si="125"/>
        <v>5.2700000000000005</v>
      </c>
      <c r="H360" s="738">
        <f t="shared" si="126"/>
        <v>110.67</v>
      </c>
      <c r="I360" s="718"/>
      <c r="J360" s="718"/>
      <c r="K360" s="718"/>
      <c r="L360" s="718"/>
      <c r="M360" s="3"/>
      <c r="N360" s="3"/>
      <c r="O360" s="3"/>
      <c r="P360" s="3"/>
      <c r="Q360" s="3"/>
      <c r="R360" s="3"/>
      <c r="S360" s="3"/>
      <c r="T360" s="3"/>
      <c r="U360" s="3"/>
      <c r="V360" s="3"/>
      <c r="W360" s="3"/>
      <c r="X360" s="3"/>
      <c r="Y360" s="3"/>
      <c r="Z360" s="3"/>
    </row>
    <row r="361" spans="1:26" s="711" customFormat="1" ht="14.25" customHeight="1">
      <c r="A361" s="719">
        <v>80</v>
      </c>
      <c r="B361" s="716" t="s">
        <v>1540</v>
      </c>
      <c r="C361" s="719" t="s">
        <v>121</v>
      </c>
      <c r="D361" s="737">
        <v>5</v>
      </c>
      <c r="E361" s="737">
        <v>4.5</v>
      </c>
      <c r="F361" s="738">
        <f t="shared" si="127"/>
        <v>22.5</v>
      </c>
      <c r="G361" s="738">
        <f t="shared" si="125"/>
        <v>1.125</v>
      </c>
      <c r="H361" s="738">
        <f t="shared" si="126"/>
        <v>23.625</v>
      </c>
      <c r="I361" s="718"/>
      <c r="J361" s="718"/>
      <c r="K361" s="718"/>
      <c r="L361" s="718"/>
      <c r="M361" s="3"/>
      <c r="N361" s="3"/>
      <c r="O361" s="3"/>
      <c r="P361" s="3"/>
      <c r="Q361" s="3"/>
      <c r="R361" s="3"/>
      <c r="S361" s="3"/>
      <c r="T361" s="3"/>
      <c r="U361" s="3"/>
      <c r="V361" s="3"/>
      <c r="W361" s="3"/>
      <c r="X361" s="3"/>
      <c r="Y361" s="3"/>
      <c r="Z361" s="3"/>
    </row>
    <row r="362" spans="1:26" s="711" customFormat="1" ht="14.25" customHeight="1">
      <c r="A362" s="719">
        <v>81</v>
      </c>
      <c r="B362" s="716" t="s">
        <v>1455</v>
      </c>
      <c r="C362" s="719" t="s">
        <v>121</v>
      </c>
      <c r="D362" s="737">
        <v>135</v>
      </c>
      <c r="E362" s="737">
        <v>1.5</v>
      </c>
      <c r="F362" s="738">
        <f t="shared" si="127"/>
        <v>202.5</v>
      </c>
      <c r="G362" s="738">
        <f t="shared" si="125"/>
        <v>10.125</v>
      </c>
      <c r="H362" s="738">
        <f t="shared" si="126"/>
        <v>212.625</v>
      </c>
      <c r="I362" s="718"/>
      <c r="J362" s="718"/>
      <c r="K362" s="718"/>
      <c r="L362" s="718"/>
      <c r="M362" s="3"/>
      <c r="N362" s="3"/>
      <c r="O362" s="3"/>
      <c r="P362" s="3"/>
      <c r="Q362" s="3"/>
      <c r="R362" s="3"/>
      <c r="S362" s="3"/>
      <c r="T362" s="3"/>
      <c r="U362" s="3"/>
      <c r="V362" s="3"/>
      <c r="W362" s="3"/>
      <c r="X362" s="3"/>
      <c r="Y362" s="3"/>
      <c r="Z362" s="3"/>
    </row>
    <row r="363" spans="1:26" s="711" customFormat="1" ht="14.25" customHeight="1">
      <c r="A363" s="719">
        <v>82</v>
      </c>
      <c r="B363" s="716" t="s">
        <v>1541</v>
      </c>
      <c r="C363" s="719" t="s">
        <v>121</v>
      </c>
      <c r="D363" s="737">
        <v>3900</v>
      </c>
      <c r="E363" s="737">
        <v>0.01</v>
      </c>
      <c r="F363" s="738">
        <f t="shared" si="127"/>
        <v>39</v>
      </c>
      <c r="G363" s="738">
        <f t="shared" si="125"/>
        <v>1.9500000000000002</v>
      </c>
      <c r="H363" s="738">
        <f t="shared" si="126"/>
        <v>40.950000000000003</v>
      </c>
      <c r="I363" s="718"/>
      <c r="J363" s="718"/>
      <c r="K363" s="718"/>
      <c r="L363" s="718"/>
      <c r="M363" s="3"/>
      <c r="N363" s="3"/>
      <c r="O363" s="3"/>
      <c r="P363" s="3"/>
      <c r="Q363" s="3"/>
      <c r="R363" s="3"/>
      <c r="S363" s="3"/>
      <c r="T363" s="3"/>
      <c r="U363" s="3"/>
      <c r="V363" s="3"/>
      <c r="W363" s="3"/>
      <c r="X363" s="3"/>
      <c r="Y363" s="3"/>
      <c r="Z363" s="3"/>
    </row>
    <row r="364" spans="1:26" s="711" customFormat="1" ht="14.25" customHeight="1">
      <c r="A364" s="719">
        <v>83</v>
      </c>
      <c r="B364" s="716" t="s">
        <v>1542</v>
      </c>
      <c r="C364" s="719" t="s">
        <v>121</v>
      </c>
      <c r="D364" s="737">
        <v>70</v>
      </c>
      <c r="E364" s="737">
        <v>0.48</v>
      </c>
      <c r="F364" s="738">
        <f t="shared" si="127"/>
        <v>33.6</v>
      </c>
      <c r="G364" s="738">
        <f t="shared" si="125"/>
        <v>1.6800000000000002</v>
      </c>
      <c r="H364" s="738">
        <f t="shared" si="126"/>
        <v>35.28</v>
      </c>
      <c r="I364" s="718"/>
      <c r="J364" s="718"/>
      <c r="K364" s="718"/>
      <c r="L364" s="718"/>
      <c r="M364" s="3"/>
      <c r="N364" s="3"/>
      <c r="O364" s="3"/>
      <c r="P364" s="3"/>
      <c r="Q364" s="3"/>
      <c r="R364" s="3"/>
      <c r="S364" s="3"/>
      <c r="T364" s="3"/>
      <c r="U364" s="3"/>
      <c r="V364" s="3"/>
      <c r="W364" s="3"/>
      <c r="X364" s="3"/>
      <c r="Y364" s="3"/>
      <c r="Z364" s="3"/>
    </row>
    <row r="365" spans="1:26" s="711" customFormat="1" ht="14.25" customHeight="1">
      <c r="A365" s="719">
        <v>84</v>
      </c>
      <c r="B365" s="716" t="s">
        <v>1543</v>
      </c>
      <c r="C365" s="719" t="s">
        <v>121</v>
      </c>
      <c r="D365" s="737">
        <v>2700</v>
      </c>
      <c r="E365" s="737">
        <v>0.02</v>
      </c>
      <c r="F365" s="738">
        <f t="shared" si="127"/>
        <v>54</v>
      </c>
      <c r="G365" s="738">
        <f t="shared" si="125"/>
        <v>2.7</v>
      </c>
      <c r="H365" s="738">
        <f t="shared" si="126"/>
        <v>56.7</v>
      </c>
      <c r="I365" s="718"/>
      <c r="J365" s="718"/>
      <c r="K365" s="718"/>
      <c r="L365" s="718"/>
      <c r="M365" s="3"/>
      <c r="N365" s="3"/>
      <c r="O365" s="3"/>
      <c r="P365" s="3"/>
      <c r="Q365" s="3"/>
      <c r="R365" s="3"/>
      <c r="S365" s="3"/>
      <c r="T365" s="3"/>
      <c r="U365" s="3"/>
      <c r="V365" s="3"/>
      <c r="W365" s="3"/>
      <c r="X365" s="3"/>
      <c r="Y365" s="3"/>
      <c r="Z365" s="3"/>
    </row>
    <row r="366" spans="1:26" s="711" customFormat="1" ht="14.25" customHeight="1">
      <c r="A366" s="719">
        <v>85</v>
      </c>
      <c r="B366" s="716" t="s">
        <v>1544</v>
      </c>
      <c r="C366" s="719" t="s">
        <v>121</v>
      </c>
      <c r="D366" s="737">
        <v>2</v>
      </c>
      <c r="E366" s="737">
        <v>3.5</v>
      </c>
      <c r="F366" s="738">
        <f t="shared" si="127"/>
        <v>7</v>
      </c>
      <c r="G366" s="738">
        <f t="shared" si="125"/>
        <v>0.35000000000000003</v>
      </c>
      <c r="H366" s="738">
        <f t="shared" si="126"/>
        <v>7.35</v>
      </c>
      <c r="I366" s="718"/>
      <c r="J366" s="718"/>
      <c r="K366" s="718"/>
      <c r="L366" s="718"/>
      <c r="M366" s="3"/>
      <c r="N366" s="3"/>
      <c r="O366" s="3"/>
      <c r="P366" s="3"/>
      <c r="Q366" s="3"/>
      <c r="R366" s="3"/>
      <c r="S366" s="3"/>
      <c r="T366" s="3"/>
      <c r="U366" s="3"/>
      <c r="V366" s="3"/>
      <c r="W366" s="3"/>
      <c r="X366" s="3"/>
      <c r="Y366" s="3"/>
      <c r="Z366" s="3"/>
    </row>
    <row r="367" spans="1:26" s="711" customFormat="1" ht="14.25" customHeight="1">
      <c r="A367" s="719">
        <v>86</v>
      </c>
      <c r="B367" s="716" t="s">
        <v>1545</v>
      </c>
      <c r="C367" s="719" t="s">
        <v>121</v>
      </c>
      <c r="D367" s="737">
        <v>19</v>
      </c>
      <c r="E367" s="737">
        <v>0.56999999999999995</v>
      </c>
      <c r="F367" s="738">
        <f t="shared" si="127"/>
        <v>10.829999999999998</v>
      </c>
      <c r="G367" s="738">
        <f t="shared" si="125"/>
        <v>0.54149999999999998</v>
      </c>
      <c r="H367" s="738">
        <f t="shared" si="126"/>
        <v>11.371499999999997</v>
      </c>
      <c r="I367" s="718"/>
      <c r="J367" s="718"/>
      <c r="K367" s="718"/>
      <c r="L367" s="718"/>
      <c r="M367" s="3"/>
      <c r="N367" s="3"/>
      <c r="O367" s="3"/>
      <c r="P367" s="3"/>
      <c r="Q367" s="3"/>
      <c r="R367" s="3"/>
      <c r="S367" s="3"/>
      <c r="T367" s="3"/>
      <c r="U367" s="3"/>
      <c r="V367" s="3"/>
      <c r="W367" s="3"/>
      <c r="X367" s="3"/>
      <c r="Y367" s="3"/>
      <c r="Z367" s="3"/>
    </row>
    <row r="368" spans="1:26" s="711" customFormat="1" ht="14.25" customHeight="1">
      <c r="A368" s="719">
        <v>87</v>
      </c>
      <c r="B368" s="716" t="s">
        <v>1546</v>
      </c>
      <c r="C368" s="719" t="s">
        <v>121</v>
      </c>
      <c r="D368" s="737">
        <v>5</v>
      </c>
      <c r="E368" s="737">
        <v>0.28000000000000003</v>
      </c>
      <c r="F368" s="738">
        <f t="shared" si="127"/>
        <v>1.4000000000000001</v>
      </c>
      <c r="G368" s="738">
        <f t="shared" si="125"/>
        <v>7.0000000000000007E-2</v>
      </c>
      <c r="H368" s="738">
        <f t="shared" si="126"/>
        <v>1.4700000000000002</v>
      </c>
      <c r="I368" s="718"/>
      <c r="J368" s="718"/>
      <c r="K368" s="718"/>
      <c r="L368" s="718"/>
      <c r="M368" s="3"/>
      <c r="N368" s="3"/>
      <c r="O368" s="3"/>
      <c r="P368" s="3"/>
      <c r="Q368" s="3"/>
      <c r="R368" s="3"/>
      <c r="S368" s="3"/>
      <c r="T368" s="3"/>
      <c r="U368" s="3"/>
      <c r="V368" s="3"/>
      <c r="W368" s="3"/>
      <c r="X368" s="3"/>
      <c r="Y368" s="3"/>
      <c r="Z368" s="3"/>
    </row>
    <row r="369" spans="1:26" s="711" customFormat="1" ht="14.25" customHeight="1">
      <c r="A369" s="719">
        <v>88</v>
      </c>
      <c r="B369" s="716" t="s">
        <v>1547</v>
      </c>
      <c r="C369" s="719" t="s">
        <v>121</v>
      </c>
      <c r="D369" s="737">
        <v>33</v>
      </c>
      <c r="E369" s="737">
        <v>4.57</v>
      </c>
      <c r="F369" s="738">
        <f t="shared" si="127"/>
        <v>150.81</v>
      </c>
      <c r="G369" s="738">
        <f t="shared" si="125"/>
        <v>7.5405000000000006</v>
      </c>
      <c r="H369" s="738">
        <f t="shared" si="126"/>
        <v>158.35050000000001</v>
      </c>
      <c r="I369" s="718"/>
      <c r="J369" s="718"/>
      <c r="K369" s="718"/>
      <c r="L369" s="718"/>
      <c r="M369" s="3"/>
      <c r="N369" s="3"/>
      <c r="O369" s="3"/>
      <c r="P369" s="3"/>
      <c r="Q369" s="3"/>
      <c r="R369" s="3"/>
      <c r="S369" s="3"/>
      <c r="T369" s="3"/>
      <c r="U369" s="3"/>
      <c r="V369" s="3"/>
      <c r="W369" s="3"/>
      <c r="X369" s="3"/>
      <c r="Y369" s="3"/>
      <c r="Z369" s="3"/>
    </row>
    <row r="370" spans="1:26" s="711" customFormat="1" ht="14.25" customHeight="1">
      <c r="A370" s="719">
        <v>89</v>
      </c>
      <c r="B370" s="716" t="s">
        <v>1548</v>
      </c>
      <c r="C370" s="719" t="s">
        <v>121</v>
      </c>
      <c r="D370" s="737">
        <v>3</v>
      </c>
      <c r="E370" s="737">
        <v>2.25</v>
      </c>
      <c r="F370" s="738">
        <f t="shared" si="127"/>
        <v>6.75</v>
      </c>
      <c r="G370" s="738">
        <f t="shared" si="125"/>
        <v>0.33750000000000002</v>
      </c>
      <c r="H370" s="738">
        <f t="shared" si="126"/>
        <v>7.0875000000000004</v>
      </c>
      <c r="I370" s="718"/>
      <c r="J370" s="718"/>
      <c r="K370" s="718"/>
      <c r="L370" s="718"/>
      <c r="M370" s="3"/>
      <c r="N370" s="3"/>
      <c r="O370" s="3"/>
      <c r="P370" s="3"/>
      <c r="Q370" s="3"/>
      <c r="R370" s="3"/>
      <c r="S370" s="3"/>
      <c r="T370" s="3"/>
      <c r="U370" s="3"/>
      <c r="V370" s="3"/>
      <c r="W370" s="3"/>
      <c r="X370" s="3"/>
      <c r="Y370" s="3"/>
      <c r="Z370" s="3"/>
    </row>
    <row r="371" spans="1:26" s="711" customFormat="1" ht="14.25" customHeight="1">
      <c r="A371" s="719">
        <v>90</v>
      </c>
      <c r="B371" s="716" t="s">
        <v>1549</v>
      </c>
      <c r="C371" s="719" t="s">
        <v>121</v>
      </c>
      <c r="D371" s="737">
        <v>6</v>
      </c>
      <c r="E371" s="737">
        <v>1.3</v>
      </c>
      <c r="F371" s="738">
        <f t="shared" si="127"/>
        <v>7.8000000000000007</v>
      </c>
      <c r="G371" s="738">
        <f t="shared" si="125"/>
        <v>0.39000000000000007</v>
      </c>
      <c r="H371" s="738">
        <f t="shared" si="126"/>
        <v>8.1900000000000013</v>
      </c>
      <c r="I371" s="718"/>
      <c r="J371" s="718"/>
      <c r="K371" s="718"/>
      <c r="L371" s="718"/>
      <c r="M371" s="3"/>
      <c r="N371" s="3"/>
      <c r="O371" s="3"/>
      <c r="P371" s="3"/>
      <c r="Q371" s="3"/>
      <c r="R371" s="3"/>
      <c r="S371" s="3"/>
      <c r="T371" s="3"/>
      <c r="U371" s="3"/>
      <c r="V371" s="3"/>
      <c r="W371" s="3"/>
      <c r="X371" s="3"/>
      <c r="Y371" s="3"/>
      <c r="Z371" s="3"/>
    </row>
    <row r="372" spans="1:26" s="711" customFormat="1" ht="14.25" customHeight="1">
      <c r="A372" s="719">
        <v>91</v>
      </c>
      <c r="B372" s="716" t="s">
        <v>1550</v>
      </c>
      <c r="C372" s="719" t="s">
        <v>121</v>
      </c>
      <c r="D372" s="737">
        <v>6</v>
      </c>
      <c r="E372" s="737">
        <v>0.65</v>
      </c>
      <c r="F372" s="738">
        <f t="shared" si="127"/>
        <v>3.9000000000000004</v>
      </c>
      <c r="G372" s="738">
        <f t="shared" si="125"/>
        <v>0.19500000000000003</v>
      </c>
      <c r="H372" s="738">
        <f t="shared" si="126"/>
        <v>4.0950000000000006</v>
      </c>
      <c r="I372" s="718"/>
      <c r="J372" s="718"/>
      <c r="K372" s="718"/>
      <c r="L372" s="718"/>
      <c r="M372" s="3"/>
      <c r="N372" s="3"/>
      <c r="O372" s="3"/>
      <c r="P372" s="3"/>
      <c r="Q372" s="3"/>
      <c r="R372" s="3"/>
      <c r="S372" s="3"/>
      <c r="T372" s="3"/>
      <c r="U372" s="3"/>
      <c r="V372" s="3"/>
      <c r="W372" s="3"/>
      <c r="X372" s="3"/>
      <c r="Y372" s="3"/>
      <c r="Z372" s="3"/>
    </row>
    <row r="373" spans="1:26" s="711" customFormat="1" ht="14.25" customHeight="1">
      <c r="A373" s="719">
        <v>92</v>
      </c>
      <c r="B373" s="716" t="s">
        <v>1551</v>
      </c>
      <c r="C373" s="719" t="s">
        <v>121</v>
      </c>
      <c r="D373" s="737">
        <v>1</v>
      </c>
      <c r="E373" s="737">
        <v>16</v>
      </c>
      <c r="F373" s="738">
        <f t="shared" si="127"/>
        <v>16</v>
      </c>
      <c r="G373" s="738">
        <f t="shared" si="125"/>
        <v>0.8</v>
      </c>
      <c r="H373" s="738">
        <f t="shared" si="126"/>
        <v>16.8</v>
      </c>
      <c r="I373" s="718"/>
      <c r="J373" s="718"/>
      <c r="K373" s="718"/>
      <c r="L373" s="718"/>
      <c r="M373" s="3"/>
      <c r="N373" s="3"/>
      <c r="O373" s="3"/>
      <c r="P373" s="3"/>
      <c r="Q373" s="3"/>
      <c r="R373" s="3"/>
      <c r="S373" s="3"/>
      <c r="T373" s="3"/>
      <c r="U373" s="3"/>
      <c r="V373" s="3"/>
      <c r="W373" s="3"/>
      <c r="X373" s="3"/>
      <c r="Y373" s="3"/>
      <c r="Z373" s="3"/>
    </row>
    <row r="374" spans="1:26" s="711" customFormat="1" ht="14.25" customHeight="1">
      <c r="A374" s="719">
        <v>93</v>
      </c>
      <c r="B374" s="716" t="s">
        <v>1552</v>
      </c>
      <c r="C374" s="719" t="s">
        <v>121</v>
      </c>
      <c r="D374" s="737">
        <v>1</v>
      </c>
      <c r="E374" s="737">
        <v>35</v>
      </c>
      <c r="F374" s="738">
        <f t="shared" si="127"/>
        <v>35</v>
      </c>
      <c r="G374" s="738">
        <f t="shared" si="125"/>
        <v>1.75</v>
      </c>
      <c r="H374" s="738">
        <f t="shared" si="126"/>
        <v>36.75</v>
      </c>
      <c r="I374" s="718"/>
      <c r="J374" s="718"/>
      <c r="K374" s="718"/>
      <c r="L374" s="718"/>
      <c r="M374" s="3"/>
      <c r="N374" s="3"/>
      <c r="O374" s="3"/>
      <c r="P374" s="3"/>
      <c r="Q374" s="3"/>
      <c r="R374" s="3"/>
      <c r="S374" s="3"/>
      <c r="T374" s="3"/>
      <c r="U374" s="3"/>
      <c r="V374" s="3"/>
      <c r="W374" s="3"/>
      <c r="X374" s="3"/>
      <c r="Y374" s="3"/>
      <c r="Z374" s="3"/>
    </row>
    <row r="375" spans="1:26" s="711" customFormat="1" ht="14.25" customHeight="1">
      <c r="A375" s="719">
        <v>94</v>
      </c>
      <c r="B375" s="716" t="s">
        <v>1553</v>
      </c>
      <c r="C375" s="719" t="s">
        <v>121</v>
      </c>
      <c r="D375" s="737">
        <v>15</v>
      </c>
      <c r="E375" s="737">
        <v>1.85</v>
      </c>
      <c r="F375" s="738">
        <f t="shared" si="127"/>
        <v>27.75</v>
      </c>
      <c r="G375" s="738">
        <f t="shared" si="125"/>
        <v>1.3875000000000002</v>
      </c>
      <c r="H375" s="738">
        <f t="shared" si="126"/>
        <v>29.137499999999999</v>
      </c>
      <c r="I375" s="718"/>
      <c r="J375" s="718"/>
      <c r="K375" s="718"/>
      <c r="L375" s="718"/>
      <c r="M375" s="3"/>
      <c r="N375" s="3"/>
      <c r="O375" s="3"/>
      <c r="P375" s="3"/>
      <c r="Q375" s="3"/>
      <c r="R375" s="3"/>
      <c r="S375" s="3"/>
      <c r="T375" s="3"/>
      <c r="U375" s="3"/>
      <c r="V375" s="3"/>
      <c r="W375" s="3"/>
      <c r="X375" s="3"/>
      <c r="Y375" s="3"/>
      <c r="Z375" s="3"/>
    </row>
    <row r="376" spans="1:26" s="711" customFormat="1" ht="14.25" customHeight="1">
      <c r="A376" s="719">
        <v>95</v>
      </c>
      <c r="B376" s="716" t="s">
        <v>1554</v>
      </c>
      <c r="C376" s="719" t="s">
        <v>121</v>
      </c>
      <c r="D376" s="737">
        <v>8</v>
      </c>
      <c r="E376" s="737">
        <v>0.25</v>
      </c>
      <c r="F376" s="738">
        <f t="shared" si="127"/>
        <v>2</v>
      </c>
      <c r="G376" s="738">
        <f t="shared" si="125"/>
        <v>0.1</v>
      </c>
      <c r="H376" s="738">
        <f t="shared" si="126"/>
        <v>2.1</v>
      </c>
      <c r="I376" s="718"/>
      <c r="J376" s="718"/>
      <c r="K376" s="718"/>
      <c r="L376" s="718"/>
      <c r="M376" s="3"/>
      <c r="N376" s="3"/>
      <c r="O376" s="3"/>
      <c r="P376" s="3"/>
      <c r="Q376" s="3"/>
      <c r="R376" s="3"/>
      <c r="S376" s="3"/>
      <c r="T376" s="3"/>
      <c r="U376" s="3"/>
      <c r="V376" s="3"/>
      <c r="W376" s="3"/>
      <c r="X376" s="3"/>
      <c r="Y376" s="3"/>
      <c r="Z376" s="3"/>
    </row>
    <row r="377" spans="1:26" s="711" customFormat="1" ht="14.25" customHeight="1">
      <c r="A377" s="719">
        <v>96</v>
      </c>
      <c r="B377" s="716" t="s">
        <v>1555</v>
      </c>
      <c r="C377" s="719" t="s">
        <v>121</v>
      </c>
      <c r="D377" s="737">
        <v>1</v>
      </c>
      <c r="E377" s="737">
        <v>4.8</v>
      </c>
      <c r="F377" s="738">
        <f t="shared" si="127"/>
        <v>4.8</v>
      </c>
      <c r="G377" s="738">
        <f t="shared" si="125"/>
        <v>0.24</v>
      </c>
      <c r="H377" s="738">
        <f t="shared" si="126"/>
        <v>5.04</v>
      </c>
      <c r="I377" s="718"/>
      <c r="J377" s="718"/>
      <c r="K377" s="718"/>
      <c r="L377" s="718"/>
      <c r="M377" s="3"/>
      <c r="N377" s="3"/>
      <c r="O377" s="3"/>
      <c r="P377" s="3"/>
      <c r="Q377" s="3"/>
      <c r="R377" s="3"/>
      <c r="S377" s="3"/>
      <c r="T377" s="3"/>
      <c r="U377" s="3"/>
      <c r="V377" s="3"/>
      <c r="W377" s="3"/>
      <c r="X377" s="3"/>
      <c r="Y377" s="3"/>
      <c r="Z377" s="3"/>
    </row>
    <row r="378" spans="1:26" s="711" customFormat="1" ht="14.25" customHeight="1">
      <c r="A378" s="719">
        <v>97</v>
      </c>
      <c r="B378" s="716" t="s">
        <v>1556</v>
      </c>
      <c r="C378" s="719" t="s">
        <v>121</v>
      </c>
      <c r="D378" s="737">
        <v>136</v>
      </c>
      <c r="E378" s="737">
        <v>3.35</v>
      </c>
      <c r="F378" s="738">
        <f t="shared" si="127"/>
        <v>455.6</v>
      </c>
      <c r="G378" s="738">
        <f t="shared" si="125"/>
        <v>22.78</v>
      </c>
      <c r="H378" s="738">
        <f t="shared" si="126"/>
        <v>478.38</v>
      </c>
      <c r="I378" s="718"/>
      <c r="J378" s="718"/>
      <c r="K378" s="718"/>
      <c r="L378" s="718"/>
      <c r="M378" s="3"/>
      <c r="N378" s="3"/>
      <c r="O378" s="3"/>
      <c r="P378" s="3"/>
      <c r="Q378" s="3"/>
      <c r="R378" s="3"/>
      <c r="S378" s="3"/>
      <c r="T378" s="3"/>
      <c r="U378" s="3"/>
      <c r="V378" s="3"/>
      <c r="W378" s="3"/>
      <c r="X378" s="3"/>
      <c r="Y378" s="3"/>
      <c r="Z378" s="3"/>
    </row>
    <row r="379" spans="1:26" s="711" customFormat="1" ht="14.25" customHeight="1">
      <c r="A379" s="719">
        <v>98</v>
      </c>
      <c r="B379" s="716" t="s">
        <v>1557</v>
      </c>
      <c r="C379" s="719" t="s">
        <v>121</v>
      </c>
      <c r="D379" s="737"/>
      <c r="E379" s="737"/>
      <c r="F379" s="738"/>
      <c r="G379" s="738">
        <f t="shared" si="125"/>
        <v>0</v>
      </c>
      <c r="H379" s="738">
        <f t="shared" si="126"/>
        <v>0</v>
      </c>
      <c r="I379" s="718"/>
      <c r="J379" s="718"/>
      <c r="K379" s="718"/>
      <c r="L379" s="718"/>
      <c r="M379" s="3"/>
      <c r="N379" s="3"/>
      <c r="O379" s="3"/>
      <c r="P379" s="3"/>
      <c r="Q379" s="3"/>
      <c r="R379" s="3"/>
      <c r="S379" s="3"/>
      <c r="T379" s="3"/>
      <c r="U379" s="3"/>
      <c r="V379" s="3"/>
      <c r="W379" s="3"/>
      <c r="X379" s="3"/>
      <c r="Y379" s="3"/>
      <c r="Z379" s="3"/>
    </row>
    <row r="380" spans="1:26" s="711" customFormat="1" ht="14.25" customHeight="1">
      <c r="A380" s="719">
        <v>99</v>
      </c>
      <c r="B380" s="716" t="s">
        <v>1630</v>
      </c>
      <c r="C380" s="719" t="s">
        <v>121</v>
      </c>
      <c r="D380" s="737">
        <v>70</v>
      </c>
      <c r="E380" s="737">
        <v>0.43</v>
      </c>
      <c r="F380" s="738">
        <f t="shared" si="127"/>
        <v>30.099999999999998</v>
      </c>
      <c r="G380" s="738">
        <f t="shared" si="125"/>
        <v>1.5049999999999999</v>
      </c>
      <c r="H380" s="738">
        <f t="shared" si="126"/>
        <v>31.604999999999997</v>
      </c>
      <c r="I380" s="718"/>
      <c r="J380" s="718"/>
      <c r="K380" s="718"/>
      <c r="L380" s="718"/>
      <c r="M380" s="3"/>
      <c r="N380" s="3"/>
      <c r="O380" s="3"/>
      <c r="P380" s="3"/>
      <c r="Q380" s="3"/>
      <c r="R380" s="3"/>
      <c r="S380" s="3"/>
      <c r="T380" s="3"/>
      <c r="U380" s="3"/>
      <c r="V380" s="3"/>
      <c r="W380" s="3"/>
      <c r="X380" s="3"/>
      <c r="Y380" s="3"/>
      <c r="Z380" s="3"/>
    </row>
    <row r="381" spans="1:26" s="711" customFormat="1" ht="14.25" customHeight="1">
      <c r="A381" s="719">
        <v>100</v>
      </c>
      <c r="B381" s="716" t="s">
        <v>1558</v>
      </c>
      <c r="C381" s="719" t="s">
        <v>1367</v>
      </c>
      <c r="D381" s="737">
        <v>3</v>
      </c>
      <c r="E381" s="737">
        <v>150</v>
      </c>
      <c r="F381" s="738">
        <f t="shared" si="127"/>
        <v>450</v>
      </c>
      <c r="G381" s="738">
        <f t="shared" si="125"/>
        <v>22.5</v>
      </c>
      <c r="H381" s="738">
        <f t="shared" si="126"/>
        <v>472.5</v>
      </c>
      <c r="I381" s="718"/>
      <c r="J381" s="718"/>
      <c r="K381" s="718"/>
      <c r="L381" s="718"/>
      <c r="M381" s="3"/>
      <c r="N381" s="3"/>
      <c r="O381" s="3"/>
      <c r="P381" s="3"/>
      <c r="Q381" s="3"/>
      <c r="R381" s="3"/>
      <c r="S381" s="3"/>
      <c r="T381" s="3"/>
      <c r="U381" s="3"/>
      <c r="V381" s="3"/>
      <c r="W381" s="3"/>
      <c r="X381" s="3"/>
      <c r="Y381" s="3"/>
      <c r="Z381" s="3"/>
    </row>
    <row r="382" spans="1:26" s="711" customFormat="1" ht="14.25" customHeight="1">
      <c r="A382" s="719">
        <v>101</v>
      </c>
      <c r="B382" s="716" t="s">
        <v>1559</v>
      </c>
      <c r="C382" s="719" t="s">
        <v>121</v>
      </c>
      <c r="D382" s="737">
        <v>3</v>
      </c>
      <c r="E382" s="737">
        <v>120</v>
      </c>
      <c r="F382" s="738">
        <f t="shared" si="127"/>
        <v>360</v>
      </c>
      <c r="G382" s="738">
        <f t="shared" si="125"/>
        <v>18</v>
      </c>
      <c r="H382" s="738">
        <f t="shared" si="126"/>
        <v>378</v>
      </c>
      <c r="I382" s="718"/>
      <c r="J382" s="718"/>
      <c r="K382" s="718"/>
      <c r="L382" s="718"/>
      <c r="M382" s="3"/>
      <c r="N382" s="3"/>
      <c r="O382" s="3"/>
      <c r="P382" s="3"/>
      <c r="Q382" s="3"/>
      <c r="R382" s="3"/>
      <c r="S382" s="3"/>
      <c r="T382" s="3"/>
      <c r="U382" s="3"/>
      <c r="V382" s="3"/>
      <c r="W382" s="3"/>
      <c r="X382" s="3"/>
      <c r="Y382" s="3"/>
      <c r="Z382" s="3"/>
    </row>
    <row r="383" spans="1:26" s="711" customFormat="1" ht="14.25" customHeight="1">
      <c r="A383" s="719">
        <v>102</v>
      </c>
      <c r="B383" s="716" t="s">
        <v>1560</v>
      </c>
      <c r="C383" s="719" t="s">
        <v>121</v>
      </c>
      <c r="D383" s="737">
        <v>1</v>
      </c>
      <c r="E383" s="737">
        <v>200</v>
      </c>
      <c r="F383" s="738">
        <f t="shared" ref="F383:F385" si="128">(D383*E383)</f>
        <v>200</v>
      </c>
      <c r="G383" s="738">
        <f t="shared" ref="G383:G385" si="129">(F383*5%)</f>
        <v>10</v>
      </c>
      <c r="H383" s="738">
        <f t="shared" ref="H383:H385" si="130">SUM(F383+G383)</f>
        <v>210</v>
      </c>
      <c r="I383" s="718"/>
      <c r="J383" s="718"/>
      <c r="K383" s="718"/>
      <c r="L383" s="718"/>
      <c r="M383" s="3"/>
      <c r="N383" s="3"/>
      <c r="O383" s="3"/>
      <c r="P383" s="3"/>
      <c r="Q383" s="3"/>
      <c r="R383" s="3"/>
      <c r="S383" s="3"/>
      <c r="T383" s="3"/>
      <c r="U383" s="3"/>
      <c r="V383" s="3"/>
      <c r="W383" s="3"/>
      <c r="X383" s="3"/>
      <c r="Y383" s="3"/>
      <c r="Z383" s="3"/>
    </row>
    <row r="384" spans="1:26" s="711" customFormat="1" ht="14.25" customHeight="1">
      <c r="A384" s="719">
        <v>103</v>
      </c>
      <c r="B384" s="716" t="s">
        <v>1561</v>
      </c>
      <c r="C384" s="719" t="s">
        <v>121</v>
      </c>
      <c r="D384" s="737">
        <v>1</v>
      </c>
      <c r="E384" s="737">
        <v>300</v>
      </c>
      <c r="F384" s="738">
        <f t="shared" si="128"/>
        <v>300</v>
      </c>
      <c r="G384" s="738">
        <f t="shared" si="129"/>
        <v>15</v>
      </c>
      <c r="H384" s="738">
        <f t="shared" si="130"/>
        <v>315</v>
      </c>
      <c r="I384" s="718"/>
      <c r="J384" s="718"/>
      <c r="K384" s="718"/>
      <c r="L384" s="718"/>
      <c r="M384" s="3"/>
      <c r="N384" s="3"/>
      <c r="O384" s="3"/>
      <c r="P384" s="3"/>
      <c r="Q384" s="3"/>
      <c r="R384" s="3"/>
      <c r="S384" s="3"/>
      <c r="T384" s="3"/>
      <c r="U384" s="3"/>
      <c r="V384" s="3"/>
      <c r="W384" s="3"/>
      <c r="X384" s="3"/>
      <c r="Y384" s="3"/>
      <c r="Z384" s="3"/>
    </row>
    <row r="385" spans="1:26" s="711" customFormat="1" ht="14.25" customHeight="1">
      <c r="A385" s="719">
        <v>104</v>
      </c>
      <c r="B385" s="716" t="s">
        <v>1562</v>
      </c>
      <c r="C385" s="719" t="s">
        <v>121</v>
      </c>
      <c r="D385" s="737">
        <v>3</v>
      </c>
      <c r="E385" s="737">
        <v>200</v>
      </c>
      <c r="F385" s="738">
        <f t="shared" si="128"/>
        <v>600</v>
      </c>
      <c r="G385" s="738">
        <f t="shared" si="129"/>
        <v>30</v>
      </c>
      <c r="H385" s="738">
        <f t="shared" si="130"/>
        <v>630</v>
      </c>
      <c r="I385" s="718"/>
      <c r="J385" s="718"/>
      <c r="K385" s="718"/>
      <c r="L385" s="718"/>
      <c r="M385" s="3"/>
      <c r="N385" s="3"/>
      <c r="O385" s="3"/>
      <c r="P385" s="3"/>
      <c r="Q385" s="3"/>
      <c r="R385" s="3"/>
      <c r="S385" s="3"/>
      <c r="T385" s="3"/>
      <c r="U385" s="3"/>
      <c r="V385" s="3"/>
      <c r="W385" s="3"/>
      <c r="X385" s="3"/>
      <c r="Y385" s="3"/>
      <c r="Z385" s="3"/>
    </row>
    <row r="386" spans="1:26" s="711" customFormat="1" ht="14.25" customHeight="1">
      <c r="A386" s="716"/>
      <c r="B386" s="716"/>
      <c r="C386" s="719"/>
      <c r="D386" s="737"/>
      <c r="E386" s="737"/>
      <c r="F386" s="738"/>
      <c r="G386" s="738"/>
      <c r="H386" s="738"/>
      <c r="I386" s="718"/>
      <c r="J386" s="718"/>
      <c r="K386" s="718"/>
      <c r="L386" s="718"/>
      <c r="M386" s="3"/>
      <c r="N386" s="3"/>
      <c r="O386" s="3"/>
      <c r="P386" s="3"/>
      <c r="Q386" s="3"/>
      <c r="R386" s="3"/>
      <c r="S386" s="3"/>
      <c r="T386" s="3"/>
      <c r="U386" s="3"/>
      <c r="V386" s="3"/>
      <c r="W386" s="3"/>
      <c r="X386" s="3"/>
      <c r="Y386" s="3"/>
      <c r="Z386" s="3"/>
    </row>
    <row r="387" spans="1:26" s="711" customFormat="1" ht="14.25" customHeight="1">
      <c r="A387" s="753" t="s">
        <v>119</v>
      </c>
      <c r="B387" s="754" t="s">
        <v>1489</v>
      </c>
      <c r="C387" s="716"/>
      <c r="D387" s="737"/>
      <c r="E387" s="737"/>
      <c r="F387" s="738"/>
      <c r="G387" s="738">
        <f t="shared" si="125"/>
        <v>0</v>
      </c>
      <c r="H387" s="738">
        <f t="shared" si="126"/>
        <v>0</v>
      </c>
      <c r="I387" s="718"/>
      <c r="J387" s="718"/>
      <c r="K387" s="718"/>
      <c r="L387" s="718"/>
      <c r="M387" s="3"/>
      <c r="N387" s="3"/>
      <c r="O387" s="3"/>
      <c r="P387" s="3"/>
      <c r="Q387" s="3"/>
      <c r="R387" s="3"/>
      <c r="S387" s="3"/>
      <c r="T387" s="3"/>
      <c r="U387" s="3"/>
      <c r="V387" s="3"/>
      <c r="W387" s="3"/>
      <c r="X387" s="3"/>
      <c r="Y387" s="3"/>
      <c r="Z387" s="3"/>
    </row>
    <row r="388" spans="1:26" s="711" customFormat="1" ht="14.25" customHeight="1">
      <c r="A388" s="719">
        <v>1</v>
      </c>
      <c r="B388" s="731" t="s">
        <v>700</v>
      </c>
      <c r="C388" s="719" t="s">
        <v>121</v>
      </c>
      <c r="D388" s="746">
        <v>72</v>
      </c>
      <c r="E388" s="751">
        <v>37</v>
      </c>
      <c r="F388" s="738">
        <f t="shared" ref="F388:F422" si="131">(D388*E388)</f>
        <v>2664</v>
      </c>
      <c r="G388" s="738">
        <f t="shared" ref="G388:G410" si="132">(F388*5%)</f>
        <v>133.20000000000002</v>
      </c>
      <c r="H388" s="738">
        <f t="shared" ref="H388:H422" si="133">SUM(F388+G388)</f>
        <v>2797.2</v>
      </c>
      <c r="I388" s="718"/>
      <c r="J388" s="718"/>
      <c r="K388" s="718"/>
      <c r="L388" s="718"/>
      <c r="M388" s="3"/>
      <c r="N388" s="3"/>
      <c r="O388" s="3"/>
      <c r="P388" s="3"/>
      <c r="Q388" s="3"/>
      <c r="R388" s="3"/>
      <c r="S388" s="3"/>
      <c r="T388" s="3"/>
      <c r="U388" s="3"/>
      <c r="V388" s="3"/>
      <c r="W388" s="3"/>
      <c r="X388" s="3"/>
      <c r="Y388" s="3"/>
      <c r="Z388" s="3"/>
    </row>
    <row r="389" spans="1:26" s="755" customFormat="1" ht="14.25" customHeight="1">
      <c r="A389" s="719">
        <v>2</v>
      </c>
      <c r="B389" s="731" t="s">
        <v>1679</v>
      </c>
      <c r="C389" s="719" t="s">
        <v>121</v>
      </c>
      <c r="D389" s="746">
        <v>1</v>
      </c>
      <c r="E389" s="751">
        <v>40</v>
      </c>
      <c r="F389" s="738">
        <f t="shared" ref="F389" si="134">(D389*E389)</f>
        <v>40</v>
      </c>
      <c r="G389" s="738">
        <f t="shared" ref="G389" si="135">(F389*5%)</f>
        <v>2</v>
      </c>
      <c r="H389" s="738">
        <f t="shared" ref="H389" si="136">SUM(F389+G389)</f>
        <v>42</v>
      </c>
      <c r="I389" s="718"/>
      <c r="J389" s="718"/>
      <c r="K389" s="718"/>
      <c r="L389" s="718"/>
      <c r="M389" s="3"/>
      <c r="N389" s="3"/>
      <c r="O389" s="3"/>
      <c r="P389" s="3"/>
      <c r="Q389" s="3"/>
      <c r="R389" s="3"/>
      <c r="S389" s="3"/>
      <c r="T389" s="3"/>
      <c r="U389" s="3"/>
      <c r="V389" s="3"/>
      <c r="W389" s="3"/>
      <c r="X389" s="3"/>
      <c r="Y389" s="3"/>
      <c r="Z389" s="3"/>
    </row>
    <row r="390" spans="1:26" s="744" customFormat="1" ht="14.25" customHeight="1">
      <c r="A390" s="719">
        <v>3</v>
      </c>
      <c r="B390" s="731" t="s">
        <v>1631</v>
      </c>
      <c r="C390" s="719" t="s">
        <v>121</v>
      </c>
      <c r="D390" s="746">
        <v>73</v>
      </c>
      <c r="E390" s="751">
        <v>5</v>
      </c>
      <c r="F390" s="738">
        <f t="shared" si="131"/>
        <v>365</v>
      </c>
      <c r="G390" s="738">
        <f t="shared" si="132"/>
        <v>18.25</v>
      </c>
      <c r="H390" s="738">
        <f t="shared" si="133"/>
        <v>383.25</v>
      </c>
      <c r="I390" s="718"/>
      <c r="J390" s="718"/>
      <c r="K390" s="718"/>
      <c r="L390" s="718"/>
      <c r="M390" s="3"/>
      <c r="N390" s="3"/>
      <c r="O390" s="3"/>
      <c r="P390" s="3"/>
      <c r="Q390" s="3"/>
      <c r="R390" s="3"/>
      <c r="S390" s="3"/>
      <c r="T390" s="3"/>
      <c r="U390" s="3"/>
      <c r="V390" s="3"/>
      <c r="W390" s="3"/>
      <c r="X390" s="3"/>
      <c r="Y390" s="3"/>
      <c r="Z390" s="3"/>
    </row>
    <row r="391" spans="1:26" s="711" customFormat="1" ht="14.25" customHeight="1">
      <c r="A391" s="719">
        <v>4</v>
      </c>
      <c r="B391" s="731" t="s">
        <v>701</v>
      </c>
      <c r="C391" s="719" t="s">
        <v>121</v>
      </c>
      <c r="D391" s="746">
        <v>146</v>
      </c>
      <c r="E391" s="751">
        <v>0.9</v>
      </c>
      <c r="F391" s="738">
        <f t="shared" si="131"/>
        <v>131.4</v>
      </c>
      <c r="G391" s="738">
        <f t="shared" si="132"/>
        <v>6.57</v>
      </c>
      <c r="H391" s="738">
        <f t="shared" si="133"/>
        <v>137.97</v>
      </c>
      <c r="I391" s="718"/>
      <c r="J391" s="718"/>
      <c r="K391" s="718"/>
      <c r="L391" s="718"/>
      <c r="M391" s="3"/>
      <c r="N391" s="3"/>
      <c r="O391" s="3"/>
      <c r="P391" s="3"/>
      <c r="Q391" s="3"/>
      <c r="R391" s="3"/>
      <c r="S391" s="3"/>
      <c r="T391" s="3"/>
      <c r="U391" s="3"/>
      <c r="V391" s="3"/>
      <c r="W391" s="3"/>
      <c r="X391" s="3"/>
      <c r="Y391" s="3"/>
      <c r="Z391" s="3"/>
    </row>
    <row r="392" spans="1:26" s="711" customFormat="1" ht="14.25" customHeight="1">
      <c r="A392" s="719">
        <v>5</v>
      </c>
      <c r="B392" s="731" t="s">
        <v>702</v>
      </c>
      <c r="C392" s="719" t="s">
        <v>121</v>
      </c>
      <c r="D392" s="746">
        <v>146</v>
      </c>
      <c r="E392" s="751">
        <v>0.9</v>
      </c>
      <c r="F392" s="738">
        <f t="shared" si="131"/>
        <v>131.4</v>
      </c>
      <c r="G392" s="738">
        <f t="shared" si="132"/>
        <v>6.57</v>
      </c>
      <c r="H392" s="738">
        <f t="shared" si="133"/>
        <v>137.97</v>
      </c>
      <c r="I392" s="718"/>
      <c r="J392" s="718"/>
      <c r="K392" s="718"/>
      <c r="L392" s="718"/>
      <c r="M392" s="3"/>
      <c r="N392" s="3"/>
      <c r="O392" s="3"/>
      <c r="P392" s="3"/>
      <c r="Q392" s="3"/>
      <c r="R392" s="3"/>
      <c r="S392" s="3"/>
      <c r="T392" s="3"/>
      <c r="U392" s="3"/>
      <c r="V392" s="3"/>
      <c r="W392" s="3"/>
      <c r="X392" s="3"/>
      <c r="Y392" s="3"/>
      <c r="Z392" s="3"/>
    </row>
    <row r="393" spans="1:26" s="744" customFormat="1" ht="14.25" customHeight="1">
      <c r="A393" s="719">
        <v>6</v>
      </c>
      <c r="B393" s="731" t="s">
        <v>1632</v>
      </c>
      <c r="C393" s="719" t="s">
        <v>121</v>
      </c>
      <c r="D393" s="746">
        <v>73</v>
      </c>
      <c r="E393" s="751">
        <v>14</v>
      </c>
      <c r="F393" s="738">
        <f t="shared" si="131"/>
        <v>1022</v>
      </c>
      <c r="G393" s="738">
        <f t="shared" si="132"/>
        <v>51.1</v>
      </c>
      <c r="H393" s="738">
        <f t="shared" si="133"/>
        <v>1073.0999999999999</v>
      </c>
      <c r="I393" s="718"/>
      <c r="J393" s="718"/>
      <c r="K393" s="718"/>
      <c r="L393" s="718"/>
      <c r="M393" s="3"/>
      <c r="N393" s="3"/>
      <c r="O393" s="3"/>
      <c r="P393" s="3"/>
      <c r="Q393" s="3"/>
      <c r="R393" s="3"/>
      <c r="S393" s="3"/>
      <c r="T393" s="3"/>
      <c r="U393" s="3"/>
      <c r="V393" s="3"/>
      <c r="W393" s="3"/>
      <c r="X393" s="3"/>
      <c r="Y393" s="3"/>
      <c r="Z393" s="3"/>
    </row>
    <row r="394" spans="1:26" s="744" customFormat="1" ht="14.25" customHeight="1">
      <c r="A394" s="719">
        <v>7</v>
      </c>
      <c r="B394" s="731" t="s">
        <v>1633</v>
      </c>
      <c r="C394" s="719" t="s">
        <v>121</v>
      </c>
      <c r="D394" s="746">
        <v>73</v>
      </c>
      <c r="E394" s="751">
        <v>2</v>
      </c>
      <c r="F394" s="738">
        <f t="shared" si="131"/>
        <v>146</v>
      </c>
      <c r="G394" s="738">
        <f t="shared" si="132"/>
        <v>7.3000000000000007</v>
      </c>
      <c r="H394" s="738">
        <f t="shared" si="133"/>
        <v>153.30000000000001</v>
      </c>
      <c r="I394" s="718"/>
      <c r="J394" s="718"/>
      <c r="K394" s="718"/>
      <c r="L394" s="718"/>
      <c r="M394" s="3"/>
      <c r="N394" s="3"/>
      <c r="O394" s="3"/>
      <c r="P394" s="3"/>
      <c r="Q394" s="3"/>
      <c r="R394" s="3"/>
      <c r="S394" s="3"/>
      <c r="T394" s="3"/>
      <c r="U394" s="3"/>
      <c r="V394" s="3"/>
      <c r="W394" s="3"/>
      <c r="X394" s="3"/>
      <c r="Y394" s="3"/>
      <c r="Z394" s="3"/>
    </row>
    <row r="395" spans="1:26" s="744" customFormat="1" ht="14.25" customHeight="1">
      <c r="A395" s="719">
        <v>8</v>
      </c>
      <c r="B395" s="731" t="s">
        <v>1634</v>
      </c>
      <c r="C395" s="719" t="s">
        <v>121</v>
      </c>
      <c r="D395" s="746">
        <v>146</v>
      </c>
      <c r="E395" s="751">
        <v>0.9</v>
      </c>
      <c r="F395" s="738">
        <f t="shared" si="131"/>
        <v>131.4</v>
      </c>
      <c r="G395" s="738">
        <f t="shared" si="132"/>
        <v>6.57</v>
      </c>
      <c r="H395" s="738">
        <f t="shared" si="133"/>
        <v>137.97</v>
      </c>
      <c r="I395" s="718"/>
      <c r="J395" s="718"/>
      <c r="K395" s="718"/>
      <c r="L395" s="718"/>
      <c r="M395" s="3"/>
      <c r="N395" s="3"/>
      <c r="O395" s="3"/>
      <c r="P395" s="3"/>
      <c r="Q395" s="3"/>
      <c r="R395" s="3"/>
      <c r="S395" s="3"/>
      <c r="T395" s="3"/>
      <c r="U395" s="3"/>
      <c r="V395" s="3"/>
      <c r="W395" s="3"/>
      <c r="X395" s="3"/>
      <c r="Y395" s="3"/>
      <c r="Z395" s="3"/>
    </row>
    <row r="396" spans="1:26" s="744" customFormat="1" ht="14.25" customHeight="1">
      <c r="A396" s="719">
        <v>9</v>
      </c>
      <c r="B396" s="731" t="s">
        <v>1635</v>
      </c>
      <c r="C396" s="719" t="s">
        <v>121</v>
      </c>
      <c r="D396" s="746">
        <v>73</v>
      </c>
      <c r="E396" s="751">
        <v>14</v>
      </c>
      <c r="F396" s="738">
        <f t="shared" si="131"/>
        <v>1022</v>
      </c>
      <c r="G396" s="738">
        <f t="shared" si="132"/>
        <v>51.1</v>
      </c>
      <c r="H396" s="738">
        <f t="shared" si="133"/>
        <v>1073.0999999999999</v>
      </c>
      <c r="I396" s="718"/>
      <c r="J396" s="718"/>
      <c r="K396" s="718"/>
      <c r="L396" s="718"/>
      <c r="M396" s="3"/>
      <c r="N396" s="3"/>
      <c r="O396" s="3"/>
      <c r="P396" s="3"/>
      <c r="Q396" s="3"/>
      <c r="R396" s="3"/>
      <c r="S396" s="3"/>
      <c r="T396" s="3"/>
      <c r="U396" s="3"/>
      <c r="V396" s="3"/>
      <c r="W396" s="3"/>
      <c r="X396" s="3"/>
      <c r="Y396" s="3"/>
      <c r="Z396" s="3"/>
    </row>
    <row r="397" spans="1:26" s="711" customFormat="1" ht="14.25" customHeight="1">
      <c r="A397" s="719">
        <v>10</v>
      </c>
      <c r="B397" s="731" t="s">
        <v>1636</v>
      </c>
      <c r="C397" s="719" t="s">
        <v>121</v>
      </c>
      <c r="D397" s="746">
        <v>36</v>
      </c>
      <c r="E397" s="751">
        <v>2</v>
      </c>
      <c r="F397" s="738">
        <f t="shared" si="131"/>
        <v>72</v>
      </c>
      <c r="G397" s="738">
        <f t="shared" si="132"/>
        <v>3.6</v>
      </c>
      <c r="H397" s="738">
        <f t="shared" si="133"/>
        <v>75.599999999999994</v>
      </c>
      <c r="I397" s="718"/>
      <c r="J397" s="718"/>
      <c r="K397" s="718"/>
      <c r="L397" s="718"/>
      <c r="M397" s="3"/>
      <c r="N397" s="3"/>
      <c r="O397" s="3"/>
      <c r="P397" s="3"/>
      <c r="Q397" s="3"/>
      <c r="R397" s="3"/>
      <c r="S397" s="3"/>
      <c r="T397" s="3"/>
      <c r="U397" s="3"/>
      <c r="V397" s="3"/>
      <c r="W397" s="3"/>
      <c r="X397" s="3"/>
      <c r="Y397" s="3"/>
      <c r="Z397" s="3"/>
    </row>
    <row r="398" spans="1:26" s="744" customFormat="1" ht="14.25" customHeight="1">
      <c r="A398" s="719">
        <v>11</v>
      </c>
      <c r="B398" s="731" t="s">
        <v>1637</v>
      </c>
      <c r="C398" s="719" t="s">
        <v>121</v>
      </c>
      <c r="D398" s="746">
        <v>72</v>
      </c>
      <c r="E398" s="751">
        <v>0.9</v>
      </c>
      <c r="F398" s="738">
        <f t="shared" si="131"/>
        <v>64.8</v>
      </c>
      <c r="G398" s="738">
        <f t="shared" si="132"/>
        <v>3.24</v>
      </c>
      <c r="H398" s="738">
        <f t="shared" si="133"/>
        <v>68.039999999999992</v>
      </c>
      <c r="I398" s="718"/>
      <c r="J398" s="718"/>
      <c r="K398" s="718"/>
      <c r="L398" s="718"/>
      <c r="M398" s="3"/>
      <c r="N398" s="3"/>
      <c r="O398" s="3"/>
      <c r="P398" s="3"/>
      <c r="Q398" s="3"/>
      <c r="R398" s="3"/>
      <c r="S398" s="3"/>
      <c r="T398" s="3"/>
      <c r="U398" s="3"/>
      <c r="V398" s="3"/>
      <c r="W398" s="3"/>
      <c r="X398" s="3"/>
      <c r="Y398" s="3"/>
      <c r="Z398" s="3"/>
    </row>
    <row r="399" spans="1:26" s="744" customFormat="1" ht="14.25" customHeight="1">
      <c r="A399" s="719">
        <v>12</v>
      </c>
      <c r="B399" s="731" t="s">
        <v>1638</v>
      </c>
      <c r="C399" s="719" t="s">
        <v>121</v>
      </c>
      <c r="D399" s="746">
        <v>36</v>
      </c>
      <c r="E399" s="751">
        <v>2</v>
      </c>
      <c r="F399" s="738">
        <f t="shared" si="131"/>
        <v>72</v>
      </c>
      <c r="G399" s="738">
        <f t="shared" si="132"/>
        <v>3.6</v>
      </c>
      <c r="H399" s="738">
        <f t="shared" si="133"/>
        <v>75.599999999999994</v>
      </c>
      <c r="I399" s="718"/>
      <c r="J399" s="718"/>
      <c r="K399" s="718"/>
      <c r="L399" s="718"/>
      <c r="M399" s="3"/>
      <c r="N399" s="3"/>
      <c r="O399" s="3"/>
      <c r="P399" s="3"/>
      <c r="Q399" s="3"/>
      <c r="R399" s="3"/>
      <c r="S399" s="3"/>
      <c r="T399" s="3"/>
      <c r="U399" s="3"/>
      <c r="V399" s="3"/>
      <c r="W399" s="3"/>
      <c r="X399" s="3"/>
      <c r="Y399" s="3"/>
      <c r="Z399" s="3"/>
    </row>
    <row r="400" spans="1:26" s="744" customFormat="1" ht="14.25" customHeight="1">
      <c r="A400" s="719">
        <v>13</v>
      </c>
      <c r="B400" s="731" t="s">
        <v>1639</v>
      </c>
      <c r="C400" s="719" t="s">
        <v>121</v>
      </c>
      <c r="D400" s="746">
        <v>1</v>
      </c>
      <c r="E400" s="751">
        <v>12</v>
      </c>
      <c r="F400" s="738">
        <f t="shared" si="131"/>
        <v>12</v>
      </c>
      <c r="G400" s="738">
        <f t="shared" si="132"/>
        <v>0.60000000000000009</v>
      </c>
      <c r="H400" s="738">
        <f t="shared" si="133"/>
        <v>12.6</v>
      </c>
      <c r="I400" s="718"/>
      <c r="J400" s="718"/>
      <c r="K400" s="718"/>
      <c r="L400" s="718"/>
      <c r="M400" s="3"/>
      <c r="N400" s="3"/>
      <c r="O400" s="3"/>
      <c r="P400" s="3"/>
      <c r="Q400" s="3"/>
      <c r="R400" s="3"/>
      <c r="S400" s="3"/>
      <c r="T400" s="3"/>
      <c r="U400" s="3"/>
      <c r="V400" s="3"/>
      <c r="W400" s="3"/>
      <c r="X400" s="3"/>
      <c r="Y400" s="3"/>
      <c r="Z400" s="3"/>
    </row>
    <row r="401" spans="1:26" s="711" customFormat="1" ht="14.25" customHeight="1">
      <c r="A401" s="719">
        <v>14</v>
      </c>
      <c r="B401" s="732" t="s">
        <v>705</v>
      </c>
      <c r="C401" s="719" t="s">
        <v>121</v>
      </c>
      <c r="D401" s="746">
        <v>36</v>
      </c>
      <c r="E401" s="751">
        <v>9</v>
      </c>
      <c r="F401" s="738">
        <f t="shared" si="131"/>
        <v>324</v>
      </c>
      <c r="G401" s="738">
        <f t="shared" si="132"/>
        <v>16.2</v>
      </c>
      <c r="H401" s="738">
        <f t="shared" si="133"/>
        <v>340.2</v>
      </c>
      <c r="I401" s="718"/>
      <c r="J401" s="718"/>
      <c r="K401" s="718"/>
      <c r="L401" s="718"/>
      <c r="M401" s="3"/>
      <c r="N401" s="3"/>
      <c r="O401" s="3"/>
      <c r="P401" s="3"/>
      <c r="Q401" s="3"/>
      <c r="R401" s="3"/>
      <c r="S401" s="3"/>
      <c r="T401" s="3"/>
      <c r="U401" s="3"/>
      <c r="V401" s="3"/>
      <c r="W401" s="3"/>
      <c r="X401" s="3"/>
      <c r="Y401" s="3"/>
      <c r="Z401" s="3"/>
    </row>
    <row r="402" spans="1:26" s="744" customFormat="1" ht="14.25" customHeight="1">
      <c r="A402" s="719">
        <v>15</v>
      </c>
      <c r="B402" s="732" t="s">
        <v>1640</v>
      </c>
      <c r="C402" s="719" t="s">
        <v>121</v>
      </c>
      <c r="D402" s="746">
        <v>73</v>
      </c>
      <c r="E402" s="751">
        <v>2</v>
      </c>
      <c r="F402" s="738">
        <f t="shared" si="131"/>
        <v>146</v>
      </c>
      <c r="G402" s="738">
        <f t="shared" si="132"/>
        <v>7.3000000000000007</v>
      </c>
      <c r="H402" s="738">
        <f t="shared" si="133"/>
        <v>153.30000000000001</v>
      </c>
      <c r="I402" s="718"/>
      <c r="J402" s="718"/>
      <c r="K402" s="718"/>
      <c r="L402" s="718"/>
      <c r="M402" s="3"/>
      <c r="N402" s="3"/>
      <c r="O402" s="3"/>
      <c r="P402" s="3"/>
      <c r="Q402" s="3"/>
      <c r="R402" s="3"/>
      <c r="S402" s="3"/>
      <c r="T402" s="3"/>
      <c r="U402" s="3"/>
      <c r="V402" s="3"/>
      <c r="W402" s="3"/>
      <c r="X402" s="3"/>
      <c r="Y402" s="3"/>
      <c r="Z402" s="3"/>
    </row>
    <row r="403" spans="1:26" s="744" customFormat="1" ht="14.25" customHeight="1">
      <c r="A403" s="719">
        <v>16</v>
      </c>
      <c r="B403" s="732" t="s">
        <v>1641</v>
      </c>
      <c r="C403" s="719" t="s">
        <v>121</v>
      </c>
      <c r="D403" s="746">
        <v>36</v>
      </c>
      <c r="E403" s="751">
        <v>2.8</v>
      </c>
      <c r="F403" s="738">
        <f t="shared" si="131"/>
        <v>100.8</v>
      </c>
      <c r="G403" s="738">
        <f t="shared" si="132"/>
        <v>5.04</v>
      </c>
      <c r="H403" s="738">
        <f t="shared" si="133"/>
        <v>105.84</v>
      </c>
      <c r="I403" s="718"/>
      <c r="J403" s="718"/>
      <c r="K403" s="718"/>
      <c r="L403" s="718"/>
      <c r="M403" s="3"/>
      <c r="N403" s="3"/>
      <c r="O403" s="3"/>
      <c r="P403" s="3"/>
      <c r="Q403" s="3"/>
      <c r="R403" s="3"/>
      <c r="S403" s="3"/>
      <c r="T403" s="3"/>
      <c r="U403" s="3"/>
      <c r="V403" s="3"/>
      <c r="W403" s="3"/>
      <c r="X403" s="3"/>
      <c r="Y403" s="3"/>
      <c r="Z403" s="3"/>
    </row>
    <row r="404" spans="1:26" s="744" customFormat="1" ht="14.25" customHeight="1">
      <c r="A404" s="719">
        <v>17</v>
      </c>
      <c r="B404" s="732" t="s">
        <v>1642</v>
      </c>
      <c r="C404" s="719" t="s">
        <v>121</v>
      </c>
      <c r="D404" s="746">
        <v>73</v>
      </c>
      <c r="E404" s="751">
        <v>4</v>
      </c>
      <c r="F404" s="738">
        <f t="shared" si="131"/>
        <v>292</v>
      </c>
      <c r="G404" s="738">
        <f t="shared" si="132"/>
        <v>14.600000000000001</v>
      </c>
      <c r="H404" s="738">
        <f t="shared" si="133"/>
        <v>306.60000000000002</v>
      </c>
      <c r="I404" s="718"/>
      <c r="J404" s="718"/>
      <c r="K404" s="718"/>
      <c r="L404" s="718"/>
      <c r="M404" s="3"/>
      <c r="N404" s="3"/>
      <c r="O404" s="3"/>
      <c r="P404" s="3"/>
      <c r="Q404" s="3"/>
      <c r="R404" s="3"/>
      <c r="S404" s="3"/>
      <c r="T404" s="3"/>
      <c r="U404" s="3"/>
      <c r="V404" s="3"/>
      <c r="W404" s="3"/>
      <c r="X404" s="3"/>
      <c r="Y404" s="3"/>
      <c r="Z404" s="3"/>
    </row>
    <row r="405" spans="1:26" s="744" customFormat="1" ht="14.25" customHeight="1">
      <c r="A405" s="719">
        <v>18</v>
      </c>
      <c r="B405" s="732" t="s">
        <v>1643</v>
      </c>
      <c r="C405" s="719" t="s">
        <v>1367</v>
      </c>
      <c r="D405" s="746">
        <v>75</v>
      </c>
      <c r="E405" s="751">
        <v>4.4000000000000004</v>
      </c>
      <c r="F405" s="738">
        <f t="shared" si="131"/>
        <v>330</v>
      </c>
      <c r="G405" s="738">
        <f t="shared" si="132"/>
        <v>16.5</v>
      </c>
      <c r="H405" s="738">
        <f t="shared" si="133"/>
        <v>346.5</v>
      </c>
      <c r="I405" s="718"/>
      <c r="J405" s="718"/>
      <c r="K405" s="718"/>
      <c r="L405" s="718"/>
      <c r="M405" s="3"/>
      <c r="N405" s="3"/>
      <c r="O405" s="3"/>
      <c r="P405" s="3"/>
      <c r="Q405" s="3"/>
      <c r="R405" s="3"/>
      <c r="S405" s="3"/>
      <c r="T405" s="3"/>
      <c r="U405" s="3"/>
      <c r="V405" s="3"/>
      <c r="W405" s="3"/>
      <c r="X405" s="3"/>
      <c r="Y405" s="3"/>
      <c r="Z405" s="3"/>
    </row>
    <row r="406" spans="1:26" s="744" customFormat="1" ht="14.25" customHeight="1">
      <c r="A406" s="719">
        <v>19</v>
      </c>
      <c r="B406" s="732" t="s">
        <v>1644</v>
      </c>
      <c r="C406" s="719" t="s">
        <v>1367</v>
      </c>
      <c r="D406" s="746">
        <v>73</v>
      </c>
      <c r="E406" s="751">
        <v>2</v>
      </c>
      <c r="F406" s="738">
        <f t="shared" si="131"/>
        <v>146</v>
      </c>
      <c r="G406" s="738">
        <f t="shared" si="132"/>
        <v>7.3000000000000007</v>
      </c>
      <c r="H406" s="738">
        <f t="shared" si="133"/>
        <v>153.30000000000001</v>
      </c>
      <c r="I406" s="718"/>
      <c r="J406" s="718"/>
      <c r="K406" s="718"/>
      <c r="L406" s="718"/>
      <c r="M406" s="3"/>
      <c r="N406" s="3"/>
      <c r="O406" s="3"/>
      <c r="P406" s="3"/>
      <c r="Q406" s="3"/>
      <c r="R406" s="3"/>
      <c r="S406" s="3"/>
      <c r="T406" s="3"/>
      <c r="U406" s="3"/>
      <c r="V406" s="3"/>
      <c r="W406" s="3"/>
      <c r="X406" s="3"/>
      <c r="Y406" s="3"/>
      <c r="Z406" s="3"/>
    </row>
    <row r="407" spans="1:26" s="744" customFormat="1" ht="14.25" customHeight="1">
      <c r="A407" s="719">
        <v>20</v>
      </c>
      <c r="B407" s="732" t="s">
        <v>1645</v>
      </c>
      <c r="C407" s="719" t="s">
        <v>1367</v>
      </c>
      <c r="D407" s="746">
        <v>36</v>
      </c>
      <c r="E407" s="751">
        <v>0.9</v>
      </c>
      <c r="F407" s="738">
        <f t="shared" si="131"/>
        <v>32.4</v>
      </c>
      <c r="G407" s="738">
        <f t="shared" si="132"/>
        <v>1.62</v>
      </c>
      <c r="H407" s="738">
        <f t="shared" si="133"/>
        <v>34.019999999999996</v>
      </c>
      <c r="I407" s="718"/>
      <c r="J407" s="718"/>
      <c r="K407" s="718"/>
      <c r="L407" s="718"/>
      <c r="M407" s="3"/>
      <c r="N407" s="3"/>
      <c r="O407" s="3"/>
      <c r="P407" s="3"/>
      <c r="Q407" s="3"/>
      <c r="R407" s="3"/>
      <c r="S407" s="3"/>
      <c r="T407" s="3"/>
      <c r="U407" s="3"/>
      <c r="V407" s="3"/>
      <c r="W407" s="3"/>
      <c r="X407" s="3"/>
      <c r="Y407" s="3"/>
      <c r="Z407" s="3"/>
    </row>
    <row r="408" spans="1:26" s="744" customFormat="1" ht="14.25" customHeight="1">
      <c r="A408" s="719">
        <v>21</v>
      </c>
      <c r="B408" s="732" t="s">
        <v>1646</v>
      </c>
      <c r="C408" s="719" t="s">
        <v>1367</v>
      </c>
      <c r="D408" s="746">
        <v>2</v>
      </c>
      <c r="E408" s="751">
        <v>1.2</v>
      </c>
      <c r="F408" s="738">
        <f t="shared" si="131"/>
        <v>2.4</v>
      </c>
      <c r="G408" s="738">
        <f t="shared" si="132"/>
        <v>0.12</v>
      </c>
      <c r="H408" s="738">
        <f t="shared" si="133"/>
        <v>2.52</v>
      </c>
      <c r="I408" s="718"/>
      <c r="J408" s="718"/>
      <c r="K408" s="718"/>
      <c r="L408" s="718"/>
      <c r="M408" s="3"/>
      <c r="N408" s="3"/>
      <c r="O408" s="3"/>
      <c r="P408" s="3"/>
      <c r="Q408" s="3"/>
      <c r="R408" s="3"/>
      <c r="S408" s="3"/>
      <c r="T408" s="3"/>
      <c r="U408" s="3"/>
      <c r="V408" s="3"/>
      <c r="W408" s="3"/>
      <c r="X408" s="3"/>
      <c r="Y408" s="3"/>
      <c r="Z408" s="3"/>
    </row>
    <row r="409" spans="1:26" s="711" customFormat="1" ht="14.25" customHeight="1">
      <c r="A409" s="719">
        <v>22</v>
      </c>
      <c r="B409" s="732" t="s">
        <v>1134</v>
      </c>
      <c r="C409" s="719" t="s">
        <v>121</v>
      </c>
      <c r="D409" s="746">
        <v>35</v>
      </c>
      <c r="E409" s="740">
        <v>27</v>
      </c>
      <c r="F409" s="738">
        <f t="shared" si="131"/>
        <v>945</v>
      </c>
      <c r="G409" s="738">
        <f t="shared" si="132"/>
        <v>47.25</v>
      </c>
      <c r="H409" s="738">
        <f t="shared" si="133"/>
        <v>992.25</v>
      </c>
      <c r="I409" s="718"/>
      <c r="J409" s="718"/>
      <c r="K409" s="718"/>
      <c r="L409" s="718"/>
      <c r="M409" s="3"/>
      <c r="N409" s="3"/>
      <c r="O409" s="3"/>
      <c r="P409" s="3"/>
      <c r="Q409" s="3"/>
      <c r="R409" s="3"/>
      <c r="S409" s="3"/>
      <c r="T409" s="3"/>
      <c r="U409" s="3"/>
      <c r="V409" s="3"/>
      <c r="W409" s="3"/>
      <c r="X409" s="3"/>
      <c r="Y409" s="3"/>
      <c r="Z409" s="3"/>
    </row>
    <row r="410" spans="1:26" s="711" customFormat="1" ht="14.25" customHeight="1">
      <c r="A410" s="719">
        <v>23</v>
      </c>
      <c r="B410" s="732" t="s">
        <v>706</v>
      </c>
      <c r="C410" s="719" t="s">
        <v>121</v>
      </c>
      <c r="D410" s="746">
        <v>36</v>
      </c>
      <c r="E410" s="740">
        <v>27</v>
      </c>
      <c r="F410" s="738">
        <f t="shared" si="131"/>
        <v>972</v>
      </c>
      <c r="G410" s="738">
        <f t="shared" si="132"/>
        <v>48.6</v>
      </c>
      <c r="H410" s="738">
        <f t="shared" si="133"/>
        <v>1020.6</v>
      </c>
      <c r="I410" s="718"/>
      <c r="J410" s="718"/>
      <c r="K410" s="718"/>
      <c r="L410" s="718"/>
      <c r="M410" s="3"/>
      <c r="N410" s="3"/>
      <c r="O410" s="3"/>
      <c r="P410" s="3"/>
      <c r="Q410" s="3"/>
      <c r="R410" s="3"/>
      <c r="S410" s="3"/>
      <c r="T410" s="3"/>
      <c r="U410" s="3"/>
      <c r="V410" s="3"/>
      <c r="W410" s="3"/>
      <c r="X410" s="3"/>
      <c r="Y410" s="3"/>
      <c r="Z410" s="3"/>
    </row>
    <row r="411" spans="1:26" s="711" customFormat="1" ht="14.25" customHeight="1">
      <c r="A411" s="719">
        <v>24</v>
      </c>
      <c r="B411" s="716" t="s">
        <v>1488</v>
      </c>
      <c r="C411" s="719" t="s">
        <v>1276</v>
      </c>
      <c r="D411" s="743">
        <v>1</v>
      </c>
      <c r="E411" s="737">
        <v>500</v>
      </c>
      <c r="F411" s="738">
        <f t="shared" si="131"/>
        <v>500</v>
      </c>
      <c r="G411" s="738"/>
      <c r="H411" s="738">
        <f t="shared" si="133"/>
        <v>500</v>
      </c>
      <c r="I411" s="718"/>
      <c r="J411" s="718"/>
      <c r="K411" s="718"/>
      <c r="L411" s="718"/>
      <c r="M411" s="3"/>
      <c r="N411" s="3"/>
      <c r="O411" s="3"/>
      <c r="P411" s="3"/>
      <c r="Q411" s="3"/>
      <c r="R411" s="3"/>
      <c r="S411" s="3"/>
      <c r="T411" s="3"/>
      <c r="U411" s="3"/>
      <c r="V411" s="3"/>
      <c r="W411" s="3"/>
      <c r="X411" s="3"/>
      <c r="Y411" s="3"/>
      <c r="Z411" s="3"/>
    </row>
    <row r="412" spans="1:26" s="711" customFormat="1" ht="14.25" customHeight="1">
      <c r="A412" s="719">
        <v>25</v>
      </c>
      <c r="B412" s="716" t="s">
        <v>1563</v>
      </c>
      <c r="C412" s="719" t="s">
        <v>121</v>
      </c>
      <c r="D412" s="743">
        <v>73</v>
      </c>
      <c r="E412" s="737">
        <v>12.3</v>
      </c>
      <c r="F412" s="738">
        <f t="shared" si="131"/>
        <v>897.90000000000009</v>
      </c>
      <c r="G412" s="738">
        <f t="shared" ref="G412:G422" si="137">(F412*5%)</f>
        <v>44.89500000000001</v>
      </c>
      <c r="H412" s="738">
        <f t="shared" si="133"/>
        <v>942.79500000000007</v>
      </c>
      <c r="I412" s="718"/>
      <c r="J412" s="718"/>
      <c r="K412" s="718"/>
      <c r="L412" s="718"/>
      <c r="M412" s="3"/>
      <c r="N412" s="3"/>
      <c r="O412" s="3"/>
      <c r="P412" s="3"/>
      <c r="Q412" s="3"/>
      <c r="R412" s="3"/>
      <c r="S412" s="3"/>
      <c r="T412" s="3"/>
      <c r="U412" s="3"/>
      <c r="V412" s="3"/>
      <c r="W412" s="3"/>
      <c r="X412" s="3"/>
      <c r="Y412" s="3"/>
      <c r="Z412" s="3"/>
    </row>
    <row r="413" spans="1:26" s="711" customFormat="1" ht="14.25" customHeight="1">
      <c r="A413" s="719">
        <v>26</v>
      </c>
      <c r="B413" s="716" t="s">
        <v>1564</v>
      </c>
      <c r="C413" s="719" t="s">
        <v>121</v>
      </c>
      <c r="D413" s="743">
        <v>73</v>
      </c>
      <c r="E413" s="737">
        <v>1.1499999999999999</v>
      </c>
      <c r="F413" s="738">
        <f t="shared" si="131"/>
        <v>83.949999999999989</v>
      </c>
      <c r="G413" s="738">
        <f t="shared" si="137"/>
        <v>4.1974999999999998</v>
      </c>
      <c r="H413" s="738">
        <f t="shared" si="133"/>
        <v>88.147499999999994</v>
      </c>
      <c r="I413" s="718"/>
      <c r="J413" s="718"/>
      <c r="K413" s="718"/>
      <c r="L413" s="718"/>
      <c r="M413" s="3"/>
      <c r="N413" s="3"/>
      <c r="O413" s="3"/>
      <c r="P413" s="3"/>
      <c r="Q413" s="3"/>
      <c r="R413" s="3"/>
      <c r="S413" s="3"/>
      <c r="T413" s="3"/>
      <c r="U413" s="3"/>
      <c r="V413" s="3"/>
      <c r="W413" s="3"/>
      <c r="X413" s="3"/>
      <c r="Y413" s="3"/>
      <c r="Z413" s="3"/>
    </row>
    <row r="414" spans="1:26" s="711" customFormat="1" ht="14.25" customHeight="1">
      <c r="A414" s="719">
        <v>27</v>
      </c>
      <c r="B414" s="716" t="s">
        <v>1565</v>
      </c>
      <c r="C414" s="719" t="s">
        <v>121</v>
      </c>
      <c r="D414" s="743">
        <v>73</v>
      </c>
      <c r="E414" s="737">
        <v>0.75</v>
      </c>
      <c r="F414" s="738">
        <f t="shared" si="131"/>
        <v>54.75</v>
      </c>
      <c r="G414" s="738">
        <f t="shared" si="137"/>
        <v>2.7375000000000003</v>
      </c>
      <c r="H414" s="738">
        <f t="shared" si="133"/>
        <v>57.487499999999997</v>
      </c>
      <c r="I414" s="718"/>
      <c r="J414" s="718"/>
      <c r="K414" s="718"/>
      <c r="L414" s="718"/>
      <c r="M414" s="3"/>
      <c r="N414" s="3"/>
      <c r="O414" s="3"/>
      <c r="P414" s="3"/>
      <c r="Q414" s="3"/>
      <c r="R414" s="3"/>
      <c r="S414" s="3"/>
      <c r="T414" s="3"/>
      <c r="U414" s="3"/>
      <c r="V414" s="3"/>
      <c r="W414" s="3"/>
      <c r="X414" s="3"/>
      <c r="Y414" s="3"/>
      <c r="Z414" s="3"/>
    </row>
    <row r="415" spans="1:26" s="711" customFormat="1" ht="14.25" customHeight="1">
      <c r="A415" s="719">
        <v>28</v>
      </c>
      <c r="B415" s="716" t="s">
        <v>1566</v>
      </c>
      <c r="C415" s="719" t="s">
        <v>121</v>
      </c>
      <c r="D415" s="743">
        <v>73</v>
      </c>
      <c r="E415" s="737">
        <v>1.8</v>
      </c>
      <c r="F415" s="738">
        <f t="shared" si="131"/>
        <v>131.4</v>
      </c>
      <c r="G415" s="738">
        <f t="shared" si="137"/>
        <v>6.57</v>
      </c>
      <c r="H415" s="738">
        <f t="shared" si="133"/>
        <v>137.97</v>
      </c>
      <c r="I415" s="718"/>
      <c r="J415" s="718"/>
      <c r="K415" s="718"/>
      <c r="L415" s="718"/>
      <c r="M415" s="3"/>
      <c r="N415" s="3"/>
      <c r="O415" s="3"/>
      <c r="P415" s="3"/>
      <c r="Q415" s="3"/>
      <c r="R415" s="3"/>
      <c r="S415" s="3"/>
      <c r="T415" s="3"/>
      <c r="U415" s="3"/>
      <c r="V415" s="3"/>
      <c r="W415" s="3"/>
      <c r="X415" s="3"/>
      <c r="Y415" s="3"/>
      <c r="Z415" s="3"/>
    </row>
    <row r="416" spans="1:26" s="711" customFormat="1" ht="14.25" customHeight="1">
      <c r="A416" s="719">
        <v>29</v>
      </c>
      <c r="B416" s="716" t="s">
        <v>1567</v>
      </c>
      <c r="C416" s="719" t="s">
        <v>121</v>
      </c>
      <c r="D416" s="743">
        <v>36</v>
      </c>
      <c r="E416" s="737">
        <v>1.8</v>
      </c>
      <c r="F416" s="738">
        <f t="shared" si="131"/>
        <v>64.8</v>
      </c>
      <c r="G416" s="738">
        <f t="shared" si="137"/>
        <v>3.24</v>
      </c>
      <c r="H416" s="738">
        <f t="shared" si="133"/>
        <v>68.039999999999992</v>
      </c>
      <c r="I416" s="718"/>
      <c r="J416" s="718"/>
      <c r="K416" s="718"/>
      <c r="L416" s="718"/>
      <c r="M416" s="3"/>
      <c r="N416" s="3"/>
      <c r="O416" s="3"/>
      <c r="P416" s="3"/>
      <c r="Q416" s="3"/>
      <c r="R416" s="3"/>
      <c r="S416" s="3"/>
      <c r="T416" s="3"/>
      <c r="U416" s="3"/>
      <c r="V416" s="3"/>
      <c r="W416" s="3"/>
      <c r="X416" s="3"/>
      <c r="Y416" s="3"/>
      <c r="Z416" s="3"/>
    </row>
    <row r="417" spans="1:26" s="711" customFormat="1" ht="14.25" customHeight="1">
      <c r="A417" s="719">
        <v>30</v>
      </c>
      <c r="B417" s="716" t="s">
        <v>1568</v>
      </c>
      <c r="C417" s="719" t="s">
        <v>121</v>
      </c>
      <c r="D417" s="743">
        <v>35</v>
      </c>
      <c r="E417" s="737">
        <v>1.2</v>
      </c>
      <c r="F417" s="738">
        <f t="shared" si="131"/>
        <v>42</v>
      </c>
      <c r="G417" s="738">
        <f t="shared" si="137"/>
        <v>2.1</v>
      </c>
      <c r="H417" s="738">
        <f t="shared" si="133"/>
        <v>44.1</v>
      </c>
      <c r="I417" s="718"/>
      <c r="J417" s="718"/>
      <c r="K417" s="718"/>
      <c r="L417" s="718"/>
      <c r="M417" s="3"/>
      <c r="N417" s="3"/>
      <c r="O417" s="3"/>
      <c r="P417" s="3"/>
      <c r="Q417" s="3"/>
      <c r="R417" s="3"/>
      <c r="S417" s="3"/>
      <c r="T417" s="3"/>
      <c r="U417" s="3"/>
      <c r="V417" s="3"/>
      <c r="W417" s="3"/>
      <c r="X417" s="3"/>
      <c r="Y417" s="3"/>
      <c r="Z417" s="3"/>
    </row>
    <row r="418" spans="1:26" s="711" customFormat="1" ht="14.25" customHeight="1">
      <c r="A418" s="719">
        <v>31</v>
      </c>
      <c r="B418" s="716" t="s">
        <v>1569</v>
      </c>
      <c r="C418" s="719" t="s">
        <v>121</v>
      </c>
      <c r="D418" s="743">
        <v>6</v>
      </c>
      <c r="E418" s="737">
        <v>13.85</v>
      </c>
      <c r="F418" s="738">
        <f t="shared" si="131"/>
        <v>83.1</v>
      </c>
      <c r="G418" s="738">
        <f t="shared" si="137"/>
        <v>4.1550000000000002</v>
      </c>
      <c r="H418" s="738">
        <f t="shared" si="133"/>
        <v>87.254999999999995</v>
      </c>
      <c r="I418" s="718"/>
      <c r="J418" s="718"/>
      <c r="K418" s="718"/>
      <c r="L418" s="718"/>
      <c r="M418" s="3"/>
      <c r="N418" s="3"/>
      <c r="O418" s="3"/>
      <c r="P418" s="3"/>
      <c r="Q418" s="3"/>
      <c r="R418" s="3"/>
      <c r="S418" s="3"/>
      <c r="T418" s="3"/>
      <c r="U418" s="3"/>
      <c r="V418" s="3"/>
      <c r="W418" s="3"/>
      <c r="X418" s="3"/>
      <c r="Y418" s="3"/>
      <c r="Z418" s="3"/>
    </row>
    <row r="419" spans="1:26" s="711" customFormat="1" ht="14.25" customHeight="1">
      <c r="A419" s="719">
        <v>32</v>
      </c>
      <c r="B419" s="716" t="s">
        <v>1570</v>
      </c>
      <c r="C419" s="719" t="s">
        <v>121</v>
      </c>
      <c r="D419" s="743">
        <v>1</v>
      </c>
      <c r="E419" s="737">
        <v>55</v>
      </c>
      <c r="F419" s="738">
        <f t="shared" si="131"/>
        <v>55</v>
      </c>
      <c r="G419" s="738">
        <f t="shared" si="137"/>
        <v>2.75</v>
      </c>
      <c r="H419" s="738">
        <f t="shared" si="133"/>
        <v>57.75</v>
      </c>
      <c r="I419" s="718"/>
      <c r="J419" s="718"/>
      <c r="K419" s="718"/>
      <c r="L419" s="718"/>
      <c r="M419" s="3"/>
      <c r="N419" s="3"/>
      <c r="O419" s="3"/>
      <c r="P419" s="3"/>
      <c r="Q419" s="3"/>
      <c r="R419" s="3"/>
      <c r="S419" s="3"/>
      <c r="T419" s="3"/>
      <c r="U419" s="3"/>
      <c r="V419" s="3"/>
      <c r="W419" s="3"/>
      <c r="X419" s="3"/>
      <c r="Y419" s="3"/>
      <c r="Z419" s="3"/>
    </row>
    <row r="420" spans="1:26" s="711" customFormat="1" ht="14.25" customHeight="1">
      <c r="A420" s="719">
        <v>33</v>
      </c>
      <c r="B420" s="716" t="s">
        <v>1571</v>
      </c>
      <c r="C420" s="719" t="s">
        <v>121</v>
      </c>
      <c r="D420" s="743">
        <v>2</v>
      </c>
      <c r="E420" s="737">
        <v>3.9</v>
      </c>
      <c r="F420" s="738">
        <f t="shared" si="131"/>
        <v>7.8</v>
      </c>
      <c r="G420" s="738">
        <f t="shared" si="137"/>
        <v>0.39</v>
      </c>
      <c r="H420" s="738">
        <f t="shared" si="133"/>
        <v>8.19</v>
      </c>
      <c r="I420" s="718"/>
      <c r="J420" s="718"/>
      <c r="K420" s="718"/>
      <c r="L420" s="718"/>
      <c r="M420" s="3"/>
      <c r="N420" s="3"/>
      <c r="O420" s="3"/>
      <c r="P420" s="3"/>
      <c r="Q420" s="3"/>
      <c r="R420" s="3"/>
      <c r="S420" s="3"/>
      <c r="T420" s="3"/>
      <c r="U420" s="3"/>
      <c r="V420" s="3"/>
      <c r="W420" s="3"/>
      <c r="X420" s="3"/>
      <c r="Y420" s="3"/>
      <c r="Z420" s="3"/>
    </row>
    <row r="421" spans="1:26" s="711" customFormat="1" ht="25.8" customHeight="1">
      <c r="A421" s="719">
        <v>34</v>
      </c>
      <c r="B421" s="722" t="s">
        <v>1572</v>
      </c>
      <c r="C421" s="719" t="s">
        <v>121</v>
      </c>
      <c r="D421" s="743">
        <v>1</v>
      </c>
      <c r="E421" s="737">
        <v>20.399999999999999</v>
      </c>
      <c r="F421" s="738">
        <f t="shared" si="131"/>
        <v>20.399999999999999</v>
      </c>
      <c r="G421" s="738">
        <f t="shared" si="137"/>
        <v>1.02</v>
      </c>
      <c r="H421" s="738">
        <f t="shared" si="133"/>
        <v>21.419999999999998</v>
      </c>
      <c r="I421" s="718"/>
      <c r="J421" s="718"/>
      <c r="K421" s="718"/>
      <c r="L421" s="718"/>
      <c r="M421" s="3"/>
      <c r="N421" s="3"/>
      <c r="O421" s="3"/>
      <c r="P421" s="3"/>
      <c r="Q421" s="3"/>
      <c r="R421" s="3"/>
      <c r="S421" s="3"/>
      <c r="T421" s="3"/>
      <c r="U421" s="3"/>
      <c r="V421" s="3"/>
      <c r="W421" s="3"/>
      <c r="X421" s="3"/>
      <c r="Y421" s="3"/>
      <c r="Z421" s="3"/>
    </row>
    <row r="422" spans="1:26" s="711" customFormat="1" ht="14.25" customHeight="1">
      <c r="A422" s="719">
        <v>35</v>
      </c>
      <c r="B422" s="716" t="s">
        <v>1573</v>
      </c>
      <c r="C422" s="719" t="s">
        <v>121</v>
      </c>
      <c r="D422" s="743">
        <v>7</v>
      </c>
      <c r="E422" s="737">
        <v>3</v>
      </c>
      <c r="F422" s="738">
        <f t="shared" si="131"/>
        <v>21</v>
      </c>
      <c r="G422" s="738">
        <f t="shared" si="137"/>
        <v>1.05</v>
      </c>
      <c r="H422" s="738">
        <f t="shared" si="133"/>
        <v>22.05</v>
      </c>
      <c r="I422" s="718"/>
      <c r="J422" s="718"/>
      <c r="K422" s="718"/>
      <c r="L422" s="718"/>
      <c r="M422" s="3"/>
      <c r="N422" s="3"/>
      <c r="O422" s="3"/>
      <c r="P422" s="3"/>
      <c r="Q422" s="3"/>
      <c r="R422" s="3"/>
      <c r="S422" s="3"/>
      <c r="T422" s="3"/>
      <c r="U422" s="3"/>
      <c r="V422" s="3"/>
      <c r="W422" s="3"/>
      <c r="X422" s="3"/>
      <c r="Y422" s="3"/>
      <c r="Z422" s="3"/>
    </row>
    <row r="423" spans="1:26" s="711" customFormat="1" ht="14.25" customHeight="1">
      <c r="A423" s="716"/>
      <c r="B423" s="716"/>
      <c r="C423" s="719"/>
      <c r="D423" s="737"/>
      <c r="E423" s="737"/>
      <c r="F423" s="738"/>
      <c r="G423" s="738"/>
      <c r="H423" s="738"/>
      <c r="I423" s="718"/>
      <c r="J423" s="718"/>
      <c r="K423" s="718"/>
      <c r="L423" s="718"/>
      <c r="M423" s="3"/>
      <c r="N423" s="3"/>
      <c r="O423" s="3"/>
      <c r="P423" s="3"/>
      <c r="Q423" s="3"/>
      <c r="R423" s="3"/>
      <c r="S423" s="3"/>
      <c r="T423" s="3"/>
      <c r="U423" s="3"/>
      <c r="V423" s="3"/>
      <c r="W423" s="3"/>
      <c r="X423" s="3"/>
      <c r="Y423" s="3"/>
      <c r="Z423" s="3"/>
    </row>
    <row r="424" spans="1:26" s="711" customFormat="1" ht="14.25" customHeight="1">
      <c r="A424" s="723" t="s">
        <v>120</v>
      </c>
      <c r="B424" s="715" t="s">
        <v>1587</v>
      </c>
      <c r="C424" s="719"/>
      <c r="D424" s="737"/>
      <c r="E424" s="737"/>
      <c r="F424" s="738"/>
      <c r="G424" s="738"/>
      <c r="H424" s="738"/>
      <c r="I424" s="718"/>
      <c r="J424" s="718"/>
      <c r="K424" s="718"/>
      <c r="L424" s="718"/>
      <c r="M424" s="3"/>
      <c r="N424" s="3"/>
      <c r="O424" s="3"/>
      <c r="P424" s="3"/>
      <c r="Q424" s="3"/>
      <c r="R424" s="3"/>
      <c r="S424" s="3"/>
      <c r="T424" s="3"/>
      <c r="U424" s="3"/>
      <c r="V424" s="3"/>
      <c r="W424" s="3"/>
      <c r="X424" s="3"/>
      <c r="Y424" s="3"/>
      <c r="Z424" s="3"/>
    </row>
    <row r="425" spans="1:26" s="711" customFormat="1" ht="14.25" customHeight="1">
      <c r="A425" s="719">
        <v>1</v>
      </c>
      <c r="B425" s="716" t="s">
        <v>1574</v>
      </c>
      <c r="C425" s="719" t="s">
        <v>121</v>
      </c>
      <c r="D425" s="743">
        <v>29</v>
      </c>
      <c r="E425" s="737">
        <v>188</v>
      </c>
      <c r="F425" s="738">
        <f t="shared" ref="F425:F433" si="138">(D425*E425)</f>
        <v>5452</v>
      </c>
      <c r="G425" s="738">
        <f t="shared" ref="G425:G433" si="139">(F425*5%)</f>
        <v>272.60000000000002</v>
      </c>
      <c r="H425" s="738">
        <f t="shared" ref="H425:H433" si="140">SUM(F425+G425)</f>
        <v>5724.6</v>
      </c>
      <c r="I425" s="718"/>
      <c r="J425" s="718"/>
      <c r="K425" s="718"/>
      <c r="L425" s="718"/>
      <c r="M425" s="3"/>
      <c r="N425" s="3"/>
      <c r="O425" s="3"/>
      <c r="P425" s="3"/>
      <c r="Q425" s="3"/>
      <c r="R425" s="3"/>
      <c r="S425" s="3"/>
      <c r="T425" s="3"/>
      <c r="U425" s="3"/>
      <c r="V425" s="3"/>
      <c r="W425" s="3"/>
      <c r="X425" s="3"/>
      <c r="Y425" s="3"/>
      <c r="Z425" s="3"/>
    </row>
    <row r="426" spans="1:26" s="711" customFormat="1" ht="14.25" customHeight="1">
      <c r="A426" s="719">
        <v>2</v>
      </c>
      <c r="B426" s="716" t="s">
        <v>1575</v>
      </c>
      <c r="C426" s="719" t="s">
        <v>121</v>
      </c>
      <c r="D426" s="743">
        <v>42</v>
      </c>
      <c r="E426" s="737">
        <v>146</v>
      </c>
      <c r="F426" s="738">
        <f t="shared" si="138"/>
        <v>6132</v>
      </c>
      <c r="G426" s="738">
        <f t="shared" si="139"/>
        <v>306.60000000000002</v>
      </c>
      <c r="H426" s="738">
        <f t="shared" si="140"/>
        <v>6438.6</v>
      </c>
      <c r="I426" s="718"/>
      <c r="J426" s="718"/>
      <c r="K426" s="718"/>
      <c r="L426" s="718"/>
      <c r="M426" s="3"/>
      <c r="N426" s="3"/>
      <c r="O426" s="3"/>
      <c r="P426" s="3"/>
      <c r="Q426" s="3"/>
      <c r="R426" s="3"/>
      <c r="S426" s="3"/>
      <c r="T426" s="3"/>
      <c r="U426" s="3"/>
      <c r="V426" s="3"/>
      <c r="W426" s="3"/>
      <c r="X426" s="3"/>
      <c r="Y426" s="3"/>
      <c r="Z426" s="3"/>
    </row>
    <row r="427" spans="1:26" s="711" customFormat="1" ht="14.25" customHeight="1">
      <c r="A427" s="719">
        <v>3</v>
      </c>
      <c r="B427" s="716" t="s">
        <v>1576</v>
      </c>
      <c r="C427" s="719" t="s">
        <v>121</v>
      </c>
      <c r="D427" s="743">
        <v>14</v>
      </c>
      <c r="E427" s="737">
        <v>217</v>
      </c>
      <c r="F427" s="738">
        <f t="shared" si="138"/>
        <v>3038</v>
      </c>
      <c r="G427" s="738">
        <f t="shared" si="139"/>
        <v>151.9</v>
      </c>
      <c r="H427" s="738">
        <f t="shared" si="140"/>
        <v>3189.9</v>
      </c>
      <c r="I427" s="718"/>
      <c r="J427" s="718"/>
      <c r="K427" s="718"/>
      <c r="L427" s="718"/>
      <c r="M427" s="3"/>
      <c r="N427" s="3"/>
      <c r="O427" s="3"/>
      <c r="P427" s="3"/>
      <c r="Q427" s="3"/>
      <c r="R427" s="3"/>
      <c r="S427" s="3"/>
      <c r="T427" s="3"/>
      <c r="U427" s="3"/>
      <c r="V427" s="3"/>
      <c r="W427" s="3"/>
      <c r="X427" s="3"/>
      <c r="Y427" s="3"/>
      <c r="Z427" s="3"/>
    </row>
    <row r="428" spans="1:26" s="711" customFormat="1" ht="14.25" customHeight="1">
      <c r="A428" s="719">
        <v>4</v>
      </c>
      <c r="B428" s="716" t="s">
        <v>1577</v>
      </c>
      <c r="C428" s="719" t="s">
        <v>121</v>
      </c>
      <c r="D428" s="743">
        <v>21</v>
      </c>
      <c r="E428" s="737">
        <v>173</v>
      </c>
      <c r="F428" s="738">
        <f t="shared" si="138"/>
        <v>3633</v>
      </c>
      <c r="G428" s="738">
        <f t="shared" si="139"/>
        <v>181.65</v>
      </c>
      <c r="H428" s="738">
        <f t="shared" si="140"/>
        <v>3814.65</v>
      </c>
      <c r="I428" s="718"/>
      <c r="J428" s="718"/>
      <c r="K428" s="718"/>
      <c r="L428" s="718"/>
      <c r="M428" s="3"/>
      <c r="N428" s="3"/>
      <c r="O428" s="3"/>
      <c r="P428" s="3"/>
      <c r="Q428" s="3"/>
      <c r="R428" s="3"/>
      <c r="S428" s="3"/>
      <c r="T428" s="3"/>
      <c r="U428" s="3"/>
      <c r="V428" s="3"/>
      <c r="W428" s="3"/>
      <c r="X428" s="3"/>
      <c r="Y428" s="3"/>
      <c r="Z428" s="3"/>
    </row>
    <row r="429" spans="1:26" s="711" customFormat="1" ht="14.25" customHeight="1">
      <c r="A429" s="719">
        <v>5</v>
      </c>
      <c r="B429" s="716" t="s">
        <v>1578</v>
      </c>
      <c r="C429" s="719" t="s">
        <v>121</v>
      </c>
      <c r="D429" s="743">
        <v>1</v>
      </c>
      <c r="E429" s="737">
        <v>249</v>
      </c>
      <c r="F429" s="738">
        <f t="shared" si="138"/>
        <v>249</v>
      </c>
      <c r="G429" s="738">
        <f t="shared" si="139"/>
        <v>12.450000000000001</v>
      </c>
      <c r="H429" s="738">
        <f t="shared" si="140"/>
        <v>261.45</v>
      </c>
      <c r="I429" s="718"/>
      <c r="J429" s="718"/>
      <c r="K429" s="718"/>
      <c r="L429" s="718"/>
      <c r="M429" s="3"/>
      <c r="N429" s="3"/>
      <c r="O429" s="3"/>
      <c r="P429" s="3"/>
      <c r="Q429" s="3"/>
      <c r="R429" s="3"/>
      <c r="S429" s="3"/>
      <c r="T429" s="3"/>
      <c r="U429" s="3"/>
      <c r="V429" s="3"/>
      <c r="W429" s="3"/>
      <c r="X429" s="3"/>
      <c r="Y429" s="3"/>
      <c r="Z429" s="3"/>
    </row>
    <row r="430" spans="1:26" s="756" customFormat="1" ht="14.25" customHeight="1">
      <c r="A430" s="719">
        <v>6</v>
      </c>
      <c r="B430" s="716" t="s">
        <v>1579</v>
      </c>
      <c r="C430" s="719" t="s">
        <v>121</v>
      </c>
      <c r="D430" s="743">
        <v>1</v>
      </c>
      <c r="E430" s="737">
        <v>146</v>
      </c>
      <c r="F430" s="738">
        <f t="shared" si="138"/>
        <v>146</v>
      </c>
      <c r="G430" s="738">
        <f t="shared" si="139"/>
        <v>7.3000000000000007</v>
      </c>
      <c r="H430" s="738">
        <f t="shared" si="140"/>
        <v>153.30000000000001</v>
      </c>
      <c r="I430" s="718"/>
      <c r="J430" s="718"/>
      <c r="K430" s="718"/>
      <c r="L430" s="718"/>
      <c r="M430" s="3"/>
      <c r="N430" s="3"/>
      <c r="O430" s="3"/>
      <c r="P430" s="3"/>
      <c r="Q430" s="3"/>
      <c r="R430" s="3"/>
      <c r="S430" s="3"/>
      <c r="T430" s="3"/>
      <c r="U430" s="3"/>
      <c r="V430" s="3"/>
      <c r="W430" s="3"/>
      <c r="X430" s="3"/>
      <c r="Y430" s="3"/>
      <c r="Z430" s="3"/>
    </row>
    <row r="431" spans="1:26" s="712" customFormat="1" ht="14.25" customHeight="1">
      <c r="A431" s="719">
        <v>7</v>
      </c>
      <c r="B431" s="716" t="s">
        <v>1617</v>
      </c>
      <c r="C431" s="719" t="s">
        <v>121</v>
      </c>
      <c r="D431" s="743">
        <v>12</v>
      </c>
      <c r="E431" s="737">
        <v>249</v>
      </c>
      <c r="F431" s="738">
        <f t="shared" ref="F431" si="141">(D431*E431)</f>
        <v>2988</v>
      </c>
      <c r="G431" s="738">
        <f t="shared" ref="G431" si="142">(F431*5%)</f>
        <v>149.4</v>
      </c>
      <c r="H431" s="738">
        <f t="shared" ref="H431" si="143">SUM(F431+G431)</f>
        <v>3137.4</v>
      </c>
      <c r="I431" s="718"/>
      <c r="J431" s="718"/>
      <c r="K431" s="718"/>
      <c r="L431" s="718"/>
      <c r="M431" s="3"/>
      <c r="N431" s="3"/>
      <c r="O431" s="3"/>
      <c r="P431" s="3"/>
      <c r="Q431" s="3"/>
      <c r="R431" s="3"/>
      <c r="S431" s="3"/>
      <c r="T431" s="3"/>
      <c r="U431" s="3"/>
      <c r="V431" s="3"/>
      <c r="W431" s="3"/>
      <c r="X431" s="3"/>
      <c r="Y431" s="3"/>
      <c r="Z431" s="3"/>
    </row>
    <row r="432" spans="1:26" s="711" customFormat="1" ht="14.25" customHeight="1">
      <c r="A432" s="719">
        <v>8</v>
      </c>
      <c r="B432" s="716" t="s">
        <v>1580</v>
      </c>
      <c r="C432" s="719" t="s">
        <v>121</v>
      </c>
      <c r="D432" s="743">
        <v>6</v>
      </c>
      <c r="E432" s="737">
        <v>5.5</v>
      </c>
      <c r="F432" s="738">
        <f t="shared" si="138"/>
        <v>33</v>
      </c>
      <c r="G432" s="738">
        <f t="shared" si="139"/>
        <v>1.6500000000000001</v>
      </c>
      <c r="H432" s="738">
        <f t="shared" si="140"/>
        <v>34.65</v>
      </c>
      <c r="I432" s="718"/>
      <c r="J432" s="718"/>
      <c r="K432" s="718"/>
      <c r="L432" s="718"/>
      <c r="M432" s="3"/>
      <c r="N432" s="3"/>
      <c r="O432" s="3"/>
      <c r="P432" s="3"/>
      <c r="Q432" s="3"/>
      <c r="R432" s="3"/>
      <c r="S432" s="3"/>
      <c r="T432" s="3"/>
      <c r="U432" s="3"/>
      <c r="V432" s="3"/>
      <c r="W432" s="3"/>
      <c r="X432" s="3"/>
      <c r="Y432" s="3"/>
      <c r="Z432" s="3"/>
    </row>
    <row r="433" spans="1:26" s="711" customFormat="1" ht="14.25" customHeight="1">
      <c r="A433" s="719">
        <v>9</v>
      </c>
      <c r="B433" s="716" t="s">
        <v>1581</v>
      </c>
      <c r="C433" s="719" t="s">
        <v>121</v>
      </c>
      <c r="D433" s="737">
        <v>21</v>
      </c>
      <c r="E433" s="737">
        <v>1.8</v>
      </c>
      <c r="F433" s="738">
        <f t="shared" si="138"/>
        <v>37.800000000000004</v>
      </c>
      <c r="G433" s="738">
        <f t="shared" si="139"/>
        <v>1.8900000000000003</v>
      </c>
      <c r="H433" s="738">
        <f t="shared" si="140"/>
        <v>39.690000000000005</v>
      </c>
      <c r="I433" s="718"/>
      <c r="J433" s="718"/>
      <c r="K433" s="718"/>
      <c r="L433" s="718"/>
      <c r="M433" s="3"/>
      <c r="N433" s="3"/>
      <c r="O433" s="3"/>
      <c r="P433" s="3"/>
      <c r="Q433" s="3"/>
      <c r="R433" s="3"/>
      <c r="S433" s="3"/>
      <c r="T433" s="3"/>
      <c r="U433" s="3"/>
      <c r="V433" s="3"/>
      <c r="W433" s="3"/>
      <c r="X433" s="3"/>
      <c r="Y433" s="3"/>
      <c r="Z433" s="3"/>
    </row>
    <row r="434" spans="1:26" s="711" customFormat="1" ht="14.25" customHeight="1">
      <c r="A434" s="719">
        <v>10</v>
      </c>
      <c r="B434" s="716" t="s">
        <v>1582</v>
      </c>
      <c r="C434" s="719" t="s">
        <v>121</v>
      </c>
      <c r="D434" s="737">
        <v>8</v>
      </c>
      <c r="E434" s="737">
        <v>2.5</v>
      </c>
      <c r="F434" s="738">
        <f t="shared" ref="F434:F439" si="144">(D434*E434)</f>
        <v>20</v>
      </c>
      <c r="G434" s="738">
        <f t="shared" ref="G434:G438" si="145">(F434*5%)</f>
        <v>1</v>
      </c>
      <c r="H434" s="738">
        <f t="shared" ref="H434:H439" si="146">SUM(F434+G434)</f>
        <v>21</v>
      </c>
      <c r="I434" s="718"/>
      <c r="J434" s="718"/>
      <c r="K434" s="718"/>
      <c r="L434" s="718"/>
      <c r="M434" s="3"/>
      <c r="N434" s="3"/>
      <c r="O434" s="3"/>
      <c r="P434" s="3"/>
      <c r="Q434" s="3"/>
      <c r="R434" s="3"/>
      <c r="S434" s="3"/>
      <c r="T434" s="3"/>
      <c r="U434" s="3"/>
      <c r="V434" s="3"/>
      <c r="W434" s="3"/>
      <c r="X434" s="3"/>
      <c r="Y434" s="3"/>
      <c r="Z434" s="3"/>
    </row>
    <row r="435" spans="1:26" s="711" customFormat="1" ht="14.25" customHeight="1">
      <c r="A435" s="719">
        <v>11</v>
      </c>
      <c r="B435" s="716" t="s">
        <v>1583</v>
      </c>
      <c r="C435" s="719" t="s">
        <v>121</v>
      </c>
      <c r="D435" s="737">
        <v>18</v>
      </c>
      <c r="E435" s="737">
        <v>0.47</v>
      </c>
      <c r="F435" s="738">
        <f t="shared" si="144"/>
        <v>8.4599999999999991</v>
      </c>
      <c r="G435" s="738">
        <f t="shared" si="145"/>
        <v>0.42299999999999999</v>
      </c>
      <c r="H435" s="738">
        <f t="shared" si="146"/>
        <v>8.8829999999999991</v>
      </c>
      <c r="I435" s="718"/>
      <c r="J435" s="718"/>
      <c r="K435" s="718"/>
      <c r="L435" s="718"/>
      <c r="M435" s="3"/>
      <c r="N435" s="3"/>
      <c r="O435" s="3"/>
      <c r="P435" s="3"/>
      <c r="Q435" s="3"/>
      <c r="R435" s="3"/>
      <c r="S435" s="3"/>
      <c r="T435" s="3"/>
      <c r="U435" s="3"/>
      <c r="V435" s="3"/>
      <c r="W435" s="3"/>
      <c r="X435" s="3"/>
      <c r="Y435" s="3"/>
      <c r="Z435" s="3"/>
    </row>
    <row r="436" spans="1:26" s="711" customFormat="1" ht="14.25" customHeight="1">
      <c r="A436" s="719">
        <v>12</v>
      </c>
      <c r="B436" s="716" t="s">
        <v>1584</v>
      </c>
      <c r="C436" s="719" t="s">
        <v>121</v>
      </c>
      <c r="D436" s="737">
        <v>260</v>
      </c>
      <c r="E436" s="737">
        <v>0.05</v>
      </c>
      <c r="F436" s="738">
        <f t="shared" si="144"/>
        <v>13</v>
      </c>
      <c r="G436" s="738">
        <f t="shared" si="145"/>
        <v>0.65</v>
      </c>
      <c r="H436" s="738">
        <f t="shared" si="146"/>
        <v>13.65</v>
      </c>
      <c r="I436" s="718"/>
      <c r="J436" s="718"/>
      <c r="K436" s="718"/>
      <c r="L436" s="718"/>
      <c r="M436" s="3"/>
      <c r="N436" s="3"/>
      <c r="O436" s="3"/>
      <c r="P436" s="3"/>
      <c r="Q436" s="3"/>
      <c r="R436" s="3"/>
      <c r="S436" s="3"/>
      <c r="T436" s="3"/>
      <c r="U436" s="3"/>
      <c r="V436" s="3"/>
      <c r="W436" s="3"/>
      <c r="X436" s="3"/>
      <c r="Y436" s="3"/>
      <c r="Z436" s="3"/>
    </row>
    <row r="437" spans="1:26" s="711" customFormat="1" ht="14.25" customHeight="1">
      <c r="A437" s="719">
        <v>13</v>
      </c>
      <c r="B437" s="716" t="s">
        <v>1585</v>
      </c>
      <c r="C437" s="719" t="s">
        <v>121</v>
      </c>
      <c r="D437" s="737">
        <v>120</v>
      </c>
      <c r="E437" s="737">
        <v>8</v>
      </c>
      <c r="F437" s="738">
        <f t="shared" si="144"/>
        <v>960</v>
      </c>
      <c r="G437" s="738">
        <f t="shared" si="145"/>
        <v>48</v>
      </c>
      <c r="H437" s="738">
        <f t="shared" si="146"/>
        <v>1008</v>
      </c>
      <c r="I437" s="718"/>
      <c r="J437" s="718"/>
      <c r="K437" s="718"/>
      <c r="L437" s="718"/>
      <c r="M437" s="3"/>
      <c r="N437" s="3"/>
      <c r="O437" s="3"/>
      <c r="P437" s="3"/>
      <c r="Q437" s="3"/>
      <c r="R437" s="3"/>
      <c r="S437" s="3"/>
      <c r="T437" s="3"/>
      <c r="U437" s="3"/>
      <c r="V437" s="3"/>
      <c r="W437" s="3"/>
      <c r="X437" s="3"/>
      <c r="Y437" s="3"/>
      <c r="Z437" s="3"/>
    </row>
    <row r="438" spans="1:26" s="711" customFormat="1" ht="14.25" customHeight="1">
      <c r="A438" s="719">
        <v>14</v>
      </c>
      <c r="B438" s="716" t="s">
        <v>1586</v>
      </c>
      <c r="C438" s="719" t="s">
        <v>58</v>
      </c>
      <c r="D438" s="737">
        <v>1325</v>
      </c>
      <c r="E438" s="737">
        <v>3.9</v>
      </c>
      <c r="F438" s="738">
        <f t="shared" si="144"/>
        <v>5167.5</v>
      </c>
      <c r="G438" s="738">
        <f t="shared" si="145"/>
        <v>258.375</v>
      </c>
      <c r="H438" s="738">
        <f t="shared" si="146"/>
        <v>5425.875</v>
      </c>
      <c r="I438" s="718"/>
      <c r="J438" s="718"/>
      <c r="K438" s="718"/>
      <c r="L438" s="718"/>
      <c r="M438" s="3"/>
      <c r="N438" s="3"/>
      <c r="O438" s="3"/>
      <c r="P438" s="3"/>
      <c r="Q438" s="3"/>
      <c r="R438" s="3"/>
      <c r="S438" s="3"/>
      <c r="T438" s="3"/>
      <c r="U438" s="3"/>
      <c r="V438" s="3"/>
      <c r="W438" s="3"/>
      <c r="X438" s="3"/>
      <c r="Y438" s="3"/>
      <c r="Z438" s="3"/>
    </row>
    <row r="439" spans="1:26" s="711" customFormat="1" ht="14.25" customHeight="1">
      <c r="A439" s="719">
        <v>15</v>
      </c>
      <c r="B439" s="716" t="s">
        <v>1597</v>
      </c>
      <c r="C439" s="719" t="s">
        <v>1276</v>
      </c>
      <c r="D439" s="737">
        <v>1</v>
      </c>
      <c r="E439" s="737">
        <v>600</v>
      </c>
      <c r="F439" s="738">
        <f t="shared" si="144"/>
        <v>600</v>
      </c>
      <c r="G439" s="738"/>
      <c r="H439" s="738">
        <f t="shared" si="146"/>
        <v>600</v>
      </c>
      <c r="I439" s="718"/>
      <c r="J439" s="718"/>
      <c r="K439" s="718"/>
      <c r="L439" s="718"/>
      <c r="M439" s="3"/>
      <c r="N439" s="3"/>
      <c r="O439" s="3"/>
      <c r="P439" s="3"/>
      <c r="Q439" s="3"/>
      <c r="R439" s="3"/>
      <c r="S439" s="3"/>
      <c r="T439" s="3"/>
      <c r="U439" s="3"/>
      <c r="V439" s="3"/>
      <c r="W439" s="3"/>
      <c r="X439" s="3"/>
      <c r="Y439" s="3"/>
      <c r="Z439" s="3"/>
    </row>
    <row r="440" spans="1:26" s="711" customFormat="1" ht="14.25" customHeight="1">
      <c r="A440" s="716"/>
      <c r="B440" s="716"/>
      <c r="C440" s="716"/>
      <c r="D440" s="737"/>
      <c r="E440" s="737"/>
      <c r="F440" s="738"/>
      <c r="G440" s="738"/>
      <c r="H440" s="738"/>
      <c r="I440" s="718"/>
      <c r="J440" s="718"/>
      <c r="K440" s="718"/>
      <c r="L440" s="718"/>
      <c r="M440" s="3"/>
      <c r="N440" s="3"/>
      <c r="O440" s="3"/>
      <c r="P440" s="3"/>
      <c r="Q440" s="3"/>
      <c r="R440" s="3"/>
      <c r="S440" s="3"/>
      <c r="T440" s="3"/>
      <c r="U440" s="3"/>
      <c r="V440" s="3"/>
      <c r="W440" s="3"/>
      <c r="X440" s="3"/>
      <c r="Y440" s="3"/>
      <c r="Z440" s="3"/>
    </row>
    <row r="441" spans="1:26" s="711" customFormat="1" ht="14.25" customHeight="1">
      <c r="A441" s="723" t="s">
        <v>1221</v>
      </c>
      <c r="B441" s="715" t="s">
        <v>1490</v>
      </c>
      <c r="C441" s="716"/>
      <c r="D441" s="737"/>
      <c r="E441" s="737"/>
      <c r="F441" s="738"/>
      <c r="G441" s="738"/>
      <c r="H441" s="738"/>
      <c r="I441" s="718"/>
      <c r="J441" s="718"/>
      <c r="K441" s="718"/>
      <c r="L441" s="718"/>
      <c r="M441" s="3"/>
      <c r="N441" s="3"/>
      <c r="O441" s="3"/>
      <c r="P441" s="3"/>
      <c r="Q441" s="3"/>
      <c r="R441" s="3"/>
      <c r="S441" s="3"/>
      <c r="T441" s="3"/>
      <c r="U441" s="3"/>
      <c r="V441" s="3"/>
      <c r="W441" s="3"/>
      <c r="X441" s="3"/>
      <c r="Y441" s="3"/>
      <c r="Z441" s="3"/>
    </row>
    <row r="442" spans="1:26" s="711" customFormat="1" ht="14.25" customHeight="1">
      <c r="A442" s="719">
        <v>1</v>
      </c>
      <c r="B442" s="716" t="s">
        <v>1491</v>
      </c>
      <c r="C442" s="719" t="s">
        <v>1276</v>
      </c>
      <c r="D442" s="737">
        <v>1</v>
      </c>
      <c r="E442" s="737">
        <v>1650</v>
      </c>
      <c r="F442" s="738">
        <f t="shared" ref="F442:F443" si="147">(D442*E442)</f>
        <v>1650</v>
      </c>
      <c r="G442" s="738"/>
      <c r="H442" s="738">
        <f t="shared" ref="H442:H443" si="148">SUM(F442+G442)</f>
        <v>1650</v>
      </c>
      <c r="I442" s="718"/>
      <c r="J442" s="718"/>
      <c r="K442" s="718"/>
      <c r="L442" s="718"/>
      <c r="M442" s="3"/>
      <c r="N442" s="3"/>
      <c r="O442" s="3"/>
      <c r="P442" s="3"/>
      <c r="Q442" s="3"/>
      <c r="R442" s="3"/>
      <c r="S442" s="3"/>
      <c r="T442" s="3"/>
      <c r="U442" s="3"/>
      <c r="V442" s="3"/>
      <c r="W442" s="3"/>
      <c r="X442" s="3"/>
      <c r="Y442" s="3"/>
      <c r="Z442" s="3"/>
    </row>
    <row r="443" spans="1:26" s="736" customFormat="1" ht="14.25" customHeight="1">
      <c r="A443" s="719">
        <v>2</v>
      </c>
      <c r="B443" s="716" t="s">
        <v>1618</v>
      </c>
      <c r="C443" s="719" t="s">
        <v>121</v>
      </c>
      <c r="D443" s="737">
        <v>36</v>
      </c>
      <c r="E443" s="737">
        <v>105</v>
      </c>
      <c r="F443" s="738">
        <f t="shared" si="147"/>
        <v>3780</v>
      </c>
      <c r="G443" s="738"/>
      <c r="H443" s="738">
        <f t="shared" si="148"/>
        <v>3780</v>
      </c>
      <c r="I443" s="718"/>
      <c r="J443" s="718"/>
      <c r="K443" s="718"/>
      <c r="L443" s="718"/>
      <c r="M443" s="3"/>
      <c r="N443" s="3"/>
      <c r="O443" s="3"/>
      <c r="P443" s="3"/>
      <c r="Q443" s="3"/>
      <c r="R443" s="3"/>
      <c r="S443" s="3"/>
      <c r="T443" s="3"/>
      <c r="U443" s="3"/>
      <c r="V443" s="3"/>
      <c r="W443" s="3"/>
      <c r="X443" s="3"/>
      <c r="Y443" s="3"/>
      <c r="Z443" s="3"/>
    </row>
    <row r="444" spans="1:26" s="711" customFormat="1" ht="14.25" customHeight="1">
      <c r="A444" s="719">
        <v>2</v>
      </c>
      <c r="B444" s="716" t="s">
        <v>1492</v>
      </c>
      <c r="C444" s="719" t="s">
        <v>1276</v>
      </c>
      <c r="D444" s="737">
        <v>1</v>
      </c>
      <c r="E444" s="737">
        <v>210</v>
      </c>
      <c r="F444" s="738">
        <f t="shared" ref="F444:F446" si="149">(D444*E444)</f>
        <v>210</v>
      </c>
      <c r="G444" s="738"/>
      <c r="H444" s="738">
        <f t="shared" ref="H444:H446" si="150">SUM(F444+G444)</f>
        <v>210</v>
      </c>
      <c r="I444" s="718"/>
      <c r="J444" s="718"/>
      <c r="K444" s="718"/>
      <c r="L444" s="718"/>
      <c r="M444" s="3"/>
      <c r="N444" s="3"/>
      <c r="O444" s="3"/>
      <c r="P444" s="3"/>
      <c r="Q444" s="3"/>
      <c r="R444" s="3"/>
      <c r="S444" s="3"/>
      <c r="T444" s="3"/>
      <c r="U444" s="3"/>
      <c r="V444" s="3"/>
      <c r="W444" s="3"/>
      <c r="X444" s="3"/>
      <c r="Y444" s="3"/>
      <c r="Z444" s="3"/>
    </row>
    <row r="445" spans="1:26" s="711" customFormat="1" ht="14.25" customHeight="1">
      <c r="A445" s="719">
        <v>3</v>
      </c>
      <c r="B445" s="716" t="s">
        <v>1493</v>
      </c>
      <c r="C445" s="719" t="s">
        <v>1276</v>
      </c>
      <c r="D445" s="737">
        <v>1</v>
      </c>
      <c r="E445" s="737">
        <v>300</v>
      </c>
      <c r="F445" s="738">
        <f t="shared" si="149"/>
        <v>300</v>
      </c>
      <c r="G445" s="738"/>
      <c r="H445" s="738">
        <f t="shared" si="150"/>
        <v>300</v>
      </c>
      <c r="I445" s="718"/>
      <c r="J445" s="718"/>
      <c r="K445" s="718"/>
      <c r="L445" s="718"/>
      <c r="M445" s="3"/>
      <c r="N445" s="3"/>
      <c r="O445" s="3"/>
      <c r="P445" s="3"/>
      <c r="Q445" s="3"/>
      <c r="R445" s="3"/>
      <c r="S445" s="3"/>
      <c r="T445" s="3"/>
      <c r="U445" s="3"/>
      <c r="V445" s="3"/>
      <c r="W445" s="3"/>
      <c r="X445" s="3"/>
      <c r="Y445" s="3"/>
      <c r="Z445" s="3"/>
    </row>
    <row r="446" spans="1:26" s="711" customFormat="1" ht="14.25" customHeight="1">
      <c r="A446" s="719">
        <v>4</v>
      </c>
      <c r="B446" s="716" t="s">
        <v>1494</v>
      </c>
      <c r="C446" s="719" t="s">
        <v>1276</v>
      </c>
      <c r="D446" s="737">
        <v>1</v>
      </c>
      <c r="E446" s="737">
        <v>5000</v>
      </c>
      <c r="F446" s="738">
        <f t="shared" si="149"/>
        <v>5000</v>
      </c>
      <c r="G446" s="738"/>
      <c r="H446" s="738">
        <f t="shared" si="150"/>
        <v>5000</v>
      </c>
      <c r="I446" s="718"/>
      <c r="J446" s="718"/>
      <c r="K446" s="718"/>
      <c r="L446" s="718"/>
      <c r="M446" s="3"/>
      <c r="N446" s="3"/>
      <c r="O446" s="3"/>
      <c r="P446" s="3"/>
      <c r="Q446" s="3"/>
      <c r="R446" s="3"/>
      <c r="S446" s="3"/>
      <c r="T446" s="3"/>
      <c r="U446" s="3"/>
      <c r="V446" s="3"/>
      <c r="W446" s="3"/>
      <c r="X446" s="3"/>
      <c r="Y446" s="3"/>
      <c r="Z446" s="3"/>
    </row>
    <row r="447" spans="1:26" s="711" customFormat="1" ht="14.25" customHeight="1">
      <c r="A447" s="719"/>
      <c r="B447" s="716"/>
      <c r="C447" s="716"/>
      <c r="D447" s="716"/>
      <c r="E447" s="717"/>
      <c r="F447" s="718"/>
      <c r="G447" s="718"/>
      <c r="H447" s="718"/>
      <c r="I447" s="718"/>
      <c r="J447" s="718"/>
      <c r="K447" s="718"/>
      <c r="L447" s="718"/>
      <c r="M447" s="3"/>
      <c r="N447" s="3"/>
      <c r="O447" s="3"/>
      <c r="P447" s="3"/>
      <c r="Q447" s="3"/>
      <c r="R447" s="3"/>
      <c r="S447" s="3"/>
      <c r="T447" s="3"/>
      <c r="U447" s="3"/>
      <c r="V447" s="3"/>
      <c r="W447" s="3"/>
      <c r="X447" s="3"/>
      <c r="Y447" s="3"/>
      <c r="Z447" s="3"/>
    </row>
    <row r="448" spans="1:26" ht="14.25" customHeight="1">
      <c r="A448" s="719"/>
      <c r="B448" s="723" t="s">
        <v>1675</v>
      </c>
      <c r="C448" s="715"/>
      <c r="D448" s="715"/>
      <c r="E448" s="733"/>
      <c r="F448" s="734"/>
      <c r="G448" s="734"/>
      <c r="H448" s="734">
        <f>SUM(H4:H447)</f>
        <v>452869.36699999979</v>
      </c>
      <c r="I448" s="718"/>
      <c r="J448" s="718"/>
      <c r="K448" s="718"/>
      <c r="L448" s="718"/>
      <c r="M448" s="3"/>
      <c r="N448" s="3"/>
      <c r="O448" s="3"/>
      <c r="P448" s="3"/>
      <c r="Q448" s="3"/>
      <c r="R448" s="3"/>
      <c r="S448" s="3"/>
      <c r="T448" s="3"/>
      <c r="U448" s="3"/>
      <c r="V448" s="3"/>
      <c r="W448" s="3"/>
      <c r="X448" s="3"/>
      <c r="Y448" s="3"/>
      <c r="Z448" s="3"/>
    </row>
    <row r="449" spans="1:26" ht="14.25" customHeight="1">
      <c r="A449" s="719"/>
      <c r="B449" s="719" t="s">
        <v>946</v>
      </c>
      <c r="C449" s="716"/>
      <c r="D449" s="716"/>
      <c r="E449" s="717"/>
      <c r="F449" s="718"/>
      <c r="G449" s="718"/>
      <c r="H449" s="718">
        <v>2721.6</v>
      </c>
      <c r="I449" s="718"/>
      <c r="J449" s="718"/>
      <c r="K449" s="718"/>
      <c r="L449" s="718"/>
      <c r="M449" s="3"/>
      <c r="N449" s="3"/>
      <c r="O449" s="3"/>
      <c r="P449" s="3"/>
      <c r="Q449" s="3"/>
      <c r="R449" s="3"/>
      <c r="S449" s="3"/>
      <c r="T449" s="3"/>
      <c r="U449" s="3"/>
      <c r="V449" s="3"/>
      <c r="W449" s="3"/>
      <c r="X449" s="3"/>
      <c r="Y449" s="3"/>
      <c r="Z449" s="3"/>
    </row>
    <row r="450" spans="1:26" ht="14.25" customHeight="1">
      <c r="A450" s="716"/>
      <c r="B450" s="723" t="s">
        <v>1368</v>
      </c>
      <c r="C450" s="715"/>
      <c r="D450" s="715"/>
      <c r="E450" s="733"/>
      <c r="F450" s="734"/>
      <c r="G450" s="734"/>
      <c r="H450" s="752">
        <f>(H448/H449)</f>
        <v>166.39820950911221</v>
      </c>
      <c r="I450" s="718"/>
      <c r="J450" s="718"/>
      <c r="K450" s="718"/>
      <c r="L450" s="718"/>
      <c r="M450" s="3"/>
      <c r="N450" s="3"/>
      <c r="O450" s="3"/>
      <c r="P450" s="3"/>
      <c r="Q450" s="3"/>
      <c r="R450" s="3"/>
      <c r="S450" s="3"/>
      <c r="T450" s="3"/>
      <c r="U450" s="3"/>
      <c r="V450" s="3"/>
      <c r="W450" s="3"/>
      <c r="X450" s="3"/>
      <c r="Y450" s="3"/>
      <c r="Z450" s="3"/>
    </row>
    <row r="451" spans="1:26" ht="14.25" customHeight="1">
      <c r="A451" s="1"/>
      <c r="B451" s="1"/>
      <c r="C451" s="1"/>
      <c r="D451" s="1"/>
      <c r="E451" s="19"/>
      <c r="F451" s="3"/>
      <c r="G451" s="3"/>
      <c r="H451" s="3"/>
      <c r="I451" s="3"/>
      <c r="J451" s="3"/>
      <c r="K451" s="3"/>
      <c r="L451" s="3"/>
      <c r="M451" s="3"/>
      <c r="N451" s="3"/>
      <c r="O451" s="3"/>
      <c r="P451" s="3"/>
      <c r="Q451" s="3"/>
      <c r="R451" s="3"/>
      <c r="S451" s="3"/>
      <c r="T451" s="3"/>
      <c r="U451" s="3"/>
      <c r="V451" s="3"/>
      <c r="W451" s="3"/>
      <c r="X451" s="3"/>
      <c r="Y451" s="3"/>
      <c r="Z451" s="3"/>
    </row>
    <row r="452" spans="1:26" ht="14.25" customHeight="1">
      <c r="A452" s="1"/>
      <c r="B452" s="1"/>
      <c r="C452" s="1"/>
      <c r="D452" s="1"/>
      <c r="E452" s="19"/>
      <c r="F452" s="3"/>
      <c r="G452" s="3"/>
      <c r="H452" s="3"/>
      <c r="I452" s="3"/>
      <c r="J452" s="3"/>
      <c r="K452" s="3"/>
      <c r="L452" s="3"/>
      <c r="M452" s="3"/>
      <c r="N452" s="3"/>
      <c r="O452" s="3"/>
      <c r="P452" s="3"/>
      <c r="Q452" s="3"/>
      <c r="R452" s="3"/>
      <c r="S452" s="3"/>
      <c r="T452" s="3"/>
      <c r="U452" s="3"/>
      <c r="V452" s="3"/>
      <c r="W452" s="3"/>
      <c r="X452" s="3"/>
      <c r="Y452" s="3"/>
      <c r="Z452" s="3"/>
    </row>
    <row r="453" spans="1:26" ht="14.25" customHeight="1">
      <c r="A453" s="1"/>
      <c r="B453" s="2" t="s">
        <v>1691</v>
      </c>
      <c r="C453" s="1"/>
      <c r="D453" s="1"/>
      <c r="E453" s="19"/>
      <c r="F453" s="3"/>
      <c r="G453" s="3"/>
      <c r="H453" s="3"/>
      <c r="I453" s="3"/>
      <c r="J453" s="3"/>
      <c r="K453" s="3"/>
      <c r="L453" s="3"/>
      <c r="M453" s="3"/>
      <c r="N453" s="3"/>
      <c r="O453" s="3"/>
      <c r="P453" s="3"/>
      <c r="Q453" s="3"/>
      <c r="R453" s="3"/>
      <c r="S453" s="3"/>
      <c r="T453" s="3"/>
      <c r="U453" s="3"/>
      <c r="V453" s="3"/>
      <c r="W453" s="3"/>
      <c r="X453" s="3"/>
      <c r="Y453" s="3"/>
      <c r="Z453" s="3"/>
    </row>
    <row r="454" spans="1:26" ht="14.25" customHeight="1">
      <c r="A454" s="1"/>
      <c r="B454" s="759" t="s">
        <v>1692</v>
      </c>
      <c r="C454" s="759"/>
      <c r="D454" s="759"/>
      <c r="E454" s="759"/>
      <c r="F454" s="759"/>
      <c r="G454" s="759"/>
      <c r="H454" s="759"/>
      <c r="I454" s="3"/>
      <c r="J454" s="3"/>
      <c r="K454" s="3"/>
      <c r="L454" s="3"/>
      <c r="M454" s="3"/>
      <c r="N454" s="3"/>
      <c r="O454" s="3"/>
      <c r="P454" s="3"/>
      <c r="Q454" s="3"/>
      <c r="R454" s="3"/>
      <c r="S454" s="3"/>
      <c r="T454" s="3"/>
      <c r="U454" s="3"/>
      <c r="V454" s="3"/>
      <c r="W454" s="3"/>
      <c r="X454" s="3"/>
      <c r="Y454" s="3"/>
      <c r="Z454" s="3"/>
    </row>
    <row r="455" spans="1:26" ht="14.25" customHeight="1">
      <c r="A455" s="1"/>
      <c r="B455" s="759" t="s">
        <v>1693</v>
      </c>
      <c r="C455" s="759"/>
      <c r="D455" s="759"/>
      <c r="E455" s="759"/>
      <c r="F455" s="759"/>
      <c r="G455" s="759"/>
      <c r="H455" s="759"/>
      <c r="I455" s="3"/>
      <c r="J455" s="3"/>
      <c r="K455" s="3"/>
      <c r="L455" s="3"/>
      <c r="M455" s="3"/>
      <c r="N455" s="3"/>
      <c r="O455" s="3"/>
      <c r="P455" s="3"/>
      <c r="Q455" s="3"/>
      <c r="R455" s="3"/>
      <c r="S455" s="3"/>
      <c r="T455" s="3"/>
      <c r="U455" s="3"/>
      <c r="V455" s="3"/>
      <c r="W455" s="3"/>
      <c r="X455" s="3"/>
      <c r="Y455" s="3"/>
      <c r="Z455" s="3"/>
    </row>
    <row r="456" spans="1:26" ht="14.25" customHeight="1">
      <c r="A456" s="1"/>
      <c r="B456" s="759" t="s">
        <v>1694</v>
      </c>
      <c r="C456" s="759"/>
      <c r="D456" s="759"/>
      <c r="E456" s="759"/>
      <c r="F456" s="759"/>
      <c r="G456" s="759"/>
      <c r="H456" s="759"/>
      <c r="I456" s="3"/>
      <c r="J456" s="3"/>
      <c r="K456" s="3"/>
      <c r="L456" s="3"/>
      <c r="M456" s="3"/>
      <c r="N456" s="3"/>
      <c r="O456" s="3"/>
      <c r="P456" s="3"/>
      <c r="Q456" s="3"/>
      <c r="R456" s="3"/>
      <c r="S456" s="3"/>
      <c r="T456" s="3"/>
      <c r="U456" s="3"/>
      <c r="V456" s="3"/>
      <c r="W456" s="3"/>
      <c r="X456" s="3"/>
      <c r="Y456" s="3"/>
      <c r="Z456" s="3"/>
    </row>
    <row r="457" spans="1:26" ht="14.25" customHeight="1">
      <c r="A457" s="1"/>
      <c r="B457" s="759" t="s">
        <v>1695</v>
      </c>
      <c r="C457" s="759"/>
      <c r="D457" s="759"/>
      <c r="E457" s="759"/>
      <c r="F457" s="759"/>
      <c r="G457" s="759"/>
      <c r="H457" s="759"/>
      <c r="I457" s="3"/>
      <c r="J457" s="3"/>
      <c r="K457" s="3"/>
      <c r="L457" s="3"/>
      <c r="M457" s="3"/>
      <c r="N457" s="3"/>
      <c r="O457" s="3"/>
      <c r="P457" s="3"/>
      <c r="Q457" s="3"/>
      <c r="R457" s="3"/>
      <c r="S457" s="3"/>
      <c r="T457" s="3"/>
      <c r="U457" s="3"/>
      <c r="V457" s="3"/>
      <c r="W457" s="3"/>
      <c r="X457" s="3"/>
      <c r="Y457" s="3"/>
      <c r="Z457" s="3"/>
    </row>
    <row r="458" spans="1:26" ht="14.25" customHeight="1">
      <c r="A458" s="1"/>
      <c r="B458" s="1"/>
      <c r="C458" s="1"/>
      <c r="D458" s="1"/>
      <c r="E458" s="19"/>
      <c r="F458" s="3"/>
      <c r="G458" s="3"/>
      <c r="H458" s="3"/>
      <c r="I458" s="3"/>
      <c r="J458" s="3"/>
      <c r="K458" s="3"/>
      <c r="L458" s="3"/>
      <c r="M458" s="3"/>
      <c r="N458" s="3"/>
      <c r="O458" s="3"/>
      <c r="P458" s="3"/>
      <c r="Q458" s="3"/>
      <c r="R458" s="3"/>
      <c r="S458" s="3"/>
      <c r="T458" s="3"/>
      <c r="U458" s="3"/>
      <c r="V458" s="3"/>
      <c r="W458" s="3"/>
      <c r="X458" s="3"/>
      <c r="Y458" s="3"/>
      <c r="Z458" s="3"/>
    </row>
    <row r="459" spans="1:26" ht="14.25" customHeight="1">
      <c r="A459" s="1"/>
      <c r="B459" s="1"/>
      <c r="C459" s="1"/>
      <c r="D459" s="1"/>
      <c r="E459" s="19"/>
      <c r="F459" s="3"/>
      <c r="G459" s="3"/>
      <c r="H459" s="3"/>
      <c r="I459" s="3"/>
      <c r="J459" s="3"/>
      <c r="K459" s="3"/>
      <c r="L459" s="3"/>
      <c r="M459" s="3"/>
      <c r="N459" s="3"/>
      <c r="O459" s="3"/>
      <c r="P459" s="3"/>
      <c r="Q459" s="3"/>
      <c r="R459" s="3"/>
      <c r="S459" s="3"/>
      <c r="T459" s="3"/>
      <c r="U459" s="3"/>
      <c r="V459" s="3"/>
      <c r="W459" s="3"/>
      <c r="X459" s="3"/>
      <c r="Y459" s="3"/>
      <c r="Z459" s="3"/>
    </row>
    <row r="460" spans="1:26" ht="14.25" customHeight="1">
      <c r="A460" s="1"/>
      <c r="B460" s="1"/>
      <c r="C460" s="1"/>
      <c r="D460" s="1"/>
      <c r="E460" s="19"/>
      <c r="F460" s="3"/>
      <c r="G460" s="3"/>
      <c r="H460" s="3"/>
      <c r="I460" s="3"/>
      <c r="J460" s="3"/>
      <c r="K460" s="3"/>
      <c r="L460" s="3"/>
      <c r="M460" s="3"/>
      <c r="N460" s="3"/>
      <c r="O460" s="3"/>
      <c r="P460" s="3"/>
      <c r="Q460" s="3"/>
      <c r="R460" s="3"/>
      <c r="S460" s="3"/>
      <c r="T460" s="3"/>
      <c r="U460" s="3"/>
      <c r="V460" s="3"/>
      <c r="W460" s="3"/>
      <c r="X460" s="3"/>
      <c r="Y460" s="3"/>
      <c r="Z460" s="3"/>
    </row>
    <row r="461" spans="1:26" ht="14.25" customHeight="1">
      <c r="A461" s="1"/>
      <c r="B461" s="1"/>
      <c r="C461" s="1"/>
      <c r="D461" s="1"/>
      <c r="E461" s="19"/>
      <c r="F461" s="3"/>
      <c r="G461" s="3"/>
      <c r="H461" s="3"/>
      <c r="I461" s="3"/>
      <c r="J461" s="3"/>
      <c r="K461" s="3"/>
      <c r="L461" s="3"/>
      <c r="M461" s="3"/>
      <c r="N461" s="3"/>
      <c r="O461" s="3"/>
      <c r="P461" s="3"/>
      <c r="Q461" s="3"/>
      <c r="R461" s="3"/>
      <c r="S461" s="3"/>
      <c r="T461" s="3"/>
      <c r="U461" s="3"/>
      <c r="V461" s="3"/>
      <c r="W461" s="3"/>
      <c r="X461" s="3"/>
      <c r="Y461" s="3"/>
      <c r="Z461" s="3"/>
    </row>
    <row r="462" spans="1:26" ht="14.25" customHeight="1">
      <c r="A462" s="1"/>
      <c r="B462" s="1"/>
      <c r="C462" s="1"/>
      <c r="D462" s="1"/>
      <c r="E462" s="19"/>
      <c r="F462" s="3"/>
      <c r="G462" s="3"/>
      <c r="H462" s="3"/>
      <c r="I462" s="3"/>
      <c r="J462" s="3"/>
      <c r="K462" s="3"/>
      <c r="L462" s="3"/>
      <c r="M462" s="3"/>
      <c r="N462" s="3"/>
      <c r="O462" s="3"/>
      <c r="P462" s="3"/>
      <c r="Q462" s="3"/>
      <c r="R462" s="3"/>
      <c r="S462" s="3"/>
      <c r="T462" s="3"/>
      <c r="U462" s="3"/>
      <c r="V462" s="3"/>
      <c r="W462" s="3"/>
      <c r="X462" s="3"/>
      <c r="Y462" s="3"/>
      <c r="Z462" s="3"/>
    </row>
    <row r="463" spans="1:26" ht="14.25" customHeight="1">
      <c r="A463" s="1"/>
      <c r="B463" s="1"/>
      <c r="C463" s="1"/>
      <c r="D463" s="1"/>
      <c r="E463" s="19"/>
      <c r="F463" s="3"/>
      <c r="G463" s="3"/>
      <c r="H463" s="3"/>
      <c r="I463" s="3"/>
      <c r="J463" s="3"/>
      <c r="K463" s="3"/>
      <c r="L463" s="3"/>
      <c r="M463" s="3"/>
      <c r="N463" s="3"/>
      <c r="O463" s="3"/>
      <c r="P463" s="3"/>
      <c r="Q463" s="3"/>
      <c r="R463" s="3"/>
      <c r="S463" s="3"/>
      <c r="T463" s="3"/>
      <c r="U463" s="3"/>
      <c r="V463" s="3"/>
      <c r="W463" s="3"/>
      <c r="X463" s="3"/>
      <c r="Y463" s="3"/>
      <c r="Z463" s="3"/>
    </row>
    <row r="464" spans="1:26" ht="14.25" customHeight="1">
      <c r="A464" s="1"/>
      <c r="B464" s="1"/>
      <c r="C464" s="1"/>
      <c r="D464" s="1"/>
      <c r="E464" s="19"/>
      <c r="F464" s="3"/>
      <c r="G464" s="3"/>
      <c r="H464" s="3"/>
      <c r="I464" s="3"/>
      <c r="J464" s="3"/>
      <c r="K464" s="3"/>
      <c r="L464" s="3"/>
      <c r="M464" s="3"/>
      <c r="N464" s="3"/>
      <c r="O464" s="3"/>
      <c r="P464" s="3"/>
      <c r="Q464" s="3"/>
      <c r="R464" s="3"/>
      <c r="S464" s="3"/>
      <c r="T464" s="3"/>
      <c r="U464" s="3"/>
      <c r="V464" s="3"/>
      <c r="W464" s="3"/>
      <c r="X464" s="3"/>
      <c r="Y464" s="3"/>
      <c r="Z464" s="3"/>
    </row>
    <row r="465" spans="1:26" ht="14.25" customHeight="1">
      <c r="A465" s="1"/>
      <c r="B465" s="1"/>
      <c r="C465" s="1"/>
      <c r="D465" s="1"/>
      <c r="E465" s="19"/>
      <c r="F465" s="3"/>
      <c r="G465" s="3"/>
      <c r="H465" s="3"/>
      <c r="I465" s="3"/>
      <c r="J465" s="3"/>
      <c r="K465" s="3"/>
      <c r="L465" s="3"/>
      <c r="M465" s="3"/>
      <c r="N465" s="3"/>
      <c r="O465" s="3"/>
      <c r="P465" s="3"/>
      <c r="Q465" s="3"/>
      <c r="R465" s="3"/>
      <c r="S465" s="3"/>
      <c r="T465" s="3"/>
      <c r="U465" s="3"/>
      <c r="V465" s="3"/>
      <c r="W465" s="3"/>
      <c r="X465" s="3"/>
      <c r="Y465" s="3"/>
      <c r="Z465" s="3"/>
    </row>
    <row r="466" spans="1:26" ht="14.25" customHeight="1">
      <c r="A466" s="1"/>
      <c r="B466" s="1"/>
      <c r="C466" s="1"/>
      <c r="D466" s="1"/>
      <c r="E466" s="19"/>
      <c r="F466" s="3"/>
      <c r="G466" s="3"/>
      <c r="H466" s="3"/>
      <c r="I466" s="3"/>
      <c r="J466" s="3"/>
      <c r="K466" s="3"/>
      <c r="L466" s="3"/>
      <c r="M466" s="3"/>
      <c r="N466" s="3"/>
      <c r="O466" s="3"/>
      <c r="P466" s="3"/>
      <c r="Q466" s="3"/>
      <c r="R466" s="3"/>
      <c r="S466" s="3"/>
      <c r="T466" s="3"/>
      <c r="U466" s="3"/>
      <c r="V466" s="3"/>
      <c r="W466" s="3"/>
      <c r="X466" s="3"/>
      <c r="Y466" s="3"/>
      <c r="Z466" s="3"/>
    </row>
    <row r="467" spans="1:26" ht="14.25" customHeight="1">
      <c r="A467" s="1"/>
      <c r="B467" s="1"/>
      <c r="C467" s="1"/>
      <c r="D467" s="1"/>
      <c r="E467" s="19"/>
      <c r="F467" s="3"/>
      <c r="G467" s="3"/>
      <c r="H467" s="3"/>
      <c r="I467" s="3"/>
      <c r="J467" s="3"/>
      <c r="K467" s="3"/>
      <c r="L467" s="3"/>
      <c r="M467" s="3"/>
      <c r="N467" s="3"/>
      <c r="O467" s="3"/>
      <c r="P467" s="3"/>
      <c r="Q467" s="3"/>
      <c r="R467" s="3"/>
      <c r="S467" s="3"/>
      <c r="T467" s="3"/>
      <c r="U467" s="3"/>
      <c r="V467" s="3"/>
      <c r="W467" s="3"/>
      <c r="X467" s="3"/>
      <c r="Y467" s="3"/>
      <c r="Z467" s="3"/>
    </row>
    <row r="468" spans="1:26" ht="14.25" customHeight="1">
      <c r="A468" s="1"/>
      <c r="B468" s="1"/>
      <c r="C468" s="1"/>
      <c r="D468" s="1"/>
      <c r="E468" s="19"/>
      <c r="F468" s="3"/>
      <c r="G468" s="3"/>
      <c r="H468" s="3"/>
      <c r="I468" s="3"/>
      <c r="J468" s="3"/>
      <c r="K468" s="3"/>
      <c r="L468" s="3"/>
      <c r="M468" s="3"/>
      <c r="N468" s="3"/>
      <c r="O468" s="3"/>
      <c r="P468" s="3"/>
      <c r="Q468" s="3"/>
      <c r="R468" s="3"/>
      <c r="S468" s="3"/>
      <c r="T468" s="3"/>
      <c r="U468" s="3"/>
      <c r="V468" s="3"/>
      <c r="W468" s="3"/>
      <c r="X468" s="3"/>
      <c r="Y468" s="3"/>
      <c r="Z468" s="3"/>
    </row>
    <row r="469" spans="1:26" ht="14.25" customHeight="1">
      <c r="A469" s="1"/>
      <c r="B469" s="1"/>
      <c r="C469" s="1"/>
      <c r="D469" s="1"/>
      <c r="E469" s="19"/>
      <c r="F469" s="3"/>
      <c r="G469" s="3"/>
      <c r="H469" s="3"/>
      <c r="I469" s="3"/>
      <c r="J469" s="3"/>
      <c r="K469" s="3"/>
      <c r="L469" s="3"/>
      <c r="M469" s="3"/>
      <c r="N469" s="3"/>
      <c r="O469" s="3"/>
      <c r="P469" s="3"/>
      <c r="Q469" s="3"/>
      <c r="R469" s="3"/>
      <c r="S469" s="3"/>
      <c r="T469" s="3"/>
      <c r="U469" s="3"/>
      <c r="V469" s="3"/>
      <c r="W469" s="3"/>
      <c r="X469" s="3"/>
      <c r="Y469" s="3"/>
      <c r="Z469" s="3"/>
    </row>
    <row r="470" spans="1:26" ht="14.25" customHeight="1">
      <c r="A470" s="1"/>
      <c r="B470" s="1"/>
      <c r="C470" s="1"/>
      <c r="D470" s="1"/>
      <c r="E470" s="19"/>
      <c r="F470" s="3"/>
      <c r="G470" s="3"/>
      <c r="H470" s="3"/>
      <c r="I470" s="3"/>
      <c r="J470" s="3"/>
      <c r="K470" s="3"/>
      <c r="L470" s="3"/>
      <c r="M470" s="3"/>
      <c r="N470" s="3"/>
      <c r="O470" s="3"/>
      <c r="P470" s="3"/>
      <c r="Q470" s="3"/>
      <c r="R470" s="3"/>
      <c r="S470" s="3"/>
      <c r="T470" s="3"/>
      <c r="U470" s="3"/>
      <c r="V470" s="3"/>
      <c r="W470" s="3"/>
      <c r="X470" s="3"/>
      <c r="Y470" s="3"/>
      <c r="Z470" s="3"/>
    </row>
    <row r="471" spans="1:26" ht="14.25" customHeight="1">
      <c r="A471" s="1"/>
      <c r="B471" s="1"/>
      <c r="C471" s="1"/>
      <c r="D471" s="1"/>
      <c r="E471" s="19"/>
      <c r="F471" s="3"/>
      <c r="G471" s="3"/>
      <c r="H471" s="3"/>
      <c r="I471" s="3"/>
      <c r="J471" s="3"/>
      <c r="K471" s="3"/>
      <c r="L471" s="3"/>
      <c r="M471" s="3"/>
      <c r="N471" s="3"/>
      <c r="O471" s="3"/>
      <c r="P471" s="3"/>
      <c r="Q471" s="3"/>
      <c r="R471" s="3"/>
      <c r="S471" s="3"/>
      <c r="T471" s="3"/>
      <c r="U471" s="3"/>
      <c r="V471" s="3"/>
      <c r="W471" s="3"/>
      <c r="X471" s="3"/>
      <c r="Y471" s="3"/>
      <c r="Z471" s="3"/>
    </row>
    <row r="472" spans="1:26" ht="14.25" customHeight="1">
      <c r="A472" s="1"/>
      <c r="B472" s="1"/>
      <c r="C472" s="1"/>
      <c r="D472" s="1"/>
      <c r="E472" s="19"/>
      <c r="F472" s="3"/>
      <c r="G472" s="3"/>
      <c r="H472" s="3"/>
      <c r="I472" s="3"/>
      <c r="J472" s="3"/>
      <c r="K472" s="3"/>
      <c r="L472" s="3"/>
      <c r="M472" s="3"/>
      <c r="N472" s="3"/>
      <c r="O472" s="3"/>
      <c r="P472" s="3"/>
      <c r="Q472" s="3"/>
      <c r="R472" s="3"/>
      <c r="S472" s="3"/>
      <c r="T472" s="3"/>
      <c r="U472" s="3"/>
      <c r="V472" s="3"/>
      <c r="W472" s="3"/>
      <c r="X472" s="3"/>
      <c r="Y472" s="3"/>
      <c r="Z472" s="3"/>
    </row>
    <row r="473" spans="1:26" ht="14.25" customHeight="1">
      <c r="A473" s="1"/>
      <c r="B473" s="1"/>
      <c r="C473" s="1"/>
      <c r="D473" s="1"/>
      <c r="E473" s="19"/>
      <c r="F473" s="3"/>
      <c r="G473" s="3"/>
      <c r="H473" s="3"/>
      <c r="I473" s="3"/>
      <c r="J473" s="3"/>
      <c r="K473" s="3"/>
      <c r="L473" s="3"/>
      <c r="M473" s="3"/>
      <c r="N473" s="3"/>
      <c r="O473" s="3"/>
      <c r="P473" s="3"/>
      <c r="Q473" s="3"/>
      <c r="R473" s="3"/>
      <c r="S473" s="3"/>
      <c r="T473" s="3"/>
      <c r="U473" s="3"/>
      <c r="V473" s="3"/>
      <c r="W473" s="3"/>
      <c r="X473" s="3"/>
      <c r="Y473" s="3"/>
      <c r="Z473" s="3"/>
    </row>
    <row r="474" spans="1:26" ht="14.25" customHeight="1">
      <c r="A474" s="1"/>
      <c r="B474" s="1"/>
      <c r="C474" s="1"/>
      <c r="D474" s="1"/>
      <c r="E474" s="19"/>
      <c r="F474" s="3"/>
      <c r="G474" s="3"/>
      <c r="H474" s="3"/>
      <c r="I474" s="3"/>
      <c r="J474" s="3"/>
      <c r="K474" s="3"/>
      <c r="L474" s="3"/>
      <c r="M474" s="3"/>
      <c r="N474" s="3"/>
      <c r="O474" s="3"/>
      <c r="P474" s="3"/>
      <c r="Q474" s="3"/>
      <c r="R474" s="3"/>
      <c r="S474" s="3"/>
      <c r="T474" s="3"/>
      <c r="U474" s="3"/>
      <c r="V474" s="3"/>
      <c r="W474" s="3"/>
      <c r="X474" s="3"/>
      <c r="Y474" s="3"/>
      <c r="Z474" s="3"/>
    </row>
    <row r="475" spans="1:26" ht="14.25" customHeight="1">
      <c r="A475" s="1"/>
      <c r="B475" s="1"/>
      <c r="C475" s="1"/>
      <c r="D475" s="1"/>
      <c r="E475" s="19"/>
      <c r="F475" s="3"/>
      <c r="G475" s="3"/>
      <c r="H475" s="3"/>
      <c r="I475" s="3"/>
      <c r="J475" s="3"/>
      <c r="K475" s="3"/>
      <c r="L475" s="3"/>
      <c r="M475" s="3"/>
      <c r="N475" s="3"/>
      <c r="O475" s="3"/>
      <c r="P475" s="3"/>
      <c r="Q475" s="3"/>
      <c r="R475" s="3"/>
      <c r="S475" s="3"/>
      <c r="T475" s="3"/>
      <c r="U475" s="3"/>
      <c r="V475" s="3"/>
      <c r="W475" s="3"/>
      <c r="X475" s="3"/>
      <c r="Y475" s="3"/>
      <c r="Z475" s="3"/>
    </row>
    <row r="476" spans="1:26" ht="14.25" customHeight="1">
      <c r="A476" s="1"/>
      <c r="B476" s="1"/>
      <c r="C476" s="1"/>
      <c r="D476" s="1"/>
      <c r="E476" s="19"/>
      <c r="F476" s="3"/>
      <c r="G476" s="3"/>
      <c r="H476" s="3"/>
      <c r="I476" s="3"/>
      <c r="J476" s="3"/>
      <c r="K476" s="3"/>
      <c r="L476" s="3"/>
      <c r="M476" s="3"/>
      <c r="N476" s="3"/>
      <c r="O476" s="3"/>
      <c r="P476" s="3"/>
      <c r="Q476" s="3"/>
      <c r="R476" s="3"/>
      <c r="S476" s="3"/>
      <c r="T476" s="3"/>
      <c r="U476" s="3"/>
      <c r="V476" s="3"/>
      <c r="W476" s="3"/>
      <c r="X476" s="3"/>
      <c r="Y476" s="3"/>
      <c r="Z476" s="3"/>
    </row>
    <row r="477" spans="1:26" ht="14.25" customHeight="1">
      <c r="A477" s="1"/>
      <c r="B477" s="1"/>
      <c r="C477" s="1"/>
      <c r="D477" s="1"/>
      <c r="E477" s="19"/>
      <c r="F477" s="3"/>
      <c r="G477" s="3"/>
      <c r="H477" s="3"/>
      <c r="I477" s="3"/>
      <c r="J477" s="3"/>
      <c r="K477" s="3"/>
      <c r="L477" s="3"/>
      <c r="M477" s="3"/>
      <c r="N477" s="3"/>
      <c r="O477" s="3"/>
      <c r="P477" s="3"/>
      <c r="Q477" s="3"/>
      <c r="R477" s="3"/>
      <c r="S477" s="3"/>
      <c r="T477" s="3"/>
      <c r="U477" s="3"/>
      <c r="V477" s="3"/>
      <c r="W477" s="3"/>
      <c r="X477" s="3"/>
      <c r="Y477" s="3"/>
      <c r="Z477" s="3"/>
    </row>
    <row r="478" spans="1:26" ht="14.25" customHeight="1">
      <c r="A478" s="1"/>
      <c r="B478" s="1"/>
      <c r="C478" s="1"/>
      <c r="D478" s="1"/>
      <c r="E478" s="19"/>
      <c r="F478" s="3"/>
      <c r="G478" s="3"/>
      <c r="H478" s="3"/>
      <c r="I478" s="3"/>
      <c r="J478" s="3"/>
      <c r="K478" s="3"/>
      <c r="L478" s="3"/>
      <c r="M478" s="3"/>
      <c r="N478" s="3"/>
      <c r="O478" s="3"/>
      <c r="P478" s="3"/>
      <c r="Q478" s="3"/>
      <c r="R478" s="3"/>
      <c r="S478" s="3"/>
      <c r="T478" s="3"/>
      <c r="U478" s="3"/>
      <c r="V478" s="3"/>
      <c r="W478" s="3"/>
      <c r="X478" s="3"/>
      <c r="Y478" s="3"/>
      <c r="Z478" s="3"/>
    </row>
    <row r="479" spans="1:26" ht="14.25" customHeight="1">
      <c r="A479" s="1"/>
      <c r="B479" s="1"/>
      <c r="C479" s="1"/>
      <c r="D479" s="1"/>
      <c r="E479" s="19"/>
      <c r="F479" s="3"/>
      <c r="G479" s="3"/>
      <c r="H479" s="3"/>
      <c r="I479" s="3"/>
      <c r="J479" s="3"/>
      <c r="K479" s="3"/>
      <c r="L479" s="3"/>
      <c r="M479" s="3"/>
      <c r="N479" s="3"/>
      <c r="O479" s="3"/>
      <c r="P479" s="3"/>
      <c r="Q479" s="3"/>
      <c r="R479" s="3"/>
      <c r="S479" s="3"/>
      <c r="T479" s="3"/>
      <c r="U479" s="3"/>
      <c r="V479" s="3"/>
      <c r="W479" s="3"/>
      <c r="X479" s="3"/>
      <c r="Y479" s="3"/>
      <c r="Z479" s="3"/>
    </row>
    <row r="480" spans="1:26" ht="14.25" customHeight="1">
      <c r="A480" s="1"/>
      <c r="B480" s="1"/>
      <c r="C480" s="1"/>
      <c r="D480" s="1"/>
      <c r="E480" s="19"/>
      <c r="F480" s="3"/>
      <c r="G480" s="3"/>
      <c r="H480" s="3"/>
      <c r="I480" s="3"/>
      <c r="J480" s="3"/>
      <c r="K480" s="3"/>
      <c r="L480" s="3"/>
      <c r="M480" s="3"/>
      <c r="N480" s="3"/>
      <c r="O480" s="3"/>
      <c r="P480" s="3"/>
      <c r="Q480" s="3"/>
      <c r="R480" s="3"/>
      <c r="S480" s="3"/>
      <c r="T480" s="3"/>
      <c r="U480" s="3"/>
      <c r="V480" s="3"/>
      <c r="W480" s="3"/>
      <c r="X480" s="3"/>
      <c r="Y480" s="3"/>
      <c r="Z480" s="3"/>
    </row>
    <row r="481" spans="1:26" ht="14.25" customHeight="1">
      <c r="A481" s="1"/>
      <c r="B481" s="1"/>
      <c r="C481" s="1"/>
      <c r="D481" s="1"/>
      <c r="E481" s="19"/>
      <c r="F481" s="3"/>
      <c r="G481" s="3"/>
      <c r="H481" s="3"/>
      <c r="I481" s="3"/>
      <c r="J481" s="3"/>
      <c r="K481" s="3"/>
      <c r="L481" s="3"/>
      <c r="M481" s="3"/>
      <c r="N481" s="3"/>
      <c r="O481" s="3"/>
      <c r="P481" s="3"/>
      <c r="Q481" s="3"/>
      <c r="R481" s="3"/>
      <c r="S481" s="3"/>
      <c r="T481" s="3"/>
      <c r="U481" s="3"/>
      <c r="V481" s="3"/>
      <c r="W481" s="3"/>
      <c r="X481" s="3"/>
      <c r="Y481" s="3"/>
      <c r="Z481" s="3"/>
    </row>
    <row r="482" spans="1:26" ht="14.25" customHeight="1">
      <c r="A482" s="1"/>
      <c r="B482" s="1"/>
      <c r="C482" s="1"/>
      <c r="D482" s="1"/>
      <c r="E482" s="19"/>
      <c r="F482" s="3"/>
      <c r="G482" s="3"/>
      <c r="H482" s="3"/>
      <c r="I482" s="3"/>
      <c r="J482" s="3"/>
      <c r="K482" s="3"/>
      <c r="L482" s="3"/>
      <c r="M482" s="3"/>
      <c r="N482" s="3"/>
      <c r="O482" s="3"/>
      <c r="P482" s="3"/>
      <c r="Q482" s="3"/>
      <c r="R482" s="3"/>
      <c r="S482" s="3"/>
      <c r="T482" s="3"/>
      <c r="U482" s="3"/>
      <c r="V482" s="3"/>
      <c r="W482" s="3"/>
      <c r="X482" s="3"/>
      <c r="Y482" s="3"/>
      <c r="Z482" s="3"/>
    </row>
    <row r="483" spans="1:26" ht="14.25" customHeight="1">
      <c r="A483" s="1"/>
      <c r="B483" s="1"/>
      <c r="C483" s="1"/>
      <c r="D483" s="1"/>
      <c r="E483" s="19"/>
      <c r="F483" s="3"/>
      <c r="G483" s="3"/>
      <c r="H483" s="3"/>
      <c r="I483" s="3"/>
      <c r="J483" s="3"/>
      <c r="K483" s="3"/>
      <c r="L483" s="3"/>
      <c r="M483" s="3"/>
      <c r="N483" s="3"/>
      <c r="O483" s="3"/>
      <c r="P483" s="3"/>
      <c r="Q483" s="3"/>
      <c r="R483" s="3"/>
      <c r="S483" s="3"/>
      <c r="T483" s="3"/>
      <c r="U483" s="3"/>
      <c r="V483" s="3"/>
      <c r="W483" s="3"/>
      <c r="X483" s="3"/>
      <c r="Y483" s="3"/>
      <c r="Z483" s="3"/>
    </row>
    <row r="484" spans="1:26" ht="14.25" customHeight="1">
      <c r="A484" s="1"/>
      <c r="B484" s="1"/>
      <c r="C484" s="1"/>
      <c r="D484" s="1"/>
      <c r="E484" s="19"/>
      <c r="F484" s="3"/>
      <c r="G484" s="3"/>
      <c r="H484" s="3"/>
      <c r="I484" s="3"/>
      <c r="J484" s="3"/>
      <c r="K484" s="3"/>
      <c r="L484" s="3"/>
      <c r="M484" s="3"/>
      <c r="N484" s="3"/>
      <c r="O484" s="3"/>
      <c r="P484" s="3"/>
      <c r="Q484" s="3"/>
      <c r="R484" s="3"/>
      <c r="S484" s="3"/>
      <c r="T484" s="3"/>
      <c r="U484" s="3"/>
      <c r="V484" s="3"/>
      <c r="W484" s="3"/>
      <c r="X484" s="3"/>
      <c r="Y484" s="3"/>
      <c r="Z484" s="3"/>
    </row>
    <row r="485" spans="1:26" ht="14.25" customHeight="1">
      <c r="A485" s="1"/>
      <c r="B485" s="1"/>
      <c r="C485" s="1"/>
      <c r="D485" s="1"/>
      <c r="E485" s="19"/>
      <c r="F485" s="3"/>
      <c r="G485" s="3"/>
      <c r="H485" s="3"/>
      <c r="I485" s="3"/>
      <c r="J485" s="3"/>
      <c r="K485" s="3"/>
      <c r="L485" s="3"/>
      <c r="M485" s="3"/>
      <c r="N485" s="3"/>
      <c r="O485" s="3"/>
      <c r="P485" s="3"/>
      <c r="Q485" s="3"/>
      <c r="R485" s="3"/>
      <c r="S485" s="3"/>
      <c r="T485" s="3"/>
      <c r="U485" s="3"/>
      <c r="V485" s="3"/>
      <c r="W485" s="3"/>
      <c r="X485" s="3"/>
      <c r="Y485" s="3"/>
      <c r="Z485" s="3"/>
    </row>
    <row r="486" spans="1:26" ht="14.25" customHeight="1">
      <c r="A486" s="1"/>
      <c r="B486" s="1"/>
      <c r="C486" s="1"/>
      <c r="D486" s="1"/>
      <c r="E486" s="19"/>
      <c r="F486" s="3"/>
      <c r="G486" s="3"/>
      <c r="H486" s="3"/>
      <c r="I486" s="3"/>
      <c r="J486" s="3"/>
      <c r="K486" s="3"/>
      <c r="L486" s="3"/>
      <c r="M486" s="3"/>
      <c r="N486" s="3"/>
      <c r="O486" s="3"/>
      <c r="P486" s="3"/>
      <c r="Q486" s="3"/>
      <c r="R486" s="3"/>
      <c r="S486" s="3"/>
      <c r="T486" s="3"/>
      <c r="U486" s="3"/>
      <c r="V486" s="3"/>
      <c r="W486" s="3"/>
      <c r="X486" s="3"/>
      <c r="Y486" s="3"/>
      <c r="Z486" s="3"/>
    </row>
    <row r="487" spans="1:26" ht="14.25" customHeight="1">
      <c r="A487" s="1"/>
      <c r="B487" s="1"/>
      <c r="C487" s="1"/>
      <c r="D487" s="1"/>
      <c r="E487" s="19"/>
      <c r="F487" s="3"/>
      <c r="G487" s="3"/>
      <c r="H487" s="3"/>
      <c r="I487" s="3"/>
      <c r="J487" s="3"/>
      <c r="K487" s="3"/>
      <c r="L487" s="3"/>
      <c r="M487" s="3"/>
      <c r="N487" s="3"/>
      <c r="O487" s="3"/>
      <c r="P487" s="3"/>
      <c r="Q487" s="3"/>
      <c r="R487" s="3"/>
      <c r="S487" s="3"/>
      <c r="T487" s="3"/>
      <c r="U487" s="3"/>
      <c r="V487" s="3"/>
      <c r="W487" s="3"/>
      <c r="X487" s="3"/>
      <c r="Y487" s="3"/>
      <c r="Z487" s="3"/>
    </row>
    <row r="488" spans="1:26" ht="14.25" customHeight="1">
      <c r="A488" s="1"/>
      <c r="B488" s="1"/>
      <c r="C488" s="1"/>
      <c r="D488" s="1"/>
      <c r="E488" s="19"/>
      <c r="F488" s="3"/>
      <c r="G488" s="3"/>
      <c r="H488" s="3"/>
      <c r="I488" s="3"/>
      <c r="J488" s="3"/>
      <c r="K488" s="3"/>
      <c r="L488" s="3"/>
      <c r="M488" s="3"/>
      <c r="N488" s="3"/>
      <c r="O488" s="3"/>
      <c r="P488" s="3"/>
      <c r="Q488" s="3"/>
      <c r="R488" s="3"/>
      <c r="S488" s="3"/>
      <c r="T488" s="3"/>
      <c r="U488" s="3"/>
      <c r="V488" s="3"/>
      <c r="W488" s="3"/>
      <c r="X488" s="3"/>
      <c r="Y488" s="3"/>
      <c r="Z488" s="3"/>
    </row>
    <row r="489" spans="1:26" ht="14.25" customHeight="1">
      <c r="A489" s="1"/>
      <c r="B489" s="1"/>
      <c r="C489" s="1"/>
      <c r="D489" s="1"/>
      <c r="E489" s="19"/>
      <c r="F489" s="3"/>
      <c r="G489" s="3"/>
      <c r="H489" s="3"/>
      <c r="I489" s="3"/>
      <c r="J489" s="3"/>
      <c r="K489" s="3"/>
      <c r="L489" s="3"/>
      <c r="M489" s="3"/>
      <c r="N489" s="3"/>
      <c r="O489" s="3"/>
      <c r="P489" s="3"/>
      <c r="Q489" s="3"/>
      <c r="R489" s="3"/>
      <c r="S489" s="3"/>
      <c r="T489" s="3"/>
      <c r="U489" s="3"/>
      <c r="V489" s="3"/>
      <c r="W489" s="3"/>
      <c r="X489" s="3"/>
      <c r="Y489" s="3"/>
      <c r="Z489" s="3"/>
    </row>
    <row r="490" spans="1:26" ht="14.25" customHeight="1">
      <c r="A490" s="1"/>
      <c r="B490" s="1"/>
      <c r="C490" s="1"/>
      <c r="D490" s="1"/>
      <c r="E490" s="19"/>
      <c r="F490" s="3"/>
      <c r="G490" s="3"/>
      <c r="H490" s="3"/>
      <c r="I490" s="3"/>
      <c r="J490" s="3"/>
      <c r="K490" s="3"/>
      <c r="L490" s="3"/>
      <c r="M490" s="3"/>
      <c r="N490" s="3"/>
      <c r="O490" s="3"/>
      <c r="P490" s="3"/>
      <c r="Q490" s="3"/>
      <c r="R490" s="3"/>
      <c r="S490" s="3"/>
      <c r="T490" s="3"/>
      <c r="U490" s="3"/>
      <c r="V490" s="3"/>
      <c r="W490" s="3"/>
      <c r="X490" s="3"/>
      <c r="Y490" s="3"/>
      <c r="Z490" s="3"/>
    </row>
    <row r="491" spans="1:26" ht="14.25" customHeight="1">
      <c r="A491" s="1"/>
      <c r="B491" s="1"/>
      <c r="C491" s="1"/>
      <c r="D491" s="1"/>
      <c r="E491" s="19"/>
      <c r="F491" s="3"/>
      <c r="G491" s="3"/>
      <c r="H491" s="3"/>
      <c r="I491" s="3"/>
      <c r="J491" s="3"/>
      <c r="K491" s="3"/>
      <c r="L491" s="3"/>
      <c r="M491" s="3"/>
      <c r="N491" s="3"/>
      <c r="O491" s="3"/>
      <c r="P491" s="3"/>
      <c r="Q491" s="3"/>
      <c r="R491" s="3"/>
      <c r="S491" s="3"/>
      <c r="T491" s="3"/>
      <c r="U491" s="3"/>
      <c r="V491" s="3"/>
      <c r="W491" s="3"/>
      <c r="X491" s="3"/>
      <c r="Y491" s="3"/>
      <c r="Z491" s="3"/>
    </row>
    <row r="492" spans="1:26" ht="14.25" customHeight="1">
      <c r="A492" s="1"/>
      <c r="B492" s="1"/>
      <c r="C492" s="1"/>
      <c r="D492" s="1"/>
      <c r="E492" s="19"/>
      <c r="F492" s="3"/>
      <c r="G492" s="3"/>
      <c r="H492" s="3"/>
      <c r="I492" s="3"/>
      <c r="J492" s="3"/>
      <c r="K492" s="3"/>
      <c r="L492" s="3"/>
      <c r="M492" s="3"/>
      <c r="N492" s="3"/>
      <c r="O492" s="3"/>
      <c r="P492" s="3"/>
      <c r="Q492" s="3"/>
      <c r="R492" s="3"/>
      <c r="S492" s="3"/>
      <c r="T492" s="3"/>
      <c r="U492" s="3"/>
      <c r="V492" s="3"/>
      <c r="W492" s="3"/>
      <c r="X492" s="3"/>
      <c r="Y492" s="3"/>
      <c r="Z492" s="3"/>
    </row>
    <row r="493" spans="1:26" ht="14.25" customHeight="1">
      <c r="A493" s="1"/>
      <c r="B493" s="1"/>
      <c r="C493" s="1"/>
      <c r="D493" s="1"/>
      <c r="E493" s="19"/>
      <c r="F493" s="3"/>
      <c r="G493" s="3"/>
      <c r="H493" s="3"/>
      <c r="I493" s="3"/>
      <c r="J493" s="3"/>
      <c r="K493" s="3"/>
      <c r="L493" s="3"/>
      <c r="M493" s="3"/>
      <c r="N493" s="3"/>
      <c r="O493" s="3"/>
      <c r="P493" s="3"/>
      <c r="Q493" s="3"/>
      <c r="R493" s="3"/>
      <c r="S493" s="3"/>
      <c r="T493" s="3"/>
      <c r="U493" s="3"/>
      <c r="V493" s="3"/>
      <c r="W493" s="3"/>
      <c r="X493" s="3"/>
      <c r="Y493" s="3"/>
      <c r="Z493" s="3"/>
    </row>
    <row r="494" spans="1:26" ht="14.25" customHeight="1">
      <c r="A494" s="1"/>
      <c r="B494" s="1"/>
      <c r="C494" s="1"/>
      <c r="D494" s="1"/>
      <c r="E494" s="19"/>
      <c r="F494" s="3"/>
      <c r="G494" s="3"/>
      <c r="H494" s="3"/>
      <c r="I494" s="3"/>
      <c r="J494" s="3"/>
      <c r="K494" s="3"/>
      <c r="L494" s="3"/>
      <c r="M494" s="3"/>
      <c r="N494" s="3"/>
      <c r="O494" s="3"/>
      <c r="P494" s="3"/>
      <c r="Q494" s="3"/>
      <c r="R494" s="3"/>
      <c r="S494" s="3"/>
      <c r="T494" s="3"/>
      <c r="U494" s="3"/>
      <c r="V494" s="3"/>
      <c r="W494" s="3"/>
      <c r="X494" s="3"/>
      <c r="Y494" s="3"/>
      <c r="Z494" s="3"/>
    </row>
    <row r="495" spans="1:26" ht="14.25" customHeight="1">
      <c r="A495" s="1"/>
      <c r="B495" s="1"/>
      <c r="C495" s="1"/>
      <c r="D495" s="1"/>
      <c r="E495" s="19"/>
      <c r="F495" s="3"/>
      <c r="G495" s="3"/>
      <c r="H495" s="3"/>
      <c r="I495" s="3"/>
      <c r="J495" s="3"/>
      <c r="K495" s="3"/>
      <c r="L495" s="3"/>
      <c r="M495" s="3"/>
      <c r="N495" s="3"/>
      <c r="O495" s="3"/>
      <c r="P495" s="3"/>
      <c r="Q495" s="3"/>
      <c r="R495" s="3"/>
      <c r="S495" s="3"/>
      <c r="T495" s="3"/>
      <c r="U495" s="3"/>
      <c r="V495" s="3"/>
      <c r="W495" s="3"/>
      <c r="X495" s="3"/>
      <c r="Y495" s="3"/>
      <c r="Z495" s="3"/>
    </row>
    <row r="496" spans="1:26" ht="14.25" customHeight="1">
      <c r="A496" s="1"/>
      <c r="B496" s="1"/>
      <c r="C496" s="1"/>
      <c r="D496" s="1"/>
      <c r="E496" s="19"/>
      <c r="F496" s="3"/>
      <c r="G496" s="3"/>
      <c r="H496" s="3"/>
      <c r="I496" s="3"/>
      <c r="J496" s="3"/>
      <c r="K496" s="3"/>
      <c r="L496" s="3"/>
      <c r="M496" s="3"/>
      <c r="N496" s="3"/>
      <c r="O496" s="3"/>
      <c r="P496" s="3"/>
      <c r="Q496" s="3"/>
      <c r="R496" s="3"/>
      <c r="S496" s="3"/>
      <c r="T496" s="3"/>
      <c r="U496" s="3"/>
      <c r="V496" s="3"/>
      <c r="W496" s="3"/>
      <c r="X496" s="3"/>
      <c r="Y496" s="3"/>
      <c r="Z496" s="3"/>
    </row>
    <row r="497" spans="1:26" ht="14.25" customHeight="1">
      <c r="A497" s="1"/>
      <c r="B497" s="1"/>
      <c r="C497" s="1"/>
      <c r="D497" s="1"/>
      <c r="E497" s="19"/>
      <c r="F497" s="3"/>
      <c r="G497" s="3"/>
      <c r="H497" s="3"/>
      <c r="I497" s="3"/>
      <c r="J497" s="3"/>
      <c r="K497" s="3"/>
      <c r="L497" s="3"/>
      <c r="M497" s="3"/>
      <c r="N497" s="3"/>
      <c r="O497" s="3"/>
      <c r="P497" s="3"/>
      <c r="Q497" s="3"/>
      <c r="R497" s="3"/>
      <c r="S497" s="3"/>
      <c r="T497" s="3"/>
      <c r="U497" s="3"/>
      <c r="V497" s="3"/>
      <c r="W497" s="3"/>
      <c r="X497" s="3"/>
      <c r="Y497" s="3"/>
      <c r="Z497" s="3"/>
    </row>
    <row r="498" spans="1:26" ht="14.25" customHeight="1">
      <c r="A498" s="1"/>
      <c r="B498" s="1"/>
      <c r="C498" s="1"/>
      <c r="D498" s="1"/>
      <c r="E498" s="19"/>
      <c r="F498" s="3"/>
      <c r="G498" s="3"/>
      <c r="H498" s="3"/>
      <c r="I498" s="3"/>
      <c r="J498" s="3"/>
      <c r="K498" s="3"/>
      <c r="L498" s="3"/>
      <c r="M498" s="3"/>
      <c r="N498" s="3"/>
      <c r="O498" s="3"/>
      <c r="P498" s="3"/>
      <c r="Q498" s="3"/>
      <c r="R498" s="3"/>
      <c r="S498" s="3"/>
      <c r="T498" s="3"/>
      <c r="U498" s="3"/>
      <c r="V498" s="3"/>
      <c r="W498" s="3"/>
      <c r="X498" s="3"/>
      <c r="Y498" s="3"/>
      <c r="Z498" s="3"/>
    </row>
    <row r="499" spans="1:26" ht="14.25" customHeight="1">
      <c r="A499" s="1"/>
      <c r="B499" s="1"/>
      <c r="C499" s="1"/>
      <c r="D499" s="1"/>
      <c r="E499" s="19"/>
      <c r="F499" s="3"/>
      <c r="G499" s="3"/>
      <c r="H499" s="3"/>
      <c r="I499" s="3"/>
      <c r="J499" s="3"/>
      <c r="K499" s="3"/>
      <c r="L499" s="3"/>
      <c r="M499" s="3"/>
      <c r="N499" s="3"/>
      <c r="O499" s="3"/>
      <c r="P499" s="3"/>
      <c r="Q499" s="3"/>
      <c r="R499" s="3"/>
      <c r="S499" s="3"/>
      <c r="T499" s="3"/>
      <c r="U499" s="3"/>
      <c r="V499" s="3"/>
      <c r="W499" s="3"/>
      <c r="X499" s="3"/>
      <c r="Y499" s="3"/>
      <c r="Z499" s="3"/>
    </row>
    <row r="500" spans="1:26" ht="14.25" customHeight="1">
      <c r="A500" s="1"/>
      <c r="B500" s="1"/>
      <c r="C500" s="1"/>
      <c r="D500" s="1"/>
      <c r="E500" s="19"/>
      <c r="F500" s="3"/>
      <c r="G500" s="3"/>
      <c r="H500" s="3"/>
      <c r="I500" s="3"/>
      <c r="J500" s="3"/>
      <c r="K500" s="3"/>
      <c r="L500" s="3"/>
      <c r="M500" s="3"/>
      <c r="N500" s="3"/>
      <c r="O500" s="3"/>
      <c r="P500" s="3"/>
      <c r="Q500" s="3"/>
      <c r="R500" s="3"/>
      <c r="S500" s="3"/>
      <c r="T500" s="3"/>
      <c r="U500" s="3"/>
      <c r="V500" s="3"/>
      <c r="W500" s="3"/>
      <c r="X500" s="3"/>
      <c r="Y500" s="3"/>
      <c r="Z500" s="3"/>
    </row>
    <row r="501" spans="1:26" ht="14.25" customHeight="1">
      <c r="A501" s="1"/>
      <c r="B501" s="1"/>
      <c r="C501" s="1"/>
      <c r="D501" s="1"/>
      <c r="E501" s="19"/>
      <c r="F501" s="3"/>
      <c r="G501" s="3"/>
      <c r="H501" s="3"/>
      <c r="I501" s="3"/>
      <c r="J501" s="3"/>
      <c r="K501" s="3"/>
      <c r="L501" s="3"/>
      <c r="M501" s="3"/>
      <c r="N501" s="3"/>
      <c r="O501" s="3"/>
      <c r="P501" s="3"/>
      <c r="Q501" s="3"/>
      <c r="R501" s="3"/>
      <c r="S501" s="3"/>
      <c r="T501" s="3"/>
      <c r="U501" s="3"/>
      <c r="V501" s="3"/>
      <c r="W501" s="3"/>
      <c r="X501" s="3"/>
      <c r="Y501" s="3"/>
      <c r="Z501" s="3"/>
    </row>
    <row r="502" spans="1:26" ht="14.25" customHeight="1">
      <c r="A502" s="1"/>
      <c r="B502" s="1"/>
      <c r="C502" s="1"/>
      <c r="D502" s="1"/>
      <c r="E502" s="19"/>
      <c r="F502" s="3"/>
      <c r="G502" s="3"/>
      <c r="H502" s="3"/>
      <c r="I502" s="3"/>
      <c r="J502" s="3"/>
      <c r="K502" s="3"/>
      <c r="L502" s="3"/>
      <c r="M502" s="3"/>
      <c r="N502" s="3"/>
      <c r="O502" s="3"/>
      <c r="P502" s="3"/>
      <c r="Q502" s="3"/>
      <c r="R502" s="3"/>
      <c r="S502" s="3"/>
      <c r="T502" s="3"/>
      <c r="U502" s="3"/>
      <c r="V502" s="3"/>
      <c r="W502" s="3"/>
      <c r="X502" s="3"/>
      <c r="Y502" s="3"/>
      <c r="Z502" s="3"/>
    </row>
    <row r="503" spans="1:26" ht="14.25" customHeight="1">
      <c r="A503" s="1"/>
      <c r="B503" s="1"/>
      <c r="C503" s="1"/>
      <c r="D503" s="1"/>
      <c r="E503" s="19"/>
      <c r="F503" s="3"/>
      <c r="G503" s="3"/>
      <c r="H503" s="3"/>
      <c r="I503" s="3"/>
      <c r="J503" s="3"/>
      <c r="K503" s="3"/>
      <c r="L503" s="3"/>
      <c r="M503" s="3"/>
      <c r="N503" s="3"/>
      <c r="O503" s="3"/>
      <c r="P503" s="3"/>
      <c r="Q503" s="3"/>
      <c r="R503" s="3"/>
      <c r="S503" s="3"/>
      <c r="T503" s="3"/>
      <c r="U503" s="3"/>
      <c r="V503" s="3"/>
      <c r="W503" s="3"/>
      <c r="X503" s="3"/>
      <c r="Y503" s="3"/>
      <c r="Z503" s="3"/>
    </row>
    <row r="504" spans="1:26" ht="14.25" customHeight="1">
      <c r="A504" s="1"/>
      <c r="B504" s="1"/>
      <c r="C504" s="1"/>
      <c r="D504" s="1"/>
      <c r="E504" s="19"/>
      <c r="F504" s="3"/>
      <c r="G504" s="3"/>
      <c r="H504" s="3"/>
      <c r="I504" s="3"/>
      <c r="J504" s="3"/>
      <c r="K504" s="3"/>
      <c r="L504" s="3"/>
      <c r="M504" s="3"/>
      <c r="N504" s="3"/>
      <c r="O504" s="3"/>
      <c r="P504" s="3"/>
      <c r="Q504" s="3"/>
      <c r="R504" s="3"/>
      <c r="S504" s="3"/>
      <c r="T504" s="3"/>
      <c r="U504" s="3"/>
      <c r="V504" s="3"/>
      <c r="W504" s="3"/>
      <c r="X504" s="3"/>
      <c r="Y504" s="3"/>
      <c r="Z504" s="3"/>
    </row>
    <row r="505" spans="1:26" ht="14.25" customHeight="1">
      <c r="A505" s="1"/>
      <c r="B505" s="1"/>
      <c r="C505" s="1"/>
      <c r="D505" s="1"/>
      <c r="E505" s="19"/>
      <c r="F505" s="3"/>
      <c r="G505" s="3"/>
      <c r="H505" s="3"/>
      <c r="I505" s="3"/>
      <c r="J505" s="3"/>
      <c r="K505" s="3"/>
      <c r="L505" s="3"/>
      <c r="M505" s="3"/>
      <c r="N505" s="3"/>
      <c r="O505" s="3"/>
      <c r="P505" s="3"/>
      <c r="Q505" s="3"/>
      <c r="R505" s="3"/>
      <c r="S505" s="3"/>
      <c r="T505" s="3"/>
      <c r="U505" s="3"/>
      <c r="V505" s="3"/>
      <c r="W505" s="3"/>
      <c r="X505" s="3"/>
      <c r="Y505" s="3"/>
      <c r="Z505" s="3"/>
    </row>
    <row r="506" spans="1:26" ht="14.25" customHeight="1">
      <c r="A506" s="1"/>
      <c r="B506" s="1"/>
      <c r="C506" s="1"/>
      <c r="D506" s="1"/>
      <c r="E506" s="19"/>
      <c r="F506" s="3"/>
      <c r="G506" s="3"/>
      <c r="H506" s="3"/>
      <c r="I506" s="3"/>
      <c r="J506" s="3"/>
      <c r="K506" s="3"/>
      <c r="L506" s="3"/>
      <c r="M506" s="3"/>
      <c r="N506" s="3"/>
      <c r="O506" s="3"/>
      <c r="P506" s="3"/>
      <c r="Q506" s="3"/>
      <c r="R506" s="3"/>
      <c r="S506" s="3"/>
      <c r="T506" s="3"/>
      <c r="U506" s="3"/>
      <c r="V506" s="3"/>
      <c r="W506" s="3"/>
      <c r="X506" s="3"/>
      <c r="Y506" s="3"/>
      <c r="Z506" s="3"/>
    </row>
    <row r="507" spans="1:26" ht="14.25" customHeight="1">
      <c r="A507" s="1"/>
      <c r="B507" s="1"/>
      <c r="C507" s="1"/>
      <c r="D507" s="1"/>
      <c r="E507" s="19"/>
      <c r="F507" s="3"/>
      <c r="G507" s="3"/>
      <c r="H507" s="3"/>
      <c r="I507" s="3"/>
      <c r="J507" s="3"/>
      <c r="K507" s="3"/>
      <c r="L507" s="3"/>
      <c r="M507" s="3"/>
      <c r="N507" s="3"/>
      <c r="O507" s="3"/>
      <c r="P507" s="3"/>
      <c r="Q507" s="3"/>
      <c r="R507" s="3"/>
      <c r="S507" s="3"/>
      <c r="T507" s="3"/>
      <c r="U507" s="3"/>
      <c r="V507" s="3"/>
      <c r="W507" s="3"/>
      <c r="X507" s="3"/>
      <c r="Y507" s="3"/>
      <c r="Z507" s="3"/>
    </row>
    <row r="508" spans="1:26" ht="14.25" customHeight="1">
      <c r="A508" s="1"/>
      <c r="B508" s="1"/>
      <c r="C508" s="1"/>
      <c r="D508" s="1"/>
      <c r="E508" s="19"/>
      <c r="F508" s="3"/>
      <c r="G508" s="3"/>
      <c r="H508" s="3"/>
      <c r="I508" s="3"/>
      <c r="J508" s="3"/>
      <c r="K508" s="3"/>
      <c r="L508" s="3"/>
      <c r="M508" s="3"/>
      <c r="N508" s="3"/>
      <c r="O508" s="3"/>
      <c r="P508" s="3"/>
      <c r="Q508" s="3"/>
      <c r="R508" s="3"/>
      <c r="S508" s="3"/>
      <c r="T508" s="3"/>
      <c r="U508" s="3"/>
      <c r="V508" s="3"/>
      <c r="W508" s="3"/>
      <c r="X508" s="3"/>
      <c r="Y508" s="3"/>
      <c r="Z508" s="3"/>
    </row>
    <row r="509" spans="1:26" ht="14.25" customHeight="1">
      <c r="A509" s="1"/>
      <c r="B509" s="1"/>
      <c r="C509" s="1"/>
      <c r="D509" s="1"/>
      <c r="E509" s="19"/>
      <c r="F509" s="3"/>
      <c r="G509" s="3"/>
      <c r="H509" s="3"/>
      <c r="I509" s="3"/>
      <c r="J509" s="3"/>
      <c r="K509" s="3"/>
      <c r="L509" s="3"/>
      <c r="M509" s="3"/>
      <c r="N509" s="3"/>
      <c r="O509" s="3"/>
      <c r="P509" s="3"/>
      <c r="Q509" s="3"/>
      <c r="R509" s="3"/>
      <c r="S509" s="3"/>
      <c r="T509" s="3"/>
      <c r="U509" s="3"/>
      <c r="V509" s="3"/>
      <c r="W509" s="3"/>
      <c r="X509" s="3"/>
      <c r="Y509" s="3"/>
      <c r="Z509" s="3"/>
    </row>
    <row r="510" spans="1:26" ht="14.25" customHeight="1">
      <c r="A510" s="1"/>
      <c r="B510" s="1"/>
      <c r="C510" s="1"/>
      <c r="D510" s="1"/>
      <c r="E510" s="19"/>
      <c r="F510" s="3"/>
      <c r="G510" s="3"/>
      <c r="H510" s="3"/>
      <c r="I510" s="3"/>
      <c r="J510" s="3"/>
      <c r="K510" s="3"/>
      <c r="L510" s="3"/>
      <c r="M510" s="3"/>
      <c r="N510" s="3"/>
      <c r="O510" s="3"/>
      <c r="P510" s="3"/>
      <c r="Q510" s="3"/>
      <c r="R510" s="3"/>
      <c r="S510" s="3"/>
      <c r="T510" s="3"/>
      <c r="U510" s="3"/>
      <c r="V510" s="3"/>
      <c r="W510" s="3"/>
      <c r="X510" s="3"/>
      <c r="Y510" s="3"/>
      <c r="Z510" s="3"/>
    </row>
    <row r="511" spans="1:26" ht="14.25" customHeight="1">
      <c r="A511" s="1"/>
      <c r="B511" s="1"/>
      <c r="C511" s="1"/>
      <c r="D511" s="1"/>
      <c r="E511" s="19"/>
      <c r="F511" s="3"/>
      <c r="G511" s="3"/>
      <c r="H511" s="3"/>
      <c r="I511" s="3"/>
      <c r="J511" s="3"/>
      <c r="K511" s="3"/>
      <c r="L511" s="3"/>
      <c r="M511" s="3"/>
      <c r="N511" s="3"/>
      <c r="O511" s="3"/>
      <c r="P511" s="3"/>
      <c r="Q511" s="3"/>
      <c r="R511" s="3"/>
      <c r="S511" s="3"/>
      <c r="T511" s="3"/>
      <c r="U511" s="3"/>
      <c r="V511" s="3"/>
      <c r="W511" s="3"/>
      <c r="X511" s="3"/>
      <c r="Y511" s="3"/>
      <c r="Z511" s="3"/>
    </row>
    <row r="512" spans="1:26" ht="14.25" customHeight="1">
      <c r="A512" s="1"/>
      <c r="B512" s="1"/>
      <c r="C512" s="1"/>
      <c r="D512" s="1"/>
      <c r="E512" s="19"/>
      <c r="F512" s="3"/>
      <c r="G512" s="3"/>
      <c r="H512" s="3"/>
      <c r="I512" s="3"/>
      <c r="J512" s="3"/>
      <c r="K512" s="3"/>
      <c r="L512" s="3"/>
      <c r="M512" s="3"/>
      <c r="N512" s="3"/>
      <c r="O512" s="3"/>
      <c r="P512" s="3"/>
      <c r="Q512" s="3"/>
      <c r="R512" s="3"/>
      <c r="S512" s="3"/>
      <c r="T512" s="3"/>
      <c r="U512" s="3"/>
      <c r="V512" s="3"/>
      <c r="W512" s="3"/>
      <c r="X512" s="3"/>
      <c r="Y512" s="3"/>
      <c r="Z512" s="3"/>
    </row>
    <row r="513" spans="1:26" ht="14.25" customHeight="1">
      <c r="A513" s="1"/>
      <c r="B513" s="1"/>
      <c r="C513" s="1"/>
      <c r="D513" s="1"/>
      <c r="E513" s="19"/>
      <c r="F513" s="3"/>
      <c r="G513" s="3"/>
      <c r="H513" s="3"/>
      <c r="I513" s="3"/>
      <c r="J513" s="3"/>
      <c r="K513" s="3"/>
      <c r="L513" s="3"/>
      <c r="M513" s="3"/>
      <c r="N513" s="3"/>
      <c r="O513" s="3"/>
      <c r="P513" s="3"/>
      <c r="Q513" s="3"/>
      <c r="R513" s="3"/>
      <c r="S513" s="3"/>
      <c r="T513" s="3"/>
      <c r="U513" s="3"/>
      <c r="V513" s="3"/>
      <c r="W513" s="3"/>
      <c r="X513" s="3"/>
      <c r="Y513" s="3"/>
      <c r="Z513" s="3"/>
    </row>
    <row r="514" spans="1:26" ht="14.25" customHeight="1">
      <c r="A514" s="1"/>
      <c r="B514" s="1"/>
      <c r="C514" s="1"/>
      <c r="D514" s="1"/>
      <c r="E514" s="19"/>
      <c r="F514" s="3"/>
      <c r="G514" s="3"/>
      <c r="H514" s="3"/>
      <c r="I514" s="3"/>
      <c r="J514" s="3"/>
      <c r="K514" s="3"/>
      <c r="L514" s="3"/>
      <c r="M514" s="3"/>
      <c r="N514" s="3"/>
      <c r="O514" s="3"/>
      <c r="P514" s="3"/>
      <c r="Q514" s="3"/>
      <c r="R514" s="3"/>
      <c r="S514" s="3"/>
      <c r="T514" s="3"/>
      <c r="U514" s="3"/>
      <c r="V514" s="3"/>
      <c r="W514" s="3"/>
      <c r="X514" s="3"/>
      <c r="Y514" s="3"/>
      <c r="Z514" s="3"/>
    </row>
    <row r="515" spans="1:26" ht="14.25" customHeight="1">
      <c r="A515" s="1"/>
      <c r="B515" s="1"/>
      <c r="C515" s="1"/>
      <c r="D515" s="1"/>
      <c r="E515" s="19"/>
      <c r="F515" s="3"/>
      <c r="G515" s="3"/>
      <c r="H515" s="3"/>
      <c r="I515" s="3"/>
      <c r="J515" s="3"/>
      <c r="K515" s="3"/>
      <c r="L515" s="3"/>
      <c r="M515" s="3"/>
      <c r="N515" s="3"/>
      <c r="O515" s="3"/>
      <c r="P515" s="3"/>
      <c r="Q515" s="3"/>
      <c r="R515" s="3"/>
      <c r="S515" s="3"/>
      <c r="T515" s="3"/>
      <c r="U515" s="3"/>
      <c r="V515" s="3"/>
      <c r="W515" s="3"/>
      <c r="X515" s="3"/>
      <c r="Y515" s="3"/>
      <c r="Z515" s="3"/>
    </row>
    <row r="516" spans="1:26" ht="14.25" customHeight="1">
      <c r="A516" s="1"/>
      <c r="B516" s="1"/>
      <c r="C516" s="1"/>
      <c r="D516" s="1"/>
      <c r="E516" s="19"/>
      <c r="F516" s="3"/>
      <c r="G516" s="3"/>
      <c r="H516" s="3"/>
      <c r="I516" s="3"/>
      <c r="J516" s="3"/>
      <c r="K516" s="3"/>
      <c r="L516" s="3"/>
      <c r="M516" s="3"/>
      <c r="N516" s="3"/>
      <c r="O516" s="3"/>
      <c r="P516" s="3"/>
      <c r="Q516" s="3"/>
      <c r="R516" s="3"/>
      <c r="S516" s="3"/>
      <c r="T516" s="3"/>
      <c r="U516" s="3"/>
      <c r="V516" s="3"/>
      <c r="W516" s="3"/>
      <c r="X516" s="3"/>
      <c r="Y516" s="3"/>
      <c r="Z516" s="3"/>
    </row>
    <row r="517" spans="1:26" ht="14.25" customHeight="1">
      <c r="A517" s="1"/>
      <c r="B517" s="1"/>
      <c r="C517" s="1"/>
      <c r="D517" s="1"/>
      <c r="E517" s="19"/>
      <c r="F517" s="3"/>
      <c r="G517" s="3"/>
      <c r="H517" s="3"/>
      <c r="I517" s="3"/>
      <c r="J517" s="3"/>
      <c r="K517" s="3"/>
      <c r="L517" s="3"/>
      <c r="M517" s="3"/>
      <c r="N517" s="3"/>
      <c r="O517" s="3"/>
      <c r="P517" s="3"/>
      <c r="Q517" s="3"/>
      <c r="R517" s="3"/>
      <c r="S517" s="3"/>
      <c r="T517" s="3"/>
      <c r="U517" s="3"/>
      <c r="V517" s="3"/>
      <c r="W517" s="3"/>
      <c r="X517" s="3"/>
      <c r="Y517" s="3"/>
      <c r="Z517" s="3"/>
    </row>
    <row r="518" spans="1:26" ht="14.25" customHeight="1">
      <c r="A518" s="1"/>
      <c r="B518" s="1"/>
      <c r="C518" s="1"/>
      <c r="D518" s="1"/>
      <c r="E518" s="19"/>
      <c r="F518" s="3"/>
      <c r="G518" s="3"/>
      <c r="H518" s="3"/>
      <c r="I518" s="3"/>
      <c r="J518" s="3"/>
      <c r="K518" s="3"/>
      <c r="L518" s="3"/>
      <c r="M518" s="3"/>
      <c r="N518" s="3"/>
      <c r="O518" s="3"/>
      <c r="P518" s="3"/>
      <c r="Q518" s="3"/>
      <c r="R518" s="3"/>
      <c r="S518" s="3"/>
      <c r="T518" s="3"/>
      <c r="U518" s="3"/>
      <c r="V518" s="3"/>
      <c r="W518" s="3"/>
      <c r="X518" s="3"/>
      <c r="Y518" s="3"/>
      <c r="Z518" s="3"/>
    </row>
    <row r="519" spans="1:26" ht="14.25" customHeight="1">
      <c r="A519" s="1"/>
      <c r="B519" s="1"/>
      <c r="C519" s="1"/>
      <c r="D519" s="1"/>
      <c r="E519" s="19"/>
      <c r="F519" s="3"/>
      <c r="G519" s="3"/>
      <c r="H519" s="3"/>
      <c r="I519" s="3"/>
      <c r="J519" s="3"/>
      <c r="K519" s="3"/>
      <c r="L519" s="3"/>
      <c r="M519" s="3"/>
      <c r="N519" s="3"/>
      <c r="O519" s="3"/>
      <c r="P519" s="3"/>
      <c r="Q519" s="3"/>
      <c r="R519" s="3"/>
      <c r="S519" s="3"/>
      <c r="T519" s="3"/>
      <c r="U519" s="3"/>
      <c r="V519" s="3"/>
      <c r="W519" s="3"/>
      <c r="X519" s="3"/>
      <c r="Y519" s="3"/>
      <c r="Z519" s="3"/>
    </row>
    <row r="520" spans="1:26" ht="14.25" customHeight="1">
      <c r="A520" s="1"/>
      <c r="B520" s="1"/>
      <c r="C520" s="1"/>
      <c r="D520" s="1"/>
      <c r="E520" s="19"/>
      <c r="F520" s="3"/>
      <c r="G520" s="3"/>
      <c r="H520" s="3"/>
      <c r="I520" s="3"/>
      <c r="J520" s="3"/>
      <c r="K520" s="3"/>
      <c r="L520" s="3"/>
      <c r="M520" s="3"/>
      <c r="N520" s="3"/>
      <c r="O520" s="3"/>
      <c r="P520" s="3"/>
      <c r="Q520" s="3"/>
      <c r="R520" s="3"/>
      <c r="S520" s="3"/>
      <c r="T520" s="3"/>
      <c r="U520" s="3"/>
      <c r="V520" s="3"/>
      <c r="W520" s="3"/>
      <c r="X520" s="3"/>
      <c r="Y520" s="3"/>
      <c r="Z520" s="3"/>
    </row>
    <row r="521" spans="1:26" ht="14.25" customHeight="1">
      <c r="A521" s="1"/>
      <c r="B521" s="1"/>
      <c r="C521" s="1"/>
      <c r="D521" s="1"/>
      <c r="E521" s="19"/>
      <c r="F521" s="3"/>
      <c r="G521" s="3"/>
      <c r="H521" s="3"/>
      <c r="I521" s="3"/>
      <c r="J521" s="3"/>
      <c r="K521" s="3"/>
      <c r="L521" s="3"/>
      <c r="M521" s="3"/>
      <c r="N521" s="3"/>
      <c r="O521" s="3"/>
      <c r="P521" s="3"/>
      <c r="Q521" s="3"/>
      <c r="R521" s="3"/>
      <c r="S521" s="3"/>
      <c r="T521" s="3"/>
      <c r="U521" s="3"/>
      <c r="V521" s="3"/>
      <c r="W521" s="3"/>
      <c r="X521" s="3"/>
      <c r="Y521" s="3"/>
      <c r="Z521" s="3"/>
    </row>
    <row r="522" spans="1:26" ht="14.25" customHeight="1">
      <c r="A522" s="1"/>
      <c r="B522" s="1"/>
      <c r="C522" s="1"/>
      <c r="D522" s="1"/>
      <c r="E522" s="19"/>
      <c r="F522" s="3"/>
      <c r="G522" s="3"/>
      <c r="H522" s="3"/>
      <c r="I522" s="3"/>
      <c r="J522" s="3"/>
      <c r="K522" s="3"/>
      <c r="L522" s="3"/>
      <c r="M522" s="3"/>
      <c r="N522" s="3"/>
      <c r="O522" s="3"/>
      <c r="P522" s="3"/>
      <c r="Q522" s="3"/>
      <c r="R522" s="3"/>
      <c r="S522" s="3"/>
      <c r="T522" s="3"/>
      <c r="U522" s="3"/>
      <c r="V522" s="3"/>
      <c r="W522" s="3"/>
      <c r="X522" s="3"/>
      <c r="Y522" s="3"/>
      <c r="Z522" s="3"/>
    </row>
    <row r="523" spans="1:26" ht="14.25" customHeight="1">
      <c r="A523" s="1"/>
      <c r="B523" s="1"/>
      <c r="C523" s="1"/>
      <c r="D523" s="1"/>
      <c r="E523" s="19"/>
      <c r="F523" s="3"/>
      <c r="G523" s="3"/>
      <c r="H523" s="3"/>
      <c r="I523" s="3"/>
      <c r="J523" s="3"/>
      <c r="K523" s="3"/>
      <c r="L523" s="3"/>
      <c r="M523" s="3"/>
      <c r="N523" s="3"/>
      <c r="O523" s="3"/>
      <c r="P523" s="3"/>
      <c r="Q523" s="3"/>
      <c r="R523" s="3"/>
      <c r="S523" s="3"/>
      <c r="T523" s="3"/>
      <c r="U523" s="3"/>
      <c r="V523" s="3"/>
      <c r="W523" s="3"/>
      <c r="X523" s="3"/>
      <c r="Y523" s="3"/>
      <c r="Z523" s="3"/>
    </row>
    <row r="524" spans="1:26" ht="14.25" customHeight="1">
      <c r="A524" s="1"/>
      <c r="B524" s="1"/>
      <c r="C524" s="1"/>
      <c r="D524" s="1"/>
      <c r="E524" s="19"/>
      <c r="F524" s="3"/>
      <c r="G524" s="3"/>
      <c r="H524" s="3"/>
      <c r="I524" s="3"/>
      <c r="J524" s="3"/>
      <c r="K524" s="3"/>
      <c r="L524" s="3"/>
      <c r="M524" s="3"/>
      <c r="N524" s="3"/>
      <c r="O524" s="3"/>
      <c r="P524" s="3"/>
      <c r="Q524" s="3"/>
      <c r="R524" s="3"/>
      <c r="S524" s="3"/>
      <c r="T524" s="3"/>
      <c r="U524" s="3"/>
      <c r="V524" s="3"/>
      <c r="W524" s="3"/>
      <c r="X524" s="3"/>
      <c r="Y524" s="3"/>
      <c r="Z524" s="3"/>
    </row>
    <row r="525" spans="1:26" ht="14.25" customHeight="1">
      <c r="A525" s="1"/>
      <c r="B525" s="1"/>
      <c r="C525" s="1"/>
      <c r="D525" s="1"/>
      <c r="E525" s="19"/>
      <c r="F525" s="3"/>
      <c r="G525" s="3"/>
      <c r="H525" s="3"/>
      <c r="I525" s="3"/>
      <c r="J525" s="3"/>
      <c r="K525" s="3"/>
      <c r="L525" s="3"/>
      <c r="M525" s="3"/>
      <c r="N525" s="3"/>
      <c r="O525" s="3"/>
      <c r="P525" s="3"/>
      <c r="Q525" s="3"/>
      <c r="R525" s="3"/>
      <c r="S525" s="3"/>
      <c r="T525" s="3"/>
      <c r="U525" s="3"/>
      <c r="V525" s="3"/>
      <c r="W525" s="3"/>
      <c r="X525" s="3"/>
      <c r="Y525" s="3"/>
      <c r="Z525" s="3"/>
    </row>
    <row r="526" spans="1:26" ht="14.25" customHeight="1">
      <c r="A526" s="1"/>
      <c r="B526" s="1"/>
      <c r="C526" s="1"/>
      <c r="D526" s="1"/>
      <c r="E526" s="19"/>
      <c r="F526" s="3"/>
      <c r="G526" s="3"/>
      <c r="H526" s="3"/>
      <c r="I526" s="3"/>
      <c r="J526" s="3"/>
      <c r="K526" s="3"/>
      <c r="L526" s="3"/>
      <c r="M526" s="3"/>
      <c r="N526" s="3"/>
      <c r="O526" s="3"/>
      <c r="P526" s="3"/>
      <c r="Q526" s="3"/>
      <c r="R526" s="3"/>
      <c r="S526" s="3"/>
      <c r="T526" s="3"/>
      <c r="U526" s="3"/>
      <c r="V526" s="3"/>
      <c r="W526" s="3"/>
      <c r="X526" s="3"/>
      <c r="Y526" s="3"/>
      <c r="Z526" s="3"/>
    </row>
    <row r="527" spans="1:26" ht="14.25" customHeight="1">
      <c r="A527" s="1"/>
      <c r="B527" s="1"/>
      <c r="C527" s="1"/>
      <c r="D527" s="1"/>
      <c r="E527" s="19"/>
      <c r="F527" s="3"/>
      <c r="G527" s="3"/>
      <c r="H527" s="3"/>
      <c r="I527" s="3"/>
      <c r="J527" s="3"/>
      <c r="K527" s="3"/>
      <c r="L527" s="3"/>
      <c r="M527" s="3"/>
      <c r="N527" s="3"/>
      <c r="O527" s="3"/>
      <c r="P527" s="3"/>
      <c r="Q527" s="3"/>
      <c r="R527" s="3"/>
      <c r="S527" s="3"/>
      <c r="T527" s="3"/>
      <c r="U527" s="3"/>
      <c r="V527" s="3"/>
      <c r="W527" s="3"/>
      <c r="X527" s="3"/>
      <c r="Y527" s="3"/>
      <c r="Z527" s="3"/>
    </row>
    <row r="528" spans="1:26" ht="14.25" customHeight="1">
      <c r="A528" s="1"/>
      <c r="B528" s="1"/>
      <c r="C528" s="1"/>
      <c r="D528" s="1"/>
      <c r="E528" s="19"/>
      <c r="F528" s="3"/>
      <c r="G528" s="3"/>
      <c r="H528" s="3"/>
      <c r="I528" s="3"/>
      <c r="J528" s="3"/>
      <c r="K528" s="3"/>
      <c r="L528" s="3"/>
      <c r="M528" s="3"/>
      <c r="N528" s="3"/>
      <c r="O528" s="3"/>
      <c r="P528" s="3"/>
      <c r="Q528" s="3"/>
      <c r="R528" s="3"/>
      <c r="S528" s="3"/>
      <c r="T528" s="3"/>
      <c r="U528" s="3"/>
      <c r="V528" s="3"/>
      <c r="W528" s="3"/>
      <c r="X528" s="3"/>
      <c r="Y528" s="3"/>
      <c r="Z528" s="3"/>
    </row>
    <row r="529" spans="1:26" ht="14.25" customHeight="1">
      <c r="A529" s="1"/>
      <c r="B529" s="1"/>
      <c r="C529" s="1"/>
      <c r="D529" s="1"/>
      <c r="E529" s="19"/>
      <c r="F529" s="3"/>
      <c r="G529" s="3"/>
      <c r="H529" s="3"/>
      <c r="I529" s="3"/>
      <c r="J529" s="3"/>
      <c r="K529" s="3"/>
      <c r="L529" s="3"/>
      <c r="M529" s="3"/>
      <c r="N529" s="3"/>
      <c r="O529" s="3"/>
      <c r="P529" s="3"/>
      <c r="Q529" s="3"/>
      <c r="R529" s="3"/>
      <c r="S529" s="3"/>
      <c r="T529" s="3"/>
      <c r="U529" s="3"/>
      <c r="V529" s="3"/>
      <c r="W529" s="3"/>
      <c r="X529" s="3"/>
      <c r="Y529" s="3"/>
      <c r="Z529" s="3"/>
    </row>
    <row r="530" spans="1:26" ht="14.25" customHeight="1">
      <c r="A530" s="1"/>
      <c r="B530" s="1"/>
      <c r="C530" s="1"/>
      <c r="D530" s="1"/>
      <c r="E530" s="19"/>
      <c r="F530" s="3"/>
      <c r="G530" s="3"/>
      <c r="H530" s="3"/>
      <c r="I530" s="3"/>
      <c r="J530" s="3"/>
      <c r="K530" s="3"/>
      <c r="L530" s="3"/>
      <c r="M530" s="3"/>
      <c r="N530" s="3"/>
      <c r="O530" s="3"/>
      <c r="P530" s="3"/>
      <c r="Q530" s="3"/>
      <c r="R530" s="3"/>
      <c r="S530" s="3"/>
      <c r="T530" s="3"/>
      <c r="U530" s="3"/>
      <c r="V530" s="3"/>
      <c r="W530" s="3"/>
      <c r="X530" s="3"/>
      <c r="Y530" s="3"/>
      <c r="Z530" s="3"/>
    </row>
    <row r="531" spans="1:26" ht="14.25" customHeight="1">
      <c r="A531" s="1"/>
      <c r="B531" s="1"/>
      <c r="C531" s="1"/>
      <c r="D531" s="1"/>
      <c r="E531" s="19"/>
      <c r="F531" s="3"/>
      <c r="G531" s="3"/>
      <c r="H531" s="3"/>
      <c r="I531" s="3"/>
      <c r="J531" s="3"/>
      <c r="K531" s="3"/>
      <c r="L531" s="3"/>
      <c r="M531" s="3"/>
      <c r="N531" s="3"/>
      <c r="O531" s="3"/>
      <c r="P531" s="3"/>
      <c r="Q531" s="3"/>
      <c r="R531" s="3"/>
      <c r="S531" s="3"/>
      <c r="T531" s="3"/>
      <c r="U531" s="3"/>
      <c r="V531" s="3"/>
      <c r="W531" s="3"/>
      <c r="X531" s="3"/>
      <c r="Y531" s="3"/>
      <c r="Z531" s="3"/>
    </row>
    <row r="532" spans="1:26" ht="14.25" customHeight="1">
      <c r="A532" s="1"/>
      <c r="B532" s="1"/>
      <c r="C532" s="1"/>
      <c r="D532" s="1"/>
      <c r="E532" s="19"/>
      <c r="F532" s="3"/>
      <c r="G532" s="3"/>
      <c r="H532" s="3"/>
      <c r="I532" s="3"/>
      <c r="J532" s="3"/>
      <c r="K532" s="3"/>
      <c r="L532" s="3"/>
      <c r="M532" s="3"/>
      <c r="N532" s="3"/>
      <c r="O532" s="3"/>
      <c r="P532" s="3"/>
      <c r="Q532" s="3"/>
      <c r="R532" s="3"/>
      <c r="S532" s="3"/>
      <c r="T532" s="3"/>
      <c r="U532" s="3"/>
      <c r="V532" s="3"/>
      <c r="W532" s="3"/>
      <c r="X532" s="3"/>
      <c r="Y532" s="3"/>
      <c r="Z532" s="3"/>
    </row>
    <row r="533" spans="1:26" ht="14.25" customHeight="1">
      <c r="A533" s="1"/>
      <c r="B533" s="1"/>
      <c r="C533" s="1"/>
      <c r="D533" s="1"/>
      <c r="E533" s="19"/>
      <c r="F533" s="3"/>
      <c r="G533" s="3"/>
      <c r="H533" s="3"/>
      <c r="I533" s="3"/>
      <c r="J533" s="3"/>
      <c r="K533" s="3"/>
      <c r="L533" s="3"/>
      <c r="M533" s="3"/>
      <c r="N533" s="3"/>
      <c r="O533" s="3"/>
      <c r="P533" s="3"/>
      <c r="Q533" s="3"/>
      <c r="R533" s="3"/>
      <c r="S533" s="3"/>
      <c r="T533" s="3"/>
      <c r="U533" s="3"/>
      <c r="V533" s="3"/>
      <c r="W533" s="3"/>
      <c r="X533" s="3"/>
      <c r="Y533" s="3"/>
      <c r="Z533" s="3"/>
    </row>
    <row r="534" spans="1:26" ht="14.25" customHeight="1">
      <c r="A534" s="1"/>
      <c r="B534" s="1"/>
      <c r="C534" s="1"/>
      <c r="D534" s="1"/>
      <c r="E534" s="19"/>
      <c r="F534" s="3"/>
      <c r="G534" s="3"/>
      <c r="H534" s="3"/>
      <c r="I534" s="3"/>
      <c r="J534" s="3"/>
      <c r="K534" s="3"/>
      <c r="L534" s="3"/>
      <c r="M534" s="3"/>
      <c r="N534" s="3"/>
      <c r="O534" s="3"/>
      <c r="P534" s="3"/>
      <c r="Q534" s="3"/>
      <c r="R534" s="3"/>
      <c r="S534" s="3"/>
      <c r="T534" s="3"/>
      <c r="U534" s="3"/>
      <c r="V534" s="3"/>
      <c r="W534" s="3"/>
      <c r="X534" s="3"/>
      <c r="Y534" s="3"/>
      <c r="Z534" s="3"/>
    </row>
    <row r="535" spans="1:26" ht="14.25" customHeight="1">
      <c r="A535" s="1"/>
      <c r="B535" s="1"/>
      <c r="C535" s="1"/>
      <c r="D535" s="1"/>
      <c r="E535" s="19"/>
      <c r="F535" s="3"/>
      <c r="G535" s="3"/>
      <c r="H535" s="3"/>
      <c r="I535" s="3"/>
      <c r="J535" s="3"/>
      <c r="K535" s="3"/>
      <c r="L535" s="3"/>
      <c r="M535" s="3"/>
      <c r="N535" s="3"/>
      <c r="O535" s="3"/>
      <c r="P535" s="3"/>
      <c r="Q535" s="3"/>
      <c r="R535" s="3"/>
      <c r="S535" s="3"/>
      <c r="T535" s="3"/>
      <c r="U535" s="3"/>
      <c r="V535" s="3"/>
      <c r="W535" s="3"/>
      <c r="X535" s="3"/>
      <c r="Y535" s="3"/>
      <c r="Z535" s="3"/>
    </row>
    <row r="536" spans="1:26" ht="14.25" customHeight="1">
      <c r="A536" s="1"/>
      <c r="B536" s="1"/>
      <c r="C536" s="1"/>
      <c r="D536" s="1"/>
      <c r="E536" s="19"/>
      <c r="F536" s="3"/>
      <c r="G536" s="3"/>
      <c r="H536" s="3"/>
      <c r="I536" s="3"/>
      <c r="J536" s="3"/>
      <c r="K536" s="3"/>
      <c r="L536" s="3"/>
      <c r="M536" s="3"/>
      <c r="N536" s="3"/>
      <c r="O536" s="3"/>
      <c r="P536" s="3"/>
      <c r="Q536" s="3"/>
      <c r="R536" s="3"/>
      <c r="S536" s="3"/>
      <c r="T536" s="3"/>
      <c r="U536" s="3"/>
      <c r="V536" s="3"/>
      <c r="W536" s="3"/>
      <c r="X536" s="3"/>
      <c r="Y536" s="3"/>
      <c r="Z536" s="3"/>
    </row>
    <row r="537" spans="1:26" ht="14.25" customHeight="1">
      <c r="A537" s="1"/>
      <c r="B537" s="1"/>
      <c r="C537" s="1"/>
      <c r="D537" s="1"/>
      <c r="E537" s="19"/>
      <c r="F537" s="3"/>
      <c r="G537" s="3"/>
      <c r="H537" s="3"/>
      <c r="I537" s="3"/>
      <c r="J537" s="3"/>
      <c r="K537" s="3"/>
      <c r="L537" s="3"/>
      <c r="M537" s="3"/>
      <c r="N537" s="3"/>
      <c r="O537" s="3"/>
      <c r="P537" s="3"/>
      <c r="Q537" s="3"/>
      <c r="R537" s="3"/>
      <c r="S537" s="3"/>
      <c r="T537" s="3"/>
      <c r="U537" s="3"/>
      <c r="V537" s="3"/>
      <c r="W537" s="3"/>
      <c r="X537" s="3"/>
      <c r="Y537" s="3"/>
      <c r="Z537" s="3"/>
    </row>
    <row r="538" spans="1:26" ht="14.25" customHeight="1">
      <c r="A538" s="1"/>
      <c r="B538" s="1"/>
      <c r="C538" s="1"/>
      <c r="D538" s="1"/>
      <c r="E538" s="19"/>
      <c r="F538" s="3"/>
      <c r="G538" s="3"/>
      <c r="H538" s="3"/>
      <c r="I538" s="3"/>
      <c r="J538" s="3"/>
      <c r="K538" s="3"/>
      <c r="L538" s="3"/>
      <c r="M538" s="3"/>
      <c r="N538" s="3"/>
      <c r="O538" s="3"/>
      <c r="P538" s="3"/>
      <c r="Q538" s="3"/>
      <c r="R538" s="3"/>
      <c r="S538" s="3"/>
      <c r="T538" s="3"/>
      <c r="U538" s="3"/>
      <c r="V538" s="3"/>
      <c r="W538" s="3"/>
      <c r="X538" s="3"/>
      <c r="Y538" s="3"/>
      <c r="Z538" s="3"/>
    </row>
    <row r="539" spans="1:26" ht="14.25" customHeight="1">
      <c r="A539" s="1"/>
      <c r="B539" s="1"/>
      <c r="C539" s="1"/>
      <c r="D539" s="1"/>
      <c r="E539" s="19"/>
      <c r="F539" s="3"/>
      <c r="G539" s="3"/>
      <c r="H539" s="3"/>
      <c r="I539" s="3"/>
      <c r="J539" s="3"/>
      <c r="K539" s="3"/>
      <c r="L539" s="3"/>
      <c r="M539" s="3"/>
      <c r="N539" s="3"/>
      <c r="O539" s="3"/>
      <c r="P539" s="3"/>
      <c r="Q539" s="3"/>
      <c r="R539" s="3"/>
      <c r="S539" s="3"/>
      <c r="T539" s="3"/>
      <c r="U539" s="3"/>
      <c r="V539" s="3"/>
      <c r="W539" s="3"/>
      <c r="X539" s="3"/>
      <c r="Y539" s="3"/>
      <c r="Z539" s="3"/>
    </row>
    <row r="540" spans="1:26" ht="14.25" customHeight="1">
      <c r="A540" s="1"/>
      <c r="B540" s="1"/>
      <c r="C540" s="1"/>
      <c r="D540" s="1"/>
      <c r="E540" s="19"/>
      <c r="F540" s="3"/>
      <c r="G540" s="3"/>
      <c r="H540" s="3"/>
      <c r="I540" s="3"/>
      <c r="J540" s="3"/>
      <c r="K540" s="3"/>
      <c r="L540" s="3"/>
      <c r="M540" s="3"/>
      <c r="N540" s="3"/>
      <c r="O540" s="3"/>
      <c r="P540" s="3"/>
      <c r="Q540" s="3"/>
      <c r="R540" s="3"/>
      <c r="S540" s="3"/>
      <c r="T540" s="3"/>
      <c r="U540" s="3"/>
      <c r="V540" s="3"/>
      <c r="W540" s="3"/>
      <c r="X540" s="3"/>
      <c r="Y540" s="3"/>
      <c r="Z540" s="3"/>
    </row>
    <row r="541" spans="1:26" ht="14.25" customHeight="1">
      <c r="A541" s="1"/>
      <c r="B541" s="1"/>
      <c r="C541" s="1"/>
      <c r="D541" s="1"/>
      <c r="E541" s="19"/>
      <c r="F541" s="3"/>
      <c r="G541" s="3"/>
      <c r="H541" s="3"/>
      <c r="I541" s="3"/>
      <c r="J541" s="3"/>
      <c r="K541" s="3"/>
      <c r="L541" s="3"/>
      <c r="M541" s="3"/>
      <c r="N541" s="3"/>
      <c r="O541" s="3"/>
      <c r="P541" s="3"/>
      <c r="Q541" s="3"/>
      <c r="R541" s="3"/>
      <c r="S541" s="3"/>
      <c r="T541" s="3"/>
      <c r="U541" s="3"/>
      <c r="V541" s="3"/>
      <c r="W541" s="3"/>
      <c r="X541" s="3"/>
      <c r="Y541" s="3"/>
      <c r="Z541" s="3"/>
    </row>
    <row r="542" spans="1:26" ht="14.25" customHeight="1">
      <c r="A542" s="1"/>
      <c r="B542" s="1"/>
      <c r="C542" s="1"/>
      <c r="D542" s="1"/>
      <c r="E542" s="19"/>
      <c r="F542" s="3"/>
      <c r="G542" s="3"/>
      <c r="H542" s="3"/>
      <c r="I542" s="3"/>
      <c r="J542" s="3"/>
      <c r="K542" s="3"/>
      <c r="L542" s="3"/>
      <c r="M542" s="3"/>
      <c r="N542" s="3"/>
      <c r="O542" s="3"/>
      <c r="P542" s="3"/>
      <c r="Q542" s="3"/>
      <c r="R542" s="3"/>
      <c r="S542" s="3"/>
      <c r="T542" s="3"/>
      <c r="U542" s="3"/>
      <c r="V542" s="3"/>
      <c r="W542" s="3"/>
      <c r="X542" s="3"/>
      <c r="Y542" s="3"/>
      <c r="Z542" s="3"/>
    </row>
    <row r="543" spans="1:26" ht="14.25" customHeight="1">
      <c r="A543" s="1"/>
      <c r="B543" s="1"/>
      <c r="C543" s="1"/>
      <c r="D543" s="1"/>
      <c r="E543" s="19"/>
      <c r="F543" s="3"/>
      <c r="G543" s="3"/>
      <c r="H543" s="3"/>
      <c r="I543" s="3"/>
      <c r="J543" s="3"/>
      <c r="K543" s="3"/>
      <c r="L543" s="3"/>
      <c r="M543" s="3"/>
      <c r="N543" s="3"/>
      <c r="O543" s="3"/>
      <c r="P543" s="3"/>
      <c r="Q543" s="3"/>
      <c r="R543" s="3"/>
      <c r="S543" s="3"/>
      <c r="T543" s="3"/>
      <c r="U543" s="3"/>
      <c r="V543" s="3"/>
      <c r="W543" s="3"/>
      <c r="X543" s="3"/>
      <c r="Y543" s="3"/>
      <c r="Z543" s="3"/>
    </row>
    <row r="544" spans="1:26" ht="14.25" customHeight="1">
      <c r="A544" s="1"/>
      <c r="B544" s="1"/>
      <c r="C544" s="1"/>
      <c r="D544" s="1"/>
      <c r="E544" s="19"/>
      <c r="F544" s="3"/>
      <c r="G544" s="3"/>
      <c r="H544" s="3"/>
      <c r="I544" s="3"/>
      <c r="J544" s="3"/>
      <c r="K544" s="3"/>
      <c r="L544" s="3"/>
      <c r="M544" s="3"/>
      <c r="N544" s="3"/>
      <c r="O544" s="3"/>
      <c r="P544" s="3"/>
      <c r="Q544" s="3"/>
      <c r="R544" s="3"/>
      <c r="S544" s="3"/>
      <c r="T544" s="3"/>
      <c r="U544" s="3"/>
      <c r="V544" s="3"/>
      <c r="W544" s="3"/>
      <c r="X544" s="3"/>
      <c r="Y544" s="3"/>
      <c r="Z544" s="3"/>
    </row>
    <row r="545" spans="1:26" ht="14.25" customHeight="1">
      <c r="A545" s="1"/>
      <c r="B545" s="1"/>
      <c r="C545" s="1"/>
      <c r="D545" s="1"/>
      <c r="E545" s="19"/>
      <c r="F545" s="3"/>
      <c r="G545" s="3"/>
      <c r="H545" s="3"/>
      <c r="I545" s="3"/>
      <c r="J545" s="3"/>
      <c r="K545" s="3"/>
      <c r="L545" s="3"/>
      <c r="M545" s="3"/>
      <c r="N545" s="3"/>
      <c r="O545" s="3"/>
      <c r="P545" s="3"/>
      <c r="Q545" s="3"/>
      <c r="R545" s="3"/>
      <c r="S545" s="3"/>
      <c r="T545" s="3"/>
      <c r="U545" s="3"/>
      <c r="V545" s="3"/>
      <c r="W545" s="3"/>
      <c r="X545" s="3"/>
      <c r="Y545" s="3"/>
      <c r="Z545" s="3"/>
    </row>
    <row r="546" spans="1:26" ht="14.25" customHeight="1">
      <c r="A546" s="1"/>
      <c r="B546" s="1"/>
      <c r="C546" s="1"/>
      <c r="D546" s="1"/>
      <c r="E546" s="19"/>
      <c r="F546" s="3"/>
      <c r="G546" s="3"/>
      <c r="H546" s="3"/>
      <c r="I546" s="3"/>
      <c r="J546" s="3"/>
      <c r="K546" s="3"/>
      <c r="L546" s="3"/>
      <c r="M546" s="3"/>
      <c r="N546" s="3"/>
      <c r="O546" s="3"/>
      <c r="P546" s="3"/>
      <c r="Q546" s="3"/>
      <c r="R546" s="3"/>
      <c r="S546" s="3"/>
      <c r="T546" s="3"/>
      <c r="U546" s="3"/>
      <c r="V546" s="3"/>
      <c r="W546" s="3"/>
      <c r="X546" s="3"/>
      <c r="Y546" s="3"/>
      <c r="Z546" s="3"/>
    </row>
    <row r="547" spans="1:26" ht="14.25" customHeight="1">
      <c r="A547" s="1"/>
      <c r="B547" s="1"/>
      <c r="C547" s="1"/>
      <c r="D547" s="1"/>
      <c r="E547" s="19"/>
      <c r="F547" s="3"/>
      <c r="G547" s="3"/>
      <c r="H547" s="3"/>
      <c r="I547" s="3"/>
      <c r="J547" s="3"/>
      <c r="K547" s="3"/>
      <c r="L547" s="3"/>
      <c r="M547" s="3"/>
      <c r="N547" s="3"/>
      <c r="O547" s="3"/>
      <c r="P547" s="3"/>
      <c r="Q547" s="3"/>
      <c r="R547" s="3"/>
      <c r="S547" s="3"/>
      <c r="T547" s="3"/>
      <c r="U547" s="3"/>
      <c r="V547" s="3"/>
      <c r="W547" s="3"/>
      <c r="X547" s="3"/>
      <c r="Y547" s="3"/>
      <c r="Z547" s="3"/>
    </row>
    <row r="548" spans="1:26" ht="14.25" customHeight="1">
      <c r="A548" s="1"/>
      <c r="B548" s="1"/>
      <c r="C548" s="1"/>
      <c r="D548" s="1"/>
      <c r="E548" s="19"/>
      <c r="F548" s="3"/>
      <c r="G548" s="3"/>
      <c r="H548" s="3"/>
      <c r="I548" s="3"/>
      <c r="J548" s="3"/>
      <c r="K548" s="3"/>
      <c r="L548" s="3"/>
      <c r="M548" s="3"/>
      <c r="N548" s="3"/>
      <c r="O548" s="3"/>
      <c r="P548" s="3"/>
      <c r="Q548" s="3"/>
      <c r="R548" s="3"/>
      <c r="S548" s="3"/>
      <c r="T548" s="3"/>
      <c r="U548" s="3"/>
      <c r="V548" s="3"/>
      <c r="W548" s="3"/>
      <c r="X548" s="3"/>
      <c r="Y548" s="3"/>
      <c r="Z548" s="3"/>
    </row>
    <row r="549" spans="1:26" ht="14.25" customHeight="1">
      <c r="A549" s="1"/>
      <c r="B549" s="1"/>
      <c r="C549" s="1"/>
      <c r="D549" s="1"/>
      <c r="E549" s="19"/>
      <c r="F549" s="3"/>
      <c r="G549" s="3"/>
      <c r="H549" s="3"/>
      <c r="I549" s="3"/>
      <c r="J549" s="3"/>
      <c r="K549" s="3"/>
      <c r="L549" s="3"/>
      <c r="M549" s="3"/>
      <c r="N549" s="3"/>
      <c r="O549" s="3"/>
      <c r="P549" s="3"/>
      <c r="Q549" s="3"/>
      <c r="R549" s="3"/>
      <c r="S549" s="3"/>
      <c r="T549" s="3"/>
      <c r="U549" s="3"/>
      <c r="V549" s="3"/>
      <c r="W549" s="3"/>
      <c r="X549" s="3"/>
      <c r="Y549" s="3"/>
      <c r="Z549" s="3"/>
    </row>
    <row r="550" spans="1:26" ht="14.25" customHeight="1">
      <c r="A550" s="1"/>
      <c r="B550" s="1"/>
      <c r="C550" s="1"/>
      <c r="D550" s="1"/>
      <c r="E550" s="19"/>
      <c r="F550" s="3"/>
      <c r="G550" s="3"/>
      <c r="H550" s="3"/>
      <c r="I550" s="3"/>
      <c r="J550" s="3"/>
      <c r="K550" s="3"/>
      <c r="L550" s="3"/>
      <c r="M550" s="3"/>
      <c r="N550" s="3"/>
      <c r="O550" s="3"/>
      <c r="P550" s="3"/>
      <c r="Q550" s="3"/>
      <c r="R550" s="3"/>
      <c r="S550" s="3"/>
      <c r="T550" s="3"/>
      <c r="U550" s="3"/>
      <c r="V550" s="3"/>
      <c r="W550" s="3"/>
      <c r="X550" s="3"/>
      <c r="Y550" s="3"/>
      <c r="Z550" s="3"/>
    </row>
    <row r="551" spans="1:26" ht="14.25" customHeight="1">
      <c r="A551" s="1"/>
      <c r="B551" s="1"/>
      <c r="C551" s="1"/>
      <c r="D551" s="1"/>
      <c r="E551" s="19"/>
      <c r="F551" s="3"/>
      <c r="G551" s="3"/>
      <c r="H551" s="3"/>
      <c r="I551" s="3"/>
      <c r="J551" s="3"/>
      <c r="K551" s="3"/>
      <c r="L551" s="3"/>
      <c r="M551" s="3"/>
      <c r="N551" s="3"/>
      <c r="O551" s="3"/>
      <c r="P551" s="3"/>
      <c r="Q551" s="3"/>
      <c r="R551" s="3"/>
      <c r="S551" s="3"/>
      <c r="T551" s="3"/>
      <c r="U551" s="3"/>
      <c r="V551" s="3"/>
      <c r="W551" s="3"/>
      <c r="X551" s="3"/>
      <c r="Y551" s="3"/>
      <c r="Z551" s="3"/>
    </row>
    <row r="552" spans="1:26" ht="14.25" customHeight="1">
      <c r="A552" s="1"/>
      <c r="B552" s="1"/>
      <c r="C552" s="1"/>
      <c r="D552" s="1"/>
      <c r="E552" s="19"/>
      <c r="F552" s="3"/>
      <c r="G552" s="3"/>
      <c r="H552" s="3"/>
      <c r="I552" s="3"/>
      <c r="J552" s="3"/>
      <c r="K552" s="3"/>
      <c r="L552" s="3"/>
      <c r="M552" s="3"/>
      <c r="N552" s="3"/>
      <c r="O552" s="3"/>
      <c r="P552" s="3"/>
      <c r="Q552" s="3"/>
      <c r="R552" s="3"/>
      <c r="S552" s="3"/>
      <c r="T552" s="3"/>
      <c r="U552" s="3"/>
      <c r="V552" s="3"/>
      <c r="W552" s="3"/>
      <c r="X552" s="3"/>
      <c r="Y552" s="3"/>
      <c r="Z552" s="3"/>
    </row>
    <row r="553" spans="1:26" ht="14.25" customHeight="1">
      <c r="A553" s="1"/>
      <c r="B553" s="1"/>
      <c r="C553" s="1"/>
      <c r="D553" s="1"/>
      <c r="E553" s="19"/>
      <c r="F553" s="3"/>
      <c r="G553" s="3"/>
      <c r="H553" s="3"/>
      <c r="I553" s="3"/>
      <c r="J553" s="3"/>
      <c r="K553" s="3"/>
      <c r="L553" s="3"/>
      <c r="M553" s="3"/>
      <c r="N553" s="3"/>
      <c r="O553" s="3"/>
      <c r="P553" s="3"/>
      <c r="Q553" s="3"/>
      <c r="R553" s="3"/>
      <c r="S553" s="3"/>
      <c r="T553" s="3"/>
      <c r="U553" s="3"/>
      <c r="V553" s="3"/>
      <c r="W553" s="3"/>
      <c r="X553" s="3"/>
      <c r="Y553" s="3"/>
      <c r="Z553" s="3"/>
    </row>
    <row r="554" spans="1:26" ht="14.25" customHeight="1">
      <c r="A554" s="1"/>
      <c r="B554" s="1"/>
      <c r="C554" s="1"/>
      <c r="D554" s="1"/>
      <c r="E554" s="19"/>
      <c r="F554" s="3"/>
      <c r="G554" s="3"/>
      <c r="H554" s="3"/>
      <c r="I554" s="3"/>
      <c r="J554" s="3"/>
      <c r="K554" s="3"/>
      <c r="L554" s="3"/>
      <c r="M554" s="3"/>
      <c r="N554" s="3"/>
      <c r="O554" s="3"/>
      <c r="P554" s="3"/>
      <c r="Q554" s="3"/>
      <c r="R554" s="3"/>
      <c r="S554" s="3"/>
      <c r="T554" s="3"/>
      <c r="U554" s="3"/>
      <c r="V554" s="3"/>
      <c r="W554" s="3"/>
      <c r="X554" s="3"/>
      <c r="Y554" s="3"/>
      <c r="Z554" s="3"/>
    </row>
    <row r="555" spans="1:26" ht="14.25" customHeight="1">
      <c r="A555" s="1"/>
      <c r="B555" s="1"/>
      <c r="C555" s="1"/>
      <c r="D555" s="1"/>
      <c r="E555" s="19"/>
      <c r="F555" s="3"/>
      <c r="G555" s="3"/>
      <c r="H555" s="3"/>
      <c r="I555" s="3"/>
      <c r="J555" s="3"/>
      <c r="K555" s="3"/>
      <c r="L555" s="3"/>
      <c r="M555" s="3"/>
      <c r="N555" s="3"/>
      <c r="O555" s="3"/>
      <c r="P555" s="3"/>
      <c r="Q555" s="3"/>
      <c r="R555" s="3"/>
      <c r="S555" s="3"/>
      <c r="T555" s="3"/>
      <c r="U555" s="3"/>
      <c r="V555" s="3"/>
      <c r="W555" s="3"/>
      <c r="X555" s="3"/>
      <c r="Y555" s="3"/>
      <c r="Z555" s="3"/>
    </row>
    <row r="556" spans="1:26" ht="14.25" customHeight="1">
      <c r="A556" s="1"/>
      <c r="B556" s="1"/>
      <c r="C556" s="1"/>
      <c r="D556" s="1"/>
      <c r="E556" s="19"/>
      <c r="F556" s="3"/>
      <c r="G556" s="3"/>
      <c r="H556" s="3"/>
      <c r="I556" s="3"/>
      <c r="J556" s="3"/>
      <c r="K556" s="3"/>
      <c r="L556" s="3"/>
      <c r="M556" s="3"/>
      <c r="N556" s="3"/>
      <c r="O556" s="3"/>
      <c r="P556" s="3"/>
      <c r="Q556" s="3"/>
      <c r="R556" s="3"/>
      <c r="S556" s="3"/>
      <c r="T556" s="3"/>
      <c r="U556" s="3"/>
      <c r="V556" s="3"/>
      <c r="W556" s="3"/>
      <c r="X556" s="3"/>
      <c r="Y556" s="3"/>
      <c r="Z556" s="3"/>
    </row>
    <row r="557" spans="1:26" ht="14.25" customHeight="1">
      <c r="A557" s="1"/>
      <c r="B557" s="1"/>
      <c r="C557" s="1"/>
      <c r="D557" s="1"/>
      <c r="E557" s="19"/>
      <c r="F557" s="3"/>
      <c r="G557" s="3"/>
      <c r="H557" s="3"/>
      <c r="I557" s="3"/>
      <c r="J557" s="3"/>
      <c r="K557" s="3"/>
      <c r="L557" s="3"/>
      <c r="M557" s="3"/>
      <c r="N557" s="3"/>
      <c r="O557" s="3"/>
      <c r="P557" s="3"/>
      <c r="Q557" s="3"/>
      <c r="R557" s="3"/>
      <c r="S557" s="3"/>
      <c r="T557" s="3"/>
      <c r="U557" s="3"/>
      <c r="V557" s="3"/>
      <c r="W557" s="3"/>
      <c r="X557" s="3"/>
      <c r="Y557" s="3"/>
      <c r="Z557" s="3"/>
    </row>
    <row r="558" spans="1:26" ht="14.25" customHeight="1">
      <c r="A558" s="1"/>
      <c r="B558" s="1"/>
      <c r="C558" s="1"/>
      <c r="D558" s="1"/>
      <c r="E558" s="19"/>
      <c r="F558" s="3"/>
      <c r="G558" s="3"/>
      <c r="H558" s="3"/>
      <c r="I558" s="3"/>
      <c r="J558" s="3"/>
      <c r="K558" s="3"/>
      <c r="L558" s="3"/>
      <c r="M558" s="3"/>
      <c r="N558" s="3"/>
      <c r="O558" s="3"/>
      <c r="P558" s="3"/>
      <c r="Q558" s="3"/>
      <c r="R558" s="3"/>
      <c r="S558" s="3"/>
      <c r="T558" s="3"/>
      <c r="U558" s="3"/>
      <c r="V558" s="3"/>
      <c r="W558" s="3"/>
      <c r="X558" s="3"/>
      <c r="Y558" s="3"/>
      <c r="Z558" s="3"/>
    </row>
    <row r="559" spans="1:26" ht="14.25" customHeight="1">
      <c r="A559" s="1"/>
      <c r="B559" s="1"/>
      <c r="C559" s="1"/>
      <c r="D559" s="1"/>
      <c r="E559" s="19"/>
      <c r="F559" s="3"/>
      <c r="G559" s="3"/>
      <c r="H559" s="3"/>
      <c r="I559" s="3"/>
      <c r="J559" s="3"/>
      <c r="K559" s="3"/>
      <c r="L559" s="3"/>
      <c r="M559" s="3"/>
      <c r="N559" s="3"/>
      <c r="O559" s="3"/>
      <c r="P559" s="3"/>
      <c r="Q559" s="3"/>
      <c r="R559" s="3"/>
      <c r="S559" s="3"/>
      <c r="T559" s="3"/>
      <c r="U559" s="3"/>
      <c r="V559" s="3"/>
      <c r="W559" s="3"/>
      <c r="X559" s="3"/>
      <c r="Y559" s="3"/>
      <c r="Z559" s="3"/>
    </row>
    <row r="560" spans="1:26" ht="14.25" customHeight="1">
      <c r="A560" s="1"/>
      <c r="B560" s="1"/>
      <c r="C560" s="1"/>
      <c r="D560" s="1"/>
      <c r="E560" s="19"/>
      <c r="F560" s="3"/>
      <c r="G560" s="3"/>
      <c r="H560" s="3"/>
      <c r="I560" s="3"/>
      <c r="J560" s="3"/>
      <c r="K560" s="3"/>
      <c r="L560" s="3"/>
      <c r="M560" s="3"/>
      <c r="N560" s="3"/>
      <c r="O560" s="3"/>
      <c r="P560" s="3"/>
      <c r="Q560" s="3"/>
      <c r="R560" s="3"/>
      <c r="S560" s="3"/>
      <c r="T560" s="3"/>
      <c r="U560" s="3"/>
      <c r="V560" s="3"/>
      <c r="W560" s="3"/>
      <c r="X560" s="3"/>
      <c r="Y560" s="3"/>
      <c r="Z560" s="3"/>
    </row>
    <row r="561" spans="1:26" ht="14.25" customHeight="1">
      <c r="A561" s="1"/>
      <c r="B561" s="1"/>
      <c r="C561" s="1"/>
      <c r="D561" s="1"/>
      <c r="E561" s="19"/>
      <c r="F561" s="3"/>
      <c r="G561" s="3"/>
      <c r="H561" s="3"/>
      <c r="I561" s="3"/>
      <c r="J561" s="3"/>
      <c r="K561" s="3"/>
      <c r="L561" s="3"/>
      <c r="M561" s="3"/>
      <c r="N561" s="3"/>
      <c r="O561" s="3"/>
      <c r="P561" s="3"/>
      <c r="Q561" s="3"/>
      <c r="R561" s="3"/>
      <c r="S561" s="3"/>
      <c r="T561" s="3"/>
      <c r="U561" s="3"/>
      <c r="V561" s="3"/>
      <c r="W561" s="3"/>
      <c r="X561" s="3"/>
      <c r="Y561" s="3"/>
      <c r="Z561" s="3"/>
    </row>
    <row r="562" spans="1:26" ht="14.25" customHeight="1">
      <c r="A562" s="1"/>
      <c r="B562" s="1"/>
      <c r="C562" s="1"/>
      <c r="D562" s="1"/>
      <c r="E562" s="19"/>
      <c r="F562" s="3"/>
      <c r="G562" s="3"/>
      <c r="H562" s="3"/>
      <c r="I562" s="3"/>
      <c r="J562" s="3"/>
      <c r="K562" s="3"/>
      <c r="L562" s="3"/>
      <c r="M562" s="3"/>
      <c r="N562" s="3"/>
      <c r="O562" s="3"/>
      <c r="P562" s="3"/>
      <c r="Q562" s="3"/>
      <c r="R562" s="3"/>
      <c r="S562" s="3"/>
      <c r="T562" s="3"/>
      <c r="U562" s="3"/>
      <c r="V562" s="3"/>
      <c r="W562" s="3"/>
      <c r="X562" s="3"/>
      <c r="Y562" s="3"/>
      <c r="Z562" s="3"/>
    </row>
    <row r="563" spans="1:26" ht="14.25" customHeight="1">
      <c r="A563" s="1"/>
      <c r="B563" s="1"/>
      <c r="C563" s="1"/>
      <c r="D563" s="1"/>
      <c r="E563" s="19"/>
      <c r="F563" s="3"/>
      <c r="G563" s="3"/>
      <c r="H563" s="3"/>
      <c r="I563" s="3"/>
      <c r="J563" s="3"/>
      <c r="K563" s="3"/>
      <c r="L563" s="3"/>
      <c r="M563" s="3"/>
      <c r="N563" s="3"/>
      <c r="O563" s="3"/>
      <c r="P563" s="3"/>
      <c r="Q563" s="3"/>
      <c r="R563" s="3"/>
      <c r="S563" s="3"/>
      <c r="T563" s="3"/>
      <c r="U563" s="3"/>
      <c r="V563" s="3"/>
      <c r="W563" s="3"/>
      <c r="X563" s="3"/>
      <c r="Y563" s="3"/>
      <c r="Z563" s="3"/>
    </row>
    <row r="564" spans="1:26" ht="14.25" customHeight="1">
      <c r="A564" s="1"/>
      <c r="B564" s="1"/>
      <c r="C564" s="1"/>
      <c r="D564" s="1"/>
      <c r="E564" s="19"/>
      <c r="F564" s="3"/>
      <c r="G564" s="3"/>
      <c r="H564" s="3"/>
      <c r="I564" s="3"/>
      <c r="J564" s="3"/>
      <c r="K564" s="3"/>
      <c r="L564" s="3"/>
      <c r="M564" s="3"/>
      <c r="N564" s="3"/>
      <c r="O564" s="3"/>
      <c r="P564" s="3"/>
      <c r="Q564" s="3"/>
      <c r="R564" s="3"/>
      <c r="S564" s="3"/>
      <c r="T564" s="3"/>
      <c r="U564" s="3"/>
      <c r="V564" s="3"/>
      <c r="W564" s="3"/>
      <c r="X564" s="3"/>
      <c r="Y564" s="3"/>
      <c r="Z564" s="3"/>
    </row>
    <row r="565" spans="1:26" ht="14.25" customHeight="1">
      <c r="A565" s="1"/>
      <c r="B565" s="1"/>
      <c r="C565" s="1"/>
      <c r="D565" s="1"/>
      <c r="E565" s="19"/>
      <c r="F565" s="3"/>
      <c r="G565" s="3"/>
      <c r="H565" s="3"/>
      <c r="I565" s="3"/>
      <c r="J565" s="3"/>
      <c r="K565" s="3"/>
      <c r="L565" s="3"/>
      <c r="M565" s="3"/>
      <c r="N565" s="3"/>
      <c r="O565" s="3"/>
      <c r="P565" s="3"/>
      <c r="Q565" s="3"/>
      <c r="R565" s="3"/>
      <c r="S565" s="3"/>
      <c r="T565" s="3"/>
      <c r="U565" s="3"/>
      <c r="V565" s="3"/>
      <c r="W565" s="3"/>
      <c r="X565" s="3"/>
      <c r="Y565" s="3"/>
      <c r="Z565" s="3"/>
    </row>
    <row r="566" spans="1:26" ht="14.25" customHeight="1">
      <c r="A566" s="1"/>
      <c r="B566" s="1"/>
      <c r="C566" s="1"/>
      <c r="D566" s="1"/>
      <c r="E566" s="19"/>
      <c r="F566" s="3"/>
      <c r="G566" s="3"/>
      <c r="H566" s="3"/>
      <c r="I566" s="3"/>
      <c r="J566" s="3"/>
      <c r="K566" s="3"/>
      <c r="L566" s="3"/>
      <c r="M566" s="3"/>
      <c r="N566" s="3"/>
      <c r="O566" s="3"/>
      <c r="P566" s="3"/>
      <c r="Q566" s="3"/>
      <c r="R566" s="3"/>
      <c r="S566" s="3"/>
      <c r="T566" s="3"/>
      <c r="U566" s="3"/>
      <c r="V566" s="3"/>
      <c r="W566" s="3"/>
      <c r="X566" s="3"/>
      <c r="Y566" s="3"/>
      <c r="Z566" s="3"/>
    </row>
    <row r="567" spans="1:26" ht="14.25" customHeight="1">
      <c r="A567" s="1"/>
      <c r="B567" s="1"/>
      <c r="C567" s="1"/>
      <c r="D567" s="1"/>
      <c r="E567" s="19"/>
      <c r="F567" s="3"/>
      <c r="G567" s="3"/>
      <c r="H567" s="3"/>
      <c r="I567" s="3"/>
      <c r="J567" s="3"/>
      <c r="K567" s="3"/>
      <c r="L567" s="3"/>
      <c r="M567" s="3"/>
      <c r="N567" s="3"/>
      <c r="O567" s="3"/>
      <c r="P567" s="3"/>
      <c r="Q567" s="3"/>
      <c r="R567" s="3"/>
      <c r="S567" s="3"/>
      <c r="T567" s="3"/>
      <c r="U567" s="3"/>
      <c r="V567" s="3"/>
      <c r="W567" s="3"/>
      <c r="X567" s="3"/>
      <c r="Y567" s="3"/>
      <c r="Z567" s="3"/>
    </row>
    <row r="568" spans="1:26" ht="14.25" customHeight="1">
      <c r="A568" s="1"/>
      <c r="B568" s="1"/>
      <c r="C568" s="1"/>
      <c r="D568" s="1"/>
      <c r="E568" s="19"/>
      <c r="F568" s="3"/>
      <c r="G568" s="3"/>
      <c r="H568" s="3"/>
      <c r="I568" s="3"/>
      <c r="J568" s="3"/>
      <c r="K568" s="3"/>
      <c r="L568" s="3"/>
      <c r="M568" s="3"/>
      <c r="N568" s="3"/>
      <c r="O568" s="3"/>
      <c r="P568" s="3"/>
      <c r="Q568" s="3"/>
      <c r="R568" s="3"/>
      <c r="S568" s="3"/>
      <c r="T568" s="3"/>
      <c r="U568" s="3"/>
      <c r="V568" s="3"/>
      <c r="W568" s="3"/>
      <c r="X568" s="3"/>
      <c r="Y568" s="3"/>
      <c r="Z568" s="3"/>
    </row>
    <row r="569" spans="1:26" ht="14.25" customHeight="1">
      <c r="A569" s="1"/>
      <c r="B569" s="1"/>
      <c r="C569" s="1"/>
      <c r="D569" s="1"/>
      <c r="E569" s="19"/>
      <c r="F569" s="3"/>
      <c r="G569" s="3"/>
      <c r="H569" s="3"/>
      <c r="I569" s="3"/>
      <c r="J569" s="3"/>
      <c r="K569" s="3"/>
      <c r="L569" s="3"/>
      <c r="M569" s="3"/>
      <c r="N569" s="3"/>
      <c r="O569" s="3"/>
      <c r="P569" s="3"/>
      <c r="Q569" s="3"/>
      <c r="R569" s="3"/>
      <c r="S569" s="3"/>
      <c r="T569" s="3"/>
      <c r="U569" s="3"/>
      <c r="V569" s="3"/>
      <c r="W569" s="3"/>
      <c r="X569" s="3"/>
      <c r="Y569" s="3"/>
      <c r="Z569" s="3"/>
    </row>
    <row r="570" spans="1:26" ht="14.25" customHeight="1">
      <c r="A570" s="1"/>
      <c r="B570" s="1"/>
      <c r="C570" s="1"/>
      <c r="D570" s="1"/>
      <c r="E570" s="19"/>
      <c r="F570" s="3"/>
      <c r="G570" s="3"/>
      <c r="H570" s="3"/>
      <c r="I570" s="3"/>
      <c r="J570" s="3"/>
      <c r="K570" s="3"/>
      <c r="L570" s="3"/>
      <c r="M570" s="3"/>
      <c r="N570" s="3"/>
      <c r="O570" s="3"/>
      <c r="P570" s="3"/>
      <c r="Q570" s="3"/>
      <c r="R570" s="3"/>
      <c r="S570" s="3"/>
      <c r="T570" s="3"/>
      <c r="U570" s="3"/>
      <c r="V570" s="3"/>
      <c r="W570" s="3"/>
      <c r="X570" s="3"/>
      <c r="Y570" s="3"/>
      <c r="Z570" s="3"/>
    </row>
    <row r="571" spans="1:26" ht="14.25" customHeight="1">
      <c r="A571" s="1"/>
      <c r="B571" s="1"/>
      <c r="C571" s="1"/>
      <c r="D571" s="1"/>
      <c r="E571" s="19"/>
      <c r="F571" s="3"/>
      <c r="G571" s="3"/>
      <c r="H571" s="3"/>
      <c r="I571" s="3"/>
      <c r="J571" s="3"/>
      <c r="K571" s="3"/>
      <c r="L571" s="3"/>
      <c r="M571" s="3"/>
      <c r="N571" s="3"/>
      <c r="O571" s="3"/>
      <c r="P571" s="3"/>
      <c r="Q571" s="3"/>
      <c r="R571" s="3"/>
      <c r="S571" s="3"/>
      <c r="T571" s="3"/>
      <c r="U571" s="3"/>
      <c r="V571" s="3"/>
      <c r="W571" s="3"/>
      <c r="X571" s="3"/>
      <c r="Y571" s="3"/>
      <c r="Z571" s="3"/>
    </row>
    <row r="572" spans="1:26" ht="14.25" customHeight="1">
      <c r="A572" s="1"/>
      <c r="B572" s="1"/>
      <c r="C572" s="1"/>
      <c r="D572" s="1"/>
      <c r="E572" s="19"/>
      <c r="F572" s="3"/>
      <c r="G572" s="3"/>
      <c r="H572" s="3"/>
      <c r="I572" s="3"/>
      <c r="J572" s="3"/>
      <c r="K572" s="3"/>
      <c r="L572" s="3"/>
      <c r="M572" s="3"/>
      <c r="N572" s="3"/>
      <c r="O572" s="3"/>
      <c r="P572" s="3"/>
      <c r="Q572" s="3"/>
      <c r="R572" s="3"/>
      <c r="S572" s="3"/>
      <c r="T572" s="3"/>
      <c r="U572" s="3"/>
      <c r="V572" s="3"/>
      <c r="W572" s="3"/>
      <c r="X572" s="3"/>
      <c r="Y572" s="3"/>
      <c r="Z572" s="3"/>
    </row>
    <row r="573" spans="1:26" ht="14.25" customHeight="1">
      <c r="A573" s="1"/>
      <c r="B573" s="1"/>
      <c r="C573" s="1"/>
      <c r="D573" s="1"/>
      <c r="E573" s="19"/>
      <c r="F573" s="3"/>
      <c r="G573" s="3"/>
      <c r="H573" s="3"/>
      <c r="I573" s="3"/>
      <c r="J573" s="3"/>
      <c r="K573" s="3"/>
      <c r="L573" s="3"/>
      <c r="M573" s="3"/>
      <c r="N573" s="3"/>
      <c r="O573" s="3"/>
      <c r="P573" s="3"/>
      <c r="Q573" s="3"/>
      <c r="R573" s="3"/>
      <c r="S573" s="3"/>
      <c r="T573" s="3"/>
      <c r="U573" s="3"/>
      <c r="V573" s="3"/>
      <c r="W573" s="3"/>
      <c r="X573" s="3"/>
      <c r="Y573" s="3"/>
      <c r="Z573" s="3"/>
    </row>
    <row r="574" spans="1:26" ht="14.25" customHeight="1">
      <c r="A574" s="1"/>
      <c r="B574" s="1"/>
      <c r="C574" s="1"/>
      <c r="D574" s="1"/>
      <c r="E574" s="19"/>
      <c r="F574" s="3"/>
      <c r="G574" s="3"/>
      <c r="H574" s="3"/>
      <c r="I574" s="3"/>
      <c r="J574" s="3"/>
      <c r="K574" s="3"/>
      <c r="L574" s="3"/>
      <c r="M574" s="3"/>
      <c r="N574" s="3"/>
      <c r="O574" s="3"/>
      <c r="P574" s="3"/>
      <c r="Q574" s="3"/>
      <c r="R574" s="3"/>
      <c r="S574" s="3"/>
      <c r="T574" s="3"/>
      <c r="U574" s="3"/>
      <c r="V574" s="3"/>
      <c r="W574" s="3"/>
      <c r="X574" s="3"/>
      <c r="Y574" s="3"/>
      <c r="Z574" s="3"/>
    </row>
    <row r="575" spans="1:26" ht="14.25" customHeight="1">
      <c r="A575" s="1"/>
      <c r="B575" s="1"/>
      <c r="C575" s="1"/>
      <c r="D575" s="1"/>
      <c r="E575" s="19"/>
      <c r="F575" s="3"/>
      <c r="G575" s="3"/>
      <c r="H575" s="3"/>
      <c r="I575" s="3"/>
      <c r="J575" s="3"/>
      <c r="K575" s="3"/>
      <c r="L575" s="3"/>
      <c r="M575" s="3"/>
      <c r="N575" s="3"/>
      <c r="O575" s="3"/>
      <c r="P575" s="3"/>
      <c r="Q575" s="3"/>
      <c r="R575" s="3"/>
      <c r="S575" s="3"/>
      <c r="T575" s="3"/>
      <c r="U575" s="3"/>
      <c r="V575" s="3"/>
      <c r="W575" s="3"/>
      <c r="X575" s="3"/>
      <c r="Y575" s="3"/>
      <c r="Z575" s="3"/>
    </row>
    <row r="576" spans="1:26" ht="14.25" customHeight="1">
      <c r="A576" s="1"/>
      <c r="B576" s="1"/>
      <c r="C576" s="1"/>
      <c r="D576" s="1"/>
      <c r="E576" s="19"/>
      <c r="F576" s="3"/>
      <c r="G576" s="3"/>
      <c r="H576" s="3"/>
      <c r="I576" s="3"/>
      <c r="J576" s="3"/>
      <c r="K576" s="3"/>
      <c r="L576" s="3"/>
      <c r="M576" s="3"/>
      <c r="N576" s="3"/>
      <c r="O576" s="3"/>
      <c r="P576" s="3"/>
      <c r="Q576" s="3"/>
      <c r="R576" s="3"/>
      <c r="S576" s="3"/>
      <c r="T576" s="3"/>
      <c r="U576" s="3"/>
      <c r="V576" s="3"/>
      <c r="W576" s="3"/>
      <c r="X576" s="3"/>
      <c r="Y576" s="3"/>
      <c r="Z576" s="3"/>
    </row>
    <row r="577" spans="1:26" ht="14.25" customHeight="1">
      <c r="A577" s="1"/>
      <c r="B577" s="1"/>
      <c r="C577" s="1"/>
      <c r="D577" s="1"/>
      <c r="E577" s="19"/>
      <c r="F577" s="3"/>
      <c r="G577" s="3"/>
      <c r="H577" s="3"/>
      <c r="I577" s="3"/>
      <c r="J577" s="3"/>
      <c r="K577" s="3"/>
      <c r="L577" s="3"/>
      <c r="M577" s="3"/>
      <c r="N577" s="3"/>
      <c r="O577" s="3"/>
      <c r="P577" s="3"/>
      <c r="Q577" s="3"/>
      <c r="R577" s="3"/>
      <c r="S577" s="3"/>
      <c r="T577" s="3"/>
      <c r="U577" s="3"/>
      <c r="V577" s="3"/>
      <c r="W577" s="3"/>
      <c r="X577" s="3"/>
      <c r="Y577" s="3"/>
      <c r="Z577" s="3"/>
    </row>
    <row r="578" spans="1:26" ht="14.25" customHeight="1">
      <c r="A578" s="1"/>
      <c r="B578" s="1"/>
      <c r="C578" s="1"/>
      <c r="D578" s="1"/>
      <c r="E578" s="19"/>
      <c r="F578" s="3"/>
      <c r="G578" s="3"/>
      <c r="H578" s="3"/>
      <c r="I578" s="3"/>
      <c r="J578" s="3"/>
      <c r="K578" s="3"/>
      <c r="L578" s="3"/>
      <c r="M578" s="3"/>
      <c r="N578" s="3"/>
      <c r="O578" s="3"/>
      <c r="P578" s="3"/>
      <c r="Q578" s="3"/>
      <c r="R578" s="3"/>
      <c r="S578" s="3"/>
      <c r="T578" s="3"/>
      <c r="U578" s="3"/>
      <c r="V578" s="3"/>
      <c r="W578" s="3"/>
      <c r="X578" s="3"/>
      <c r="Y578" s="3"/>
      <c r="Z578" s="3"/>
    </row>
    <row r="579" spans="1:26" ht="14.25" customHeight="1">
      <c r="A579" s="1"/>
      <c r="B579" s="1"/>
      <c r="C579" s="1"/>
      <c r="D579" s="1"/>
      <c r="E579" s="19"/>
      <c r="F579" s="3"/>
      <c r="G579" s="3"/>
      <c r="H579" s="3"/>
      <c r="I579" s="3"/>
      <c r="J579" s="3"/>
      <c r="K579" s="3"/>
      <c r="L579" s="3"/>
      <c r="M579" s="3"/>
      <c r="N579" s="3"/>
      <c r="O579" s="3"/>
      <c r="P579" s="3"/>
      <c r="Q579" s="3"/>
      <c r="R579" s="3"/>
      <c r="S579" s="3"/>
      <c r="T579" s="3"/>
      <c r="U579" s="3"/>
      <c r="V579" s="3"/>
      <c r="W579" s="3"/>
      <c r="X579" s="3"/>
      <c r="Y579" s="3"/>
      <c r="Z579" s="3"/>
    </row>
    <row r="580" spans="1:26" ht="14.25" customHeight="1">
      <c r="A580" s="1"/>
      <c r="B580" s="1"/>
      <c r="C580" s="1"/>
      <c r="D580" s="1"/>
      <c r="E580" s="19"/>
      <c r="F580" s="3"/>
      <c r="G580" s="3"/>
      <c r="H580" s="3"/>
      <c r="I580" s="3"/>
      <c r="J580" s="3"/>
      <c r="K580" s="3"/>
      <c r="L580" s="3"/>
      <c r="M580" s="3"/>
      <c r="N580" s="3"/>
      <c r="O580" s="3"/>
      <c r="P580" s="3"/>
      <c r="Q580" s="3"/>
      <c r="R580" s="3"/>
      <c r="S580" s="3"/>
      <c r="T580" s="3"/>
      <c r="U580" s="3"/>
      <c r="V580" s="3"/>
      <c r="W580" s="3"/>
      <c r="X580" s="3"/>
      <c r="Y580" s="3"/>
      <c r="Z580" s="3"/>
    </row>
    <row r="581" spans="1:26" ht="14.25" customHeight="1">
      <c r="A581" s="1"/>
      <c r="B581" s="1"/>
      <c r="C581" s="1"/>
      <c r="D581" s="1"/>
      <c r="E581" s="19"/>
      <c r="F581" s="3"/>
      <c r="G581" s="3"/>
      <c r="H581" s="3"/>
      <c r="I581" s="3"/>
      <c r="J581" s="3"/>
      <c r="K581" s="3"/>
      <c r="L581" s="3"/>
      <c r="M581" s="3"/>
      <c r="N581" s="3"/>
      <c r="O581" s="3"/>
      <c r="P581" s="3"/>
      <c r="Q581" s="3"/>
      <c r="R581" s="3"/>
      <c r="S581" s="3"/>
      <c r="T581" s="3"/>
      <c r="U581" s="3"/>
      <c r="V581" s="3"/>
      <c r="W581" s="3"/>
      <c r="X581" s="3"/>
      <c r="Y581" s="3"/>
      <c r="Z581" s="3"/>
    </row>
    <row r="582" spans="1:26" ht="14.25" customHeight="1">
      <c r="A582" s="1"/>
      <c r="B582" s="1"/>
      <c r="C582" s="1"/>
      <c r="D582" s="1"/>
      <c r="E582" s="19"/>
      <c r="F582" s="3"/>
      <c r="G582" s="3"/>
      <c r="H582" s="3"/>
      <c r="I582" s="3"/>
      <c r="J582" s="3"/>
      <c r="K582" s="3"/>
      <c r="L582" s="3"/>
      <c r="M582" s="3"/>
      <c r="N582" s="3"/>
      <c r="O582" s="3"/>
      <c r="P582" s="3"/>
      <c r="Q582" s="3"/>
      <c r="R582" s="3"/>
      <c r="S582" s="3"/>
      <c r="T582" s="3"/>
      <c r="U582" s="3"/>
      <c r="V582" s="3"/>
      <c r="W582" s="3"/>
      <c r="X582" s="3"/>
      <c r="Y582" s="3"/>
      <c r="Z582" s="3"/>
    </row>
    <row r="583" spans="1:26" ht="14.25" customHeight="1">
      <c r="A583" s="1"/>
      <c r="B583" s="1"/>
      <c r="C583" s="1"/>
      <c r="D583" s="1"/>
      <c r="E583" s="19"/>
      <c r="F583" s="3"/>
      <c r="G583" s="3"/>
      <c r="H583" s="3"/>
      <c r="I583" s="3"/>
      <c r="J583" s="3"/>
      <c r="K583" s="3"/>
      <c r="L583" s="3"/>
      <c r="M583" s="3"/>
      <c r="N583" s="3"/>
      <c r="O583" s="3"/>
      <c r="P583" s="3"/>
      <c r="Q583" s="3"/>
      <c r="R583" s="3"/>
      <c r="S583" s="3"/>
      <c r="T583" s="3"/>
      <c r="U583" s="3"/>
      <c r="V583" s="3"/>
      <c r="W583" s="3"/>
      <c r="X583" s="3"/>
      <c r="Y583" s="3"/>
      <c r="Z583" s="3"/>
    </row>
    <row r="584" spans="1:26" ht="14.25" customHeight="1">
      <c r="A584" s="1"/>
      <c r="B584" s="1"/>
      <c r="C584" s="1"/>
      <c r="D584" s="1"/>
      <c r="E584" s="19"/>
      <c r="F584" s="3"/>
      <c r="G584" s="3"/>
      <c r="H584" s="3"/>
      <c r="I584" s="3"/>
      <c r="J584" s="3"/>
      <c r="K584" s="3"/>
      <c r="L584" s="3"/>
      <c r="M584" s="3"/>
      <c r="N584" s="3"/>
      <c r="O584" s="3"/>
      <c r="P584" s="3"/>
      <c r="Q584" s="3"/>
      <c r="R584" s="3"/>
      <c r="S584" s="3"/>
      <c r="T584" s="3"/>
      <c r="U584" s="3"/>
      <c r="V584" s="3"/>
      <c r="W584" s="3"/>
      <c r="X584" s="3"/>
      <c r="Y584" s="3"/>
      <c r="Z584" s="3"/>
    </row>
    <row r="585" spans="1:26" ht="14.25" customHeight="1">
      <c r="A585" s="1"/>
      <c r="B585" s="1"/>
      <c r="C585" s="1"/>
      <c r="D585" s="1"/>
      <c r="E585" s="19"/>
      <c r="F585" s="3"/>
      <c r="G585" s="3"/>
      <c r="H585" s="3"/>
      <c r="I585" s="3"/>
      <c r="J585" s="3"/>
      <c r="K585" s="3"/>
      <c r="L585" s="3"/>
      <c r="M585" s="3"/>
      <c r="N585" s="3"/>
      <c r="O585" s="3"/>
      <c r="P585" s="3"/>
      <c r="Q585" s="3"/>
      <c r="R585" s="3"/>
      <c r="S585" s="3"/>
      <c r="T585" s="3"/>
      <c r="U585" s="3"/>
      <c r="V585" s="3"/>
      <c r="W585" s="3"/>
      <c r="X585" s="3"/>
      <c r="Y585" s="3"/>
      <c r="Z585" s="3"/>
    </row>
    <row r="586" spans="1:26" ht="14.25" customHeight="1">
      <c r="A586" s="1"/>
      <c r="B586" s="1"/>
      <c r="C586" s="1"/>
      <c r="D586" s="1"/>
      <c r="E586" s="19"/>
      <c r="F586" s="3"/>
      <c r="G586" s="3"/>
      <c r="H586" s="3"/>
      <c r="I586" s="3"/>
      <c r="J586" s="3"/>
      <c r="K586" s="3"/>
      <c r="L586" s="3"/>
      <c r="M586" s="3"/>
      <c r="N586" s="3"/>
      <c r="O586" s="3"/>
      <c r="P586" s="3"/>
      <c r="Q586" s="3"/>
      <c r="R586" s="3"/>
      <c r="S586" s="3"/>
      <c r="T586" s="3"/>
      <c r="U586" s="3"/>
      <c r="V586" s="3"/>
      <c r="W586" s="3"/>
      <c r="X586" s="3"/>
      <c r="Y586" s="3"/>
      <c r="Z586" s="3"/>
    </row>
    <row r="587" spans="1:26" ht="14.25" customHeight="1">
      <c r="A587" s="1"/>
      <c r="B587" s="1"/>
      <c r="C587" s="1"/>
      <c r="D587" s="1"/>
      <c r="E587" s="19"/>
      <c r="F587" s="3"/>
      <c r="G587" s="3"/>
      <c r="H587" s="3"/>
      <c r="I587" s="3"/>
      <c r="J587" s="3"/>
      <c r="K587" s="3"/>
      <c r="L587" s="3"/>
      <c r="M587" s="3"/>
      <c r="N587" s="3"/>
      <c r="O587" s="3"/>
      <c r="P587" s="3"/>
      <c r="Q587" s="3"/>
      <c r="R587" s="3"/>
      <c r="S587" s="3"/>
      <c r="T587" s="3"/>
      <c r="U587" s="3"/>
      <c r="V587" s="3"/>
      <c r="W587" s="3"/>
      <c r="X587" s="3"/>
      <c r="Y587" s="3"/>
      <c r="Z587" s="3"/>
    </row>
    <row r="588" spans="1:26" ht="14.25" customHeight="1">
      <c r="A588" s="1"/>
      <c r="B588" s="1"/>
      <c r="C588" s="1"/>
      <c r="D588" s="1"/>
      <c r="E588" s="19"/>
      <c r="F588" s="3"/>
      <c r="G588" s="3"/>
      <c r="H588" s="3"/>
      <c r="I588" s="3"/>
      <c r="J588" s="3"/>
      <c r="K588" s="3"/>
      <c r="L588" s="3"/>
      <c r="M588" s="3"/>
      <c r="N588" s="3"/>
      <c r="O588" s="3"/>
      <c r="P588" s="3"/>
      <c r="Q588" s="3"/>
      <c r="R588" s="3"/>
      <c r="S588" s="3"/>
      <c r="T588" s="3"/>
      <c r="U588" s="3"/>
      <c r="V588" s="3"/>
      <c r="W588" s="3"/>
      <c r="X588" s="3"/>
      <c r="Y588" s="3"/>
      <c r="Z588" s="3"/>
    </row>
    <row r="589" spans="1:26" ht="14.25" customHeight="1">
      <c r="A589" s="1"/>
      <c r="B589" s="1"/>
      <c r="C589" s="1"/>
      <c r="D589" s="1"/>
      <c r="E589" s="19"/>
      <c r="F589" s="3"/>
      <c r="G589" s="3"/>
      <c r="H589" s="3"/>
      <c r="I589" s="3"/>
      <c r="J589" s="3"/>
      <c r="K589" s="3"/>
      <c r="L589" s="3"/>
      <c r="M589" s="3"/>
      <c r="N589" s="3"/>
      <c r="O589" s="3"/>
      <c r="P589" s="3"/>
      <c r="Q589" s="3"/>
      <c r="R589" s="3"/>
      <c r="S589" s="3"/>
      <c r="T589" s="3"/>
      <c r="U589" s="3"/>
      <c r="V589" s="3"/>
      <c r="W589" s="3"/>
      <c r="X589" s="3"/>
      <c r="Y589" s="3"/>
      <c r="Z589" s="3"/>
    </row>
    <row r="590" spans="1:26" ht="14.25" customHeight="1">
      <c r="A590" s="1"/>
      <c r="B590" s="1"/>
      <c r="C590" s="1"/>
      <c r="D590" s="1"/>
      <c r="E590" s="19"/>
      <c r="F590" s="3"/>
      <c r="G590" s="3"/>
      <c r="H590" s="3"/>
      <c r="I590" s="3"/>
      <c r="J590" s="3"/>
      <c r="K590" s="3"/>
      <c r="L590" s="3"/>
      <c r="M590" s="3"/>
      <c r="N590" s="3"/>
      <c r="O590" s="3"/>
      <c r="P590" s="3"/>
      <c r="Q590" s="3"/>
      <c r="R590" s="3"/>
      <c r="S590" s="3"/>
      <c r="T590" s="3"/>
      <c r="U590" s="3"/>
      <c r="V590" s="3"/>
      <c r="W590" s="3"/>
      <c r="X590" s="3"/>
      <c r="Y590" s="3"/>
      <c r="Z590" s="3"/>
    </row>
    <row r="591" spans="1:26" ht="14.25" customHeight="1">
      <c r="A591" s="1"/>
      <c r="B591" s="1"/>
      <c r="C591" s="1"/>
      <c r="D591" s="1"/>
      <c r="E591" s="19"/>
      <c r="F591" s="3"/>
      <c r="G591" s="3"/>
      <c r="H591" s="3"/>
      <c r="I591" s="3"/>
      <c r="J591" s="3"/>
      <c r="K591" s="3"/>
      <c r="L591" s="3"/>
      <c r="M591" s="3"/>
      <c r="N591" s="3"/>
      <c r="O591" s="3"/>
      <c r="P591" s="3"/>
      <c r="Q591" s="3"/>
      <c r="R591" s="3"/>
      <c r="S591" s="3"/>
      <c r="T591" s="3"/>
      <c r="U591" s="3"/>
      <c r="V591" s="3"/>
      <c r="W591" s="3"/>
      <c r="X591" s="3"/>
      <c r="Y591" s="3"/>
      <c r="Z591" s="3"/>
    </row>
    <row r="592" spans="1:26" ht="14.25" customHeight="1">
      <c r="A592" s="1"/>
      <c r="B592" s="1"/>
      <c r="C592" s="1"/>
      <c r="D592" s="1"/>
      <c r="E592" s="19"/>
      <c r="F592" s="3"/>
      <c r="G592" s="3"/>
      <c r="H592" s="3"/>
      <c r="I592" s="3"/>
      <c r="J592" s="3"/>
      <c r="K592" s="3"/>
      <c r="L592" s="3"/>
      <c r="M592" s="3"/>
      <c r="N592" s="3"/>
      <c r="O592" s="3"/>
      <c r="P592" s="3"/>
      <c r="Q592" s="3"/>
      <c r="R592" s="3"/>
      <c r="S592" s="3"/>
      <c r="T592" s="3"/>
      <c r="U592" s="3"/>
      <c r="V592" s="3"/>
      <c r="W592" s="3"/>
      <c r="X592" s="3"/>
      <c r="Y592" s="3"/>
      <c r="Z592" s="3"/>
    </row>
    <row r="593" spans="1:26" ht="14.25" customHeight="1">
      <c r="A593" s="1"/>
      <c r="B593" s="1"/>
      <c r="C593" s="1"/>
      <c r="D593" s="1"/>
      <c r="E593" s="19"/>
      <c r="F593" s="3"/>
      <c r="G593" s="3"/>
      <c r="H593" s="3"/>
      <c r="I593" s="3"/>
      <c r="J593" s="3"/>
      <c r="K593" s="3"/>
      <c r="L593" s="3"/>
      <c r="M593" s="3"/>
      <c r="N593" s="3"/>
      <c r="O593" s="3"/>
      <c r="P593" s="3"/>
      <c r="Q593" s="3"/>
      <c r="R593" s="3"/>
      <c r="S593" s="3"/>
      <c r="T593" s="3"/>
      <c r="U593" s="3"/>
      <c r="V593" s="3"/>
      <c r="W593" s="3"/>
      <c r="X593" s="3"/>
      <c r="Y593" s="3"/>
      <c r="Z593" s="3"/>
    </row>
    <row r="594" spans="1:26" ht="14.25" customHeight="1">
      <c r="A594" s="1"/>
      <c r="B594" s="1"/>
      <c r="C594" s="1"/>
      <c r="D594" s="1"/>
      <c r="E594" s="19"/>
      <c r="F594" s="3"/>
      <c r="G594" s="3"/>
      <c r="H594" s="3"/>
      <c r="I594" s="3"/>
      <c r="J594" s="3"/>
      <c r="K594" s="3"/>
      <c r="L594" s="3"/>
      <c r="M594" s="3"/>
      <c r="N594" s="3"/>
      <c r="O594" s="3"/>
      <c r="P594" s="3"/>
      <c r="Q594" s="3"/>
      <c r="R594" s="3"/>
      <c r="S594" s="3"/>
      <c r="T594" s="3"/>
      <c r="U594" s="3"/>
      <c r="V594" s="3"/>
      <c r="W594" s="3"/>
      <c r="X594" s="3"/>
      <c r="Y594" s="3"/>
      <c r="Z594" s="3"/>
    </row>
    <row r="595" spans="1:26" ht="14.25" customHeight="1">
      <c r="A595" s="1"/>
      <c r="B595" s="1"/>
      <c r="C595" s="1"/>
      <c r="D595" s="1"/>
      <c r="E595" s="19"/>
      <c r="F595" s="3"/>
      <c r="G595" s="3"/>
      <c r="H595" s="3"/>
      <c r="I595" s="3"/>
      <c r="J595" s="3"/>
      <c r="K595" s="3"/>
      <c r="L595" s="3"/>
      <c r="M595" s="3"/>
      <c r="N595" s="3"/>
      <c r="O595" s="3"/>
      <c r="P595" s="3"/>
      <c r="Q595" s="3"/>
      <c r="R595" s="3"/>
      <c r="S595" s="3"/>
      <c r="T595" s="3"/>
      <c r="U595" s="3"/>
      <c r="V595" s="3"/>
      <c r="W595" s="3"/>
      <c r="X595" s="3"/>
      <c r="Y595" s="3"/>
      <c r="Z595" s="3"/>
    </row>
    <row r="596" spans="1:26" ht="14.25" customHeight="1">
      <c r="A596" s="1"/>
      <c r="B596" s="1"/>
      <c r="C596" s="1"/>
      <c r="D596" s="1"/>
      <c r="E596" s="19"/>
      <c r="F596" s="3"/>
      <c r="G596" s="3"/>
      <c r="H596" s="3"/>
      <c r="I596" s="3"/>
      <c r="J596" s="3"/>
      <c r="K596" s="3"/>
      <c r="L596" s="3"/>
      <c r="M596" s="3"/>
      <c r="N596" s="3"/>
      <c r="O596" s="3"/>
      <c r="P596" s="3"/>
      <c r="Q596" s="3"/>
      <c r="R596" s="3"/>
      <c r="S596" s="3"/>
      <c r="T596" s="3"/>
      <c r="U596" s="3"/>
      <c r="V596" s="3"/>
      <c r="W596" s="3"/>
      <c r="X596" s="3"/>
      <c r="Y596" s="3"/>
      <c r="Z596" s="3"/>
    </row>
    <row r="597" spans="1:26" ht="14.25" customHeight="1">
      <c r="A597" s="1"/>
      <c r="B597" s="1"/>
      <c r="C597" s="1"/>
      <c r="D597" s="1"/>
      <c r="E597" s="19"/>
      <c r="F597" s="3"/>
      <c r="G597" s="3"/>
      <c r="H597" s="3"/>
      <c r="I597" s="3"/>
      <c r="J597" s="3"/>
      <c r="K597" s="3"/>
      <c r="L597" s="3"/>
      <c r="M597" s="3"/>
      <c r="N597" s="3"/>
      <c r="O597" s="3"/>
      <c r="P597" s="3"/>
      <c r="Q597" s="3"/>
      <c r="R597" s="3"/>
      <c r="S597" s="3"/>
      <c r="T597" s="3"/>
      <c r="U597" s="3"/>
      <c r="V597" s="3"/>
      <c r="W597" s="3"/>
      <c r="X597" s="3"/>
      <c r="Y597" s="3"/>
      <c r="Z597" s="3"/>
    </row>
    <row r="598" spans="1:26" ht="14.25" customHeight="1">
      <c r="A598" s="1"/>
      <c r="B598" s="1"/>
      <c r="C598" s="1"/>
      <c r="D598" s="1"/>
      <c r="E598" s="19"/>
      <c r="F598" s="3"/>
      <c r="G598" s="3"/>
      <c r="H598" s="3"/>
      <c r="I598" s="3"/>
      <c r="J598" s="3"/>
      <c r="K598" s="3"/>
      <c r="L598" s="3"/>
      <c r="M598" s="3"/>
      <c r="N598" s="3"/>
      <c r="O598" s="3"/>
      <c r="P598" s="3"/>
      <c r="Q598" s="3"/>
      <c r="R598" s="3"/>
      <c r="S598" s="3"/>
      <c r="T598" s="3"/>
      <c r="U598" s="3"/>
      <c r="V598" s="3"/>
      <c r="W598" s="3"/>
      <c r="X598" s="3"/>
      <c r="Y598" s="3"/>
      <c r="Z598" s="3"/>
    </row>
    <row r="599" spans="1:26" ht="14.25" customHeight="1">
      <c r="A599" s="1"/>
      <c r="B599" s="1"/>
      <c r="C599" s="1"/>
      <c r="D599" s="1"/>
      <c r="E599" s="19"/>
      <c r="F599" s="3"/>
      <c r="G599" s="3"/>
      <c r="H599" s="3"/>
      <c r="I599" s="3"/>
      <c r="J599" s="3"/>
      <c r="K599" s="3"/>
      <c r="L599" s="3"/>
      <c r="M599" s="3"/>
      <c r="N599" s="3"/>
      <c r="O599" s="3"/>
      <c r="P599" s="3"/>
      <c r="Q599" s="3"/>
      <c r="R599" s="3"/>
      <c r="S599" s="3"/>
      <c r="T599" s="3"/>
      <c r="U599" s="3"/>
      <c r="V599" s="3"/>
      <c r="W599" s="3"/>
      <c r="X599" s="3"/>
      <c r="Y599" s="3"/>
      <c r="Z599" s="3"/>
    </row>
    <row r="600" spans="1:26" ht="14.25" customHeight="1">
      <c r="A600" s="1"/>
      <c r="B600" s="1"/>
      <c r="C600" s="1"/>
      <c r="D600" s="1"/>
      <c r="E600" s="19"/>
      <c r="F600" s="3"/>
      <c r="G600" s="3"/>
      <c r="H600" s="3"/>
      <c r="I600" s="3"/>
      <c r="J600" s="3"/>
      <c r="K600" s="3"/>
      <c r="L600" s="3"/>
      <c r="M600" s="3"/>
      <c r="N600" s="3"/>
      <c r="O600" s="3"/>
      <c r="P600" s="3"/>
      <c r="Q600" s="3"/>
      <c r="R600" s="3"/>
      <c r="S600" s="3"/>
      <c r="T600" s="3"/>
      <c r="U600" s="3"/>
      <c r="V600" s="3"/>
      <c r="W600" s="3"/>
      <c r="X600" s="3"/>
      <c r="Y600" s="3"/>
      <c r="Z600" s="3"/>
    </row>
    <row r="601" spans="1:26" ht="14.25" customHeight="1">
      <c r="A601" s="1"/>
      <c r="B601" s="1"/>
      <c r="C601" s="1"/>
      <c r="D601" s="1"/>
      <c r="E601" s="19"/>
      <c r="F601" s="3"/>
      <c r="G601" s="3"/>
      <c r="H601" s="3"/>
      <c r="I601" s="3"/>
      <c r="J601" s="3"/>
      <c r="K601" s="3"/>
      <c r="L601" s="3"/>
      <c r="M601" s="3"/>
      <c r="N601" s="3"/>
      <c r="O601" s="3"/>
      <c r="P601" s="3"/>
      <c r="Q601" s="3"/>
      <c r="R601" s="3"/>
      <c r="S601" s="3"/>
      <c r="T601" s="3"/>
      <c r="U601" s="3"/>
      <c r="V601" s="3"/>
      <c r="W601" s="3"/>
      <c r="X601" s="3"/>
      <c r="Y601" s="3"/>
      <c r="Z601" s="3"/>
    </row>
    <row r="602" spans="1:26" ht="14.25" customHeight="1">
      <c r="A602" s="1"/>
      <c r="B602" s="1"/>
      <c r="C602" s="1"/>
      <c r="D602" s="1"/>
      <c r="E602" s="19"/>
      <c r="F602" s="3"/>
      <c r="G602" s="3"/>
      <c r="H602" s="3"/>
      <c r="I602" s="3"/>
      <c r="J602" s="3"/>
      <c r="K602" s="3"/>
      <c r="L602" s="3"/>
      <c r="M602" s="3"/>
      <c r="N602" s="3"/>
      <c r="O602" s="3"/>
      <c r="P602" s="3"/>
      <c r="Q602" s="3"/>
      <c r="R602" s="3"/>
      <c r="S602" s="3"/>
      <c r="T602" s="3"/>
      <c r="U602" s="3"/>
      <c r="V602" s="3"/>
      <c r="W602" s="3"/>
      <c r="X602" s="3"/>
      <c r="Y602" s="3"/>
      <c r="Z602" s="3"/>
    </row>
    <row r="603" spans="1:26" ht="14.25" customHeight="1">
      <c r="A603" s="1"/>
      <c r="B603" s="1"/>
      <c r="C603" s="1"/>
      <c r="D603" s="1"/>
      <c r="E603" s="19"/>
      <c r="F603" s="3"/>
      <c r="G603" s="3"/>
      <c r="H603" s="3"/>
      <c r="I603" s="3"/>
      <c r="J603" s="3"/>
      <c r="K603" s="3"/>
      <c r="L603" s="3"/>
      <c r="M603" s="3"/>
      <c r="N603" s="3"/>
      <c r="O603" s="3"/>
      <c r="P603" s="3"/>
      <c r="Q603" s="3"/>
      <c r="R603" s="3"/>
      <c r="S603" s="3"/>
      <c r="T603" s="3"/>
      <c r="U603" s="3"/>
      <c r="V603" s="3"/>
      <c r="W603" s="3"/>
      <c r="X603" s="3"/>
      <c r="Y603" s="3"/>
      <c r="Z603" s="3"/>
    </row>
    <row r="604" spans="1:26" ht="14.25" customHeight="1">
      <c r="A604" s="1"/>
      <c r="B604" s="1"/>
      <c r="C604" s="1"/>
      <c r="D604" s="1"/>
      <c r="E604" s="19"/>
      <c r="F604" s="3"/>
      <c r="G604" s="3"/>
      <c r="H604" s="3"/>
      <c r="I604" s="3"/>
      <c r="J604" s="3"/>
      <c r="K604" s="3"/>
      <c r="L604" s="3"/>
      <c r="M604" s="3"/>
      <c r="N604" s="3"/>
      <c r="O604" s="3"/>
      <c r="P604" s="3"/>
      <c r="Q604" s="3"/>
      <c r="R604" s="3"/>
      <c r="S604" s="3"/>
      <c r="T604" s="3"/>
      <c r="U604" s="3"/>
      <c r="V604" s="3"/>
      <c r="W604" s="3"/>
      <c r="X604" s="3"/>
      <c r="Y604" s="3"/>
      <c r="Z604" s="3"/>
    </row>
    <row r="605" spans="1:26" ht="14.25" customHeight="1">
      <c r="A605" s="1"/>
      <c r="B605" s="1"/>
      <c r="C605" s="1"/>
      <c r="D605" s="1"/>
      <c r="E605" s="19"/>
      <c r="F605" s="3"/>
      <c r="G605" s="3"/>
      <c r="H605" s="3"/>
      <c r="I605" s="3"/>
      <c r="J605" s="3"/>
      <c r="K605" s="3"/>
      <c r="L605" s="3"/>
      <c r="M605" s="3"/>
      <c r="N605" s="3"/>
      <c r="O605" s="3"/>
      <c r="P605" s="3"/>
      <c r="Q605" s="3"/>
      <c r="R605" s="3"/>
      <c r="S605" s="3"/>
      <c r="T605" s="3"/>
      <c r="U605" s="3"/>
      <c r="V605" s="3"/>
      <c r="W605" s="3"/>
      <c r="X605" s="3"/>
      <c r="Y605" s="3"/>
      <c r="Z605" s="3"/>
    </row>
    <row r="606" spans="1:26" ht="14.25" customHeight="1">
      <c r="A606" s="1"/>
      <c r="B606" s="1"/>
      <c r="C606" s="1"/>
      <c r="D606" s="1"/>
      <c r="E606" s="19"/>
      <c r="F606" s="3"/>
      <c r="G606" s="3"/>
      <c r="H606" s="3"/>
      <c r="I606" s="3"/>
      <c r="J606" s="3"/>
      <c r="K606" s="3"/>
      <c r="L606" s="3"/>
      <c r="M606" s="3"/>
      <c r="N606" s="3"/>
      <c r="O606" s="3"/>
      <c r="P606" s="3"/>
      <c r="Q606" s="3"/>
      <c r="R606" s="3"/>
      <c r="S606" s="3"/>
      <c r="T606" s="3"/>
      <c r="U606" s="3"/>
      <c r="V606" s="3"/>
      <c r="W606" s="3"/>
      <c r="X606" s="3"/>
      <c r="Y606" s="3"/>
      <c r="Z606" s="3"/>
    </row>
    <row r="607" spans="1:26" ht="14.25" customHeight="1">
      <c r="A607" s="1"/>
      <c r="B607" s="1"/>
      <c r="C607" s="1"/>
      <c r="D607" s="1"/>
      <c r="E607" s="19"/>
      <c r="F607" s="3"/>
      <c r="G607" s="3"/>
      <c r="H607" s="3"/>
      <c r="I607" s="3"/>
      <c r="J607" s="3"/>
      <c r="K607" s="3"/>
      <c r="L607" s="3"/>
      <c r="M607" s="3"/>
      <c r="N607" s="3"/>
      <c r="O607" s="3"/>
      <c r="P607" s="3"/>
      <c r="Q607" s="3"/>
      <c r="R607" s="3"/>
      <c r="S607" s="3"/>
      <c r="T607" s="3"/>
      <c r="U607" s="3"/>
      <c r="V607" s="3"/>
      <c r="W607" s="3"/>
      <c r="X607" s="3"/>
      <c r="Y607" s="3"/>
      <c r="Z607" s="3"/>
    </row>
    <row r="608" spans="1:26" ht="14.25" customHeight="1">
      <c r="A608" s="1"/>
      <c r="B608" s="1"/>
      <c r="C608" s="1"/>
      <c r="D608" s="1"/>
      <c r="E608" s="19"/>
      <c r="F608" s="3"/>
      <c r="G608" s="3"/>
      <c r="H608" s="3"/>
      <c r="I608" s="3"/>
      <c r="J608" s="3"/>
      <c r="K608" s="3"/>
      <c r="L608" s="3"/>
      <c r="M608" s="3"/>
      <c r="N608" s="3"/>
      <c r="O608" s="3"/>
      <c r="P608" s="3"/>
      <c r="Q608" s="3"/>
      <c r="R608" s="3"/>
      <c r="S608" s="3"/>
      <c r="T608" s="3"/>
      <c r="U608" s="3"/>
      <c r="V608" s="3"/>
      <c r="W608" s="3"/>
      <c r="X608" s="3"/>
      <c r="Y608" s="3"/>
      <c r="Z608" s="3"/>
    </row>
    <row r="609" spans="1:26" ht="14.25" customHeight="1">
      <c r="A609" s="1"/>
      <c r="B609" s="1"/>
      <c r="C609" s="1"/>
      <c r="D609" s="1"/>
      <c r="E609" s="19"/>
      <c r="F609" s="3"/>
      <c r="G609" s="3"/>
      <c r="H609" s="3"/>
      <c r="I609" s="3"/>
      <c r="J609" s="3"/>
      <c r="K609" s="3"/>
      <c r="L609" s="3"/>
      <c r="M609" s="3"/>
      <c r="N609" s="3"/>
      <c r="O609" s="3"/>
      <c r="P609" s="3"/>
      <c r="Q609" s="3"/>
      <c r="R609" s="3"/>
      <c r="S609" s="3"/>
      <c r="T609" s="3"/>
      <c r="U609" s="3"/>
      <c r="V609" s="3"/>
      <c r="W609" s="3"/>
      <c r="X609" s="3"/>
      <c r="Y609" s="3"/>
      <c r="Z609" s="3"/>
    </row>
    <row r="610" spans="1:26" ht="14.25" customHeight="1">
      <c r="A610" s="1"/>
      <c r="B610" s="1"/>
      <c r="C610" s="1"/>
      <c r="D610" s="1"/>
      <c r="E610" s="19"/>
      <c r="F610" s="3"/>
      <c r="G610" s="3"/>
      <c r="H610" s="3"/>
      <c r="I610" s="3"/>
      <c r="J610" s="3"/>
      <c r="K610" s="3"/>
      <c r="L610" s="3"/>
      <c r="M610" s="3"/>
      <c r="N610" s="3"/>
      <c r="O610" s="3"/>
      <c r="P610" s="3"/>
      <c r="Q610" s="3"/>
      <c r="R610" s="3"/>
      <c r="S610" s="3"/>
      <c r="T610" s="3"/>
      <c r="U610" s="3"/>
      <c r="V610" s="3"/>
      <c r="W610" s="3"/>
      <c r="X610" s="3"/>
      <c r="Y610" s="3"/>
      <c r="Z610" s="3"/>
    </row>
    <row r="611" spans="1:26" ht="14.25" customHeight="1">
      <c r="A611" s="1"/>
      <c r="B611" s="1"/>
      <c r="C611" s="1"/>
      <c r="D611" s="1"/>
      <c r="E611" s="19"/>
      <c r="F611" s="3"/>
      <c r="G611" s="3"/>
      <c r="H611" s="3"/>
      <c r="I611" s="3"/>
      <c r="J611" s="3"/>
      <c r="K611" s="3"/>
      <c r="L611" s="3"/>
      <c r="M611" s="3"/>
      <c r="N611" s="3"/>
      <c r="O611" s="3"/>
      <c r="P611" s="3"/>
      <c r="Q611" s="3"/>
      <c r="R611" s="3"/>
      <c r="S611" s="3"/>
      <c r="T611" s="3"/>
      <c r="U611" s="3"/>
      <c r="V611" s="3"/>
      <c r="W611" s="3"/>
      <c r="X611" s="3"/>
      <c r="Y611" s="3"/>
      <c r="Z611" s="3"/>
    </row>
    <row r="612" spans="1:26" ht="14.25" customHeight="1">
      <c r="A612" s="1"/>
      <c r="B612" s="1"/>
      <c r="C612" s="1"/>
      <c r="D612" s="1"/>
      <c r="E612" s="19"/>
      <c r="F612" s="3"/>
      <c r="G612" s="3"/>
      <c r="H612" s="3"/>
      <c r="I612" s="3"/>
      <c r="J612" s="3"/>
      <c r="K612" s="3"/>
      <c r="L612" s="3"/>
      <c r="M612" s="3"/>
      <c r="N612" s="3"/>
      <c r="O612" s="3"/>
      <c r="P612" s="3"/>
      <c r="Q612" s="3"/>
      <c r="R612" s="3"/>
      <c r="S612" s="3"/>
      <c r="T612" s="3"/>
      <c r="U612" s="3"/>
      <c r="V612" s="3"/>
      <c r="W612" s="3"/>
      <c r="X612" s="3"/>
      <c r="Y612" s="3"/>
      <c r="Z612" s="3"/>
    </row>
    <row r="613" spans="1:26" ht="14.25" customHeight="1">
      <c r="A613" s="1"/>
      <c r="B613" s="1"/>
      <c r="C613" s="1"/>
      <c r="D613" s="1"/>
      <c r="E613" s="19"/>
      <c r="F613" s="3"/>
      <c r="G613" s="3"/>
      <c r="H613" s="3"/>
      <c r="I613" s="3"/>
      <c r="J613" s="3"/>
      <c r="K613" s="3"/>
      <c r="L613" s="3"/>
      <c r="M613" s="3"/>
      <c r="N613" s="3"/>
      <c r="O613" s="3"/>
      <c r="P613" s="3"/>
      <c r="Q613" s="3"/>
      <c r="R613" s="3"/>
      <c r="S613" s="3"/>
      <c r="T613" s="3"/>
      <c r="U613" s="3"/>
      <c r="V613" s="3"/>
      <c r="W613" s="3"/>
      <c r="X613" s="3"/>
      <c r="Y613" s="3"/>
      <c r="Z613" s="3"/>
    </row>
    <row r="614" spans="1:26" ht="14.25" customHeight="1">
      <c r="A614" s="1"/>
      <c r="B614" s="1"/>
      <c r="C614" s="1"/>
      <c r="D614" s="1"/>
      <c r="E614" s="19"/>
      <c r="F614" s="3"/>
      <c r="G614" s="3"/>
      <c r="H614" s="3"/>
      <c r="I614" s="3"/>
      <c r="J614" s="3"/>
      <c r="K614" s="3"/>
      <c r="L614" s="3"/>
      <c r="M614" s="3"/>
      <c r="N614" s="3"/>
      <c r="O614" s="3"/>
      <c r="P614" s="3"/>
      <c r="Q614" s="3"/>
      <c r="R614" s="3"/>
      <c r="S614" s="3"/>
      <c r="T614" s="3"/>
      <c r="U614" s="3"/>
      <c r="V614" s="3"/>
      <c r="W614" s="3"/>
      <c r="X614" s="3"/>
      <c r="Y614" s="3"/>
      <c r="Z614" s="3"/>
    </row>
    <row r="615" spans="1:26" ht="14.25" customHeight="1">
      <c r="A615" s="1"/>
      <c r="B615" s="1"/>
      <c r="C615" s="1"/>
      <c r="D615" s="1"/>
      <c r="E615" s="19"/>
      <c r="F615" s="3"/>
      <c r="G615" s="3"/>
      <c r="H615" s="3"/>
      <c r="I615" s="3"/>
      <c r="J615" s="3"/>
      <c r="K615" s="3"/>
      <c r="L615" s="3"/>
      <c r="M615" s="3"/>
      <c r="N615" s="3"/>
      <c r="O615" s="3"/>
      <c r="P615" s="3"/>
      <c r="Q615" s="3"/>
      <c r="R615" s="3"/>
      <c r="S615" s="3"/>
      <c r="T615" s="3"/>
      <c r="U615" s="3"/>
      <c r="V615" s="3"/>
      <c r="W615" s="3"/>
      <c r="X615" s="3"/>
      <c r="Y615" s="3"/>
      <c r="Z615" s="3"/>
    </row>
    <row r="616" spans="1:26" ht="14.25" customHeight="1">
      <c r="A616" s="1"/>
      <c r="B616" s="1"/>
      <c r="C616" s="1"/>
      <c r="D616" s="1"/>
      <c r="E616" s="19"/>
      <c r="F616" s="3"/>
      <c r="G616" s="3"/>
      <c r="H616" s="3"/>
      <c r="I616" s="3"/>
      <c r="J616" s="3"/>
      <c r="K616" s="3"/>
      <c r="L616" s="3"/>
      <c r="M616" s="3"/>
      <c r="N616" s="3"/>
      <c r="O616" s="3"/>
      <c r="P616" s="3"/>
      <c r="Q616" s="3"/>
      <c r="R616" s="3"/>
      <c r="S616" s="3"/>
      <c r="T616" s="3"/>
      <c r="U616" s="3"/>
      <c r="V616" s="3"/>
      <c r="W616" s="3"/>
      <c r="X616" s="3"/>
      <c r="Y616" s="3"/>
      <c r="Z616" s="3"/>
    </row>
    <row r="617" spans="1:26" ht="14.25" customHeight="1">
      <c r="A617" s="1"/>
      <c r="B617" s="1"/>
      <c r="C617" s="1"/>
      <c r="D617" s="1"/>
      <c r="E617" s="19"/>
      <c r="F617" s="3"/>
      <c r="G617" s="3"/>
      <c r="H617" s="3"/>
      <c r="I617" s="3"/>
      <c r="J617" s="3"/>
      <c r="K617" s="3"/>
      <c r="L617" s="3"/>
      <c r="M617" s="3"/>
      <c r="N617" s="3"/>
      <c r="O617" s="3"/>
      <c r="P617" s="3"/>
      <c r="Q617" s="3"/>
      <c r="R617" s="3"/>
      <c r="S617" s="3"/>
      <c r="T617" s="3"/>
      <c r="U617" s="3"/>
      <c r="V617" s="3"/>
      <c r="W617" s="3"/>
      <c r="X617" s="3"/>
      <c r="Y617" s="3"/>
      <c r="Z617" s="3"/>
    </row>
    <row r="618" spans="1:26" ht="14.25" customHeight="1">
      <c r="A618" s="1"/>
      <c r="B618" s="1"/>
      <c r="C618" s="1"/>
      <c r="D618" s="1"/>
      <c r="E618" s="19"/>
      <c r="F618" s="3"/>
      <c r="G618" s="3"/>
      <c r="H618" s="3"/>
      <c r="I618" s="3"/>
      <c r="J618" s="3"/>
      <c r="K618" s="3"/>
      <c r="L618" s="3"/>
      <c r="M618" s="3"/>
      <c r="N618" s="3"/>
      <c r="O618" s="3"/>
      <c r="P618" s="3"/>
      <c r="Q618" s="3"/>
      <c r="R618" s="3"/>
      <c r="S618" s="3"/>
      <c r="T618" s="3"/>
      <c r="U618" s="3"/>
      <c r="V618" s="3"/>
      <c r="W618" s="3"/>
      <c r="X618" s="3"/>
      <c r="Y618" s="3"/>
      <c r="Z618" s="3"/>
    </row>
    <row r="619" spans="1:26" ht="14.25" customHeight="1">
      <c r="A619" s="1"/>
      <c r="B619" s="1"/>
      <c r="C619" s="1"/>
      <c r="D619" s="1"/>
      <c r="E619" s="19"/>
      <c r="F619" s="3"/>
      <c r="G619" s="3"/>
      <c r="H619" s="3"/>
      <c r="I619" s="3"/>
      <c r="J619" s="3"/>
      <c r="K619" s="3"/>
      <c r="L619" s="3"/>
      <c r="M619" s="3"/>
      <c r="N619" s="3"/>
      <c r="O619" s="3"/>
      <c r="P619" s="3"/>
      <c r="Q619" s="3"/>
      <c r="R619" s="3"/>
      <c r="S619" s="3"/>
      <c r="T619" s="3"/>
      <c r="U619" s="3"/>
      <c r="V619" s="3"/>
      <c r="W619" s="3"/>
      <c r="X619" s="3"/>
      <c r="Y619" s="3"/>
      <c r="Z619" s="3"/>
    </row>
    <row r="620" spans="1:26" ht="14.25" customHeight="1">
      <c r="A620" s="1"/>
      <c r="B620" s="1"/>
      <c r="C620" s="1"/>
      <c r="D620" s="1"/>
      <c r="E620" s="19"/>
      <c r="F620" s="3"/>
      <c r="G620" s="3"/>
      <c r="H620" s="3"/>
      <c r="I620" s="3"/>
      <c r="J620" s="3"/>
      <c r="K620" s="3"/>
      <c r="L620" s="3"/>
      <c r="M620" s="3"/>
      <c r="N620" s="3"/>
      <c r="O620" s="3"/>
      <c r="P620" s="3"/>
      <c r="Q620" s="3"/>
      <c r="R620" s="3"/>
      <c r="S620" s="3"/>
      <c r="T620" s="3"/>
      <c r="U620" s="3"/>
      <c r="V620" s="3"/>
      <c r="W620" s="3"/>
      <c r="X620" s="3"/>
      <c r="Y620" s="3"/>
      <c r="Z620" s="3"/>
    </row>
    <row r="621" spans="1:26" ht="14.25" customHeight="1">
      <c r="A621" s="1"/>
      <c r="B621" s="1"/>
      <c r="C621" s="1"/>
      <c r="D621" s="1"/>
      <c r="E621" s="19"/>
      <c r="F621" s="3"/>
      <c r="G621" s="3"/>
      <c r="H621" s="3"/>
      <c r="I621" s="3"/>
      <c r="J621" s="3"/>
      <c r="K621" s="3"/>
      <c r="L621" s="3"/>
      <c r="M621" s="3"/>
      <c r="N621" s="3"/>
      <c r="O621" s="3"/>
      <c r="P621" s="3"/>
      <c r="Q621" s="3"/>
      <c r="R621" s="3"/>
      <c r="S621" s="3"/>
      <c r="T621" s="3"/>
      <c r="U621" s="3"/>
      <c r="V621" s="3"/>
      <c r="W621" s="3"/>
      <c r="X621" s="3"/>
      <c r="Y621" s="3"/>
      <c r="Z621" s="3"/>
    </row>
    <row r="622" spans="1:26" ht="14.25" customHeight="1">
      <c r="A622" s="1"/>
      <c r="B622" s="1"/>
      <c r="C622" s="1"/>
      <c r="D622" s="1"/>
      <c r="E622" s="19"/>
      <c r="F622" s="3"/>
      <c r="G622" s="3"/>
      <c r="H622" s="3"/>
      <c r="I622" s="3"/>
      <c r="J622" s="3"/>
      <c r="K622" s="3"/>
      <c r="L622" s="3"/>
      <c r="M622" s="3"/>
      <c r="N622" s="3"/>
      <c r="O622" s="3"/>
      <c r="P622" s="3"/>
      <c r="Q622" s="3"/>
      <c r="R622" s="3"/>
      <c r="S622" s="3"/>
      <c r="T622" s="3"/>
      <c r="U622" s="3"/>
      <c r="V622" s="3"/>
      <c r="W622" s="3"/>
      <c r="X622" s="3"/>
      <c r="Y622" s="3"/>
      <c r="Z622" s="3"/>
    </row>
    <row r="623" spans="1:26" ht="14.25" customHeight="1">
      <c r="A623" s="1"/>
      <c r="B623" s="1"/>
      <c r="C623" s="1"/>
      <c r="D623" s="1"/>
      <c r="E623" s="19"/>
      <c r="F623" s="3"/>
      <c r="G623" s="3"/>
      <c r="H623" s="3"/>
      <c r="I623" s="3"/>
      <c r="J623" s="3"/>
      <c r="K623" s="3"/>
      <c r="L623" s="3"/>
      <c r="M623" s="3"/>
      <c r="N623" s="3"/>
      <c r="O623" s="3"/>
      <c r="P623" s="3"/>
      <c r="Q623" s="3"/>
      <c r="R623" s="3"/>
      <c r="S623" s="3"/>
      <c r="T623" s="3"/>
      <c r="U623" s="3"/>
      <c r="V623" s="3"/>
      <c r="W623" s="3"/>
      <c r="X623" s="3"/>
      <c r="Y623" s="3"/>
      <c r="Z623" s="3"/>
    </row>
    <row r="624" spans="1:26" ht="14.25" customHeight="1">
      <c r="A624" s="1"/>
      <c r="B624" s="1"/>
      <c r="C624" s="1"/>
      <c r="D624" s="1"/>
      <c r="E624" s="19"/>
      <c r="F624" s="3"/>
      <c r="G624" s="3"/>
      <c r="H624" s="3"/>
      <c r="I624" s="3"/>
      <c r="J624" s="3"/>
      <c r="K624" s="3"/>
      <c r="L624" s="3"/>
      <c r="M624" s="3"/>
      <c r="N624" s="3"/>
      <c r="O624" s="3"/>
      <c r="P624" s="3"/>
      <c r="Q624" s="3"/>
      <c r="R624" s="3"/>
      <c r="S624" s="3"/>
      <c r="T624" s="3"/>
      <c r="U624" s="3"/>
      <c r="V624" s="3"/>
      <c r="W624" s="3"/>
      <c r="X624" s="3"/>
      <c r="Y624" s="3"/>
      <c r="Z624" s="3"/>
    </row>
    <row r="625" spans="1:26" ht="14.25" customHeight="1">
      <c r="A625" s="1"/>
      <c r="B625" s="1"/>
      <c r="C625" s="1"/>
      <c r="D625" s="1"/>
      <c r="E625" s="19"/>
      <c r="F625" s="3"/>
      <c r="G625" s="3"/>
      <c r="H625" s="3"/>
      <c r="I625" s="3"/>
      <c r="J625" s="3"/>
      <c r="K625" s="3"/>
      <c r="L625" s="3"/>
      <c r="M625" s="3"/>
      <c r="N625" s="3"/>
      <c r="O625" s="3"/>
      <c r="P625" s="3"/>
      <c r="Q625" s="3"/>
      <c r="R625" s="3"/>
      <c r="S625" s="3"/>
      <c r="T625" s="3"/>
      <c r="U625" s="3"/>
      <c r="V625" s="3"/>
      <c r="W625" s="3"/>
      <c r="X625" s="3"/>
      <c r="Y625" s="3"/>
      <c r="Z625" s="3"/>
    </row>
    <row r="626" spans="1:26" ht="14.25" customHeight="1">
      <c r="A626" s="1"/>
      <c r="B626" s="1"/>
      <c r="C626" s="1"/>
      <c r="D626" s="1"/>
      <c r="E626" s="19"/>
      <c r="F626" s="3"/>
      <c r="G626" s="3"/>
      <c r="H626" s="3"/>
      <c r="I626" s="3"/>
      <c r="J626" s="3"/>
      <c r="K626" s="3"/>
      <c r="L626" s="3"/>
      <c r="M626" s="3"/>
      <c r="N626" s="3"/>
      <c r="O626" s="3"/>
      <c r="P626" s="3"/>
      <c r="Q626" s="3"/>
      <c r="R626" s="3"/>
      <c r="S626" s="3"/>
      <c r="T626" s="3"/>
      <c r="U626" s="3"/>
      <c r="V626" s="3"/>
      <c r="W626" s="3"/>
      <c r="X626" s="3"/>
      <c r="Y626" s="3"/>
      <c r="Z626" s="3"/>
    </row>
    <row r="627" spans="1:26" ht="14.25" customHeight="1">
      <c r="A627" s="1"/>
      <c r="B627" s="1"/>
      <c r="C627" s="1"/>
      <c r="D627" s="1"/>
      <c r="E627" s="19"/>
      <c r="F627" s="3"/>
      <c r="G627" s="3"/>
      <c r="H627" s="3"/>
      <c r="I627" s="3"/>
      <c r="J627" s="3"/>
      <c r="K627" s="3"/>
      <c r="L627" s="3"/>
      <c r="M627" s="3"/>
      <c r="N627" s="3"/>
      <c r="O627" s="3"/>
      <c r="P627" s="3"/>
      <c r="Q627" s="3"/>
      <c r="R627" s="3"/>
      <c r="S627" s="3"/>
      <c r="T627" s="3"/>
      <c r="U627" s="3"/>
      <c r="V627" s="3"/>
      <c r="W627" s="3"/>
      <c r="X627" s="3"/>
      <c r="Y627" s="3"/>
      <c r="Z627" s="3"/>
    </row>
    <row r="628" spans="1:26" ht="14.25" customHeight="1">
      <c r="A628" s="1"/>
      <c r="B628" s="1"/>
      <c r="C628" s="1"/>
      <c r="D628" s="1"/>
      <c r="E628" s="19"/>
      <c r="F628" s="3"/>
      <c r="G628" s="3"/>
      <c r="H628" s="3"/>
      <c r="I628" s="3"/>
      <c r="J628" s="3"/>
      <c r="K628" s="3"/>
      <c r="L628" s="3"/>
      <c r="M628" s="3"/>
      <c r="N628" s="3"/>
      <c r="O628" s="3"/>
      <c r="P628" s="3"/>
      <c r="Q628" s="3"/>
      <c r="R628" s="3"/>
      <c r="S628" s="3"/>
      <c r="T628" s="3"/>
      <c r="U628" s="3"/>
      <c r="V628" s="3"/>
      <c r="W628" s="3"/>
      <c r="X628" s="3"/>
      <c r="Y628" s="3"/>
      <c r="Z628" s="3"/>
    </row>
    <row r="629" spans="1:26" ht="14.25" customHeight="1">
      <c r="A629" s="1"/>
      <c r="B629" s="1"/>
      <c r="C629" s="1"/>
      <c r="D629" s="1"/>
      <c r="E629" s="19"/>
      <c r="F629" s="3"/>
      <c r="G629" s="3"/>
      <c r="H629" s="3"/>
      <c r="I629" s="3"/>
      <c r="J629" s="3"/>
      <c r="K629" s="3"/>
      <c r="L629" s="3"/>
      <c r="M629" s="3"/>
      <c r="N629" s="3"/>
      <c r="O629" s="3"/>
      <c r="P629" s="3"/>
      <c r="Q629" s="3"/>
      <c r="R629" s="3"/>
      <c r="S629" s="3"/>
      <c r="T629" s="3"/>
      <c r="U629" s="3"/>
      <c r="V629" s="3"/>
      <c r="W629" s="3"/>
      <c r="X629" s="3"/>
      <c r="Y629" s="3"/>
      <c r="Z629" s="3"/>
    </row>
    <row r="630" spans="1:26" ht="14.25" customHeight="1">
      <c r="A630" s="1"/>
      <c r="B630" s="1"/>
      <c r="C630" s="1"/>
      <c r="D630" s="1"/>
      <c r="E630" s="19"/>
      <c r="F630" s="3"/>
      <c r="G630" s="3"/>
      <c r="H630" s="3"/>
      <c r="I630" s="3"/>
      <c r="J630" s="3"/>
      <c r="K630" s="3"/>
      <c r="L630" s="3"/>
      <c r="M630" s="3"/>
      <c r="N630" s="3"/>
      <c r="O630" s="3"/>
      <c r="P630" s="3"/>
      <c r="Q630" s="3"/>
      <c r="R630" s="3"/>
      <c r="S630" s="3"/>
      <c r="T630" s="3"/>
      <c r="U630" s="3"/>
      <c r="V630" s="3"/>
      <c r="W630" s="3"/>
      <c r="X630" s="3"/>
      <c r="Y630" s="3"/>
      <c r="Z630" s="3"/>
    </row>
    <row r="631" spans="1:26" ht="14.25" customHeight="1">
      <c r="A631" s="1"/>
      <c r="B631" s="1"/>
      <c r="C631" s="1"/>
      <c r="D631" s="1"/>
      <c r="E631" s="19"/>
      <c r="F631" s="3"/>
      <c r="G631" s="3"/>
      <c r="H631" s="3"/>
      <c r="I631" s="3"/>
      <c r="J631" s="3"/>
      <c r="K631" s="3"/>
      <c r="L631" s="3"/>
      <c r="M631" s="3"/>
      <c r="N631" s="3"/>
      <c r="O631" s="3"/>
      <c r="P631" s="3"/>
      <c r="Q631" s="3"/>
      <c r="R631" s="3"/>
      <c r="S631" s="3"/>
      <c r="T631" s="3"/>
      <c r="U631" s="3"/>
      <c r="V631" s="3"/>
      <c r="W631" s="3"/>
      <c r="X631" s="3"/>
      <c r="Y631" s="3"/>
      <c r="Z631" s="3"/>
    </row>
    <row r="632" spans="1:26" ht="14.25" customHeight="1">
      <c r="A632" s="1"/>
      <c r="B632" s="1"/>
      <c r="C632" s="1"/>
      <c r="D632" s="1"/>
      <c r="E632" s="19"/>
      <c r="F632" s="3"/>
      <c r="G632" s="3"/>
      <c r="H632" s="3"/>
      <c r="I632" s="3"/>
      <c r="J632" s="3"/>
      <c r="K632" s="3"/>
      <c r="L632" s="3"/>
      <c r="M632" s="3"/>
      <c r="N632" s="3"/>
      <c r="O632" s="3"/>
      <c r="P632" s="3"/>
      <c r="Q632" s="3"/>
      <c r="R632" s="3"/>
      <c r="S632" s="3"/>
      <c r="T632" s="3"/>
      <c r="U632" s="3"/>
      <c r="V632" s="3"/>
      <c r="W632" s="3"/>
      <c r="X632" s="3"/>
      <c r="Y632" s="3"/>
      <c r="Z632" s="3"/>
    </row>
    <row r="633" spans="1:26" ht="14.25" customHeight="1">
      <c r="A633" s="1"/>
      <c r="B633" s="1"/>
      <c r="C633" s="1"/>
      <c r="D633" s="1"/>
      <c r="E633" s="19"/>
      <c r="F633" s="3"/>
      <c r="G633" s="3"/>
      <c r="H633" s="3"/>
      <c r="I633" s="3"/>
      <c r="J633" s="3"/>
      <c r="K633" s="3"/>
      <c r="L633" s="3"/>
      <c r="M633" s="3"/>
      <c r="N633" s="3"/>
      <c r="O633" s="3"/>
      <c r="P633" s="3"/>
      <c r="Q633" s="3"/>
      <c r="R633" s="3"/>
      <c r="S633" s="3"/>
      <c r="T633" s="3"/>
      <c r="U633" s="3"/>
      <c r="V633" s="3"/>
      <c r="W633" s="3"/>
      <c r="X633" s="3"/>
      <c r="Y633" s="3"/>
      <c r="Z633" s="3"/>
    </row>
    <row r="634" spans="1:26" ht="14.25" customHeight="1">
      <c r="A634" s="1"/>
      <c r="B634" s="1"/>
      <c r="C634" s="1"/>
      <c r="D634" s="1"/>
      <c r="E634" s="19"/>
      <c r="F634" s="3"/>
      <c r="G634" s="3"/>
      <c r="H634" s="3"/>
      <c r="I634" s="3"/>
      <c r="J634" s="3"/>
      <c r="K634" s="3"/>
      <c r="L634" s="3"/>
      <c r="M634" s="3"/>
      <c r="N634" s="3"/>
      <c r="O634" s="3"/>
      <c r="P634" s="3"/>
      <c r="Q634" s="3"/>
      <c r="R634" s="3"/>
      <c r="S634" s="3"/>
      <c r="T634" s="3"/>
      <c r="U634" s="3"/>
      <c r="V634" s="3"/>
      <c r="W634" s="3"/>
      <c r="X634" s="3"/>
      <c r="Y634" s="3"/>
      <c r="Z634" s="3"/>
    </row>
    <row r="635" spans="1:26" ht="14.25" customHeight="1">
      <c r="A635" s="1"/>
      <c r="B635" s="1"/>
      <c r="C635" s="1"/>
      <c r="D635" s="1"/>
      <c r="E635" s="19"/>
      <c r="F635" s="3"/>
      <c r="G635" s="3"/>
      <c r="H635" s="3"/>
      <c r="I635" s="3"/>
      <c r="J635" s="3"/>
      <c r="K635" s="3"/>
      <c r="L635" s="3"/>
      <c r="M635" s="3"/>
      <c r="N635" s="3"/>
      <c r="O635" s="3"/>
      <c r="P635" s="3"/>
      <c r="Q635" s="3"/>
      <c r="R635" s="3"/>
      <c r="S635" s="3"/>
      <c r="T635" s="3"/>
      <c r="U635" s="3"/>
      <c r="V635" s="3"/>
      <c r="W635" s="3"/>
      <c r="X635" s="3"/>
      <c r="Y635" s="3"/>
      <c r="Z635" s="3"/>
    </row>
    <row r="636" spans="1:26" ht="14.25" customHeight="1">
      <c r="A636" s="1"/>
      <c r="B636" s="1"/>
      <c r="C636" s="1"/>
      <c r="D636" s="1"/>
      <c r="E636" s="19"/>
      <c r="F636" s="3"/>
      <c r="G636" s="3"/>
      <c r="H636" s="3"/>
      <c r="I636" s="3"/>
      <c r="J636" s="3"/>
      <c r="K636" s="3"/>
      <c r="L636" s="3"/>
      <c r="M636" s="3"/>
      <c r="N636" s="3"/>
      <c r="O636" s="3"/>
      <c r="P636" s="3"/>
      <c r="Q636" s="3"/>
      <c r="R636" s="3"/>
      <c r="S636" s="3"/>
      <c r="T636" s="3"/>
      <c r="U636" s="3"/>
      <c r="V636" s="3"/>
      <c r="W636" s="3"/>
      <c r="X636" s="3"/>
      <c r="Y636" s="3"/>
      <c r="Z636" s="3"/>
    </row>
    <row r="637" spans="1:26" ht="14.25" customHeight="1">
      <c r="A637" s="1"/>
      <c r="B637" s="1"/>
      <c r="C637" s="1"/>
      <c r="D637" s="1"/>
      <c r="E637" s="19"/>
      <c r="F637" s="3"/>
      <c r="G637" s="3"/>
      <c r="H637" s="3"/>
      <c r="I637" s="3"/>
      <c r="J637" s="3"/>
      <c r="K637" s="3"/>
      <c r="L637" s="3"/>
      <c r="M637" s="3"/>
      <c r="N637" s="3"/>
      <c r="O637" s="3"/>
      <c r="P637" s="3"/>
      <c r="Q637" s="3"/>
      <c r="R637" s="3"/>
      <c r="S637" s="3"/>
      <c r="T637" s="3"/>
      <c r="U637" s="3"/>
      <c r="V637" s="3"/>
      <c r="W637" s="3"/>
      <c r="X637" s="3"/>
      <c r="Y637" s="3"/>
      <c r="Z637" s="3"/>
    </row>
    <row r="638" spans="1:26" ht="14.25" customHeight="1">
      <c r="A638" s="1"/>
      <c r="B638" s="1"/>
      <c r="C638" s="1"/>
      <c r="D638" s="1"/>
      <c r="E638" s="19"/>
      <c r="F638" s="3"/>
      <c r="G638" s="3"/>
      <c r="H638" s="3"/>
      <c r="I638" s="3"/>
      <c r="J638" s="3"/>
      <c r="K638" s="3"/>
      <c r="L638" s="3"/>
      <c r="M638" s="3"/>
      <c r="N638" s="3"/>
      <c r="O638" s="3"/>
      <c r="P638" s="3"/>
      <c r="Q638" s="3"/>
      <c r="R638" s="3"/>
      <c r="S638" s="3"/>
      <c r="T638" s="3"/>
      <c r="U638" s="3"/>
      <c r="V638" s="3"/>
      <c r="W638" s="3"/>
      <c r="X638" s="3"/>
      <c r="Y638" s="3"/>
      <c r="Z638" s="3"/>
    </row>
    <row r="639" spans="1:26" ht="14.25" customHeight="1">
      <c r="A639" s="1"/>
      <c r="B639" s="1"/>
      <c r="C639" s="1"/>
      <c r="D639" s="1"/>
      <c r="E639" s="19"/>
      <c r="F639" s="3"/>
      <c r="G639" s="3"/>
      <c r="H639" s="3"/>
      <c r="I639" s="3"/>
      <c r="J639" s="3"/>
      <c r="K639" s="3"/>
      <c r="L639" s="3"/>
      <c r="M639" s="3"/>
      <c r="N639" s="3"/>
      <c r="O639" s="3"/>
      <c r="P639" s="3"/>
      <c r="Q639" s="3"/>
      <c r="R639" s="3"/>
      <c r="S639" s="3"/>
      <c r="T639" s="3"/>
      <c r="U639" s="3"/>
      <c r="V639" s="3"/>
      <c r="W639" s="3"/>
      <c r="X639" s="3"/>
      <c r="Y639" s="3"/>
      <c r="Z639" s="3"/>
    </row>
    <row r="640" spans="1:26" ht="14.25" customHeight="1">
      <c r="A640" s="1"/>
      <c r="B640" s="1"/>
      <c r="C640" s="1"/>
      <c r="D640" s="1"/>
      <c r="E640" s="19"/>
      <c r="F640" s="3"/>
      <c r="G640" s="3"/>
      <c r="H640" s="3"/>
      <c r="I640" s="3"/>
      <c r="J640" s="3"/>
      <c r="K640" s="3"/>
      <c r="L640" s="3"/>
      <c r="M640" s="3"/>
      <c r="N640" s="3"/>
      <c r="O640" s="3"/>
      <c r="P640" s="3"/>
      <c r="Q640" s="3"/>
      <c r="R640" s="3"/>
      <c r="S640" s="3"/>
      <c r="T640" s="3"/>
      <c r="U640" s="3"/>
      <c r="V640" s="3"/>
      <c r="W640" s="3"/>
      <c r="X640" s="3"/>
      <c r="Y640" s="3"/>
      <c r="Z640" s="3"/>
    </row>
    <row r="641" spans="1:26" ht="14.25" customHeight="1">
      <c r="A641" s="1"/>
      <c r="B641" s="1"/>
      <c r="C641" s="1"/>
      <c r="D641" s="1"/>
      <c r="E641" s="19"/>
      <c r="F641" s="3"/>
      <c r="G641" s="3"/>
      <c r="H641" s="3"/>
      <c r="I641" s="3"/>
      <c r="J641" s="3"/>
      <c r="K641" s="3"/>
      <c r="L641" s="3"/>
      <c r="M641" s="3"/>
      <c r="N641" s="3"/>
      <c r="O641" s="3"/>
      <c r="P641" s="3"/>
      <c r="Q641" s="3"/>
      <c r="R641" s="3"/>
      <c r="S641" s="3"/>
      <c r="T641" s="3"/>
      <c r="U641" s="3"/>
      <c r="V641" s="3"/>
      <c r="W641" s="3"/>
      <c r="X641" s="3"/>
      <c r="Y641" s="3"/>
      <c r="Z641" s="3"/>
    </row>
    <row r="642" spans="1:26" ht="14.25" customHeight="1">
      <c r="A642" s="1"/>
      <c r="B642" s="1"/>
      <c r="C642" s="1"/>
      <c r="D642" s="1"/>
      <c r="E642" s="19"/>
      <c r="F642" s="3"/>
      <c r="G642" s="3"/>
      <c r="H642" s="3"/>
      <c r="I642" s="3"/>
      <c r="J642" s="3"/>
      <c r="K642" s="3"/>
      <c r="L642" s="3"/>
      <c r="M642" s="3"/>
      <c r="N642" s="3"/>
      <c r="O642" s="3"/>
      <c r="P642" s="3"/>
      <c r="Q642" s="3"/>
      <c r="R642" s="3"/>
      <c r="S642" s="3"/>
      <c r="T642" s="3"/>
      <c r="U642" s="3"/>
      <c r="V642" s="3"/>
      <c r="W642" s="3"/>
      <c r="X642" s="3"/>
      <c r="Y642" s="3"/>
      <c r="Z642" s="3"/>
    </row>
    <row r="643" spans="1:26" ht="14.25" customHeight="1">
      <c r="A643" s="1"/>
      <c r="B643" s="1"/>
      <c r="C643" s="1"/>
      <c r="D643" s="1"/>
      <c r="E643" s="19"/>
      <c r="F643" s="3"/>
      <c r="G643" s="3"/>
      <c r="H643" s="3"/>
      <c r="I643" s="3"/>
      <c r="J643" s="3"/>
      <c r="K643" s="3"/>
      <c r="L643" s="3"/>
      <c r="M643" s="3"/>
      <c r="N643" s="3"/>
      <c r="O643" s="3"/>
      <c r="P643" s="3"/>
      <c r="Q643" s="3"/>
      <c r="R643" s="3"/>
      <c r="S643" s="3"/>
      <c r="T643" s="3"/>
      <c r="U643" s="3"/>
      <c r="V643" s="3"/>
      <c r="W643" s="3"/>
      <c r="X643" s="3"/>
      <c r="Y643" s="3"/>
      <c r="Z643" s="3"/>
    </row>
    <row r="644" spans="1:26" ht="14.25" customHeight="1">
      <c r="A644" s="1"/>
      <c r="B644" s="1"/>
      <c r="C644" s="1"/>
      <c r="D644" s="1"/>
      <c r="E644" s="19"/>
      <c r="F644" s="3"/>
      <c r="G644" s="3"/>
      <c r="H644" s="3"/>
      <c r="I644" s="3"/>
      <c r="J644" s="3"/>
      <c r="K644" s="3"/>
      <c r="L644" s="3"/>
      <c r="M644" s="3"/>
      <c r="N644" s="3"/>
      <c r="O644" s="3"/>
      <c r="P644" s="3"/>
      <c r="Q644" s="3"/>
      <c r="R644" s="3"/>
      <c r="S644" s="3"/>
      <c r="T644" s="3"/>
      <c r="U644" s="3"/>
      <c r="V644" s="3"/>
      <c r="W644" s="3"/>
      <c r="X644" s="3"/>
      <c r="Y644" s="3"/>
      <c r="Z644" s="3"/>
    </row>
    <row r="645" spans="1:26" ht="14.25" customHeight="1">
      <c r="A645" s="1"/>
      <c r="B645" s="1"/>
      <c r="C645" s="1"/>
      <c r="D645" s="1"/>
      <c r="E645" s="19"/>
      <c r="F645" s="3"/>
      <c r="G645" s="3"/>
      <c r="H645" s="3"/>
      <c r="I645" s="3"/>
      <c r="J645" s="3"/>
      <c r="K645" s="3"/>
      <c r="L645" s="3"/>
      <c r="M645" s="3"/>
      <c r="N645" s="3"/>
      <c r="O645" s="3"/>
      <c r="P645" s="3"/>
      <c r="Q645" s="3"/>
      <c r="R645" s="3"/>
      <c r="S645" s="3"/>
      <c r="T645" s="3"/>
      <c r="U645" s="3"/>
      <c r="V645" s="3"/>
      <c r="W645" s="3"/>
      <c r="X645" s="3"/>
      <c r="Y645" s="3"/>
      <c r="Z645" s="3"/>
    </row>
    <row r="646" spans="1:26" ht="14.25" customHeight="1">
      <c r="A646" s="1"/>
      <c r="B646" s="1"/>
      <c r="C646" s="1"/>
      <c r="D646" s="1"/>
      <c r="E646" s="19"/>
      <c r="F646" s="3"/>
      <c r="G646" s="3"/>
      <c r="H646" s="3"/>
      <c r="I646" s="3"/>
      <c r="J646" s="3"/>
      <c r="K646" s="3"/>
      <c r="L646" s="3"/>
      <c r="M646" s="3"/>
      <c r="N646" s="3"/>
      <c r="O646" s="3"/>
      <c r="P646" s="3"/>
      <c r="Q646" s="3"/>
      <c r="R646" s="3"/>
      <c r="S646" s="3"/>
      <c r="T646" s="3"/>
      <c r="U646" s="3"/>
      <c r="V646" s="3"/>
      <c r="W646" s="3"/>
      <c r="X646" s="3"/>
      <c r="Y646" s="3"/>
      <c r="Z646" s="3"/>
    </row>
    <row r="647" spans="1:26" ht="14.25" customHeight="1">
      <c r="A647" s="1"/>
      <c r="B647" s="1"/>
      <c r="C647" s="1"/>
      <c r="D647" s="1"/>
      <c r="E647" s="19"/>
      <c r="F647" s="3"/>
      <c r="G647" s="3"/>
      <c r="H647" s="3"/>
      <c r="I647" s="3"/>
      <c r="J647" s="3"/>
      <c r="K647" s="3"/>
      <c r="L647" s="3"/>
      <c r="M647" s="3"/>
      <c r="N647" s="3"/>
      <c r="O647" s="3"/>
      <c r="P647" s="3"/>
      <c r="Q647" s="3"/>
      <c r="R647" s="3"/>
      <c r="S647" s="3"/>
      <c r="T647" s="3"/>
      <c r="U647" s="3"/>
      <c r="V647" s="3"/>
      <c r="W647" s="3"/>
      <c r="X647" s="3"/>
      <c r="Y647" s="3"/>
      <c r="Z647" s="3"/>
    </row>
    <row r="648" spans="1:26" ht="14.25" customHeight="1">
      <c r="A648" s="1"/>
      <c r="B648" s="1"/>
      <c r="C648" s="1"/>
      <c r="D648" s="1"/>
      <c r="E648" s="19"/>
      <c r="F648" s="3"/>
      <c r="G648" s="3"/>
      <c r="H648" s="3"/>
      <c r="I648" s="3"/>
      <c r="J648" s="3"/>
      <c r="K648" s="3"/>
      <c r="L648" s="3"/>
      <c r="M648" s="3"/>
      <c r="N648" s="3"/>
      <c r="O648" s="3"/>
      <c r="P648" s="3"/>
      <c r="Q648" s="3"/>
      <c r="R648" s="3"/>
      <c r="S648" s="3"/>
      <c r="T648" s="3"/>
      <c r="U648" s="3"/>
      <c r="V648" s="3"/>
      <c r="W648" s="3"/>
      <c r="X648" s="3"/>
      <c r="Y648" s="3"/>
      <c r="Z648" s="3"/>
    </row>
    <row r="649" spans="1:26" ht="14.25" customHeight="1">
      <c r="A649" s="1"/>
      <c r="B649" s="1"/>
      <c r="C649" s="1"/>
      <c r="D649" s="1"/>
      <c r="E649" s="19"/>
      <c r="F649" s="3"/>
      <c r="G649" s="3"/>
      <c r="H649" s="3"/>
      <c r="I649" s="3"/>
      <c r="J649" s="3"/>
      <c r="K649" s="3"/>
      <c r="L649" s="3"/>
      <c r="M649" s="3"/>
      <c r="N649" s="3"/>
      <c r="O649" s="3"/>
      <c r="P649" s="3"/>
      <c r="Q649" s="3"/>
      <c r="R649" s="3"/>
      <c r="S649" s="3"/>
      <c r="T649" s="3"/>
      <c r="U649" s="3"/>
      <c r="V649" s="3"/>
      <c r="W649" s="3"/>
      <c r="X649" s="3"/>
      <c r="Y649" s="3"/>
      <c r="Z649" s="3"/>
    </row>
    <row r="650" spans="1:26" ht="14.25" customHeight="1">
      <c r="A650" s="1"/>
      <c r="B650" s="1"/>
      <c r="C650" s="1"/>
      <c r="D650" s="1"/>
      <c r="E650" s="19"/>
      <c r="F650" s="3"/>
      <c r="G650" s="3"/>
      <c r="H650" s="3"/>
      <c r="I650" s="3"/>
      <c r="J650" s="3"/>
      <c r="K650" s="3"/>
      <c r="L650" s="3"/>
      <c r="M650" s="3"/>
      <c r="N650" s="3"/>
      <c r="O650" s="3"/>
      <c r="P650" s="3"/>
      <c r="Q650" s="3"/>
      <c r="R650" s="3"/>
      <c r="S650" s="3"/>
      <c r="T650" s="3"/>
      <c r="U650" s="3"/>
      <c r="V650" s="3"/>
      <c r="W650" s="3"/>
      <c r="X650" s="3"/>
      <c r="Y650" s="3"/>
      <c r="Z650" s="3"/>
    </row>
    <row r="651" spans="1:26" ht="14.25" customHeight="1">
      <c r="A651" s="1"/>
      <c r="B651" s="1"/>
      <c r="C651" s="1"/>
      <c r="D651" s="1"/>
      <c r="E651" s="19"/>
      <c r="F651" s="3"/>
      <c r="G651" s="3"/>
      <c r="H651" s="3"/>
      <c r="I651" s="3"/>
      <c r="J651" s="3"/>
      <c r="K651" s="3"/>
      <c r="L651" s="3"/>
      <c r="M651" s="3"/>
      <c r="N651" s="3"/>
      <c r="O651" s="3"/>
      <c r="P651" s="3"/>
      <c r="Q651" s="3"/>
      <c r="R651" s="3"/>
      <c r="S651" s="3"/>
      <c r="T651" s="3"/>
      <c r="U651" s="3"/>
      <c r="V651" s="3"/>
      <c r="W651" s="3"/>
      <c r="X651" s="3"/>
      <c r="Y651" s="3"/>
      <c r="Z651" s="3"/>
    </row>
    <row r="652" spans="1:26" ht="14.25" customHeight="1">
      <c r="A652" s="1"/>
      <c r="B652" s="1"/>
      <c r="C652" s="1"/>
      <c r="D652" s="1"/>
      <c r="E652" s="19"/>
      <c r="F652" s="3"/>
      <c r="G652" s="3"/>
      <c r="H652" s="3"/>
      <c r="I652" s="3"/>
      <c r="J652" s="3"/>
      <c r="K652" s="3"/>
      <c r="L652" s="3"/>
      <c r="M652" s="3"/>
      <c r="N652" s="3"/>
      <c r="O652" s="3"/>
      <c r="P652" s="3"/>
      <c r="Q652" s="3"/>
      <c r="R652" s="3"/>
      <c r="S652" s="3"/>
      <c r="T652" s="3"/>
      <c r="U652" s="3"/>
      <c r="V652" s="3"/>
      <c r="W652" s="3"/>
      <c r="X652" s="3"/>
      <c r="Y652" s="3"/>
      <c r="Z652" s="3"/>
    </row>
    <row r="653" spans="1:26" ht="14.25" customHeight="1">
      <c r="A653" s="1"/>
      <c r="B653" s="1"/>
      <c r="C653" s="1"/>
      <c r="D653" s="1"/>
      <c r="E653" s="19"/>
      <c r="F653" s="3"/>
      <c r="G653" s="3"/>
      <c r="H653" s="3"/>
      <c r="I653" s="3"/>
      <c r="J653" s="3"/>
      <c r="K653" s="3"/>
      <c r="L653" s="3"/>
      <c r="M653" s="3"/>
      <c r="N653" s="3"/>
      <c r="O653" s="3"/>
      <c r="P653" s="3"/>
      <c r="Q653" s="3"/>
      <c r="R653" s="3"/>
      <c r="S653" s="3"/>
      <c r="T653" s="3"/>
      <c r="U653" s="3"/>
      <c r="V653" s="3"/>
      <c r="W653" s="3"/>
      <c r="X653" s="3"/>
      <c r="Y653" s="3"/>
      <c r="Z653" s="3"/>
    </row>
    <row r="654" spans="1:26" ht="14.25" customHeight="1">
      <c r="A654" s="1"/>
      <c r="B654" s="1"/>
      <c r="C654" s="1"/>
      <c r="D654" s="1"/>
      <c r="E654" s="19"/>
      <c r="F654" s="3"/>
      <c r="G654" s="3"/>
      <c r="H654" s="3"/>
      <c r="I654" s="3"/>
      <c r="J654" s="3"/>
      <c r="K654" s="3"/>
      <c r="L654" s="3"/>
      <c r="M654" s="3"/>
      <c r="N654" s="3"/>
      <c r="O654" s="3"/>
      <c r="P654" s="3"/>
      <c r="Q654" s="3"/>
      <c r="R654" s="3"/>
      <c r="S654" s="3"/>
      <c r="T654" s="3"/>
      <c r="U654" s="3"/>
      <c r="V654" s="3"/>
      <c r="W654" s="3"/>
      <c r="X654" s="3"/>
      <c r="Y654" s="3"/>
      <c r="Z654" s="3"/>
    </row>
    <row r="655" spans="1:26" ht="14.25" customHeight="1">
      <c r="A655" s="1"/>
      <c r="B655" s="1"/>
      <c r="C655" s="1"/>
      <c r="D655" s="1"/>
      <c r="E655" s="19"/>
      <c r="F655" s="3"/>
      <c r="G655" s="3"/>
      <c r="H655" s="3"/>
      <c r="I655" s="3"/>
      <c r="J655" s="3"/>
      <c r="K655" s="3"/>
      <c r="L655" s="3"/>
      <c r="M655" s="3"/>
      <c r="N655" s="3"/>
      <c r="O655" s="3"/>
      <c r="P655" s="3"/>
      <c r="Q655" s="3"/>
      <c r="R655" s="3"/>
      <c r="S655" s="3"/>
      <c r="T655" s="3"/>
      <c r="U655" s="3"/>
      <c r="V655" s="3"/>
      <c r="W655" s="3"/>
      <c r="X655" s="3"/>
      <c r="Y655" s="3"/>
      <c r="Z655" s="3"/>
    </row>
    <row r="656" spans="1:26" ht="14.25" customHeight="1">
      <c r="A656" s="1"/>
      <c r="B656" s="1"/>
      <c r="C656" s="1"/>
      <c r="D656" s="1"/>
      <c r="E656" s="19"/>
      <c r="F656" s="3"/>
      <c r="G656" s="3"/>
      <c r="H656" s="3"/>
      <c r="I656" s="3"/>
      <c r="J656" s="3"/>
      <c r="K656" s="3"/>
      <c r="L656" s="3"/>
      <c r="M656" s="3"/>
      <c r="N656" s="3"/>
      <c r="O656" s="3"/>
      <c r="P656" s="3"/>
      <c r="Q656" s="3"/>
      <c r="R656" s="3"/>
      <c r="S656" s="3"/>
      <c r="T656" s="3"/>
      <c r="U656" s="3"/>
      <c r="V656" s="3"/>
      <c r="W656" s="3"/>
      <c r="X656" s="3"/>
      <c r="Y656" s="3"/>
      <c r="Z656" s="3"/>
    </row>
    <row r="657" spans="1:26" ht="14.25" customHeight="1">
      <c r="A657" s="1"/>
      <c r="B657" s="1"/>
      <c r="C657" s="1"/>
      <c r="D657" s="1"/>
      <c r="E657" s="19"/>
      <c r="F657" s="3"/>
      <c r="G657" s="3"/>
      <c r="H657" s="3"/>
      <c r="I657" s="3"/>
      <c r="J657" s="3"/>
      <c r="K657" s="3"/>
      <c r="L657" s="3"/>
      <c r="M657" s="3"/>
      <c r="N657" s="3"/>
      <c r="O657" s="3"/>
      <c r="P657" s="3"/>
      <c r="Q657" s="3"/>
      <c r="R657" s="3"/>
      <c r="S657" s="3"/>
      <c r="T657" s="3"/>
      <c r="U657" s="3"/>
      <c r="V657" s="3"/>
      <c r="W657" s="3"/>
      <c r="X657" s="3"/>
      <c r="Y657" s="3"/>
      <c r="Z657" s="3"/>
    </row>
    <row r="658" spans="1:26" ht="14.25" customHeight="1">
      <c r="A658" s="1"/>
      <c r="B658" s="1"/>
      <c r="C658" s="1"/>
      <c r="D658" s="1"/>
      <c r="E658" s="19"/>
      <c r="F658" s="3"/>
      <c r="G658" s="3"/>
      <c r="H658" s="3"/>
      <c r="I658" s="3"/>
      <c r="J658" s="3"/>
      <c r="K658" s="3"/>
      <c r="L658" s="3"/>
      <c r="M658" s="3"/>
      <c r="N658" s="3"/>
      <c r="O658" s="3"/>
      <c r="P658" s="3"/>
      <c r="Q658" s="3"/>
      <c r="R658" s="3"/>
      <c r="S658" s="3"/>
      <c r="T658" s="3"/>
      <c r="U658" s="3"/>
      <c r="V658" s="3"/>
      <c r="W658" s="3"/>
      <c r="X658" s="3"/>
      <c r="Y658" s="3"/>
      <c r="Z658" s="3"/>
    </row>
    <row r="659" spans="1:26" ht="14.25" customHeight="1">
      <c r="A659" s="1"/>
      <c r="B659" s="1"/>
      <c r="C659" s="1"/>
      <c r="D659" s="1"/>
      <c r="E659" s="19"/>
      <c r="F659" s="3"/>
      <c r="G659" s="3"/>
      <c r="H659" s="3"/>
      <c r="I659" s="3"/>
      <c r="J659" s="3"/>
      <c r="K659" s="3"/>
      <c r="L659" s="3"/>
      <c r="M659" s="3"/>
      <c r="N659" s="3"/>
      <c r="O659" s="3"/>
      <c r="P659" s="3"/>
      <c r="Q659" s="3"/>
      <c r="R659" s="3"/>
      <c r="S659" s="3"/>
      <c r="T659" s="3"/>
      <c r="U659" s="3"/>
      <c r="V659" s="3"/>
      <c r="W659" s="3"/>
      <c r="X659" s="3"/>
      <c r="Y659" s="3"/>
      <c r="Z659" s="3"/>
    </row>
    <row r="660" spans="1:26" ht="14.25" customHeight="1">
      <c r="A660" s="1"/>
      <c r="B660" s="1"/>
      <c r="C660" s="1"/>
      <c r="D660" s="1"/>
      <c r="E660" s="19"/>
      <c r="F660" s="3"/>
      <c r="G660" s="3"/>
      <c r="H660" s="3"/>
      <c r="I660" s="3"/>
      <c r="J660" s="3"/>
      <c r="K660" s="3"/>
      <c r="L660" s="3"/>
      <c r="M660" s="3"/>
      <c r="N660" s="3"/>
      <c r="O660" s="3"/>
      <c r="P660" s="3"/>
      <c r="Q660" s="3"/>
      <c r="R660" s="3"/>
      <c r="S660" s="3"/>
      <c r="T660" s="3"/>
      <c r="U660" s="3"/>
      <c r="V660" s="3"/>
      <c r="W660" s="3"/>
      <c r="X660" s="3"/>
      <c r="Y660" s="3"/>
      <c r="Z660" s="3"/>
    </row>
    <row r="661" spans="1:26" ht="14.25" customHeight="1">
      <c r="A661" s="1"/>
      <c r="B661" s="1"/>
      <c r="C661" s="1"/>
      <c r="D661" s="1"/>
      <c r="E661" s="19"/>
      <c r="F661" s="3"/>
      <c r="G661" s="3"/>
      <c r="H661" s="3"/>
      <c r="I661" s="3"/>
      <c r="J661" s="3"/>
      <c r="K661" s="3"/>
      <c r="L661" s="3"/>
      <c r="M661" s="3"/>
      <c r="N661" s="3"/>
      <c r="O661" s="3"/>
      <c r="P661" s="3"/>
      <c r="Q661" s="3"/>
      <c r="R661" s="3"/>
      <c r="S661" s="3"/>
      <c r="T661" s="3"/>
      <c r="U661" s="3"/>
      <c r="V661" s="3"/>
      <c r="W661" s="3"/>
      <c r="X661" s="3"/>
      <c r="Y661" s="3"/>
      <c r="Z661" s="3"/>
    </row>
    <row r="662" spans="1:26" ht="14.25" customHeight="1">
      <c r="A662" s="1"/>
      <c r="B662" s="1"/>
      <c r="C662" s="1"/>
      <c r="D662" s="1"/>
      <c r="E662" s="19"/>
      <c r="F662" s="3"/>
      <c r="G662" s="3"/>
      <c r="H662" s="3"/>
      <c r="I662" s="3"/>
      <c r="J662" s="3"/>
      <c r="K662" s="3"/>
      <c r="L662" s="3"/>
      <c r="M662" s="3"/>
      <c r="N662" s="3"/>
      <c r="O662" s="3"/>
      <c r="P662" s="3"/>
      <c r="Q662" s="3"/>
      <c r="R662" s="3"/>
      <c r="S662" s="3"/>
      <c r="T662" s="3"/>
      <c r="U662" s="3"/>
      <c r="V662" s="3"/>
      <c r="W662" s="3"/>
      <c r="X662" s="3"/>
      <c r="Y662" s="3"/>
      <c r="Z662" s="3"/>
    </row>
    <row r="663" spans="1:26" ht="14.25" customHeight="1">
      <c r="A663" s="1"/>
      <c r="B663" s="1"/>
      <c r="C663" s="1"/>
      <c r="D663" s="1"/>
      <c r="E663" s="19"/>
      <c r="F663" s="3"/>
      <c r="G663" s="3"/>
      <c r="H663" s="3"/>
      <c r="I663" s="3"/>
      <c r="J663" s="3"/>
      <c r="K663" s="3"/>
      <c r="L663" s="3"/>
      <c r="M663" s="3"/>
      <c r="N663" s="3"/>
      <c r="O663" s="3"/>
      <c r="P663" s="3"/>
      <c r="Q663" s="3"/>
      <c r="R663" s="3"/>
      <c r="S663" s="3"/>
      <c r="T663" s="3"/>
      <c r="U663" s="3"/>
      <c r="V663" s="3"/>
      <c r="W663" s="3"/>
      <c r="X663" s="3"/>
      <c r="Y663" s="3"/>
      <c r="Z663" s="3"/>
    </row>
    <row r="664" spans="1:26" ht="14.25" customHeight="1">
      <c r="A664" s="1"/>
      <c r="B664" s="1"/>
      <c r="C664" s="1"/>
      <c r="D664" s="1"/>
      <c r="E664" s="19"/>
      <c r="F664" s="3"/>
      <c r="G664" s="3"/>
      <c r="H664" s="3"/>
      <c r="I664" s="3"/>
      <c r="J664" s="3"/>
      <c r="K664" s="3"/>
      <c r="L664" s="3"/>
      <c r="M664" s="3"/>
      <c r="N664" s="3"/>
      <c r="O664" s="3"/>
      <c r="P664" s="3"/>
      <c r="Q664" s="3"/>
      <c r="R664" s="3"/>
      <c r="S664" s="3"/>
      <c r="T664" s="3"/>
      <c r="U664" s="3"/>
      <c r="V664" s="3"/>
      <c r="W664" s="3"/>
      <c r="X664" s="3"/>
      <c r="Y664" s="3"/>
      <c r="Z664" s="3"/>
    </row>
    <row r="665" spans="1:26" ht="14.25" customHeight="1">
      <c r="A665" s="1"/>
      <c r="B665" s="1"/>
      <c r="C665" s="1"/>
      <c r="D665" s="1"/>
      <c r="E665" s="19"/>
      <c r="F665" s="3"/>
      <c r="G665" s="3"/>
      <c r="H665" s="3"/>
      <c r="I665" s="3"/>
      <c r="J665" s="3"/>
      <c r="K665" s="3"/>
      <c r="L665" s="3"/>
      <c r="M665" s="3"/>
      <c r="N665" s="3"/>
      <c r="O665" s="3"/>
      <c r="P665" s="3"/>
      <c r="Q665" s="3"/>
      <c r="R665" s="3"/>
      <c r="S665" s="3"/>
      <c r="T665" s="3"/>
      <c r="U665" s="3"/>
      <c r="V665" s="3"/>
      <c r="W665" s="3"/>
      <c r="X665" s="3"/>
      <c r="Y665" s="3"/>
      <c r="Z665" s="3"/>
    </row>
    <row r="666" spans="1:26" ht="14.25" customHeight="1">
      <c r="A666" s="1"/>
      <c r="B666" s="1"/>
      <c r="C666" s="1"/>
      <c r="D666" s="1"/>
      <c r="E666" s="19"/>
      <c r="F666" s="3"/>
      <c r="G666" s="3"/>
      <c r="H666" s="3"/>
      <c r="I666" s="3"/>
      <c r="J666" s="3"/>
      <c r="K666" s="3"/>
      <c r="L666" s="3"/>
      <c r="M666" s="3"/>
      <c r="N666" s="3"/>
      <c r="O666" s="3"/>
      <c r="P666" s="3"/>
      <c r="Q666" s="3"/>
      <c r="R666" s="3"/>
      <c r="S666" s="3"/>
      <c r="T666" s="3"/>
      <c r="U666" s="3"/>
      <c r="V666" s="3"/>
      <c r="W666" s="3"/>
      <c r="X666" s="3"/>
      <c r="Y666" s="3"/>
      <c r="Z666" s="3"/>
    </row>
    <row r="667" spans="1:26" ht="14.25" customHeight="1">
      <c r="A667" s="1"/>
      <c r="B667" s="1"/>
      <c r="C667" s="1"/>
      <c r="D667" s="1"/>
      <c r="E667" s="19"/>
      <c r="F667" s="3"/>
      <c r="G667" s="3"/>
      <c r="H667" s="3"/>
      <c r="I667" s="3"/>
      <c r="J667" s="3"/>
      <c r="K667" s="3"/>
      <c r="L667" s="3"/>
      <c r="M667" s="3"/>
      <c r="N667" s="3"/>
      <c r="O667" s="3"/>
      <c r="P667" s="3"/>
      <c r="Q667" s="3"/>
      <c r="R667" s="3"/>
      <c r="S667" s="3"/>
      <c r="T667" s="3"/>
      <c r="U667" s="3"/>
      <c r="V667" s="3"/>
      <c r="W667" s="3"/>
      <c r="X667" s="3"/>
      <c r="Y667" s="3"/>
      <c r="Z667" s="3"/>
    </row>
    <row r="668" spans="1:26" ht="14.25" customHeight="1">
      <c r="A668" s="1"/>
      <c r="B668" s="1"/>
      <c r="C668" s="1"/>
      <c r="D668" s="1"/>
      <c r="E668" s="19"/>
      <c r="F668" s="3"/>
      <c r="G668" s="3"/>
      <c r="H668" s="3"/>
      <c r="I668" s="3"/>
      <c r="J668" s="3"/>
      <c r="K668" s="3"/>
      <c r="L668" s="3"/>
      <c r="M668" s="3"/>
      <c r="N668" s="3"/>
      <c r="O668" s="3"/>
      <c r="P668" s="3"/>
      <c r="Q668" s="3"/>
      <c r="R668" s="3"/>
      <c r="S668" s="3"/>
      <c r="T668" s="3"/>
      <c r="U668" s="3"/>
      <c r="V668" s="3"/>
      <c r="W668" s="3"/>
      <c r="X668" s="3"/>
      <c r="Y668" s="3"/>
      <c r="Z668" s="3"/>
    </row>
    <row r="669" spans="1:26" ht="14.25" customHeight="1">
      <c r="A669" s="1"/>
      <c r="B669" s="1"/>
      <c r="C669" s="1"/>
      <c r="D669" s="1"/>
      <c r="E669" s="19"/>
      <c r="F669" s="3"/>
      <c r="G669" s="3"/>
      <c r="H669" s="3"/>
      <c r="I669" s="3"/>
      <c r="J669" s="3"/>
      <c r="K669" s="3"/>
      <c r="L669" s="3"/>
      <c r="M669" s="3"/>
      <c r="N669" s="3"/>
      <c r="O669" s="3"/>
      <c r="P669" s="3"/>
      <c r="Q669" s="3"/>
      <c r="R669" s="3"/>
      <c r="S669" s="3"/>
      <c r="T669" s="3"/>
      <c r="U669" s="3"/>
      <c r="V669" s="3"/>
      <c r="W669" s="3"/>
      <c r="X669" s="3"/>
      <c r="Y669" s="3"/>
      <c r="Z669" s="3"/>
    </row>
    <row r="670" spans="1:26" ht="14.25" customHeight="1">
      <c r="A670" s="1"/>
      <c r="B670" s="1"/>
      <c r="C670" s="1"/>
      <c r="D670" s="1"/>
      <c r="E670" s="19"/>
      <c r="F670" s="3"/>
      <c r="G670" s="3"/>
      <c r="H670" s="3"/>
      <c r="I670" s="3"/>
      <c r="J670" s="3"/>
      <c r="K670" s="3"/>
      <c r="L670" s="3"/>
      <c r="M670" s="3"/>
      <c r="N670" s="3"/>
      <c r="O670" s="3"/>
      <c r="P670" s="3"/>
      <c r="Q670" s="3"/>
      <c r="R670" s="3"/>
      <c r="S670" s="3"/>
      <c r="T670" s="3"/>
      <c r="U670" s="3"/>
      <c r="V670" s="3"/>
      <c r="W670" s="3"/>
      <c r="X670" s="3"/>
      <c r="Y670" s="3"/>
      <c r="Z670" s="3"/>
    </row>
    <row r="671" spans="1:26" ht="14.25" customHeight="1">
      <c r="A671" s="1"/>
      <c r="B671" s="1"/>
      <c r="C671" s="1"/>
      <c r="D671" s="1"/>
      <c r="E671" s="19"/>
      <c r="F671" s="3"/>
      <c r="G671" s="3"/>
      <c r="H671" s="3"/>
      <c r="I671" s="3"/>
      <c r="J671" s="3"/>
      <c r="K671" s="3"/>
      <c r="L671" s="3"/>
      <c r="M671" s="3"/>
      <c r="N671" s="3"/>
      <c r="O671" s="3"/>
      <c r="P671" s="3"/>
      <c r="Q671" s="3"/>
      <c r="R671" s="3"/>
      <c r="S671" s="3"/>
      <c r="T671" s="3"/>
      <c r="U671" s="3"/>
      <c r="V671" s="3"/>
      <c r="W671" s="3"/>
      <c r="X671" s="3"/>
      <c r="Y671" s="3"/>
      <c r="Z671" s="3"/>
    </row>
    <row r="672" spans="1:26" ht="14.25" customHeight="1">
      <c r="A672" s="1"/>
      <c r="B672" s="1"/>
      <c r="C672" s="1"/>
      <c r="D672" s="1"/>
      <c r="E672" s="19"/>
      <c r="F672" s="3"/>
      <c r="G672" s="3"/>
      <c r="H672" s="3"/>
      <c r="I672" s="3"/>
      <c r="J672" s="3"/>
      <c r="K672" s="3"/>
      <c r="L672" s="3"/>
      <c r="M672" s="3"/>
      <c r="N672" s="3"/>
      <c r="O672" s="3"/>
      <c r="P672" s="3"/>
      <c r="Q672" s="3"/>
      <c r="R672" s="3"/>
      <c r="S672" s="3"/>
      <c r="T672" s="3"/>
      <c r="U672" s="3"/>
      <c r="V672" s="3"/>
      <c r="W672" s="3"/>
      <c r="X672" s="3"/>
      <c r="Y672" s="3"/>
      <c r="Z672" s="3"/>
    </row>
    <row r="673" spans="1:26" ht="14.25" customHeight="1">
      <c r="A673" s="1"/>
      <c r="B673" s="1"/>
      <c r="C673" s="1"/>
      <c r="D673" s="1"/>
      <c r="E673" s="19"/>
      <c r="F673" s="3"/>
      <c r="G673" s="3"/>
      <c r="H673" s="3"/>
      <c r="I673" s="3"/>
      <c r="J673" s="3"/>
      <c r="K673" s="3"/>
      <c r="L673" s="3"/>
      <c r="M673" s="3"/>
      <c r="N673" s="3"/>
      <c r="O673" s="3"/>
      <c r="P673" s="3"/>
      <c r="Q673" s="3"/>
      <c r="R673" s="3"/>
      <c r="S673" s="3"/>
      <c r="T673" s="3"/>
      <c r="U673" s="3"/>
      <c r="V673" s="3"/>
      <c r="W673" s="3"/>
      <c r="X673" s="3"/>
      <c r="Y673" s="3"/>
      <c r="Z673" s="3"/>
    </row>
    <row r="674" spans="1:26" ht="14.25" customHeight="1">
      <c r="A674" s="1"/>
      <c r="B674" s="1"/>
      <c r="C674" s="1"/>
      <c r="D674" s="1"/>
      <c r="E674" s="19"/>
      <c r="F674" s="3"/>
      <c r="G674" s="3"/>
      <c r="H674" s="3"/>
      <c r="I674" s="3"/>
      <c r="J674" s="3"/>
      <c r="K674" s="3"/>
      <c r="L674" s="3"/>
      <c r="M674" s="3"/>
      <c r="N674" s="3"/>
      <c r="O674" s="3"/>
      <c r="P674" s="3"/>
      <c r="Q674" s="3"/>
      <c r="R674" s="3"/>
      <c r="S674" s="3"/>
      <c r="T674" s="3"/>
      <c r="U674" s="3"/>
      <c r="V674" s="3"/>
      <c r="W674" s="3"/>
      <c r="X674" s="3"/>
      <c r="Y674" s="3"/>
      <c r="Z674" s="3"/>
    </row>
    <row r="675" spans="1:26" ht="14.25" customHeight="1">
      <c r="A675" s="1"/>
      <c r="B675" s="1"/>
      <c r="C675" s="1"/>
      <c r="D675" s="1"/>
      <c r="E675" s="19"/>
      <c r="F675" s="3"/>
      <c r="G675" s="3"/>
      <c r="H675" s="3"/>
      <c r="I675" s="3"/>
      <c r="J675" s="3"/>
      <c r="K675" s="3"/>
      <c r="L675" s="3"/>
      <c r="M675" s="3"/>
      <c r="N675" s="3"/>
      <c r="O675" s="3"/>
      <c r="P675" s="3"/>
      <c r="Q675" s="3"/>
      <c r="R675" s="3"/>
      <c r="S675" s="3"/>
      <c r="T675" s="3"/>
      <c r="U675" s="3"/>
      <c r="V675" s="3"/>
      <c r="W675" s="3"/>
      <c r="X675" s="3"/>
      <c r="Y675" s="3"/>
      <c r="Z675" s="3"/>
    </row>
    <row r="676" spans="1:26" ht="14.25" customHeight="1">
      <c r="A676" s="1"/>
      <c r="B676" s="1"/>
      <c r="C676" s="1"/>
      <c r="D676" s="1"/>
      <c r="E676" s="19"/>
      <c r="F676" s="3"/>
      <c r="G676" s="3"/>
      <c r="H676" s="3"/>
      <c r="I676" s="3"/>
      <c r="J676" s="3"/>
      <c r="K676" s="3"/>
      <c r="L676" s="3"/>
      <c r="M676" s="3"/>
      <c r="N676" s="3"/>
      <c r="O676" s="3"/>
      <c r="P676" s="3"/>
      <c r="Q676" s="3"/>
      <c r="R676" s="3"/>
      <c r="S676" s="3"/>
      <c r="T676" s="3"/>
      <c r="U676" s="3"/>
      <c r="V676" s="3"/>
      <c r="W676" s="3"/>
      <c r="X676" s="3"/>
      <c r="Y676" s="3"/>
      <c r="Z676" s="3"/>
    </row>
    <row r="677" spans="1:26" ht="14.25" customHeight="1">
      <c r="A677" s="1"/>
      <c r="B677" s="1"/>
      <c r="C677" s="1"/>
      <c r="D677" s="1"/>
      <c r="E677" s="19"/>
      <c r="F677" s="3"/>
      <c r="G677" s="3"/>
      <c r="H677" s="3"/>
      <c r="I677" s="3"/>
      <c r="J677" s="3"/>
      <c r="K677" s="3"/>
      <c r="L677" s="3"/>
      <c r="M677" s="3"/>
      <c r="N677" s="3"/>
      <c r="O677" s="3"/>
      <c r="P677" s="3"/>
      <c r="Q677" s="3"/>
      <c r="R677" s="3"/>
      <c r="S677" s="3"/>
      <c r="T677" s="3"/>
      <c r="U677" s="3"/>
      <c r="V677" s="3"/>
      <c r="W677" s="3"/>
      <c r="X677" s="3"/>
      <c r="Y677" s="3"/>
      <c r="Z677" s="3"/>
    </row>
    <row r="678" spans="1:26" ht="14.25" customHeight="1">
      <c r="A678" s="1"/>
      <c r="B678" s="1"/>
      <c r="C678" s="1"/>
      <c r="D678" s="1"/>
      <c r="E678" s="19"/>
      <c r="F678" s="3"/>
      <c r="G678" s="3"/>
      <c r="H678" s="3"/>
      <c r="I678" s="3"/>
      <c r="J678" s="3"/>
      <c r="K678" s="3"/>
      <c r="L678" s="3"/>
      <c r="M678" s="3"/>
      <c r="N678" s="3"/>
      <c r="O678" s="3"/>
      <c r="P678" s="3"/>
      <c r="Q678" s="3"/>
      <c r="R678" s="3"/>
      <c r="S678" s="3"/>
      <c r="T678" s="3"/>
      <c r="U678" s="3"/>
      <c r="V678" s="3"/>
      <c r="W678" s="3"/>
      <c r="X678" s="3"/>
      <c r="Y678" s="3"/>
      <c r="Z678" s="3"/>
    </row>
    <row r="679" spans="1:26" ht="14.25" customHeight="1">
      <c r="A679" s="1"/>
      <c r="B679" s="1"/>
      <c r="C679" s="1"/>
      <c r="D679" s="1"/>
      <c r="E679" s="19"/>
      <c r="F679" s="3"/>
      <c r="G679" s="3"/>
      <c r="H679" s="3"/>
      <c r="I679" s="3"/>
      <c r="J679" s="3"/>
      <c r="K679" s="3"/>
      <c r="L679" s="3"/>
      <c r="M679" s="3"/>
      <c r="N679" s="3"/>
      <c r="O679" s="3"/>
      <c r="P679" s="3"/>
      <c r="Q679" s="3"/>
      <c r="R679" s="3"/>
      <c r="S679" s="3"/>
      <c r="T679" s="3"/>
      <c r="U679" s="3"/>
      <c r="V679" s="3"/>
      <c r="W679" s="3"/>
      <c r="X679" s="3"/>
      <c r="Y679" s="3"/>
      <c r="Z679" s="3"/>
    </row>
    <row r="680" spans="1:26" ht="14.25" customHeight="1">
      <c r="A680" s="1"/>
      <c r="B680" s="1"/>
      <c r="C680" s="1"/>
      <c r="D680" s="1"/>
      <c r="E680" s="19"/>
      <c r="F680" s="3"/>
      <c r="G680" s="3"/>
      <c r="H680" s="3"/>
      <c r="I680" s="3"/>
      <c r="J680" s="3"/>
      <c r="K680" s="3"/>
      <c r="L680" s="3"/>
      <c r="M680" s="3"/>
      <c r="N680" s="3"/>
      <c r="O680" s="3"/>
      <c r="P680" s="3"/>
      <c r="Q680" s="3"/>
      <c r="R680" s="3"/>
      <c r="S680" s="3"/>
      <c r="T680" s="3"/>
      <c r="U680" s="3"/>
      <c r="V680" s="3"/>
      <c r="W680" s="3"/>
      <c r="X680" s="3"/>
      <c r="Y680" s="3"/>
      <c r="Z680" s="3"/>
    </row>
    <row r="681" spans="1:26" ht="14.25" customHeight="1">
      <c r="A681" s="1"/>
      <c r="B681" s="1"/>
      <c r="C681" s="1"/>
      <c r="D681" s="1"/>
      <c r="E681" s="19"/>
      <c r="F681" s="3"/>
      <c r="G681" s="3"/>
      <c r="H681" s="3"/>
      <c r="I681" s="3"/>
      <c r="J681" s="3"/>
      <c r="K681" s="3"/>
      <c r="L681" s="3"/>
      <c r="M681" s="3"/>
      <c r="N681" s="3"/>
      <c r="O681" s="3"/>
      <c r="P681" s="3"/>
      <c r="Q681" s="3"/>
      <c r="R681" s="3"/>
      <c r="S681" s="3"/>
      <c r="T681" s="3"/>
      <c r="U681" s="3"/>
      <c r="V681" s="3"/>
      <c r="W681" s="3"/>
      <c r="X681" s="3"/>
      <c r="Y681" s="3"/>
      <c r="Z681" s="3"/>
    </row>
    <row r="682" spans="1:26" ht="14.25" customHeight="1">
      <c r="A682" s="1"/>
      <c r="B682" s="1"/>
      <c r="C682" s="1"/>
      <c r="D682" s="1"/>
      <c r="E682" s="19"/>
      <c r="F682" s="3"/>
      <c r="G682" s="3"/>
      <c r="H682" s="3"/>
      <c r="I682" s="3"/>
      <c r="J682" s="3"/>
      <c r="K682" s="3"/>
      <c r="L682" s="3"/>
      <c r="M682" s="3"/>
      <c r="N682" s="3"/>
      <c r="O682" s="3"/>
      <c r="P682" s="3"/>
      <c r="Q682" s="3"/>
      <c r="R682" s="3"/>
      <c r="S682" s="3"/>
      <c r="T682" s="3"/>
      <c r="U682" s="3"/>
      <c r="V682" s="3"/>
      <c r="W682" s="3"/>
      <c r="X682" s="3"/>
      <c r="Y682" s="3"/>
      <c r="Z682" s="3"/>
    </row>
    <row r="683" spans="1:26" ht="14.25" customHeight="1">
      <c r="A683" s="1"/>
      <c r="B683" s="1"/>
      <c r="C683" s="1"/>
      <c r="D683" s="1"/>
      <c r="E683" s="19"/>
      <c r="F683" s="3"/>
      <c r="G683" s="3"/>
      <c r="H683" s="3"/>
      <c r="I683" s="3"/>
      <c r="J683" s="3"/>
      <c r="K683" s="3"/>
      <c r="L683" s="3"/>
      <c r="M683" s="3"/>
      <c r="N683" s="3"/>
      <c r="O683" s="3"/>
      <c r="P683" s="3"/>
      <c r="Q683" s="3"/>
      <c r="R683" s="3"/>
      <c r="S683" s="3"/>
      <c r="T683" s="3"/>
      <c r="U683" s="3"/>
      <c r="V683" s="3"/>
      <c r="W683" s="3"/>
      <c r="X683" s="3"/>
      <c r="Y683" s="3"/>
      <c r="Z683" s="3"/>
    </row>
    <row r="684" spans="1:26" ht="14.25" customHeight="1">
      <c r="A684" s="1"/>
      <c r="B684" s="1"/>
      <c r="C684" s="1"/>
      <c r="D684" s="1"/>
      <c r="E684" s="19"/>
      <c r="F684" s="3"/>
      <c r="G684" s="3"/>
      <c r="H684" s="3"/>
      <c r="I684" s="3"/>
      <c r="J684" s="3"/>
      <c r="K684" s="3"/>
      <c r="L684" s="3"/>
      <c r="M684" s="3"/>
      <c r="N684" s="3"/>
      <c r="O684" s="3"/>
      <c r="P684" s="3"/>
      <c r="Q684" s="3"/>
      <c r="R684" s="3"/>
      <c r="S684" s="3"/>
      <c r="T684" s="3"/>
      <c r="U684" s="3"/>
      <c r="V684" s="3"/>
      <c r="W684" s="3"/>
      <c r="X684" s="3"/>
      <c r="Y684" s="3"/>
      <c r="Z684" s="3"/>
    </row>
    <row r="685" spans="1:26" ht="14.25" customHeight="1">
      <c r="A685" s="1"/>
      <c r="B685" s="1"/>
      <c r="C685" s="1"/>
      <c r="D685" s="1"/>
      <c r="E685" s="19"/>
      <c r="F685" s="3"/>
      <c r="G685" s="3"/>
      <c r="H685" s="3"/>
      <c r="I685" s="3"/>
      <c r="J685" s="3"/>
      <c r="K685" s="3"/>
      <c r="L685" s="3"/>
      <c r="M685" s="3"/>
      <c r="N685" s="3"/>
      <c r="O685" s="3"/>
      <c r="P685" s="3"/>
      <c r="Q685" s="3"/>
      <c r="R685" s="3"/>
      <c r="S685" s="3"/>
      <c r="T685" s="3"/>
      <c r="U685" s="3"/>
      <c r="V685" s="3"/>
      <c r="W685" s="3"/>
      <c r="X685" s="3"/>
      <c r="Y685" s="3"/>
      <c r="Z685" s="3"/>
    </row>
    <row r="686" spans="1:26" ht="14.25" customHeight="1">
      <c r="A686" s="1"/>
      <c r="B686" s="1"/>
      <c r="C686" s="1"/>
      <c r="D686" s="1"/>
      <c r="E686" s="19"/>
      <c r="F686" s="3"/>
      <c r="G686" s="3"/>
      <c r="H686" s="3"/>
      <c r="I686" s="3"/>
      <c r="J686" s="3"/>
      <c r="K686" s="3"/>
      <c r="L686" s="3"/>
      <c r="M686" s="3"/>
      <c r="N686" s="3"/>
      <c r="O686" s="3"/>
      <c r="P686" s="3"/>
      <c r="Q686" s="3"/>
      <c r="R686" s="3"/>
      <c r="S686" s="3"/>
      <c r="T686" s="3"/>
      <c r="U686" s="3"/>
      <c r="V686" s="3"/>
      <c r="W686" s="3"/>
      <c r="X686" s="3"/>
      <c r="Y686" s="3"/>
      <c r="Z686" s="3"/>
    </row>
    <row r="687" spans="1:26" ht="14.25" customHeight="1">
      <c r="A687" s="1"/>
      <c r="B687" s="1"/>
      <c r="C687" s="1"/>
      <c r="D687" s="1"/>
      <c r="E687" s="19"/>
      <c r="F687" s="3"/>
      <c r="G687" s="3"/>
      <c r="H687" s="3"/>
      <c r="I687" s="3"/>
      <c r="J687" s="3"/>
      <c r="K687" s="3"/>
      <c r="L687" s="3"/>
      <c r="M687" s="3"/>
      <c r="N687" s="3"/>
      <c r="O687" s="3"/>
      <c r="P687" s="3"/>
      <c r="Q687" s="3"/>
      <c r="R687" s="3"/>
      <c r="S687" s="3"/>
      <c r="T687" s="3"/>
      <c r="U687" s="3"/>
      <c r="V687" s="3"/>
      <c r="W687" s="3"/>
      <c r="X687" s="3"/>
      <c r="Y687" s="3"/>
      <c r="Z687" s="3"/>
    </row>
    <row r="688" spans="1:26" ht="14.25" customHeight="1">
      <c r="A688" s="1"/>
      <c r="B688" s="1"/>
      <c r="C688" s="1"/>
      <c r="D688" s="1"/>
      <c r="E688" s="19"/>
      <c r="F688" s="3"/>
      <c r="G688" s="3"/>
      <c r="H688" s="3"/>
      <c r="I688" s="3"/>
      <c r="J688" s="3"/>
      <c r="K688" s="3"/>
      <c r="L688" s="3"/>
      <c r="M688" s="3"/>
      <c r="N688" s="3"/>
      <c r="O688" s="3"/>
      <c r="P688" s="3"/>
      <c r="Q688" s="3"/>
      <c r="R688" s="3"/>
      <c r="S688" s="3"/>
      <c r="T688" s="3"/>
      <c r="U688" s="3"/>
      <c r="V688" s="3"/>
      <c r="W688" s="3"/>
      <c r="X688" s="3"/>
      <c r="Y688" s="3"/>
      <c r="Z688" s="3"/>
    </row>
    <row r="689" spans="1:26" ht="14.25" customHeight="1">
      <c r="A689" s="1"/>
      <c r="B689" s="1"/>
      <c r="C689" s="1"/>
      <c r="D689" s="1"/>
      <c r="E689" s="19"/>
      <c r="F689" s="3"/>
      <c r="G689" s="3"/>
      <c r="H689" s="3"/>
      <c r="I689" s="3"/>
      <c r="J689" s="3"/>
      <c r="K689" s="3"/>
      <c r="L689" s="3"/>
      <c r="M689" s="3"/>
      <c r="N689" s="3"/>
      <c r="O689" s="3"/>
      <c r="P689" s="3"/>
      <c r="Q689" s="3"/>
      <c r="R689" s="3"/>
      <c r="S689" s="3"/>
      <c r="T689" s="3"/>
      <c r="U689" s="3"/>
      <c r="V689" s="3"/>
      <c r="W689" s="3"/>
      <c r="X689" s="3"/>
      <c r="Y689" s="3"/>
      <c r="Z689" s="3"/>
    </row>
    <row r="690" spans="1:26" ht="14.25" customHeight="1">
      <c r="A690" s="1"/>
      <c r="B690" s="1"/>
      <c r="C690" s="1"/>
      <c r="D690" s="1"/>
      <c r="E690" s="19"/>
      <c r="F690" s="3"/>
      <c r="G690" s="3"/>
      <c r="H690" s="3"/>
      <c r="I690" s="3"/>
      <c r="J690" s="3"/>
      <c r="K690" s="3"/>
      <c r="L690" s="3"/>
      <c r="M690" s="3"/>
      <c r="N690" s="3"/>
      <c r="O690" s="3"/>
      <c r="P690" s="3"/>
      <c r="Q690" s="3"/>
      <c r="R690" s="3"/>
      <c r="S690" s="3"/>
      <c r="T690" s="3"/>
      <c r="U690" s="3"/>
      <c r="V690" s="3"/>
      <c r="W690" s="3"/>
      <c r="X690" s="3"/>
      <c r="Y690" s="3"/>
      <c r="Z690" s="3"/>
    </row>
    <row r="691" spans="1:26" ht="14.25" customHeight="1">
      <c r="A691" s="1"/>
      <c r="B691" s="1"/>
      <c r="C691" s="1"/>
      <c r="D691" s="1"/>
      <c r="E691" s="19"/>
      <c r="F691" s="3"/>
      <c r="G691" s="3"/>
      <c r="H691" s="3"/>
      <c r="I691" s="3"/>
      <c r="J691" s="3"/>
      <c r="K691" s="3"/>
      <c r="L691" s="3"/>
      <c r="M691" s="3"/>
      <c r="N691" s="3"/>
      <c r="O691" s="3"/>
      <c r="P691" s="3"/>
      <c r="Q691" s="3"/>
      <c r="R691" s="3"/>
      <c r="S691" s="3"/>
      <c r="T691" s="3"/>
      <c r="U691" s="3"/>
      <c r="V691" s="3"/>
      <c r="W691" s="3"/>
      <c r="X691" s="3"/>
      <c r="Y691" s="3"/>
      <c r="Z691" s="3"/>
    </row>
    <row r="692" spans="1:26" ht="14.25" customHeight="1">
      <c r="A692" s="1"/>
      <c r="B692" s="1"/>
      <c r="C692" s="1"/>
      <c r="D692" s="1"/>
      <c r="E692" s="19"/>
      <c r="F692" s="3"/>
      <c r="G692" s="3"/>
      <c r="H692" s="3"/>
      <c r="I692" s="3"/>
      <c r="J692" s="3"/>
      <c r="K692" s="3"/>
      <c r="L692" s="3"/>
      <c r="M692" s="3"/>
      <c r="N692" s="3"/>
      <c r="O692" s="3"/>
      <c r="P692" s="3"/>
      <c r="Q692" s="3"/>
      <c r="R692" s="3"/>
      <c r="S692" s="3"/>
      <c r="T692" s="3"/>
      <c r="U692" s="3"/>
      <c r="V692" s="3"/>
      <c r="W692" s="3"/>
      <c r="X692" s="3"/>
      <c r="Y692" s="3"/>
      <c r="Z692" s="3"/>
    </row>
    <row r="693" spans="1:26" ht="14.25" customHeight="1">
      <c r="A693" s="1"/>
      <c r="B693" s="1"/>
      <c r="C693" s="1"/>
      <c r="D693" s="1"/>
      <c r="E693" s="19"/>
      <c r="F693" s="3"/>
      <c r="G693" s="3"/>
      <c r="H693" s="3"/>
      <c r="I693" s="3"/>
      <c r="J693" s="3"/>
      <c r="K693" s="3"/>
      <c r="L693" s="3"/>
      <c r="M693" s="3"/>
      <c r="N693" s="3"/>
      <c r="O693" s="3"/>
      <c r="P693" s="3"/>
      <c r="Q693" s="3"/>
      <c r="R693" s="3"/>
      <c r="S693" s="3"/>
      <c r="T693" s="3"/>
      <c r="U693" s="3"/>
      <c r="V693" s="3"/>
      <c r="W693" s="3"/>
      <c r="X693" s="3"/>
      <c r="Y693" s="3"/>
      <c r="Z693" s="3"/>
    </row>
    <row r="694" spans="1:26" ht="14.25" customHeight="1">
      <c r="A694" s="1"/>
      <c r="B694" s="1"/>
      <c r="C694" s="1"/>
      <c r="D694" s="1"/>
      <c r="E694" s="19"/>
      <c r="F694" s="3"/>
      <c r="G694" s="3"/>
      <c r="H694" s="3"/>
      <c r="I694" s="3"/>
      <c r="J694" s="3"/>
      <c r="K694" s="3"/>
      <c r="L694" s="3"/>
      <c r="M694" s="3"/>
      <c r="N694" s="3"/>
      <c r="O694" s="3"/>
      <c r="P694" s="3"/>
      <c r="Q694" s="3"/>
      <c r="R694" s="3"/>
      <c r="S694" s="3"/>
      <c r="T694" s="3"/>
      <c r="U694" s="3"/>
      <c r="V694" s="3"/>
      <c r="W694" s="3"/>
      <c r="X694" s="3"/>
      <c r="Y694" s="3"/>
      <c r="Z694" s="3"/>
    </row>
    <row r="695" spans="1:26" ht="14.25" customHeight="1">
      <c r="A695" s="1"/>
      <c r="B695" s="1"/>
      <c r="C695" s="1"/>
      <c r="D695" s="1"/>
      <c r="E695" s="19"/>
      <c r="F695" s="3"/>
      <c r="G695" s="3"/>
      <c r="H695" s="3"/>
      <c r="I695" s="3"/>
      <c r="J695" s="3"/>
      <c r="K695" s="3"/>
      <c r="L695" s="3"/>
      <c r="M695" s="3"/>
      <c r="N695" s="3"/>
      <c r="O695" s="3"/>
      <c r="P695" s="3"/>
      <c r="Q695" s="3"/>
      <c r="R695" s="3"/>
      <c r="S695" s="3"/>
      <c r="T695" s="3"/>
      <c r="U695" s="3"/>
      <c r="V695" s="3"/>
      <c r="W695" s="3"/>
      <c r="X695" s="3"/>
      <c r="Y695" s="3"/>
      <c r="Z695" s="3"/>
    </row>
    <row r="696" spans="1:26" ht="14.25" customHeight="1">
      <c r="A696" s="1"/>
      <c r="B696" s="1"/>
      <c r="C696" s="1"/>
      <c r="D696" s="1"/>
      <c r="E696" s="19"/>
      <c r="F696" s="3"/>
      <c r="G696" s="3"/>
      <c r="H696" s="3"/>
      <c r="I696" s="3"/>
      <c r="J696" s="3"/>
      <c r="K696" s="3"/>
      <c r="L696" s="3"/>
      <c r="M696" s="3"/>
      <c r="N696" s="3"/>
      <c r="O696" s="3"/>
      <c r="P696" s="3"/>
      <c r="Q696" s="3"/>
      <c r="R696" s="3"/>
      <c r="S696" s="3"/>
      <c r="T696" s="3"/>
      <c r="U696" s="3"/>
      <c r="V696" s="3"/>
      <c r="W696" s="3"/>
      <c r="X696" s="3"/>
      <c r="Y696" s="3"/>
      <c r="Z696" s="3"/>
    </row>
    <row r="697" spans="1:26" ht="14.25" customHeight="1">
      <c r="A697" s="1"/>
      <c r="B697" s="1"/>
      <c r="C697" s="1"/>
      <c r="D697" s="1"/>
      <c r="E697" s="19"/>
      <c r="F697" s="3"/>
      <c r="G697" s="3"/>
      <c r="H697" s="3"/>
      <c r="I697" s="3"/>
      <c r="J697" s="3"/>
      <c r="K697" s="3"/>
      <c r="L697" s="3"/>
      <c r="M697" s="3"/>
      <c r="N697" s="3"/>
      <c r="O697" s="3"/>
      <c r="P697" s="3"/>
      <c r="Q697" s="3"/>
      <c r="R697" s="3"/>
      <c r="S697" s="3"/>
      <c r="T697" s="3"/>
      <c r="U697" s="3"/>
      <c r="V697" s="3"/>
      <c r="W697" s="3"/>
      <c r="X697" s="3"/>
      <c r="Y697" s="3"/>
      <c r="Z697" s="3"/>
    </row>
    <row r="698" spans="1:26" ht="14.25" customHeight="1">
      <c r="A698" s="1"/>
      <c r="B698" s="1"/>
      <c r="C698" s="1"/>
      <c r="D698" s="1"/>
      <c r="E698" s="19"/>
      <c r="F698" s="3"/>
      <c r="G698" s="3"/>
      <c r="H698" s="3"/>
      <c r="I698" s="3"/>
      <c r="J698" s="3"/>
      <c r="K698" s="3"/>
      <c r="L698" s="3"/>
      <c r="M698" s="3"/>
      <c r="N698" s="3"/>
      <c r="O698" s="3"/>
      <c r="P698" s="3"/>
      <c r="Q698" s="3"/>
      <c r="R698" s="3"/>
      <c r="S698" s="3"/>
      <c r="T698" s="3"/>
      <c r="U698" s="3"/>
      <c r="V698" s="3"/>
      <c r="W698" s="3"/>
      <c r="X698" s="3"/>
      <c r="Y698" s="3"/>
      <c r="Z698" s="3"/>
    </row>
    <row r="699" spans="1:26" ht="14.25" customHeight="1">
      <c r="A699" s="1"/>
      <c r="B699" s="1"/>
      <c r="C699" s="1"/>
      <c r="D699" s="1"/>
      <c r="E699" s="19"/>
      <c r="F699" s="3"/>
      <c r="G699" s="3"/>
      <c r="H699" s="3"/>
      <c r="I699" s="3"/>
      <c r="J699" s="3"/>
      <c r="K699" s="3"/>
      <c r="L699" s="3"/>
      <c r="M699" s="3"/>
      <c r="N699" s="3"/>
      <c r="O699" s="3"/>
      <c r="P699" s="3"/>
      <c r="Q699" s="3"/>
      <c r="R699" s="3"/>
      <c r="S699" s="3"/>
      <c r="T699" s="3"/>
      <c r="U699" s="3"/>
      <c r="V699" s="3"/>
      <c r="W699" s="3"/>
      <c r="X699" s="3"/>
      <c r="Y699" s="3"/>
      <c r="Z699" s="3"/>
    </row>
    <row r="700" spans="1:26" ht="14.25" customHeight="1">
      <c r="A700" s="1"/>
      <c r="B700" s="1"/>
      <c r="C700" s="1"/>
      <c r="D700" s="1"/>
      <c r="E700" s="19"/>
      <c r="F700" s="3"/>
      <c r="G700" s="3"/>
      <c r="H700" s="3"/>
      <c r="I700" s="3"/>
      <c r="J700" s="3"/>
      <c r="K700" s="3"/>
      <c r="L700" s="3"/>
      <c r="M700" s="3"/>
      <c r="N700" s="3"/>
      <c r="O700" s="3"/>
      <c r="P700" s="3"/>
      <c r="Q700" s="3"/>
      <c r="R700" s="3"/>
      <c r="S700" s="3"/>
      <c r="T700" s="3"/>
      <c r="U700" s="3"/>
      <c r="V700" s="3"/>
      <c r="W700" s="3"/>
      <c r="X700" s="3"/>
      <c r="Y700" s="3"/>
      <c r="Z700" s="3"/>
    </row>
    <row r="701" spans="1:26" ht="14.25" customHeight="1">
      <c r="A701" s="1"/>
      <c r="B701" s="1"/>
      <c r="C701" s="1"/>
      <c r="D701" s="1"/>
      <c r="E701" s="19"/>
      <c r="F701" s="3"/>
      <c r="G701" s="3"/>
      <c r="H701" s="3"/>
      <c r="I701" s="3"/>
      <c r="J701" s="3"/>
      <c r="K701" s="3"/>
      <c r="L701" s="3"/>
      <c r="M701" s="3"/>
      <c r="N701" s="3"/>
      <c r="O701" s="3"/>
      <c r="P701" s="3"/>
      <c r="Q701" s="3"/>
      <c r="R701" s="3"/>
      <c r="S701" s="3"/>
      <c r="T701" s="3"/>
      <c r="U701" s="3"/>
      <c r="V701" s="3"/>
      <c r="W701" s="3"/>
      <c r="X701" s="3"/>
      <c r="Y701" s="3"/>
      <c r="Z701" s="3"/>
    </row>
    <row r="702" spans="1:26" ht="14.25" customHeight="1">
      <c r="A702" s="1"/>
      <c r="B702" s="1"/>
      <c r="C702" s="1"/>
      <c r="D702" s="1"/>
      <c r="E702" s="19"/>
      <c r="F702" s="3"/>
      <c r="G702" s="3"/>
      <c r="H702" s="3"/>
      <c r="I702" s="3"/>
      <c r="J702" s="3"/>
      <c r="K702" s="3"/>
      <c r="L702" s="3"/>
      <c r="M702" s="3"/>
      <c r="N702" s="3"/>
      <c r="O702" s="3"/>
      <c r="P702" s="3"/>
      <c r="Q702" s="3"/>
      <c r="R702" s="3"/>
      <c r="S702" s="3"/>
      <c r="T702" s="3"/>
      <c r="U702" s="3"/>
      <c r="V702" s="3"/>
      <c r="W702" s="3"/>
      <c r="X702" s="3"/>
      <c r="Y702" s="3"/>
      <c r="Z702" s="3"/>
    </row>
    <row r="703" spans="1:26" ht="14.25" customHeight="1">
      <c r="A703" s="1"/>
      <c r="B703" s="1"/>
      <c r="C703" s="1"/>
      <c r="D703" s="1"/>
      <c r="E703" s="19"/>
      <c r="F703" s="3"/>
      <c r="G703" s="3"/>
      <c r="H703" s="3"/>
      <c r="I703" s="3"/>
      <c r="J703" s="3"/>
      <c r="K703" s="3"/>
      <c r="L703" s="3"/>
      <c r="M703" s="3"/>
      <c r="N703" s="3"/>
      <c r="O703" s="3"/>
      <c r="P703" s="3"/>
      <c r="Q703" s="3"/>
      <c r="R703" s="3"/>
      <c r="S703" s="3"/>
      <c r="T703" s="3"/>
      <c r="U703" s="3"/>
      <c r="V703" s="3"/>
      <c r="W703" s="3"/>
      <c r="X703" s="3"/>
      <c r="Y703" s="3"/>
      <c r="Z703" s="3"/>
    </row>
    <row r="704" spans="1:26" ht="14.25" customHeight="1">
      <c r="A704" s="1"/>
      <c r="B704" s="1"/>
      <c r="C704" s="1"/>
      <c r="D704" s="1"/>
      <c r="E704" s="19"/>
      <c r="F704" s="3"/>
      <c r="G704" s="3"/>
      <c r="H704" s="3"/>
      <c r="I704" s="3"/>
      <c r="J704" s="3"/>
      <c r="K704" s="3"/>
      <c r="L704" s="3"/>
      <c r="M704" s="3"/>
      <c r="N704" s="3"/>
      <c r="O704" s="3"/>
      <c r="P704" s="3"/>
      <c r="Q704" s="3"/>
      <c r="R704" s="3"/>
      <c r="S704" s="3"/>
      <c r="T704" s="3"/>
      <c r="U704" s="3"/>
      <c r="V704" s="3"/>
      <c r="W704" s="3"/>
      <c r="X704" s="3"/>
      <c r="Y704" s="3"/>
      <c r="Z704" s="3"/>
    </row>
    <row r="705" spans="1:26" ht="14.25" customHeight="1">
      <c r="A705" s="1"/>
      <c r="B705" s="1"/>
      <c r="C705" s="1"/>
      <c r="D705" s="1"/>
      <c r="E705" s="19"/>
      <c r="F705" s="3"/>
      <c r="G705" s="3"/>
      <c r="H705" s="3"/>
      <c r="I705" s="3"/>
      <c r="J705" s="3"/>
      <c r="K705" s="3"/>
      <c r="L705" s="3"/>
      <c r="M705" s="3"/>
      <c r="N705" s="3"/>
      <c r="O705" s="3"/>
      <c r="P705" s="3"/>
      <c r="Q705" s="3"/>
      <c r="R705" s="3"/>
      <c r="S705" s="3"/>
      <c r="T705" s="3"/>
      <c r="U705" s="3"/>
      <c r="V705" s="3"/>
      <c r="W705" s="3"/>
      <c r="X705" s="3"/>
      <c r="Y705" s="3"/>
      <c r="Z705" s="3"/>
    </row>
    <row r="706" spans="1:26" ht="14.25" customHeight="1">
      <c r="A706" s="1"/>
      <c r="B706" s="1"/>
      <c r="C706" s="1"/>
      <c r="D706" s="1"/>
      <c r="E706" s="19"/>
      <c r="F706" s="3"/>
      <c r="G706" s="3"/>
      <c r="H706" s="3"/>
      <c r="I706" s="3"/>
      <c r="J706" s="3"/>
      <c r="K706" s="3"/>
      <c r="L706" s="3"/>
      <c r="M706" s="3"/>
      <c r="N706" s="3"/>
      <c r="O706" s="3"/>
      <c r="P706" s="3"/>
      <c r="Q706" s="3"/>
      <c r="R706" s="3"/>
      <c r="S706" s="3"/>
      <c r="T706" s="3"/>
      <c r="U706" s="3"/>
      <c r="V706" s="3"/>
      <c r="W706" s="3"/>
      <c r="X706" s="3"/>
      <c r="Y706" s="3"/>
      <c r="Z706" s="3"/>
    </row>
    <row r="707" spans="1:26" ht="14.25" customHeight="1">
      <c r="A707" s="1"/>
      <c r="B707" s="1"/>
      <c r="C707" s="1"/>
      <c r="D707" s="1"/>
      <c r="E707" s="19"/>
      <c r="F707" s="3"/>
      <c r="G707" s="3"/>
      <c r="H707" s="3"/>
      <c r="I707" s="3"/>
      <c r="J707" s="3"/>
      <c r="K707" s="3"/>
      <c r="L707" s="3"/>
      <c r="M707" s="3"/>
      <c r="N707" s="3"/>
      <c r="O707" s="3"/>
      <c r="P707" s="3"/>
      <c r="Q707" s="3"/>
      <c r="R707" s="3"/>
      <c r="S707" s="3"/>
      <c r="T707" s="3"/>
      <c r="U707" s="3"/>
      <c r="V707" s="3"/>
      <c r="W707" s="3"/>
      <c r="X707" s="3"/>
      <c r="Y707" s="3"/>
      <c r="Z707" s="3"/>
    </row>
    <row r="708" spans="1:26" ht="14.25" customHeight="1">
      <c r="A708" s="1"/>
      <c r="B708" s="1"/>
      <c r="C708" s="1"/>
      <c r="D708" s="1"/>
      <c r="E708" s="19"/>
      <c r="F708" s="3"/>
      <c r="G708" s="3"/>
      <c r="H708" s="3"/>
      <c r="I708" s="3"/>
      <c r="J708" s="3"/>
      <c r="K708" s="3"/>
      <c r="L708" s="3"/>
      <c r="M708" s="3"/>
      <c r="N708" s="3"/>
      <c r="O708" s="3"/>
      <c r="P708" s="3"/>
      <c r="Q708" s="3"/>
      <c r="R708" s="3"/>
      <c r="S708" s="3"/>
      <c r="T708" s="3"/>
      <c r="U708" s="3"/>
      <c r="V708" s="3"/>
      <c r="W708" s="3"/>
      <c r="X708" s="3"/>
      <c r="Y708" s="3"/>
      <c r="Z708" s="3"/>
    </row>
    <row r="709" spans="1:26" ht="14.25" customHeight="1">
      <c r="A709" s="1"/>
      <c r="B709" s="1"/>
      <c r="C709" s="1"/>
      <c r="D709" s="1"/>
      <c r="E709" s="19"/>
      <c r="F709" s="3"/>
      <c r="G709" s="3"/>
      <c r="H709" s="3"/>
      <c r="I709" s="3"/>
      <c r="J709" s="3"/>
      <c r="K709" s="3"/>
      <c r="L709" s="3"/>
      <c r="M709" s="3"/>
      <c r="N709" s="3"/>
      <c r="O709" s="3"/>
      <c r="P709" s="3"/>
      <c r="Q709" s="3"/>
      <c r="R709" s="3"/>
      <c r="S709" s="3"/>
      <c r="T709" s="3"/>
      <c r="U709" s="3"/>
      <c r="V709" s="3"/>
      <c r="W709" s="3"/>
      <c r="X709" s="3"/>
      <c r="Y709" s="3"/>
      <c r="Z709" s="3"/>
    </row>
    <row r="710" spans="1:26" ht="14.25" customHeight="1">
      <c r="A710" s="1"/>
      <c r="B710" s="1"/>
      <c r="C710" s="1"/>
      <c r="D710" s="1"/>
      <c r="E710" s="19"/>
      <c r="F710" s="3"/>
      <c r="G710" s="3"/>
      <c r="H710" s="3"/>
      <c r="I710" s="3"/>
      <c r="J710" s="3"/>
      <c r="K710" s="3"/>
      <c r="L710" s="3"/>
      <c r="M710" s="3"/>
      <c r="N710" s="3"/>
      <c r="O710" s="3"/>
      <c r="P710" s="3"/>
      <c r="Q710" s="3"/>
      <c r="R710" s="3"/>
      <c r="S710" s="3"/>
      <c r="T710" s="3"/>
      <c r="U710" s="3"/>
      <c r="V710" s="3"/>
      <c r="W710" s="3"/>
      <c r="X710" s="3"/>
      <c r="Y710" s="3"/>
      <c r="Z710" s="3"/>
    </row>
    <row r="711" spans="1:26" ht="14.25" customHeight="1">
      <c r="A711" s="1"/>
      <c r="B711" s="1"/>
      <c r="C711" s="1"/>
      <c r="D711" s="1"/>
      <c r="E711" s="19"/>
      <c r="F711" s="3"/>
      <c r="G711" s="3"/>
      <c r="H711" s="3"/>
      <c r="I711" s="3"/>
      <c r="J711" s="3"/>
      <c r="K711" s="3"/>
      <c r="L711" s="3"/>
      <c r="M711" s="3"/>
      <c r="N711" s="3"/>
      <c r="O711" s="3"/>
      <c r="P711" s="3"/>
      <c r="Q711" s="3"/>
      <c r="R711" s="3"/>
      <c r="S711" s="3"/>
      <c r="T711" s="3"/>
      <c r="U711" s="3"/>
      <c r="V711" s="3"/>
      <c r="W711" s="3"/>
      <c r="X711" s="3"/>
      <c r="Y711" s="3"/>
      <c r="Z711" s="3"/>
    </row>
    <row r="712" spans="1:26" ht="14.25" customHeight="1">
      <c r="A712" s="1"/>
      <c r="B712" s="1"/>
      <c r="C712" s="1"/>
      <c r="D712" s="1"/>
      <c r="E712" s="19"/>
      <c r="F712" s="3"/>
      <c r="G712" s="3"/>
      <c r="H712" s="3"/>
      <c r="I712" s="3"/>
      <c r="J712" s="3"/>
      <c r="K712" s="3"/>
      <c r="L712" s="3"/>
      <c r="M712" s="3"/>
      <c r="N712" s="3"/>
      <c r="O712" s="3"/>
      <c r="P712" s="3"/>
      <c r="Q712" s="3"/>
      <c r="R712" s="3"/>
      <c r="S712" s="3"/>
      <c r="T712" s="3"/>
      <c r="U712" s="3"/>
      <c r="V712" s="3"/>
      <c r="W712" s="3"/>
      <c r="X712" s="3"/>
      <c r="Y712" s="3"/>
      <c r="Z712" s="3"/>
    </row>
    <row r="713" spans="1:26" ht="14.25" customHeight="1">
      <c r="A713" s="1"/>
      <c r="B713" s="1"/>
      <c r="C713" s="1"/>
      <c r="D713" s="1"/>
      <c r="E713" s="19"/>
      <c r="F713" s="3"/>
      <c r="G713" s="3"/>
      <c r="H713" s="3"/>
      <c r="I713" s="3"/>
      <c r="J713" s="3"/>
      <c r="K713" s="3"/>
      <c r="L713" s="3"/>
      <c r="M713" s="3"/>
      <c r="N713" s="3"/>
      <c r="O713" s="3"/>
      <c r="P713" s="3"/>
      <c r="Q713" s="3"/>
      <c r="R713" s="3"/>
      <c r="S713" s="3"/>
      <c r="T713" s="3"/>
      <c r="U713" s="3"/>
      <c r="V713" s="3"/>
      <c r="W713" s="3"/>
      <c r="X713" s="3"/>
      <c r="Y713" s="3"/>
      <c r="Z713" s="3"/>
    </row>
    <row r="714" spans="1:26" ht="14.25" customHeight="1">
      <c r="A714" s="1"/>
      <c r="B714" s="1"/>
      <c r="C714" s="1"/>
      <c r="D714" s="1"/>
      <c r="E714" s="19"/>
      <c r="F714" s="3"/>
      <c r="G714" s="3"/>
      <c r="H714" s="3"/>
      <c r="I714" s="3"/>
      <c r="J714" s="3"/>
      <c r="K714" s="3"/>
      <c r="L714" s="3"/>
      <c r="M714" s="3"/>
      <c r="N714" s="3"/>
      <c r="O714" s="3"/>
      <c r="P714" s="3"/>
      <c r="Q714" s="3"/>
      <c r="R714" s="3"/>
      <c r="S714" s="3"/>
      <c r="T714" s="3"/>
      <c r="U714" s="3"/>
      <c r="V714" s="3"/>
      <c r="W714" s="3"/>
      <c r="X714" s="3"/>
      <c r="Y714" s="3"/>
      <c r="Z714" s="3"/>
    </row>
    <row r="715" spans="1:26" ht="14.25" customHeight="1">
      <c r="A715" s="1"/>
      <c r="B715" s="1"/>
      <c r="C715" s="1"/>
      <c r="D715" s="1"/>
      <c r="E715" s="19"/>
      <c r="F715" s="3"/>
      <c r="G715" s="3"/>
      <c r="H715" s="3"/>
      <c r="I715" s="3"/>
      <c r="J715" s="3"/>
      <c r="K715" s="3"/>
      <c r="L715" s="3"/>
      <c r="M715" s="3"/>
      <c r="N715" s="3"/>
      <c r="O715" s="3"/>
      <c r="P715" s="3"/>
      <c r="Q715" s="3"/>
      <c r="R715" s="3"/>
      <c r="S715" s="3"/>
      <c r="T715" s="3"/>
      <c r="U715" s="3"/>
      <c r="V715" s="3"/>
      <c r="W715" s="3"/>
      <c r="X715" s="3"/>
      <c r="Y715" s="3"/>
      <c r="Z715" s="3"/>
    </row>
    <row r="716" spans="1:26" ht="14.25" customHeight="1">
      <c r="A716" s="1"/>
      <c r="B716" s="1"/>
      <c r="C716" s="1"/>
      <c r="D716" s="1"/>
      <c r="E716" s="19"/>
      <c r="F716" s="3"/>
      <c r="G716" s="3"/>
      <c r="H716" s="3"/>
      <c r="I716" s="3"/>
      <c r="J716" s="3"/>
      <c r="K716" s="3"/>
      <c r="L716" s="3"/>
      <c r="M716" s="3"/>
      <c r="N716" s="3"/>
      <c r="O716" s="3"/>
      <c r="P716" s="3"/>
      <c r="Q716" s="3"/>
      <c r="R716" s="3"/>
      <c r="S716" s="3"/>
      <c r="T716" s="3"/>
      <c r="U716" s="3"/>
      <c r="V716" s="3"/>
      <c r="W716" s="3"/>
      <c r="X716" s="3"/>
      <c r="Y716" s="3"/>
      <c r="Z716" s="3"/>
    </row>
    <row r="717" spans="1:26" ht="14.25" customHeight="1">
      <c r="A717" s="1"/>
      <c r="B717" s="1"/>
      <c r="C717" s="1"/>
      <c r="D717" s="1"/>
      <c r="E717" s="19"/>
      <c r="F717" s="3"/>
      <c r="G717" s="3"/>
      <c r="H717" s="3"/>
      <c r="I717" s="3"/>
      <c r="J717" s="3"/>
      <c r="K717" s="3"/>
      <c r="L717" s="3"/>
      <c r="M717" s="3"/>
      <c r="N717" s="3"/>
      <c r="O717" s="3"/>
      <c r="P717" s="3"/>
      <c r="Q717" s="3"/>
      <c r="R717" s="3"/>
      <c r="S717" s="3"/>
      <c r="T717" s="3"/>
      <c r="U717" s="3"/>
      <c r="V717" s="3"/>
      <c r="W717" s="3"/>
      <c r="X717" s="3"/>
      <c r="Y717" s="3"/>
      <c r="Z717" s="3"/>
    </row>
    <row r="718" spans="1:26" ht="14.25" customHeight="1">
      <c r="A718" s="1"/>
      <c r="B718" s="1"/>
      <c r="C718" s="1"/>
      <c r="D718" s="1"/>
      <c r="E718" s="19"/>
      <c r="F718" s="3"/>
      <c r="G718" s="3"/>
      <c r="H718" s="3"/>
      <c r="I718" s="3"/>
      <c r="J718" s="3"/>
      <c r="K718" s="3"/>
      <c r="L718" s="3"/>
      <c r="M718" s="3"/>
      <c r="N718" s="3"/>
      <c r="O718" s="3"/>
      <c r="P718" s="3"/>
      <c r="Q718" s="3"/>
      <c r="R718" s="3"/>
      <c r="S718" s="3"/>
      <c r="T718" s="3"/>
      <c r="U718" s="3"/>
      <c r="V718" s="3"/>
      <c r="W718" s="3"/>
      <c r="X718" s="3"/>
      <c r="Y718" s="3"/>
      <c r="Z718" s="3"/>
    </row>
    <row r="719" spans="1:26" ht="14.25" customHeight="1">
      <c r="A719" s="1"/>
      <c r="B719" s="1"/>
      <c r="C719" s="1"/>
      <c r="D719" s="1"/>
      <c r="E719" s="19"/>
      <c r="F719" s="3"/>
      <c r="G719" s="3"/>
      <c r="H719" s="3"/>
      <c r="I719" s="3"/>
      <c r="J719" s="3"/>
      <c r="K719" s="3"/>
      <c r="L719" s="3"/>
      <c r="M719" s="3"/>
      <c r="N719" s="3"/>
      <c r="O719" s="3"/>
      <c r="P719" s="3"/>
      <c r="Q719" s="3"/>
      <c r="R719" s="3"/>
      <c r="S719" s="3"/>
      <c r="T719" s="3"/>
      <c r="U719" s="3"/>
      <c r="V719" s="3"/>
      <c r="W719" s="3"/>
      <c r="X719" s="3"/>
      <c r="Y719" s="3"/>
      <c r="Z719" s="3"/>
    </row>
    <row r="720" spans="1:26" ht="14.25" customHeight="1">
      <c r="A720" s="1"/>
      <c r="B720" s="1"/>
      <c r="C720" s="1"/>
      <c r="D720" s="1"/>
      <c r="E720" s="19"/>
      <c r="F720" s="3"/>
      <c r="G720" s="3"/>
      <c r="H720" s="3"/>
      <c r="I720" s="3"/>
      <c r="J720" s="3"/>
      <c r="K720" s="3"/>
      <c r="L720" s="3"/>
      <c r="M720" s="3"/>
      <c r="N720" s="3"/>
      <c r="O720" s="3"/>
      <c r="P720" s="3"/>
      <c r="Q720" s="3"/>
      <c r="R720" s="3"/>
      <c r="S720" s="3"/>
      <c r="T720" s="3"/>
      <c r="U720" s="3"/>
      <c r="V720" s="3"/>
      <c r="W720" s="3"/>
      <c r="X720" s="3"/>
      <c r="Y720" s="3"/>
      <c r="Z720" s="3"/>
    </row>
    <row r="721" spans="1:26" ht="14.25" customHeight="1">
      <c r="A721" s="1"/>
      <c r="B721" s="1"/>
      <c r="C721" s="1"/>
      <c r="D721" s="1"/>
      <c r="E721" s="19"/>
      <c r="F721" s="3"/>
      <c r="G721" s="3"/>
      <c r="H721" s="3"/>
      <c r="I721" s="3"/>
      <c r="J721" s="3"/>
      <c r="K721" s="3"/>
      <c r="L721" s="3"/>
      <c r="M721" s="3"/>
      <c r="N721" s="3"/>
      <c r="O721" s="3"/>
      <c r="P721" s="3"/>
      <c r="Q721" s="3"/>
      <c r="R721" s="3"/>
      <c r="S721" s="3"/>
      <c r="T721" s="3"/>
      <c r="U721" s="3"/>
      <c r="V721" s="3"/>
      <c r="W721" s="3"/>
      <c r="X721" s="3"/>
      <c r="Y721" s="3"/>
      <c r="Z721" s="3"/>
    </row>
    <row r="722" spans="1:26" ht="14.25" customHeight="1">
      <c r="A722" s="1"/>
      <c r="B722" s="1"/>
      <c r="C722" s="1"/>
      <c r="D722" s="1"/>
      <c r="E722" s="19"/>
      <c r="F722" s="3"/>
      <c r="G722" s="3"/>
      <c r="H722" s="3"/>
      <c r="I722" s="3"/>
      <c r="J722" s="3"/>
      <c r="K722" s="3"/>
      <c r="L722" s="3"/>
      <c r="M722" s="3"/>
      <c r="N722" s="3"/>
      <c r="O722" s="3"/>
      <c r="P722" s="3"/>
      <c r="Q722" s="3"/>
      <c r="R722" s="3"/>
      <c r="S722" s="3"/>
      <c r="T722" s="3"/>
      <c r="U722" s="3"/>
      <c r="V722" s="3"/>
      <c r="W722" s="3"/>
      <c r="X722" s="3"/>
      <c r="Y722" s="3"/>
      <c r="Z722" s="3"/>
    </row>
    <row r="723" spans="1:26" ht="14.25" customHeight="1">
      <c r="A723" s="1"/>
      <c r="B723" s="1"/>
      <c r="C723" s="1"/>
      <c r="D723" s="1"/>
      <c r="E723" s="19"/>
      <c r="F723" s="3"/>
      <c r="G723" s="3"/>
      <c r="H723" s="3"/>
      <c r="I723" s="3"/>
      <c r="J723" s="3"/>
      <c r="K723" s="3"/>
      <c r="L723" s="3"/>
      <c r="M723" s="3"/>
      <c r="N723" s="3"/>
      <c r="O723" s="3"/>
      <c r="P723" s="3"/>
      <c r="Q723" s="3"/>
      <c r="R723" s="3"/>
      <c r="S723" s="3"/>
      <c r="T723" s="3"/>
      <c r="U723" s="3"/>
      <c r="V723" s="3"/>
      <c r="W723" s="3"/>
      <c r="X723" s="3"/>
      <c r="Y723" s="3"/>
      <c r="Z723" s="3"/>
    </row>
    <row r="724" spans="1:26" ht="14.25" customHeight="1">
      <c r="A724" s="1"/>
      <c r="B724" s="1"/>
      <c r="C724" s="1"/>
      <c r="D724" s="1"/>
      <c r="E724" s="19"/>
      <c r="F724" s="3"/>
      <c r="G724" s="3"/>
      <c r="H724" s="3"/>
      <c r="I724" s="3"/>
      <c r="J724" s="3"/>
      <c r="K724" s="3"/>
      <c r="L724" s="3"/>
      <c r="M724" s="3"/>
      <c r="N724" s="3"/>
      <c r="O724" s="3"/>
      <c r="P724" s="3"/>
      <c r="Q724" s="3"/>
      <c r="R724" s="3"/>
      <c r="S724" s="3"/>
      <c r="T724" s="3"/>
      <c r="U724" s="3"/>
      <c r="V724" s="3"/>
      <c r="W724" s="3"/>
      <c r="X724" s="3"/>
      <c r="Y724" s="3"/>
      <c r="Z724" s="3"/>
    </row>
    <row r="725" spans="1:26" ht="14.25" customHeight="1">
      <c r="A725" s="1"/>
      <c r="B725" s="1"/>
      <c r="C725" s="1"/>
      <c r="D725" s="1"/>
      <c r="E725" s="19"/>
      <c r="F725" s="3"/>
      <c r="G725" s="3"/>
      <c r="H725" s="3"/>
      <c r="I725" s="3"/>
      <c r="J725" s="3"/>
      <c r="K725" s="3"/>
      <c r="L725" s="3"/>
      <c r="M725" s="3"/>
      <c r="N725" s="3"/>
      <c r="O725" s="3"/>
      <c r="P725" s="3"/>
      <c r="Q725" s="3"/>
      <c r="R725" s="3"/>
      <c r="S725" s="3"/>
      <c r="T725" s="3"/>
      <c r="U725" s="3"/>
      <c r="V725" s="3"/>
      <c r="W725" s="3"/>
      <c r="X725" s="3"/>
      <c r="Y725" s="3"/>
      <c r="Z725" s="3"/>
    </row>
    <row r="726" spans="1:26" ht="14.25" customHeight="1">
      <c r="A726" s="1"/>
      <c r="B726" s="1"/>
      <c r="C726" s="1"/>
      <c r="D726" s="1"/>
      <c r="E726" s="19"/>
      <c r="F726" s="3"/>
      <c r="G726" s="3"/>
      <c r="H726" s="3"/>
      <c r="I726" s="3"/>
      <c r="J726" s="3"/>
      <c r="K726" s="3"/>
      <c r="L726" s="3"/>
      <c r="M726" s="3"/>
      <c r="N726" s="3"/>
      <c r="O726" s="3"/>
      <c r="P726" s="3"/>
      <c r="Q726" s="3"/>
      <c r="R726" s="3"/>
      <c r="S726" s="3"/>
      <c r="T726" s="3"/>
      <c r="U726" s="3"/>
      <c r="V726" s="3"/>
      <c r="W726" s="3"/>
      <c r="X726" s="3"/>
      <c r="Y726" s="3"/>
      <c r="Z726" s="3"/>
    </row>
    <row r="727" spans="1:26" ht="14.25" customHeight="1">
      <c r="A727" s="1"/>
      <c r="B727" s="1"/>
      <c r="C727" s="1"/>
      <c r="D727" s="1"/>
      <c r="E727" s="19"/>
      <c r="F727" s="3"/>
      <c r="G727" s="3"/>
      <c r="H727" s="3"/>
      <c r="I727" s="3"/>
      <c r="J727" s="3"/>
      <c r="K727" s="3"/>
      <c r="L727" s="3"/>
      <c r="M727" s="3"/>
      <c r="N727" s="3"/>
      <c r="O727" s="3"/>
      <c r="P727" s="3"/>
      <c r="Q727" s="3"/>
      <c r="R727" s="3"/>
      <c r="S727" s="3"/>
      <c r="T727" s="3"/>
      <c r="U727" s="3"/>
      <c r="V727" s="3"/>
      <c r="W727" s="3"/>
      <c r="X727" s="3"/>
      <c r="Y727" s="3"/>
      <c r="Z727" s="3"/>
    </row>
    <row r="728" spans="1:26" ht="14.25" customHeight="1">
      <c r="A728" s="1"/>
      <c r="B728" s="1"/>
      <c r="C728" s="1"/>
      <c r="D728" s="1"/>
      <c r="E728" s="19"/>
      <c r="F728" s="3"/>
      <c r="G728" s="3"/>
      <c r="H728" s="3"/>
      <c r="I728" s="3"/>
      <c r="J728" s="3"/>
      <c r="K728" s="3"/>
      <c r="L728" s="3"/>
      <c r="M728" s="3"/>
      <c r="N728" s="3"/>
      <c r="O728" s="3"/>
      <c r="P728" s="3"/>
      <c r="Q728" s="3"/>
      <c r="R728" s="3"/>
      <c r="S728" s="3"/>
      <c r="T728" s="3"/>
      <c r="U728" s="3"/>
      <c r="V728" s="3"/>
      <c r="W728" s="3"/>
      <c r="X728" s="3"/>
      <c r="Y728" s="3"/>
      <c r="Z728" s="3"/>
    </row>
    <row r="729" spans="1:26" ht="14.25" customHeight="1">
      <c r="A729" s="1"/>
      <c r="B729" s="1"/>
      <c r="C729" s="1"/>
      <c r="D729" s="1"/>
      <c r="E729" s="19"/>
      <c r="F729" s="3"/>
      <c r="G729" s="3"/>
      <c r="H729" s="3"/>
      <c r="I729" s="3"/>
      <c r="J729" s="3"/>
      <c r="K729" s="3"/>
      <c r="L729" s="3"/>
      <c r="M729" s="3"/>
      <c r="N729" s="3"/>
      <c r="O729" s="3"/>
      <c r="P729" s="3"/>
      <c r="Q729" s="3"/>
      <c r="R729" s="3"/>
      <c r="S729" s="3"/>
      <c r="T729" s="3"/>
      <c r="U729" s="3"/>
      <c r="V729" s="3"/>
      <c r="W729" s="3"/>
      <c r="X729" s="3"/>
      <c r="Y729" s="3"/>
      <c r="Z729" s="3"/>
    </row>
    <row r="730" spans="1:26" ht="14.25" customHeight="1">
      <c r="A730" s="1"/>
      <c r="B730" s="1"/>
      <c r="C730" s="1"/>
      <c r="D730" s="1"/>
      <c r="E730" s="19"/>
      <c r="F730" s="3"/>
      <c r="G730" s="3"/>
      <c r="H730" s="3"/>
      <c r="I730" s="3"/>
      <c r="J730" s="3"/>
      <c r="K730" s="3"/>
      <c r="L730" s="3"/>
      <c r="M730" s="3"/>
      <c r="N730" s="3"/>
      <c r="O730" s="3"/>
      <c r="P730" s="3"/>
      <c r="Q730" s="3"/>
      <c r="R730" s="3"/>
      <c r="S730" s="3"/>
      <c r="T730" s="3"/>
      <c r="U730" s="3"/>
      <c r="V730" s="3"/>
      <c r="W730" s="3"/>
      <c r="X730" s="3"/>
      <c r="Y730" s="3"/>
      <c r="Z730" s="3"/>
    </row>
    <row r="731" spans="1:26" ht="14.25" customHeight="1">
      <c r="A731" s="1"/>
      <c r="B731" s="1"/>
      <c r="C731" s="1"/>
      <c r="D731" s="1"/>
      <c r="E731" s="19"/>
      <c r="F731" s="3"/>
      <c r="G731" s="3"/>
      <c r="H731" s="3"/>
      <c r="I731" s="3"/>
      <c r="J731" s="3"/>
      <c r="K731" s="3"/>
      <c r="L731" s="3"/>
      <c r="M731" s="3"/>
      <c r="N731" s="3"/>
      <c r="O731" s="3"/>
      <c r="P731" s="3"/>
      <c r="Q731" s="3"/>
      <c r="R731" s="3"/>
      <c r="S731" s="3"/>
      <c r="T731" s="3"/>
      <c r="U731" s="3"/>
      <c r="V731" s="3"/>
      <c r="W731" s="3"/>
      <c r="X731" s="3"/>
      <c r="Y731" s="3"/>
      <c r="Z731" s="3"/>
    </row>
    <row r="732" spans="1:26" ht="14.25" customHeight="1">
      <c r="A732" s="1"/>
      <c r="B732" s="1"/>
      <c r="C732" s="1"/>
      <c r="D732" s="1"/>
      <c r="E732" s="19"/>
      <c r="F732" s="3"/>
      <c r="G732" s="3"/>
      <c r="H732" s="3"/>
      <c r="I732" s="3"/>
      <c r="J732" s="3"/>
      <c r="K732" s="3"/>
      <c r="L732" s="3"/>
      <c r="M732" s="3"/>
      <c r="N732" s="3"/>
      <c r="O732" s="3"/>
      <c r="P732" s="3"/>
      <c r="Q732" s="3"/>
      <c r="R732" s="3"/>
      <c r="S732" s="3"/>
      <c r="T732" s="3"/>
      <c r="U732" s="3"/>
      <c r="V732" s="3"/>
      <c r="W732" s="3"/>
      <c r="X732" s="3"/>
      <c r="Y732" s="3"/>
      <c r="Z732" s="3"/>
    </row>
    <row r="733" spans="1:26" ht="14.25" customHeight="1">
      <c r="A733" s="1"/>
      <c r="B733" s="1"/>
      <c r="C733" s="1"/>
      <c r="D733" s="1"/>
      <c r="E733" s="19"/>
      <c r="F733" s="3"/>
      <c r="G733" s="3"/>
      <c r="H733" s="3"/>
      <c r="I733" s="3"/>
      <c r="J733" s="3"/>
      <c r="K733" s="3"/>
      <c r="L733" s="3"/>
      <c r="M733" s="3"/>
      <c r="N733" s="3"/>
      <c r="O733" s="3"/>
      <c r="P733" s="3"/>
      <c r="Q733" s="3"/>
      <c r="R733" s="3"/>
      <c r="S733" s="3"/>
      <c r="T733" s="3"/>
      <c r="U733" s="3"/>
      <c r="V733" s="3"/>
      <c r="W733" s="3"/>
      <c r="X733" s="3"/>
      <c r="Y733" s="3"/>
      <c r="Z733" s="3"/>
    </row>
    <row r="734" spans="1:26" ht="14.25" customHeight="1">
      <c r="A734" s="1"/>
      <c r="B734" s="1"/>
      <c r="C734" s="1"/>
      <c r="D734" s="1"/>
      <c r="E734" s="19"/>
      <c r="F734" s="3"/>
      <c r="G734" s="3"/>
      <c r="H734" s="3"/>
      <c r="I734" s="3"/>
      <c r="J734" s="3"/>
      <c r="K734" s="3"/>
      <c r="L734" s="3"/>
      <c r="M734" s="3"/>
      <c r="N734" s="3"/>
      <c r="O734" s="3"/>
      <c r="P734" s="3"/>
      <c r="Q734" s="3"/>
      <c r="R734" s="3"/>
      <c r="S734" s="3"/>
      <c r="T734" s="3"/>
      <c r="U734" s="3"/>
      <c r="V734" s="3"/>
      <c r="W734" s="3"/>
      <c r="X734" s="3"/>
      <c r="Y734" s="3"/>
      <c r="Z734" s="3"/>
    </row>
    <row r="735" spans="1:26" ht="14.25" customHeight="1">
      <c r="A735" s="1"/>
      <c r="B735" s="1"/>
      <c r="C735" s="1"/>
      <c r="D735" s="1"/>
      <c r="E735" s="19"/>
      <c r="F735" s="3"/>
      <c r="G735" s="3"/>
      <c r="H735" s="3"/>
      <c r="I735" s="3"/>
      <c r="J735" s="3"/>
      <c r="K735" s="3"/>
      <c r="L735" s="3"/>
      <c r="M735" s="3"/>
      <c r="N735" s="3"/>
      <c r="O735" s="3"/>
      <c r="P735" s="3"/>
      <c r="Q735" s="3"/>
      <c r="R735" s="3"/>
      <c r="S735" s="3"/>
      <c r="T735" s="3"/>
      <c r="U735" s="3"/>
      <c r="V735" s="3"/>
      <c r="W735" s="3"/>
      <c r="X735" s="3"/>
      <c r="Y735" s="3"/>
      <c r="Z735" s="3"/>
    </row>
    <row r="736" spans="1:26" ht="14.25" customHeight="1">
      <c r="A736" s="1"/>
      <c r="B736" s="1"/>
      <c r="C736" s="1"/>
      <c r="D736" s="1"/>
      <c r="E736" s="19"/>
      <c r="F736" s="3"/>
      <c r="G736" s="3"/>
      <c r="H736" s="3"/>
      <c r="I736" s="3"/>
      <c r="J736" s="3"/>
      <c r="K736" s="3"/>
      <c r="L736" s="3"/>
      <c r="M736" s="3"/>
      <c r="N736" s="3"/>
      <c r="O736" s="3"/>
      <c r="P736" s="3"/>
      <c r="Q736" s="3"/>
      <c r="R736" s="3"/>
      <c r="S736" s="3"/>
      <c r="T736" s="3"/>
      <c r="U736" s="3"/>
      <c r="V736" s="3"/>
      <c r="W736" s="3"/>
      <c r="X736" s="3"/>
      <c r="Y736" s="3"/>
      <c r="Z736" s="3"/>
    </row>
    <row r="737" spans="1:26" ht="14.25" customHeight="1">
      <c r="A737" s="1"/>
      <c r="B737" s="1"/>
      <c r="C737" s="1"/>
      <c r="D737" s="1"/>
      <c r="E737" s="19"/>
      <c r="F737" s="3"/>
      <c r="G737" s="3"/>
      <c r="H737" s="3"/>
      <c r="I737" s="3"/>
      <c r="J737" s="3"/>
      <c r="K737" s="3"/>
      <c r="L737" s="3"/>
      <c r="M737" s="3"/>
      <c r="N737" s="3"/>
      <c r="O737" s="3"/>
      <c r="P737" s="3"/>
      <c r="Q737" s="3"/>
      <c r="R737" s="3"/>
      <c r="S737" s="3"/>
      <c r="T737" s="3"/>
      <c r="U737" s="3"/>
      <c r="V737" s="3"/>
      <c r="W737" s="3"/>
      <c r="X737" s="3"/>
      <c r="Y737" s="3"/>
      <c r="Z737" s="3"/>
    </row>
    <row r="738" spans="1:26" ht="14.25" customHeight="1">
      <c r="A738" s="1"/>
      <c r="B738" s="1"/>
      <c r="C738" s="1"/>
      <c r="D738" s="1"/>
      <c r="E738" s="19"/>
      <c r="F738" s="3"/>
      <c r="G738" s="3"/>
      <c r="H738" s="3"/>
      <c r="I738" s="3"/>
      <c r="J738" s="3"/>
      <c r="K738" s="3"/>
      <c r="L738" s="3"/>
      <c r="M738" s="3"/>
      <c r="N738" s="3"/>
      <c r="O738" s="3"/>
      <c r="P738" s="3"/>
      <c r="Q738" s="3"/>
      <c r="R738" s="3"/>
      <c r="S738" s="3"/>
      <c r="T738" s="3"/>
      <c r="U738" s="3"/>
      <c r="V738" s="3"/>
      <c r="W738" s="3"/>
      <c r="X738" s="3"/>
      <c r="Y738" s="3"/>
      <c r="Z738" s="3"/>
    </row>
    <row r="739" spans="1:26" ht="14.25" customHeight="1">
      <c r="A739" s="1"/>
      <c r="B739" s="1"/>
      <c r="C739" s="1"/>
      <c r="D739" s="1"/>
      <c r="E739" s="19"/>
      <c r="F739" s="3"/>
      <c r="G739" s="3"/>
      <c r="H739" s="3"/>
      <c r="I739" s="3"/>
      <c r="J739" s="3"/>
      <c r="K739" s="3"/>
      <c r="L739" s="3"/>
      <c r="M739" s="3"/>
      <c r="N739" s="3"/>
      <c r="O739" s="3"/>
      <c r="P739" s="3"/>
      <c r="Q739" s="3"/>
      <c r="R739" s="3"/>
      <c r="S739" s="3"/>
      <c r="T739" s="3"/>
      <c r="U739" s="3"/>
      <c r="V739" s="3"/>
      <c r="W739" s="3"/>
      <c r="X739" s="3"/>
      <c r="Y739" s="3"/>
      <c r="Z739" s="3"/>
    </row>
    <row r="740" spans="1:26" ht="14.25" customHeight="1">
      <c r="A740" s="1"/>
      <c r="B740" s="1"/>
      <c r="C740" s="1"/>
      <c r="D740" s="1"/>
      <c r="E740" s="19"/>
      <c r="F740" s="3"/>
      <c r="G740" s="3"/>
      <c r="H740" s="3"/>
      <c r="I740" s="3"/>
      <c r="J740" s="3"/>
      <c r="K740" s="3"/>
      <c r="L740" s="3"/>
      <c r="M740" s="3"/>
      <c r="N740" s="3"/>
      <c r="O740" s="3"/>
      <c r="P740" s="3"/>
      <c r="Q740" s="3"/>
      <c r="R740" s="3"/>
      <c r="S740" s="3"/>
      <c r="T740" s="3"/>
      <c r="U740" s="3"/>
      <c r="V740" s="3"/>
      <c r="W740" s="3"/>
      <c r="X740" s="3"/>
      <c r="Y740" s="3"/>
      <c r="Z740" s="3"/>
    </row>
    <row r="741" spans="1:26" ht="14.25" customHeight="1">
      <c r="A741" s="1"/>
      <c r="B741" s="1"/>
      <c r="C741" s="1"/>
      <c r="D741" s="1"/>
      <c r="E741" s="19"/>
      <c r="F741" s="3"/>
      <c r="G741" s="3"/>
      <c r="H741" s="3"/>
      <c r="I741" s="3"/>
      <c r="J741" s="3"/>
      <c r="K741" s="3"/>
      <c r="L741" s="3"/>
      <c r="M741" s="3"/>
      <c r="N741" s="3"/>
      <c r="O741" s="3"/>
      <c r="P741" s="3"/>
      <c r="Q741" s="3"/>
      <c r="R741" s="3"/>
      <c r="S741" s="3"/>
      <c r="T741" s="3"/>
      <c r="U741" s="3"/>
      <c r="V741" s="3"/>
      <c r="W741" s="3"/>
      <c r="X741" s="3"/>
      <c r="Y741" s="3"/>
      <c r="Z741" s="3"/>
    </row>
    <row r="742" spans="1:26" ht="14.25" customHeight="1">
      <c r="A742" s="1"/>
      <c r="B742" s="1"/>
      <c r="C742" s="1"/>
      <c r="D742" s="1"/>
      <c r="E742" s="19"/>
      <c r="F742" s="3"/>
      <c r="G742" s="3"/>
      <c r="H742" s="3"/>
      <c r="I742" s="3"/>
      <c r="J742" s="3"/>
      <c r="K742" s="3"/>
      <c r="L742" s="3"/>
      <c r="M742" s="3"/>
      <c r="N742" s="3"/>
      <c r="O742" s="3"/>
      <c r="P742" s="3"/>
      <c r="Q742" s="3"/>
      <c r="R742" s="3"/>
      <c r="S742" s="3"/>
      <c r="T742" s="3"/>
      <c r="U742" s="3"/>
      <c r="V742" s="3"/>
      <c r="W742" s="3"/>
      <c r="X742" s="3"/>
      <c r="Y742" s="3"/>
      <c r="Z742" s="3"/>
    </row>
    <row r="743" spans="1:26" ht="14.25" customHeight="1">
      <c r="A743" s="1"/>
      <c r="B743" s="1"/>
      <c r="C743" s="1"/>
      <c r="D743" s="1"/>
      <c r="E743" s="19"/>
      <c r="F743" s="3"/>
      <c r="G743" s="3"/>
      <c r="H743" s="3"/>
      <c r="I743" s="3"/>
      <c r="J743" s="3"/>
      <c r="K743" s="3"/>
      <c r="L743" s="3"/>
      <c r="M743" s="3"/>
      <c r="N743" s="3"/>
      <c r="O743" s="3"/>
      <c r="P743" s="3"/>
      <c r="Q743" s="3"/>
      <c r="R743" s="3"/>
      <c r="S743" s="3"/>
      <c r="T743" s="3"/>
      <c r="U743" s="3"/>
      <c r="V743" s="3"/>
      <c r="W743" s="3"/>
      <c r="X743" s="3"/>
      <c r="Y743" s="3"/>
      <c r="Z743" s="3"/>
    </row>
    <row r="744" spans="1:26" ht="14.25" customHeight="1">
      <c r="A744" s="1"/>
      <c r="B744" s="1"/>
      <c r="C744" s="1"/>
      <c r="D744" s="1"/>
      <c r="E744" s="19"/>
      <c r="F744" s="3"/>
      <c r="G744" s="3"/>
      <c r="H744" s="3"/>
      <c r="I744" s="3"/>
      <c r="J744" s="3"/>
      <c r="K744" s="3"/>
      <c r="L744" s="3"/>
      <c r="M744" s="3"/>
      <c r="N744" s="3"/>
      <c r="O744" s="3"/>
      <c r="P744" s="3"/>
      <c r="Q744" s="3"/>
      <c r="R744" s="3"/>
      <c r="S744" s="3"/>
      <c r="T744" s="3"/>
      <c r="U744" s="3"/>
      <c r="V744" s="3"/>
      <c r="W744" s="3"/>
      <c r="X744" s="3"/>
      <c r="Y744" s="3"/>
      <c r="Z744" s="3"/>
    </row>
    <row r="745" spans="1:26" ht="14.25" customHeight="1">
      <c r="A745" s="1"/>
      <c r="B745" s="1"/>
      <c r="C745" s="1"/>
      <c r="D745" s="1"/>
      <c r="E745" s="19"/>
      <c r="F745" s="3"/>
      <c r="G745" s="3"/>
      <c r="H745" s="3"/>
      <c r="I745" s="3"/>
      <c r="J745" s="3"/>
      <c r="K745" s="3"/>
      <c r="L745" s="3"/>
      <c r="M745" s="3"/>
      <c r="N745" s="3"/>
      <c r="O745" s="3"/>
      <c r="P745" s="3"/>
      <c r="Q745" s="3"/>
      <c r="R745" s="3"/>
      <c r="S745" s="3"/>
      <c r="T745" s="3"/>
      <c r="U745" s="3"/>
      <c r="V745" s="3"/>
      <c r="W745" s="3"/>
      <c r="X745" s="3"/>
      <c r="Y745" s="3"/>
      <c r="Z745" s="3"/>
    </row>
    <row r="746" spans="1:26" ht="14.25" customHeight="1">
      <c r="A746" s="1"/>
      <c r="B746" s="1"/>
      <c r="C746" s="1"/>
      <c r="D746" s="1"/>
      <c r="E746" s="19"/>
      <c r="F746" s="3"/>
      <c r="G746" s="3"/>
      <c r="H746" s="3"/>
      <c r="I746" s="3"/>
      <c r="J746" s="3"/>
      <c r="K746" s="3"/>
      <c r="L746" s="3"/>
      <c r="M746" s="3"/>
      <c r="N746" s="3"/>
      <c r="O746" s="3"/>
      <c r="P746" s="3"/>
      <c r="Q746" s="3"/>
      <c r="R746" s="3"/>
      <c r="S746" s="3"/>
      <c r="T746" s="3"/>
      <c r="U746" s="3"/>
      <c r="V746" s="3"/>
      <c r="W746" s="3"/>
      <c r="X746" s="3"/>
      <c r="Y746" s="3"/>
      <c r="Z746" s="3"/>
    </row>
    <row r="747" spans="1:26" ht="14.25" customHeight="1">
      <c r="A747" s="1"/>
      <c r="B747" s="1"/>
      <c r="C747" s="1"/>
      <c r="D747" s="1"/>
      <c r="E747" s="19"/>
      <c r="F747" s="3"/>
      <c r="G747" s="3"/>
      <c r="H747" s="3"/>
      <c r="I747" s="3"/>
      <c r="J747" s="3"/>
      <c r="K747" s="3"/>
      <c r="L747" s="3"/>
      <c r="M747" s="3"/>
      <c r="N747" s="3"/>
      <c r="O747" s="3"/>
      <c r="P747" s="3"/>
      <c r="Q747" s="3"/>
      <c r="R747" s="3"/>
      <c r="S747" s="3"/>
      <c r="T747" s="3"/>
      <c r="U747" s="3"/>
      <c r="V747" s="3"/>
      <c r="W747" s="3"/>
      <c r="X747" s="3"/>
      <c r="Y747" s="3"/>
      <c r="Z747" s="3"/>
    </row>
    <row r="748" spans="1:26" ht="14.25" customHeight="1">
      <c r="A748" s="1"/>
      <c r="B748" s="1"/>
      <c r="C748" s="1"/>
      <c r="D748" s="1"/>
      <c r="E748" s="19"/>
      <c r="F748" s="3"/>
      <c r="G748" s="3"/>
      <c r="H748" s="3"/>
      <c r="I748" s="3"/>
      <c r="J748" s="3"/>
      <c r="K748" s="3"/>
      <c r="L748" s="3"/>
      <c r="M748" s="3"/>
      <c r="N748" s="3"/>
      <c r="O748" s="3"/>
      <c r="P748" s="3"/>
      <c r="Q748" s="3"/>
      <c r="R748" s="3"/>
      <c r="S748" s="3"/>
      <c r="T748" s="3"/>
      <c r="U748" s="3"/>
      <c r="V748" s="3"/>
      <c r="W748" s="3"/>
      <c r="X748" s="3"/>
      <c r="Y748" s="3"/>
      <c r="Z748" s="3"/>
    </row>
    <row r="749" spans="1:26" ht="14.25" customHeight="1">
      <c r="A749" s="1"/>
      <c r="B749" s="1"/>
      <c r="C749" s="1"/>
      <c r="D749" s="1"/>
      <c r="E749" s="19"/>
      <c r="F749" s="3"/>
      <c r="G749" s="3"/>
      <c r="H749" s="3"/>
      <c r="I749" s="3"/>
      <c r="J749" s="3"/>
      <c r="K749" s="3"/>
      <c r="L749" s="3"/>
      <c r="M749" s="3"/>
      <c r="N749" s="3"/>
      <c r="O749" s="3"/>
      <c r="P749" s="3"/>
      <c r="Q749" s="3"/>
      <c r="R749" s="3"/>
      <c r="S749" s="3"/>
      <c r="T749" s="3"/>
      <c r="U749" s="3"/>
      <c r="V749" s="3"/>
      <c r="W749" s="3"/>
      <c r="X749" s="3"/>
      <c r="Y749" s="3"/>
      <c r="Z749" s="3"/>
    </row>
    <row r="750" spans="1:26" ht="14.25" customHeight="1">
      <c r="A750" s="1"/>
      <c r="B750" s="1"/>
      <c r="C750" s="1"/>
      <c r="D750" s="1"/>
      <c r="E750" s="19"/>
      <c r="F750" s="3"/>
      <c r="G750" s="3"/>
      <c r="H750" s="3"/>
      <c r="I750" s="3"/>
      <c r="J750" s="3"/>
      <c r="K750" s="3"/>
      <c r="L750" s="3"/>
      <c r="M750" s="3"/>
      <c r="N750" s="3"/>
      <c r="O750" s="3"/>
      <c r="P750" s="3"/>
      <c r="Q750" s="3"/>
      <c r="R750" s="3"/>
      <c r="S750" s="3"/>
      <c r="T750" s="3"/>
      <c r="U750" s="3"/>
      <c r="V750" s="3"/>
      <c r="W750" s="3"/>
      <c r="X750" s="3"/>
      <c r="Y750" s="3"/>
      <c r="Z750" s="3"/>
    </row>
    <row r="751" spans="1:26" ht="14.25" customHeight="1">
      <c r="A751" s="1"/>
      <c r="B751" s="1"/>
      <c r="C751" s="1"/>
      <c r="D751" s="1"/>
      <c r="E751" s="19"/>
      <c r="F751" s="3"/>
      <c r="G751" s="3"/>
      <c r="H751" s="3"/>
      <c r="I751" s="3"/>
      <c r="J751" s="3"/>
      <c r="K751" s="3"/>
      <c r="L751" s="3"/>
      <c r="M751" s="3"/>
      <c r="N751" s="3"/>
      <c r="O751" s="3"/>
      <c r="P751" s="3"/>
      <c r="Q751" s="3"/>
      <c r="R751" s="3"/>
      <c r="S751" s="3"/>
      <c r="T751" s="3"/>
      <c r="U751" s="3"/>
      <c r="V751" s="3"/>
      <c r="W751" s="3"/>
      <c r="X751" s="3"/>
      <c r="Y751" s="3"/>
      <c r="Z751" s="3"/>
    </row>
    <row r="752" spans="1:26" ht="14.25" customHeight="1">
      <c r="A752" s="1"/>
      <c r="B752" s="1"/>
      <c r="C752" s="1"/>
      <c r="D752" s="1"/>
      <c r="E752" s="19"/>
      <c r="F752" s="3"/>
      <c r="G752" s="3"/>
      <c r="H752" s="3"/>
      <c r="I752" s="3"/>
      <c r="J752" s="3"/>
      <c r="K752" s="3"/>
      <c r="L752" s="3"/>
      <c r="M752" s="3"/>
      <c r="N752" s="3"/>
      <c r="O752" s="3"/>
      <c r="P752" s="3"/>
      <c r="Q752" s="3"/>
      <c r="R752" s="3"/>
      <c r="S752" s="3"/>
      <c r="T752" s="3"/>
      <c r="U752" s="3"/>
      <c r="V752" s="3"/>
      <c r="W752" s="3"/>
      <c r="X752" s="3"/>
      <c r="Y752" s="3"/>
      <c r="Z752" s="3"/>
    </row>
    <row r="753" spans="1:26" ht="14.25" customHeight="1">
      <c r="A753" s="1"/>
      <c r="B753" s="1"/>
      <c r="C753" s="1"/>
      <c r="D753" s="1"/>
      <c r="E753" s="19"/>
      <c r="F753" s="3"/>
      <c r="G753" s="3"/>
      <c r="H753" s="3"/>
      <c r="I753" s="3"/>
      <c r="J753" s="3"/>
      <c r="K753" s="3"/>
      <c r="L753" s="3"/>
      <c r="M753" s="3"/>
      <c r="N753" s="3"/>
      <c r="O753" s="3"/>
      <c r="P753" s="3"/>
      <c r="Q753" s="3"/>
      <c r="R753" s="3"/>
      <c r="S753" s="3"/>
      <c r="T753" s="3"/>
      <c r="U753" s="3"/>
      <c r="V753" s="3"/>
      <c r="W753" s="3"/>
      <c r="X753" s="3"/>
      <c r="Y753" s="3"/>
      <c r="Z753" s="3"/>
    </row>
    <row r="754" spans="1:26" ht="14.25" customHeight="1">
      <c r="A754" s="1"/>
      <c r="B754" s="1"/>
      <c r="C754" s="1"/>
      <c r="D754" s="1"/>
      <c r="E754" s="19"/>
      <c r="F754" s="3"/>
      <c r="G754" s="3"/>
      <c r="H754" s="3"/>
      <c r="I754" s="3"/>
      <c r="J754" s="3"/>
      <c r="K754" s="3"/>
      <c r="L754" s="3"/>
      <c r="M754" s="3"/>
      <c r="N754" s="3"/>
      <c r="O754" s="3"/>
      <c r="P754" s="3"/>
      <c r="Q754" s="3"/>
      <c r="R754" s="3"/>
      <c r="S754" s="3"/>
      <c r="T754" s="3"/>
      <c r="U754" s="3"/>
      <c r="V754" s="3"/>
      <c r="W754" s="3"/>
      <c r="X754" s="3"/>
      <c r="Y754" s="3"/>
      <c r="Z754" s="3"/>
    </row>
    <row r="755" spans="1:26" ht="14.25" customHeight="1">
      <c r="A755" s="1"/>
      <c r="B755" s="1"/>
      <c r="C755" s="1"/>
      <c r="D755" s="1"/>
      <c r="E755" s="19"/>
      <c r="F755" s="3"/>
      <c r="G755" s="3"/>
      <c r="H755" s="3"/>
      <c r="I755" s="3"/>
      <c r="J755" s="3"/>
      <c r="K755" s="3"/>
      <c r="L755" s="3"/>
      <c r="M755" s="3"/>
      <c r="N755" s="3"/>
      <c r="O755" s="3"/>
      <c r="P755" s="3"/>
      <c r="Q755" s="3"/>
      <c r="R755" s="3"/>
      <c r="S755" s="3"/>
      <c r="T755" s="3"/>
      <c r="U755" s="3"/>
      <c r="V755" s="3"/>
      <c r="W755" s="3"/>
      <c r="X755" s="3"/>
      <c r="Y755" s="3"/>
      <c r="Z755" s="3"/>
    </row>
    <row r="756" spans="1:26" ht="14.25" customHeight="1">
      <c r="A756" s="1"/>
      <c r="B756" s="1"/>
      <c r="C756" s="1"/>
      <c r="D756" s="1"/>
      <c r="E756" s="19"/>
      <c r="F756" s="3"/>
      <c r="G756" s="3"/>
      <c r="H756" s="3"/>
      <c r="I756" s="3"/>
      <c r="J756" s="3"/>
      <c r="K756" s="3"/>
      <c r="L756" s="3"/>
      <c r="M756" s="3"/>
      <c r="N756" s="3"/>
      <c r="O756" s="3"/>
      <c r="P756" s="3"/>
      <c r="Q756" s="3"/>
      <c r="R756" s="3"/>
      <c r="S756" s="3"/>
      <c r="T756" s="3"/>
      <c r="U756" s="3"/>
      <c r="V756" s="3"/>
      <c r="W756" s="3"/>
      <c r="X756" s="3"/>
      <c r="Y756" s="3"/>
      <c r="Z756" s="3"/>
    </row>
    <row r="757" spans="1:26" ht="14.25" customHeight="1">
      <c r="A757" s="1"/>
      <c r="B757" s="1"/>
      <c r="C757" s="1"/>
      <c r="D757" s="1"/>
      <c r="E757" s="19"/>
      <c r="F757" s="3"/>
      <c r="G757" s="3"/>
      <c r="H757" s="3"/>
      <c r="I757" s="3"/>
      <c r="J757" s="3"/>
      <c r="K757" s="3"/>
      <c r="L757" s="3"/>
      <c r="M757" s="3"/>
      <c r="N757" s="3"/>
      <c r="O757" s="3"/>
      <c r="P757" s="3"/>
      <c r="Q757" s="3"/>
      <c r="R757" s="3"/>
      <c r="S757" s="3"/>
      <c r="T757" s="3"/>
      <c r="U757" s="3"/>
      <c r="V757" s="3"/>
      <c r="W757" s="3"/>
      <c r="X757" s="3"/>
      <c r="Y757" s="3"/>
      <c r="Z757" s="3"/>
    </row>
    <row r="758" spans="1:26" ht="14.25" customHeight="1">
      <c r="A758" s="1"/>
      <c r="B758" s="1"/>
      <c r="C758" s="1"/>
      <c r="D758" s="1"/>
      <c r="E758" s="19"/>
      <c r="F758" s="3"/>
      <c r="G758" s="3"/>
      <c r="H758" s="3"/>
      <c r="I758" s="3"/>
      <c r="J758" s="3"/>
      <c r="K758" s="3"/>
      <c r="L758" s="3"/>
      <c r="M758" s="3"/>
      <c r="N758" s="3"/>
      <c r="O758" s="3"/>
      <c r="P758" s="3"/>
      <c r="Q758" s="3"/>
      <c r="R758" s="3"/>
      <c r="S758" s="3"/>
      <c r="T758" s="3"/>
      <c r="U758" s="3"/>
      <c r="V758" s="3"/>
      <c r="W758" s="3"/>
      <c r="X758" s="3"/>
      <c r="Y758" s="3"/>
      <c r="Z758" s="3"/>
    </row>
    <row r="759" spans="1:26" ht="14.25" customHeight="1">
      <c r="A759" s="1"/>
      <c r="B759" s="1"/>
      <c r="C759" s="1"/>
      <c r="D759" s="1"/>
      <c r="E759" s="19"/>
      <c r="F759" s="3"/>
      <c r="G759" s="3"/>
      <c r="H759" s="3"/>
      <c r="I759" s="3"/>
      <c r="J759" s="3"/>
      <c r="K759" s="3"/>
      <c r="L759" s="3"/>
      <c r="M759" s="3"/>
      <c r="N759" s="3"/>
      <c r="O759" s="3"/>
      <c r="P759" s="3"/>
      <c r="Q759" s="3"/>
      <c r="R759" s="3"/>
      <c r="S759" s="3"/>
      <c r="T759" s="3"/>
      <c r="U759" s="3"/>
      <c r="V759" s="3"/>
      <c r="W759" s="3"/>
      <c r="X759" s="3"/>
      <c r="Y759" s="3"/>
      <c r="Z759" s="3"/>
    </row>
    <row r="760" spans="1:26" ht="14.25" customHeight="1">
      <c r="A760" s="1"/>
      <c r="B760" s="1"/>
      <c r="C760" s="1"/>
      <c r="D760" s="1"/>
      <c r="E760" s="19"/>
      <c r="F760" s="3"/>
      <c r="G760" s="3"/>
      <c r="H760" s="3"/>
      <c r="I760" s="3"/>
      <c r="J760" s="3"/>
      <c r="K760" s="3"/>
      <c r="L760" s="3"/>
      <c r="M760" s="3"/>
      <c r="N760" s="3"/>
      <c r="O760" s="3"/>
      <c r="P760" s="3"/>
      <c r="Q760" s="3"/>
      <c r="R760" s="3"/>
      <c r="S760" s="3"/>
      <c r="T760" s="3"/>
      <c r="U760" s="3"/>
      <c r="V760" s="3"/>
      <c r="W760" s="3"/>
      <c r="X760" s="3"/>
      <c r="Y760" s="3"/>
      <c r="Z760" s="3"/>
    </row>
    <row r="761" spans="1:26" ht="14.25" customHeight="1">
      <c r="A761" s="1"/>
      <c r="B761" s="1"/>
      <c r="C761" s="1"/>
      <c r="D761" s="1"/>
      <c r="E761" s="19"/>
      <c r="F761" s="3"/>
      <c r="G761" s="3"/>
      <c r="H761" s="3"/>
      <c r="I761" s="3"/>
      <c r="J761" s="3"/>
      <c r="K761" s="3"/>
      <c r="L761" s="3"/>
      <c r="M761" s="3"/>
      <c r="N761" s="3"/>
      <c r="O761" s="3"/>
      <c r="P761" s="3"/>
      <c r="Q761" s="3"/>
      <c r="R761" s="3"/>
      <c r="S761" s="3"/>
      <c r="T761" s="3"/>
      <c r="U761" s="3"/>
      <c r="V761" s="3"/>
      <c r="W761" s="3"/>
      <c r="X761" s="3"/>
      <c r="Y761" s="3"/>
      <c r="Z761" s="3"/>
    </row>
    <row r="762" spans="1:26" ht="14.25" customHeight="1">
      <c r="A762" s="1"/>
      <c r="B762" s="1"/>
      <c r="C762" s="1"/>
      <c r="D762" s="1"/>
      <c r="E762" s="19"/>
      <c r="F762" s="3"/>
      <c r="G762" s="3"/>
      <c r="H762" s="3"/>
      <c r="I762" s="3"/>
      <c r="J762" s="3"/>
      <c r="K762" s="3"/>
      <c r="L762" s="3"/>
      <c r="M762" s="3"/>
      <c r="N762" s="3"/>
      <c r="O762" s="3"/>
      <c r="P762" s="3"/>
      <c r="Q762" s="3"/>
      <c r="R762" s="3"/>
      <c r="S762" s="3"/>
      <c r="T762" s="3"/>
      <c r="U762" s="3"/>
      <c r="V762" s="3"/>
      <c r="W762" s="3"/>
      <c r="X762" s="3"/>
      <c r="Y762" s="3"/>
      <c r="Z762" s="3"/>
    </row>
    <row r="763" spans="1:26" ht="14.25" customHeight="1">
      <c r="A763" s="1"/>
      <c r="B763" s="1"/>
      <c r="C763" s="1"/>
      <c r="D763" s="1"/>
      <c r="E763" s="19"/>
      <c r="F763" s="3"/>
      <c r="G763" s="3"/>
      <c r="H763" s="3"/>
      <c r="I763" s="3"/>
      <c r="J763" s="3"/>
      <c r="K763" s="3"/>
      <c r="L763" s="3"/>
      <c r="M763" s="3"/>
      <c r="N763" s="3"/>
      <c r="O763" s="3"/>
      <c r="P763" s="3"/>
      <c r="Q763" s="3"/>
      <c r="R763" s="3"/>
      <c r="S763" s="3"/>
      <c r="T763" s="3"/>
      <c r="U763" s="3"/>
      <c r="V763" s="3"/>
      <c r="W763" s="3"/>
      <c r="X763" s="3"/>
      <c r="Y763" s="3"/>
      <c r="Z763" s="3"/>
    </row>
    <row r="764" spans="1:26" ht="14.25" customHeight="1">
      <c r="A764" s="1"/>
      <c r="B764" s="1"/>
      <c r="C764" s="1"/>
      <c r="D764" s="1"/>
      <c r="E764" s="19"/>
      <c r="F764" s="3"/>
      <c r="G764" s="3"/>
      <c r="H764" s="3"/>
      <c r="I764" s="3"/>
      <c r="J764" s="3"/>
      <c r="K764" s="3"/>
      <c r="L764" s="3"/>
      <c r="M764" s="3"/>
      <c r="N764" s="3"/>
      <c r="O764" s="3"/>
      <c r="P764" s="3"/>
      <c r="Q764" s="3"/>
      <c r="R764" s="3"/>
      <c r="S764" s="3"/>
      <c r="T764" s="3"/>
      <c r="U764" s="3"/>
      <c r="V764" s="3"/>
      <c r="W764" s="3"/>
      <c r="X764" s="3"/>
      <c r="Y764" s="3"/>
      <c r="Z764" s="3"/>
    </row>
    <row r="765" spans="1:26" ht="14.25" customHeight="1">
      <c r="A765" s="1"/>
      <c r="B765" s="1"/>
      <c r="C765" s="1"/>
      <c r="D765" s="1"/>
      <c r="E765" s="19"/>
      <c r="F765" s="3"/>
      <c r="G765" s="3"/>
      <c r="H765" s="3"/>
      <c r="I765" s="3"/>
      <c r="J765" s="3"/>
      <c r="K765" s="3"/>
      <c r="L765" s="3"/>
      <c r="M765" s="3"/>
      <c r="N765" s="3"/>
      <c r="O765" s="3"/>
      <c r="P765" s="3"/>
      <c r="Q765" s="3"/>
      <c r="R765" s="3"/>
      <c r="S765" s="3"/>
      <c r="T765" s="3"/>
      <c r="U765" s="3"/>
      <c r="V765" s="3"/>
      <c r="W765" s="3"/>
      <c r="X765" s="3"/>
      <c r="Y765" s="3"/>
      <c r="Z765" s="3"/>
    </row>
    <row r="766" spans="1:26" ht="14.25" customHeight="1">
      <c r="A766" s="1"/>
      <c r="B766" s="1"/>
      <c r="C766" s="1"/>
      <c r="D766" s="1"/>
      <c r="E766" s="19"/>
      <c r="F766" s="3"/>
      <c r="G766" s="3"/>
      <c r="H766" s="3"/>
      <c r="I766" s="3"/>
      <c r="J766" s="3"/>
      <c r="K766" s="3"/>
      <c r="L766" s="3"/>
      <c r="M766" s="3"/>
      <c r="N766" s="3"/>
      <c r="O766" s="3"/>
      <c r="P766" s="3"/>
      <c r="Q766" s="3"/>
      <c r="R766" s="3"/>
      <c r="S766" s="3"/>
      <c r="T766" s="3"/>
      <c r="U766" s="3"/>
      <c r="V766" s="3"/>
      <c r="W766" s="3"/>
      <c r="X766" s="3"/>
      <c r="Y766" s="3"/>
      <c r="Z766" s="3"/>
    </row>
    <row r="767" spans="1:26" ht="14.25" customHeight="1">
      <c r="A767" s="1"/>
      <c r="B767" s="1"/>
      <c r="C767" s="1"/>
      <c r="D767" s="1"/>
      <c r="E767" s="19"/>
      <c r="F767" s="3"/>
      <c r="G767" s="3"/>
      <c r="H767" s="3"/>
      <c r="I767" s="3"/>
      <c r="J767" s="3"/>
      <c r="K767" s="3"/>
      <c r="L767" s="3"/>
      <c r="M767" s="3"/>
      <c r="N767" s="3"/>
      <c r="O767" s="3"/>
      <c r="P767" s="3"/>
      <c r="Q767" s="3"/>
      <c r="R767" s="3"/>
      <c r="S767" s="3"/>
      <c r="T767" s="3"/>
      <c r="U767" s="3"/>
      <c r="V767" s="3"/>
      <c r="W767" s="3"/>
      <c r="X767" s="3"/>
      <c r="Y767" s="3"/>
      <c r="Z767" s="3"/>
    </row>
    <row r="768" spans="1:26" ht="14.25" customHeight="1">
      <c r="A768" s="1"/>
      <c r="B768" s="1"/>
      <c r="C768" s="1"/>
      <c r="D768" s="1"/>
      <c r="E768" s="19"/>
      <c r="F768" s="3"/>
      <c r="G768" s="3"/>
      <c r="H768" s="3"/>
      <c r="I768" s="3"/>
      <c r="J768" s="3"/>
      <c r="K768" s="3"/>
      <c r="L768" s="3"/>
      <c r="M768" s="3"/>
      <c r="N768" s="3"/>
      <c r="O768" s="3"/>
      <c r="P768" s="3"/>
      <c r="Q768" s="3"/>
      <c r="R768" s="3"/>
      <c r="S768" s="3"/>
      <c r="T768" s="3"/>
      <c r="U768" s="3"/>
      <c r="V768" s="3"/>
      <c r="W768" s="3"/>
      <c r="X768" s="3"/>
      <c r="Y768" s="3"/>
      <c r="Z768" s="3"/>
    </row>
    <row r="769" spans="1:26" ht="14.25" customHeight="1">
      <c r="A769" s="1"/>
      <c r="B769" s="1"/>
      <c r="C769" s="1"/>
      <c r="D769" s="1"/>
      <c r="E769" s="19"/>
      <c r="F769" s="3"/>
      <c r="G769" s="3"/>
      <c r="H769" s="3"/>
      <c r="I769" s="3"/>
      <c r="J769" s="3"/>
      <c r="K769" s="3"/>
      <c r="L769" s="3"/>
      <c r="M769" s="3"/>
      <c r="N769" s="3"/>
      <c r="O769" s="3"/>
      <c r="P769" s="3"/>
      <c r="Q769" s="3"/>
      <c r="R769" s="3"/>
      <c r="S769" s="3"/>
      <c r="T769" s="3"/>
      <c r="U769" s="3"/>
      <c r="V769" s="3"/>
      <c r="W769" s="3"/>
      <c r="X769" s="3"/>
      <c r="Y769" s="3"/>
      <c r="Z769" s="3"/>
    </row>
    <row r="770" spans="1:26" ht="14.25" customHeight="1">
      <c r="A770" s="1"/>
      <c r="B770" s="1"/>
      <c r="C770" s="1"/>
      <c r="D770" s="1"/>
      <c r="E770" s="19"/>
      <c r="F770" s="3"/>
      <c r="G770" s="3"/>
      <c r="H770" s="3"/>
      <c r="I770" s="3"/>
      <c r="J770" s="3"/>
      <c r="K770" s="3"/>
      <c r="L770" s="3"/>
      <c r="M770" s="3"/>
      <c r="N770" s="3"/>
      <c r="O770" s="3"/>
      <c r="P770" s="3"/>
      <c r="Q770" s="3"/>
      <c r="R770" s="3"/>
      <c r="S770" s="3"/>
      <c r="T770" s="3"/>
      <c r="U770" s="3"/>
      <c r="V770" s="3"/>
      <c r="W770" s="3"/>
      <c r="X770" s="3"/>
      <c r="Y770" s="3"/>
      <c r="Z770" s="3"/>
    </row>
    <row r="771" spans="1:26" ht="14.25" customHeight="1">
      <c r="A771" s="1"/>
      <c r="B771" s="1"/>
      <c r="C771" s="1"/>
      <c r="D771" s="1"/>
      <c r="E771" s="19"/>
      <c r="F771" s="3"/>
      <c r="G771" s="3"/>
      <c r="H771" s="3"/>
      <c r="I771" s="3"/>
      <c r="J771" s="3"/>
      <c r="K771" s="3"/>
      <c r="L771" s="3"/>
      <c r="M771" s="3"/>
      <c r="N771" s="3"/>
      <c r="O771" s="3"/>
      <c r="P771" s="3"/>
      <c r="Q771" s="3"/>
      <c r="R771" s="3"/>
      <c r="S771" s="3"/>
      <c r="T771" s="3"/>
      <c r="U771" s="3"/>
      <c r="V771" s="3"/>
      <c r="W771" s="3"/>
      <c r="X771" s="3"/>
      <c r="Y771" s="3"/>
      <c r="Z771" s="3"/>
    </row>
    <row r="772" spans="1:26" ht="14.25" customHeight="1">
      <c r="A772" s="1"/>
      <c r="B772" s="1"/>
      <c r="C772" s="1"/>
      <c r="D772" s="1"/>
      <c r="E772" s="19"/>
      <c r="F772" s="3"/>
      <c r="G772" s="3"/>
      <c r="H772" s="3"/>
      <c r="I772" s="3"/>
      <c r="J772" s="3"/>
      <c r="K772" s="3"/>
      <c r="L772" s="3"/>
      <c r="M772" s="3"/>
      <c r="N772" s="3"/>
      <c r="O772" s="3"/>
      <c r="P772" s="3"/>
      <c r="Q772" s="3"/>
      <c r="R772" s="3"/>
      <c r="S772" s="3"/>
      <c r="T772" s="3"/>
      <c r="U772" s="3"/>
      <c r="V772" s="3"/>
      <c r="W772" s="3"/>
      <c r="X772" s="3"/>
      <c r="Y772" s="3"/>
      <c r="Z772" s="3"/>
    </row>
    <row r="773" spans="1:26" ht="14.25" customHeight="1">
      <c r="A773" s="1"/>
      <c r="B773" s="1"/>
      <c r="C773" s="1"/>
      <c r="D773" s="1"/>
      <c r="E773" s="19"/>
      <c r="F773" s="3"/>
      <c r="G773" s="3"/>
      <c r="H773" s="3"/>
      <c r="I773" s="3"/>
      <c r="J773" s="3"/>
      <c r="K773" s="3"/>
      <c r="L773" s="3"/>
      <c r="M773" s="3"/>
      <c r="N773" s="3"/>
      <c r="O773" s="3"/>
      <c r="P773" s="3"/>
      <c r="Q773" s="3"/>
      <c r="R773" s="3"/>
      <c r="S773" s="3"/>
      <c r="T773" s="3"/>
      <c r="U773" s="3"/>
      <c r="V773" s="3"/>
      <c r="W773" s="3"/>
      <c r="X773" s="3"/>
      <c r="Y773" s="3"/>
      <c r="Z773" s="3"/>
    </row>
    <row r="774" spans="1:26" ht="14.25" customHeight="1">
      <c r="A774" s="1"/>
      <c r="B774" s="1"/>
      <c r="C774" s="1"/>
      <c r="D774" s="1"/>
      <c r="E774" s="19"/>
      <c r="F774" s="3"/>
      <c r="G774" s="3"/>
      <c r="H774" s="3"/>
      <c r="I774" s="3"/>
      <c r="J774" s="3"/>
      <c r="K774" s="3"/>
      <c r="L774" s="3"/>
      <c r="M774" s="3"/>
      <c r="N774" s="3"/>
      <c r="O774" s="3"/>
      <c r="P774" s="3"/>
      <c r="Q774" s="3"/>
      <c r="R774" s="3"/>
      <c r="S774" s="3"/>
      <c r="T774" s="3"/>
      <c r="U774" s="3"/>
      <c r="V774" s="3"/>
      <c r="W774" s="3"/>
      <c r="X774" s="3"/>
      <c r="Y774" s="3"/>
      <c r="Z774" s="3"/>
    </row>
    <row r="775" spans="1:26" ht="14.25" customHeight="1">
      <c r="A775" s="1"/>
      <c r="B775" s="1"/>
      <c r="C775" s="1"/>
      <c r="D775" s="1"/>
      <c r="E775" s="19"/>
      <c r="F775" s="3"/>
      <c r="G775" s="3"/>
      <c r="H775" s="3"/>
      <c r="I775" s="3"/>
      <c r="J775" s="3"/>
      <c r="K775" s="3"/>
      <c r="L775" s="3"/>
      <c r="M775" s="3"/>
      <c r="N775" s="3"/>
      <c r="O775" s="3"/>
      <c r="P775" s="3"/>
      <c r="Q775" s="3"/>
      <c r="R775" s="3"/>
      <c r="S775" s="3"/>
      <c r="T775" s="3"/>
      <c r="U775" s="3"/>
      <c r="V775" s="3"/>
      <c r="W775" s="3"/>
      <c r="X775" s="3"/>
      <c r="Y775" s="3"/>
      <c r="Z775" s="3"/>
    </row>
    <row r="776" spans="1:26" ht="14.25" customHeight="1">
      <c r="A776" s="1"/>
      <c r="B776" s="1"/>
      <c r="C776" s="1"/>
      <c r="D776" s="1"/>
      <c r="E776" s="19"/>
      <c r="F776" s="3"/>
      <c r="G776" s="3"/>
      <c r="H776" s="3"/>
      <c r="I776" s="3"/>
      <c r="J776" s="3"/>
      <c r="K776" s="3"/>
      <c r="L776" s="3"/>
      <c r="M776" s="3"/>
      <c r="N776" s="3"/>
      <c r="O776" s="3"/>
      <c r="P776" s="3"/>
      <c r="Q776" s="3"/>
      <c r="R776" s="3"/>
      <c r="S776" s="3"/>
      <c r="T776" s="3"/>
      <c r="U776" s="3"/>
      <c r="V776" s="3"/>
      <c r="W776" s="3"/>
      <c r="X776" s="3"/>
      <c r="Y776" s="3"/>
      <c r="Z776" s="3"/>
    </row>
    <row r="777" spans="1:26" ht="14.25" customHeight="1">
      <c r="A777" s="1"/>
      <c r="B777" s="1"/>
      <c r="C777" s="1"/>
      <c r="D777" s="1"/>
      <c r="E777" s="19"/>
      <c r="F777" s="3"/>
      <c r="G777" s="3"/>
      <c r="H777" s="3"/>
      <c r="I777" s="3"/>
      <c r="J777" s="3"/>
      <c r="K777" s="3"/>
      <c r="L777" s="3"/>
      <c r="M777" s="3"/>
      <c r="N777" s="3"/>
      <c r="O777" s="3"/>
      <c r="P777" s="3"/>
      <c r="Q777" s="3"/>
      <c r="R777" s="3"/>
      <c r="S777" s="3"/>
      <c r="T777" s="3"/>
      <c r="U777" s="3"/>
      <c r="V777" s="3"/>
      <c r="W777" s="3"/>
      <c r="X777" s="3"/>
      <c r="Y777" s="3"/>
      <c r="Z777" s="3"/>
    </row>
    <row r="778" spans="1:26" ht="14.25" customHeight="1">
      <c r="A778" s="1"/>
      <c r="B778" s="1"/>
      <c r="C778" s="1"/>
      <c r="D778" s="1"/>
      <c r="E778" s="19"/>
      <c r="F778" s="3"/>
      <c r="G778" s="3"/>
      <c r="H778" s="3"/>
      <c r="I778" s="3"/>
      <c r="J778" s="3"/>
      <c r="K778" s="3"/>
      <c r="L778" s="3"/>
      <c r="M778" s="3"/>
      <c r="N778" s="3"/>
      <c r="O778" s="3"/>
      <c r="P778" s="3"/>
      <c r="Q778" s="3"/>
      <c r="R778" s="3"/>
      <c r="S778" s="3"/>
      <c r="T778" s="3"/>
      <c r="U778" s="3"/>
      <c r="V778" s="3"/>
      <c r="W778" s="3"/>
      <c r="X778" s="3"/>
      <c r="Y778" s="3"/>
      <c r="Z778" s="3"/>
    </row>
    <row r="779" spans="1:26" ht="14.25" customHeight="1">
      <c r="A779" s="1"/>
      <c r="B779" s="1"/>
      <c r="C779" s="1"/>
      <c r="D779" s="1"/>
      <c r="E779" s="19"/>
      <c r="F779" s="3"/>
      <c r="G779" s="3"/>
      <c r="H779" s="3"/>
      <c r="I779" s="3"/>
      <c r="J779" s="3"/>
      <c r="K779" s="3"/>
      <c r="L779" s="3"/>
      <c r="M779" s="3"/>
      <c r="N779" s="3"/>
      <c r="O779" s="3"/>
      <c r="P779" s="3"/>
      <c r="Q779" s="3"/>
      <c r="R779" s="3"/>
      <c r="S779" s="3"/>
      <c r="T779" s="3"/>
      <c r="U779" s="3"/>
      <c r="V779" s="3"/>
      <c r="W779" s="3"/>
      <c r="X779" s="3"/>
      <c r="Y779" s="3"/>
      <c r="Z779" s="3"/>
    </row>
    <row r="780" spans="1:26" ht="14.25" customHeight="1">
      <c r="A780" s="1"/>
      <c r="B780" s="1"/>
      <c r="C780" s="1"/>
      <c r="D780" s="1"/>
      <c r="E780" s="19"/>
      <c r="F780" s="3"/>
      <c r="G780" s="3"/>
      <c r="H780" s="3"/>
      <c r="I780" s="3"/>
      <c r="J780" s="3"/>
      <c r="K780" s="3"/>
      <c r="L780" s="3"/>
      <c r="M780" s="3"/>
      <c r="N780" s="3"/>
      <c r="O780" s="3"/>
      <c r="P780" s="3"/>
      <c r="Q780" s="3"/>
      <c r="R780" s="3"/>
      <c r="S780" s="3"/>
      <c r="T780" s="3"/>
      <c r="U780" s="3"/>
      <c r="V780" s="3"/>
      <c r="W780" s="3"/>
      <c r="X780" s="3"/>
      <c r="Y780" s="3"/>
      <c r="Z780" s="3"/>
    </row>
    <row r="781" spans="1:26" ht="14.25" customHeight="1">
      <c r="A781" s="1"/>
      <c r="B781" s="1"/>
      <c r="C781" s="1"/>
      <c r="D781" s="1"/>
      <c r="E781" s="19"/>
      <c r="F781" s="3"/>
      <c r="G781" s="3"/>
      <c r="H781" s="3"/>
      <c r="I781" s="3"/>
      <c r="J781" s="3"/>
      <c r="K781" s="3"/>
      <c r="L781" s="3"/>
      <c r="M781" s="3"/>
      <c r="N781" s="3"/>
      <c r="O781" s="3"/>
      <c r="P781" s="3"/>
      <c r="Q781" s="3"/>
      <c r="R781" s="3"/>
      <c r="S781" s="3"/>
      <c r="T781" s="3"/>
      <c r="U781" s="3"/>
      <c r="V781" s="3"/>
      <c r="W781" s="3"/>
      <c r="X781" s="3"/>
      <c r="Y781" s="3"/>
      <c r="Z781" s="3"/>
    </row>
    <row r="782" spans="1:26" ht="14.25" customHeight="1">
      <c r="A782" s="1"/>
      <c r="B782" s="1"/>
      <c r="C782" s="1"/>
      <c r="D782" s="1"/>
      <c r="E782" s="19"/>
      <c r="F782" s="3"/>
      <c r="G782" s="3"/>
      <c r="H782" s="3"/>
      <c r="I782" s="3"/>
      <c r="J782" s="3"/>
      <c r="K782" s="3"/>
      <c r="L782" s="3"/>
      <c r="M782" s="3"/>
      <c r="N782" s="3"/>
      <c r="O782" s="3"/>
      <c r="P782" s="3"/>
      <c r="Q782" s="3"/>
      <c r="R782" s="3"/>
      <c r="S782" s="3"/>
      <c r="T782" s="3"/>
      <c r="U782" s="3"/>
      <c r="V782" s="3"/>
      <c r="W782" s="3"/>
      <c r="X782" s="3"/>
      <c r="Y782" s="3"/>
      <c r="Z782" s="3"/>
    </row>
    <row r="783" spans="1:26" ht="14.25" customHeight="1">
      <c r="A783" s="1"/>
      <c r="B783" s="1"/>
      <c r="C783" s="1"/>
      <c r="D783" s="1"/>
      <c r="E783" s="19"/>
      <c r="F783" s="3"/>
      <c r="G783" s="3"/>
      <c r="H783" s="3"/>
      <c r="I783" s="3"/>
      <c r="J783" s="3"/>
      <c r="K783" s="3"/>
      <c r="L783" s="3"/>
      <c r="M783" s="3"/>
      <c r="N783" s="3"/>
      <c r="O783" s="3"/>
      <c r="P783" s="3"/>
      <c r="Q783" s="3"/>
      <c r="R783" s="3"/>
      <c r="S783" s="3"/>
      <c r="T783" s="3"/>
      <c r="U783" s="3"/>
      <c r="V783" s="3"/>
      <c r="W783" s="3"/>
      <c r="X783" s="3"/>
      <c r="Y783" s="3"/>
      <c r="Z783" s="3"/>
    </row>
    <row r="784" spans="1:26" ht="14.25" customHeight="1">
      <c r="A784" s="1"/>
      <c r="B784" s="1"/>
      <c r="C784" s="1"/>
      <c r="D784" s="1"/>
      <c r="E784" s="19"/>
      <c r="F784" s="3"/>
      <c r="G784" s="3"/>
      <c r="H784" s="3"/>
      <c r="I784" s="3"/>
      <c r="J784" s="3"/>
      <c r="K784" s="3"/>
      <c r="L784" s="3"/>
      <c r="M784" s="3"/>
      <c r="N784" s="3"/>
      <c r="O784" s="3"/>
      <c r="P784" s="3"/>
      <c r="Q784" s="3"/>
      <c r="R784" s="3"/>
      <c r="S784" s="3"/>
      <c r="T784" s="3"/>
      <c r="U784" s="3"/>
      <c r="V784" s="3"/>
      <c r="W784" s="3"/>
      <c r="X784" s="3"/>
      <c r="Y784" s="3"/>
      <c r="Z784" s="3"/>
    </row>
    <row r="785" spans="1:26" ht="14.25" customHeight="1">
      <c r="A785" s="1"/>
      <c r="B785" s="1"/>
      <c r="C785" s="1"/>
      <c r="D785" s="1"/>
      <c r="E785" s="19"/>
      <c r="F785" s="3"/>
      <c r="G785" s="3"/>
      <c r="H785" s="3"/>
      <c r="I785" s="3"/>
      <c r="J785" s="3"/>
      <c r="K785" s="3"/>
      <c r="L785" s="3"/>
      <c r="M785" s="3"/>
      <c r="N785" s="3"/>
      <c r="O785" s="3"/>
      <c r="P785" s="3"/>
      <c r="Q785" s="3"/>
      <c r="R785" s="3"/>
      <c r="S785" s="3"/>
      <c r="T785" s="3"/>
      <c r="U785" s="3"/>
      <c r="V785" s="3"/>
      <c r="W785" s="3"/>
      <c r="X785" s="3"/>
      <c r="Y785" s="3"/>
      <c r="Z785" s="3"/>
    </row>
    <row r="786" spans="1:26" ht="14.25" customHeight="1">
      <c r="A786" s="1"/>
      <c r="B786" s="1"/>
      <c r="C786" s="1"/>
      <c r="D786" s="1"/>
      <c r="E786" s="19"/>
      <c r="F786" s="3"/>
      <c r="G786" s="3"/>
      <c r="H786" s="3"/>
      <c r="I786" s="3"/>
      <c r="J786" s="3"/>
      <c r="K786" s="3"/>
      <c r="L786" s="3"/>
      <c r="M786" s="3"/>
      <c r="N786" s="3"/>
      <c r="O786" s="3"/>
      <c r="P786" s="3"/>
      <c r="Q786" s="3"/>
      <c r="R786" s="3"/>
      <c r="S786" s="3"/>
      <c r="T786" s="3"/>
      <c r="U786" s="3"/>
      <c r="V786" s="3"/>
      <c r="W786" s="3"/>
      <c r="X786" s="3"/>
      <c r="Y786" s="3"/>
      <c r="Z786" s="3"/>
    </row>
    <row r="787" spans="1:26" ht="14.25" customHeight="1">
      <c r="A787" s="1"/>
      <c r="B787" s="1"/>
      <c r="C787" s="1"/>
      <c r="D787" s="1"/>
      <c r="E787" s="19"/>
      <c r="F787" s="3"/>
      <c r="G787" s="3"/>
      <c r="H787" s="3"/>
      <c r="I787" s="3"/>
      <c r="J787" s="3"/>
      <c r="K787" s="3"/>
      <c r="L787" s="3"/>
      <c r="M787" s="3"/>
      <c r="N787" s="3"/>
      <c r="O787" s="3"/>
      <c r="P787" s="3"/>
      <c r="Q787" s="3"/>
      <c r="R787" s="3"/>
      <c r="S787" s="3"/>
      <c r="T787" s="3"/>
      <c r="U787" s="3"/>
      <c r="V787" s="3"/>
      <c r="W787" s="3"/>
      <c r="X787" s="3"/>
      <c r="Y787" s="3"/>
      <c r="Z787" s="3"/>
    </row>
    <row r="788" spans="1:26" ht="14.25" customHeight="1">
      <c r="A788" s="1"/>
      <c r="B788" s="1"/>
      <c r="C788" s="1"/>
      <c r="D788" s="1"/>
      <c r="E788" s="19"/>
      <c r="F788" s="3"/>
      <c r="G788" s="3"/>
      <c r="H788" s="3"/>
      <c r="I788" s="3"/>
      <c r="J788" s="3"/>
      <c r="K788" s="3"/>
      <c r="L788" s="3"/>
      <c r="M788" s="3"/>
      <c r="N788" s="3"/>
      <c r="O788" s="3"/>
      <c r="P788" s="3"/>
      <c r="Q788" s="3"/>
      <c r="R788" s="3"/>
      <c r="S788" s="3"/>
      <c r="T788" s="3"/>
      <c r="U788" s="3"/>
      <c r="V788" s="3"/>
      <c r="W788" s="3"/>
      <c r="X788" s="3"/>
      <c r="Y788" s="3"/>
      <c r="Z788" s="3"/>
    </row>
    <row r="789" spans="1:26" ht="14.25" customHeight="1">
      <c r="A789" s="1"/>
      <c r="B789" s="1"/>
      <c r="C789" s="1"/>
      <c r="D789" s="1"/>
      <c r="E789" s="19"/>
      <c r="F789" s="3"/>
      <c r="G789" s="3"/>
      <c r="H789" s="3"/>
      <c r="I789" s="3"/>
      <c r="J789" s="3"/>
      <c r="K789" s="3"/>
      <c r="L789" s="3"/>
      <c r="M789" s="3"/>
      <c r="N789" s="3"/>
      <c r="O789" s="3"/>
      <c r="P789" s="3"/>
      <c r="Q789" s="3"/>
      <c r="R789" s="3"/>
      <c r="S789" s="3"/>
      <c r="T789" s="3"/>
      <c r="U789" s="3"/>
      <c r="V789" s="3"/>
      <c r="W789" s="3"/>
      <c r="X789" s="3"/>
      <c r="Y789" s="3"/>
      <c r="Z789" s="3"/>
    </row>
    <row r="790" spans="1:26" ht="14.25" customHeight="1">
      <c r="A790" s="1"/>
      <c r="B790" s="1"/>
      <c r="C790" s="1"/>
      <c r="D790" s="1"/>
      <c r="E790" s="19"/>
      <c r="F790" s="3"/>
      <c r="G790" s="3"/>
      <c r="H790" s="3"/>
      <c r="I790" s="3"/>
      <c r="J790" s="3"/>
      <c r="K790" s="3"/>
      <c r="L790" s="3"/>
      <c r="M790" s="3"/>
      <c r="N790" s="3"/>
      <c r="O790" s="3"/>
      <c r="P790" s="3"/>
      <c r="Q790" s="3"/>
      <c r="R790" s="3"/>
      <c r="S790" s="3"/>
      <c r="T790" s="3"/>
      <c r="U790" s="3"/>
      <c r="V790" s="3"/>
      <c r="W790" s="3"/>
      <c r="X790" s="3"/>
      <c r="Y790" s="3"/>
      <c r="Z790" s="3"/>
    </row>
    <row r="791" spans="1:26" ht="14.25" customHeight="1">
      <c r="A791" s="1"/>
      <c r="B791" s="1"/>
      <c r="C791" s="1"/>
      <c r="D791" s="1"/>
      <c r="E791" s="19"/>
      <c r="F791" s="3"/>
      <c r="G791" s="3"/>
      <c r="H791" s="3"/>
      <c r="I791" s="3"/>
      <c r="J791" s="3"/>
      <c r="K791" s="3"/>
      <c r="L791" s="3"/>
      <c r="M791" s="3"/>
      <c r="N791" s="3"/>
      <c r="O791" s="3"/>
      <c r="P791" s="3"/>
      <c r="Q791" s="3"/>
      <c r="R791" s="3"/>
      <c r="S791" s="3"/>
      <c r="T791" s="3"/>
      <c r="U791" s="3"/>
      <c r="V791" s="3"/>
      <c r="W791" s="3"/>
      <c r="X791" s="3"/>
      <c r="Y791" s="3"/>
      <c r="Z791" s="3"/>
    </row>
    <row r="792" spans="1:26" ht="14.25" customHeight="1">
      <c r="A792" s="1"/>
      <c r="B792" s="1"/>
      <c r="C792" s="1"/>
      <c r="D792" s="1"/>
      <c r="E792" s="19"/>
      <c r="F792" s="3"/>
      <c r="G792" s="3"/>
      <c r="H792" s="3"/>
      <c r="I792" s="3"/>
      <c r="J792" s="3"/>
      <c r="K792" s="3"/>
      <c r="L792" s="3"/>
      <c r="M792" s="3"/>
      <c r="N792" s="3"/>
      <c r="O792" s="3"/>
      <c r="P792" s="3"/>
      <c r="Q792" s="3"/>
      <c r="R792" s="3"/>
      <c r="S792" s="3"/>
      <c r="T792" s="3"/>
      <c r="U792" s="3"/>
      <c r="V792" s="3"/>
      <c r="W792" s="3"/>
      <c r="X792" s="3"/>
      <c r="Y792" s="3"/>
      <c r="Z792" s="3"/>
    </row>
    <row r="793" spans="1:26" ht="14.25" customHeight="1">
      <c r="A793" s="1"/>
      <c r="B793" s="1"/>
      <c r="C793" s="1"/>
      <c r="D793" s="1"/>
      <c r="E793" s="19"/>
      <c r="F793" s="3"/>
      <c r="G793" s="3"/>
      <c r="H793" s="3"/>
      <c r="I793" s="3"/>
      <c r="J793" s="3"/>
      <c r="K793" s="3"/>
      <c r="L793" s="3"/>
      <c r="M793" s="3"/>
      <c r="N793" s="3"/>
      <c r="O793" s="3"/>
      <c r="P793" s="3"/>
      <c r="Q793" s="3"/>
      <c r="R793" s="3"/>
      <c r="S793" s="3"/>
      <c r="T793" s="3"/>
      <c r="U793" s="3"/>
      <c r="V793" s="3"/>
      <c r="W793" s="3"/>
      <c r="X793" s="3"/>
      <c r="Y793" s="3"/>
      <c r="Z793" s="3"/>
    </row>
    <row r="794" spans="1:26" ht="14.25" customHeight="1">
      <c r="A794" s="1"/>
      <c r="B794" s="1"/>
      <c r="C794" s="1"/>
      <c r="D794" s="1"/>
      <c r="E794" s="19"/>
      <c r="F794" s="3"/>
      <c r="G794" s="3"/>
      <c r="H794" s="3"/>
      <c r="I794" s="3"/>
      <c r="J794" s="3"/>
      <c r="K794" s="3"/>
      <c r="L794" s="3"/>
      <c r="M794" s="3"/>
      <c r="N794" s="3"/>
      <c r="O794" s="3"/>
      <c r="P794" s="3"/>
      <c r="Q794" s="3"/>
      <c r="R794" s="3"/>
      <c r="S794" s="3"/>
      <c r="T794" s="3"/>
      <c r="U794" s="3"/>
      <c r="V794" s="3"/>
      <c r="W794" s="3"/>
      <c r="X794" s="3"/>
      <c r="Y794" s="3"/>
      <c r="Z794" s="3"/>
    </row>
    <row r="795" spans="1:26" ht="14.25" customHeight="1">
      <c r="A795" s="1"/>
      <c r="B795" s="1"/>
      <c r="C795" s="1"/>
      <c r="D795" s="1"/>
      <c r="E795" s="19"/>
      <c r="F795" s="3"/>
      <c r="G795" s="3"/>
      <c r="H795" s="3"/>
      <c r="I795" s="3"/>
      <c r="J795" s="3"/>
      <c r="K795" s="3"/>
      <c r="L795" s="3"/>
      <c r="M795" s="3"/>
      <c r="N795" s="3"/>
      <c r="O795" s="3"/>
      <c r="P795" s="3"/>
      <c r="Q795" s="3"/>
      <c r="R795" s="3"/>
      <c r="S795" s="3"/>
      <c r="T795" s="3"/>
      <c r="U795" s="3"/>
      <c r="V795" s="3"/>
      <c r="W795" s="3"/>
      <c r="X795" s="3"/>
      <c r="Y795" s="3"/>
      <c r="Z795" s="3"/>
    </row>
    <row r="796" spans="1:26" ht="14.25" customHeight="1">
      <c r="A796" s="1"/>
      <c r="B796" s="1"/>
      <c r="C796" s="1"/>
      <c r="D796" s="1"/>
      <c r="E796" s="19"/>
      <c r="F796" s="3"/>
      <c r="G796" s="3"/>
      <c r="H796" s="3"/>
      <c r="I796" s="3"/>
      <c r="J796" s="3"/>
      <c r="K796" s="3"/>
      <c r="L796" s="3"/>
      <c r="M796" s="3"/>
      <c r="N796" s="3"/>
      <c r="O796" s="3"/>
      <c r="P796" s="3"/>
      <c r="Q796" s="3"/>
      <c r="R796" s="3"/>
      <c r="S796" s="3"/>
      <c r="T796" s="3"/>
      <c r="U796" s="3"/>
      <c r="V796" s="3"/>
      <c r="W796" s="3"/>
      <c r="X796" s="3"/>
      <c r="Y796" s="3"/>
      <c r="Z796" s="3"/>
    </row>
    <row r="797" spans="1:26" ht="14.25" customHeight="1">
      <c r="A797" s="1"/>
      <c r="B797" s="1"/>
      <c r="C797" s="1"/>
      <c r="D797" s="1"/>
      <c r="E797" s="19"/>
      <c r="F797" s="3"/>
      <c r="G797" s="3"/>
      <c r="H797" s="3"/>
      <c r="I797" s="3"/>
      <c r="J797" s="3"/>
      <c r="K797" s="3"/>
      <c r="L797" s="3"/>
      <c r="M797" s="3"/>
      <c r="N797" s="3"/>
      <c r="O797" s="3"/>
      <c r="P797" s="3"/>
      <c r="Q797" s="3"/>
      <c r="R797" s="3"/>
      <c r="S797" s="3"/>
      <c r="T797" s="3"/>
      <c r="U797" s="3"/>
      <c r="V797" s="3"/>
      <c r="W797" s="3"/>
      <c r="X797" s="3"/>
      <c r="Y797" s="3"/>
      <c r="Z797" s="3"/>
    </row>
    <row r="798" spans="1:26" ht="14.25" customHeight="1">
      <c r="A798" s="1"/>
      <c r="B798" s="1"/>
      <c r="C798" s="1"/>
      <c r="D798" s="1"/>
      <c r="E798" s="19"/>
      <c r="F798" s="3"/>
      <c r="G798" s="3"/>
      <c r="H798" s="3"/>
      <c r="I798" s="3"/>
      <c r="J798" s="3"/>
      <c r="K798" s="3"/>
      <c r="L798" s="3"/>
      <c r="M798" s="3"/>
      <c r="N798" s="3"/>
      <c r="O798" s="3"/>
      <c r="P798" s="3"/>
      <c r="Q798" s="3"/>
      <c r="R798" s="3"/>
      <c r="S798" s="3"/>
      <c r="T798" s="3"/>
      <c r="U798" s="3"/>
      <c r="V798" s="3"/>
      <c r="W798" s="3"/>
      <c r="X798" s="3"/>
      <c r="Y798" s="3"/>
      <c r="Z798" s="3"/>
    </row>
    <row r="799" spans="1:26" ht="14.25" customHeight="1">
      <c r="A799" s="1"/>
      <c r="B799" s="1"/>
      <c r="C799" s="1"/>
      <c r="D799" s="1"/>
      <c r="E799" s="19"/>
      <c r="F799" s="3"/>
      <c r="G799" s="3"/>
      <c r="H799" s="3"/>
      <c r="I799" s="3"/>
      <c r="J799" s="3"/>
      <c r="K799" s="3"/>
      <c r="L799" s="3"/>
      <c r="M799" s="3"/>
      <c r="N799" s="3"/>
      <c r="O799" s="3"/>
      <c r="P799" s="3"/>
      <c r="Q799" s="3"/>
      <c r="R799" s="3"/>
      <c r="S799" s="3"/>
      <c r="T799" s="3"/>
      <c r="U799" s="3"/>
      <c r="V799" s="3"/>
      <c r="W799" s="3"/>
      <c r="X799" s="3"/>
      <c r="Y799" s="3"/>
      <c r="Z799" s="3"/>
    </row>
    <row r="800" spans="1:26" ht="14.25" customHeight="1">
      <c r="A800" s="1"/>
      <c r="B800" s="1"/>
      <c r="C800" s="1"/>
      <c r="D800" s="1"/>
      <c r="E800" s="19"/>
      <c r="F800" s="3"/>
      <c r="G800" s="3"/>
      <c r="H800" s="3"/>
      <c r="I800" s="3"/>
      <c r="J800" s="3"/>
      <c r="K800" s="3"/>
      <c r="L800" s="3"/>
      <c r="M800" s="3"/>
      <c r="N800" s="3"/>
      <c r="O800" s="3"/>
      <c r="P800" s="3"/>
      <c r="Q800" s="3"/>
      <c r="R800" s="3"/>
      <c r="S800" s="3"/>
      <c r="T800" s="3"/>
      <c r="U800" s="3"/>
      <c r="V800" s="3"/>
      <c r="W800" s="3"/>
      <c r="X800" s="3"/>
      <c r="Y800" s="3"/>
      <c r="Z800" s="3"/>
    </row>
    <row r="801" spans="1:26" ht="14.25" customHeight="1">
      <c r="A801" s="1"/>
      <c r="B801" s="1"/>
      <c r="C801" s="1"/>
      <c r="D801" s="1"/>
      <c r="E801" s="19"/>
      <c r="F801" s="3"/>
      <c r="G801" s="3"/>
      <c r="H801" s="3"/>
      <c r="I801" s="3"/>
      <c r="J801" s="3"/>
      <c r="K801" s="3"/>
      <c r="L801" s="3"/>
      <c r="M801" s="3"/>
      <c r="N801" s="3"/>
      <c r="O801" s="3"/>
      <c r="P801" s="3"/>
      <c r="Q801" s="3"/>
      <c r="R801" s="3"/>
      <c r="S801" s="3"/>
      <c r="T801" s="3"/>
      <c r="U801" s="3"/>
      <c r="V801" s="3"/>
      <c r="W801" s="3"/>
      <c r="X801" s="3"/>
      <c r="Y801" s="3"/>
      <c r="Z801" s="3"/>
    </row>
    <row r="802" spans="1:26" ht="14.25" customHeight="1">
      <c r="A802" s="1"/>
      <c r="B802" s="1"/>
      <c r="C802" s="1"/>
      <c r="D802" s="1"/>
      <c r="E802" s="19"/>
      <c r="F802" s="3"/>
      <c r="G802" s="3"/>
      <c r="H802" s="3"/>
      <c r="I802" s="3"/>
      <c r="J802" s="3"/>
      <c r="K802" s="3"/>
      <c r="L802" s="3"/>
      <c r="M802" s="3"/>
      <c r="N802" s="3"/>
      <c r="O802" s="3"/>
      <c r="P802" s="3"/>
      <c r="Q802" s="3"/>
      <c r="R802" s="3"/>
      <c r="S802" s="3"/>
      <c r="T802" s="3"/>
      <c r="U802" s="3"/>
      <c r="V802" s="3"/>
      <c r="W802" s="3"/>
      <c r="X802" s="3"/>
      <c r="Y802" s="3"/>
      <c r="Z802" s="3"/>
    </row>
    <row r="803" spans="1:26" ht="14.25" customHeight="1">
      <c r="A803" s="1"/>
      <c r="B803" s="1"/>
      <c r="C803" s="1"/>
      <c r="D803" s="1"/>
      <c r="E803" s="19"/>
      <c r="F803" s="3"/>
      <c r="G803" s="3"/>
      <c r="H803" s="3"/>
      <c r="I803" s="3"/>
      <c r="J803" s="3"/>
      <c r="K803" s="3"/>
      <c r="L803" s="3"/>
      <c r="M803" s="3"/>
      <c r="N803" s="3"/>
      <c r="O803" s="3"/>
      <c r="P803" s="3"/>
      <c r="Q803" s="3"/>
      <c r="R803" s="3"/>
      <c r="S803" s="3"/>
      <c r="T803" s="3"/>
      <c r="U803" s="3"/>
      <c r="V803" s="3"/>
      <c r="W803" s="3"/>
      <c r="X803" s="3"/>
      <c r="Y803" s="3"/>
      <c r="Z803" s="3"/>
    </row>
    <row r="804" spans="1:26" ht="14.25" customHeight="1">
      <c r="A804" s="1"/>
      <c r="B804" s="1"/>
      <c r="C804" s="1"/>
      <c r="D804" s="1"/>
      <c r="E804" s="19"/>
      <c r="F804" s="3"/>
      <c r="G804" s="3"/>
      <c r="H804" s="3"/>
      <c r="I804" s="3"/>
      <c r="J804" s="3"/>
      <c r="K804" s="3"/>
      <c r="L804" s="3"/>
      <c r="M804" s="3"/>
      <c r="N804" s="3"/>
      <c r="O804" s="3"/>
      <c r="P804" s="3"/>
      <c r="Q804" s="3"/>
      <c r="R804" s="3"/>
      <c r="S804" s="3"/>
      <c r="T804" s="3"/>
      <c r="U804" s="3"/>
      <c r="V804" s="3"/>
      <c r="W804" s="3"/>
      <c r="X804" s="3"/>
      <c r="Y804" s="3"/>
      <c r="Z804" s="3"/>
    </row>
    <row r="805" spans="1:26" ht="14.25" customHeight="1">
      <c r="A805" s="1"/>
      <c r="B805" s="1"/>
      <c r="C805" s="1"/>
      <c r="D805" s="1"/>
      <c r="E805" s="19"/>
      <c r="F805" s="3"/>
      <c r="G805" s="3"/>
      <c r="H805" s="3"/>
      <c r="I805" s="3"/>
      <c r="J805" s="3"/>
      <c r="K805" s="3"/>
      <c r="L805" s="3"/>
      <c r="M805" s="3"/>
      <c r="N805" s="3"/>
      <c r="O805" s="3"/>
      <c r="P805" s="3"/>
      <c r="Q805" s="3"/>
      <c r="R805" s="3"/>
      <c r="S805" s="3"/>
      <c r="T805" s="3"/>
      <c r="U805" s="3"/>
      <c r="V805" s="3"/>
      <c r="W805" s="3"/>
      <c r="X805" s="3"/>
      <c r="Y805" s="3"/>
      <c r="Z805" s="3"/>
    </row>
    <row r="806" spans="1:26" ht="14.25" customHeight="1">
      <c r="A806" s="1"/>
      <c r="B806" s="1"/>
      <c r="C806" s="1"/>
      <c r="D806" s="1"/>
      <c r="E806" s="19"/>
      <c r="F806" s="3"/>
      <c r="G806" s="3"/>
      <c r="H806" s="3"/>
      <c r="I806" s="3"/>
      <c r="J806" s="3"/>
      <c r="K806" s="3"/>
      <c r="L806" s="3"/>
      <c r="M806" s="3"/>
      <c r="N806" s="3"/>
      <c r="O806" s="3"/>
      <c r="P806" s="3"/>
      <c r="Q806" s="3"/>
      <c r="R806" s="3"/>
      <c r="S806" s="3"/>
      <c r="T806" s="3"/>
      <c r="U806" s="3"/>
      <c r="V806" s="3"/>
      <c r="W806" s="3"/>
      <c r="X806" s="3"/>
      <c r="Y806" s="3"/>
      <c r="Z806" s="3"/>
    </row>
    <row r="807" spans="1:26" ht="14.25" customHeight="1">
      <c r="A807" s="1"/>
      <c r="B807" s="1"/>
      <c r="C807" s="1"/>
      <c r="D807" s="1"/>
      <c r="E807" s="19"/>
      <c r="F807" s="3"/>
      <c r="G807" s="3"/>
      <c r="H807" s="3"/>
      <c r="I807" s="3"/>
      <c r="J807" s="3"/>
      <c r="K807" s="3"/>
      <c r="L807" s="3"/>
      <c r="M807" s="3"/>
      <c r="N807" s="3"/>
      <c r="O807" s="3"/>
      <c r="P807" s="3"/>
      <c r="Q807" s="3"/>
      <c r="R807" s="3"/>
      <c r="S807" s="3"/>
      <c r="T807" s="3"/>
      <c r="U807" s="3"/>
      <c r="V807" s="3"/>
      <c r="W807" s="3"/>
      <c r="X807" s="3"/>
      <c r="Y807" s="3"/>
      <c r="Z807" s="3"/>
    </row>
    <row r="808" spans="1:26" ht="14.25" customHeight="1">
      <c r="A808" s="1"/>
      <c r="B808" s="1"/>
      <c r="C808" s="1"/>
      <c r="D808" s="1"/>
      <c r="E808" s="19"/>
      <c r="F808" s="3"/>
      <c r="G808" s="3"/>
      <c r="H808" s="3"/>
      <c r="I808" s="3"/>
      <c r="J808" s="3"/>
      <c r="K808" s="3"/>
      <c r="L808" s="3"/>
      <c r="M808" s="3"/>
      <c r="N808" s="3"/>
      <c r="O808" s="3"/>
      <c r="P808" s="3"/>
      <c r="Q808" s="3"/>
      <c r="R808" s="3"/>
      <c r="S808" s="3"/>
      <c r="T808" s="3"/>
      <c r="U808" s="3"/>
      <c r="V808" s="3"/>
      <c r="W808" s="3"/>
      <c r="X808" s="3"/>
      <c r="Y808" s="3"/>
      <c r="Z808" s="3"/>
    </row>
    <row r="809" spans="1:26" ht="14.25" customHeight="1">
      <c r="A809" s="1"/>
      <c r="B809" s="1"/>
      <c r="C809" s="1"/>
      <c r="D809" s="1"/>
      <c r="E809" s="19"/>
      <c r="F809" s="3"/>
      <c r="G809" s="3"/>
      <c r="H809" s="3"/>
      <c r="I809" s="3"/>
      <c r="J809" s="3"/>
      <c r="K809" s="3"/>
      <c r="L809" s="3"/>
      <c r="M809" s="3"/>
      <c r="N809" s="3"/>
      <c r="O809" s="3"/>
      <c r="P809" s="3"/>
      <c r="Q809" s="3"/>
      <c r="R809" s="3"/>
      <c r="S809" s="3"/>
      <c r="T809" s="3"/>
      <c r="U809" s="3"/>
      <c r="V809" s="3"/>
      <c r="W809" s="3"/>
      <c r="X809" s="3"/>
      <c r="Y809" s="3"/>
      <c r="Z809" s="3"/>
    </row>
    <row r="810" spans="1:26" ht="14.25" customHeight="1">
      <c r="A810" s="1"/>
      <c r="B810" s="1"/>
      <c r="C810" s="1"/>
      <c r="D810" s="1"/>
      <c r="E810" s="19"/>
      <c r="F810" s="3"/>
      <c r="G810" s="3"/>
      <c r="H810" s="3"/>
      <c r="I810" s="3"/>
      <c r="J810" s="3"/>
      <c r="K810" s="3"/>
      <c r="L810" s="3"/>
      <c r="M810" s="3"/>
      <c r="N810" s="3"/>
      <c r="O810" s="3"/>
      <c r="P810" s="3"/>
      <c r="Q810" s="3"/>
      <c r="R810" s="3"/>
      <c r="S810" s="3"/>
      <c r="T810" s="3"/>
      <c r="U810" s="3"/>
      <c r="V810" s="3"/>
      <c r="W810" s="3"/>
      <c r="X810" s="3"/>
      <c r="Y810" s="3"/>
      <c r="Z810" s="3"/>
    </row>
    <row r="811" spans="1:26" ht="14.25" customHeight="1">
      <c r="A811" s="1"/>
      <c r="B811" s="1"/>
      <c r="C811" s="1"/>
      <c r="D811" s="1"/>
      <c r="E811" s="19"/>
      <c r="F811" s="3"/>
      <c r="G811" s="3"/>
      <c r="H811" s="3"/>
      <c r="I811" s="3"/>
      <c r="J811" s="3"/>
      <c r="K811" s="3"/>
      <c r="L811" s="3"/>
      <c r="M811" s="3"/>
      <c r="N811" s="3"/>
      <c r="O811" s="3"/>
      <c r="P811" s="3"/>
      <c r="Q811" s="3"/>
      <c r="R811" s="3"/>
      <c r="S811" s="3"/>
      <c r="T811" s="3"/>
      <c r="U811" s="3"/>
      <c r="V811" s="3"/>
      <c r="W811" s="3"/>
      <c r="X811" s="3"/>
      <c r="Y811" s="3"/>
      <c r="Z811" s="3"/>
    </row>
    <row r="812" spans="1:26" ht="14.25" customHeight="1">
      <c r="A812" s="1"/>
      <c r="B812" s="1"/>
      <c r="C812" s="1"/>
      <c r="D812" s="1"/>
      <c r="E812" s="19"/>
      <c r="F812" s="3"/>
      <c r="G812" s="3"/>
      <c r="H812" s="3"/>
      <c r="I812" s="3"/>
      <c r="J812" s="3"/>
      <c r="K812" s="3"/>
      <c r="L812" s="3"/>
      <c r="M812" s="3"/>
      <c r="N812" s="3"/>
      <c r="O812" s="3"/>
      <c r="P812" s="3"/>
      <c r="Q812" s="3"/>
      <c r="R812" s="3"/>
      <c r="S812" s="3"/>
      <c r="T812" s="3"/>
      <c r="U812" s="3"/>
      <c r="V812" s="3"/>
      <c r="W812" s="3"/>
      <c r="X812" s="3"/>
      <c r="Y812" s="3"/>
      <c r="Z812" s="3"/>
    </row>
    <row r="813" spans="1:26" ht="14.25" customHeight="1">
      <c r="A813" s="1"/>
      <c r="B813" s="1"/>
      <c r="C813" s="1"/>
      <c r="D813" s="1"/>
      <c r="E813" s="19"/>
      <c r="F813" s="3"/>
      <c r="G813" s="3"/>
      <c r="H813" s="3"/>
      <c r="I813" s="3"/>
      <c r="J813" s="3"/>
      <c r="K813" s="3"/>
      <c r="L813" s="3"/>
      <c r="M813" s="3"/>
      <c r="N813" s="3"/>
      <c r="O813" s="3"/>
      <c r="P813" s="3"/>
      <c r="Q813" s="3"/>
      <c r="R813" s="3"/>
      <c r="S813" s="3"/>
      <c r="T813" s="3"/>
      <c r="U813" s="3"/>
      <c r="V813" s="3"/>
      <c r="W813" s="3"/>
      <c r="X813" s="3"/>
      <c r="Y813" s="3"/>
      <c r="Z813" s="3"/>
    </row>
    <row r="814" spans="1:26" ht="14.25" customHeight="1">
      <c r="A814" s="1"/>
      <c r="B814" s="1"/>
      <c r="C814" s="1"/>
      <c r="D814" s="1"/>
      <c r="E814" s="19"/>
      <c r="F814" s="3"/>
      <c r="G814" s="3"/>
      <c r="H814" s="3"/>
      <c r="I814" s="3"/>
      <c r="J814" s="3"/>
      <c r="K814" s="3"/>
      <c r="L814" s="3"/>
      <c r="M814" s="3"/>
      <c r="N814" s="3"/>
      <c r="O814" s="3"/>
      <c r="P814" s="3"/>
      <c r="Q814" s="3"/>
      <c r="R814" s="3"/>
      <c r="S814" s="3"/>
      <c r="T814" s="3"/>
      <c r="U814" s="3"/>
      <c r="V814" s="3"/>
      <c r="W814" s="3"/>
      <c r="X814" s="3"/>
      <c r="Y814" s="3"/>
      <c r="Z814" s="3"/>
    </row>
    <row r="815" spans="1:26" ht="14.25" customHeight="1">
      <c r="A815" s="1"/>
      <c r="B815" s="1"/>
      <c r="C815" s="1"/>
      <c r="D815" s="1"/>
      <c r="E815" s="19"/>
      <c r="F815" s="3"/>
      <c r="G815" s="3"/>
      <c r="H815" s="3"/>
      <c r="I815" s="3"/>
      <c r="J815" s="3"/>
      <c r="K815" s="3"/>
      <c r="L815" s="3"/>
      <c r="M815" s="3"/>
      <c r="N815" s="3"/>
      <c r="O815" s="3"/>
      <c r="P815" s="3"/>
      <c r="Q815" s="3"/>
      <c r="R815" s="3"/>
      <c r="S815" s="3"/>
      <c r="T815" s="3"/>
      <c r="U815" s="3"/>
      <c r="V815" s="3"/>
      <c r="W815" s="3"/>
      <c r="X815" s="3"/>
      <c r="Y815" s="3"/>
      <c r="Z815" s="3"/>
    </row>
    <row r="816" spans="1:26" ht="14.25" customHeight="1">
      <c r="A816" s="1"/>
      <c r="B816" s="1"/>
      <c r="C816" s="1"/>
      <c r="D816" s="1"/>
      <c r="E816" s="19"/>
      <c r="F816" s="3"/>
      <c r="G816" s="3"/>
      <c r="H816" s="3"/>
      <c r="I816" s="3"/>
      <c r="J816" s="3"/>
      <c r="K816" s="3"/>
      <c r="L816" s="3"/>
      <c r="M816" s="3"/>
      <c r="N816" s="3"/>
      <c r="O816" s="3"/>
      <c r="P816" s="3"/>
      <c r="Q816" s="3"/>
      <c r="R816" s="3"/>
      <c r="S816" s="3"/>
      <c r="T816" s="3"/>
      <c r="U816" s="3"/>
      <c r="V816" s="3"/>
      <c r="W816" s="3"/>
      <c r="X816" s="3"/>
      <c r="Y816" s="3"/>
      <c r="Z816" s="3"/>
    </row>
    <row r="817" spans="1:26" ht="14.25" customHeight="1">
      <c r="A817" s="1"/>
      <c r="B817" s="1"/>
      <c r="C817" s="1"/>
      <c r="D817" s="1"/>
      <c r="E817" s="19"/>
      <c r="F817" s="3"/>
      <c r="G817" s="3"/>
      <c r="H817" s="3"/>
      <c r="I817" s="3"/>
      <c r="J817" s="3"/>
      <c r="K817" s="3"/>
      <c r="L817" s="3"/>
      <c r="M817" s="3"/>
      <c r="N817" s="3"/>
      <c r="O817" s="3"/>
      <c r="P817" s="3"/>
      <c r="Q817" s="3"/>
      <c r="R817" s="3"/>
      <c r="S817" s="3"/>
      <c r="T817" s="3"/>
      <c r="U817" s="3"/>
      <c r="V817" s="3"/>
      <c r="W817" s="3"/>
      <c r="X817" s="3"/>
      <c r="Y817" s="3"/>
      <c r="Z817" s="3"/>
    </row>
    <row r="818" spans="1:26" ht="14.25" customHeight="1">
      <c r="A818" s="1"/>
      <c r="B818" s="1"/>
      <c r="C818" s="1"/>
      <c r="D818" s="1"/>
      <c r="E818" s="19"/>
      <c r="F818" s="3"/>
      <c r="G818" s="3"/>
      <c r="H818" s="3"/>
      <c r="I818" s="3"/>
      <c r="J818" s="3"/>
      <c r="K818" s="3"/>
      <c r="L818" s="3"/>
      <c r="M818" s="3"/>
      <c r="N818" s="3"/>
      <c r="O818" s="3"/>
      <c r="P818" s="3"/>
      <c r="Q818" s="3"/>
      <c r="R818" s="3"/>
      <c r="S818" s="3"/>
      <c r="T818" s="3"/>
      <c r="U818" s="3"/>
      <c r="V818" s="3"/>
      <c r="W818" s="3"/>
      <c r="X818" s="3"/>
      <c r="Y818" s="3"/>
      <c r="Z818" s="3"/>
    </row>
    <row r="819" spans="1:26" ht="14.25" customHeight="1">
      <c r="A819" s="1"/>
      <c r="B819" s="1"/>
      <c r="C819" s="1"/>
      <c r="D819" s="1"/>
      <c r="E819" s="19"/>
      <c r="F819" s="3"/>
      <c r="G819" s="3"/>
      <c r="H819" s="3"/>
      <c r="I819" s="3"/>
      <c r="J819" s="3"/>
      <c r="K819" s="3"/>
      <c r="L819" s="3"/>
      <c r="M819" s="3"/>
      <c r="N819" s="3"/>
      <c r="O819" s="3"/>
      <c r="P819" s="3"/>
      <c r="Q819" s="3"/>
      <c r="R819" s="3"/>
      <c r="S819" s="3"/>
      <c r="T819" s="3"/>
      <c r="U819" s="3"/>
      <c r="V819" s="3"/>
      <c r="W819" s="3"/>
      <c r="X819" s="3"/>
      <c r="Y819" s="3"/>
      <c r="Z819" s="3"/>
    </row>
    <row r="820" spans="1:26" ht="14.25" customHeight="1">
      <c r="A820" s="1"/>
      <c r="B820" s="1"/>
      <c r="C820" s="1"/>
      <c r="D820" s="1"/>
      <c r="E820" s="19"/>
      <c r="F820" s="3"/>
      <c r="G820" s="3"/>
      <c r="H820" s="3"/>
      <c r="I820" s="3"/>
      <c r="J820" s="3"/>
      <c r="K820" s="3"/>
      <c r="L820" s="3"/>
      <c r="M820" s="3"/>
      <c r="N820" s="3"/>
      <c r="O820" s="3"/>
      <c r="P820" s="3"/>
      <c r="Q820" s="3"/>
      <c r="R820" s="3"/>
      <c r="S820" s="3"/>
      <c r="T820" s="3"/>
      <c r="U820" s="3"/>
      <c r="V820" s="3"/>
      <c r="W820" s="3"/>
      <c r="X820" s="3"/>
      <c r="Y820" s="3"/>
      <c r="Z820" s="3"/>
    </row>
    <row r="821" spans="1:26" ht="14.25" customHeight="1">
      <c r="A821" s="1"/>
      <c r="B821" s="1"/>
      <c r="C821" s="1"/>
      <c r="D821" s="1"/>
      <c r="E821" s="19"/>
      <c r="F821" s="3"/>
      <c r="G821" s="3"/>
      <c r="H821" s="3"/>
      <c r="I821" s="3"/>
      <c r="J821" s="3"/>
      <c r="K821" s="3"/>
      <c r="L821" s="3"/>
      <c r="M821" s="3"/>
      <c r="N821" s="3"/>
      <c r="O821" s="3"/>
      <c r="P821" s="3"/>
      <c r="Q821" s="3"/>
      <c r="R821" s="3"/>
      <c r="S821" s="3"/>
      <c r="T821" s="3"/>
      <c r="U821" s="3"/>
      <c r="V821" s="3"/>
      <c r="W821" s="3"/>
      <c r="X821" s="3"/>
      <c r="Y821" s="3"/>
      <c r="Z821" s="3"/>
    </row>
    <row r="822" spans="1:26" ht="14.25" customHeight="1">
      <c r="A822" s="1"/>
      <c r="B822" s="1"/>
      <c r="C822" s="1"/>
      <c r="D822" s="1"/>
      <c r="E822" s="19"/>
      <c r="F822" s="3"/>
      <c r="G822" s="3"/>
      <c r="H822" s="3"/>
      <c r="I822" s="3"/>
      <c r="J822" s="3"/>
      <c r="K822" s="3"/>
      <c r="L822" s="3"/>
      <c r="M822" s="3"/>
      <c r="N822" s="3"/>
      <c r="O822" s="3"/>
      <c r="P822" s="3"/>
      <c r="Q822" s="3"/>
      <c r="R822" s="3"/>
      <c r="S822" s="3"/>
      <c r="T822" s="3"/>
      <c r="U822" s="3"/>
      <c r="V822" s="3"/>
      <c r="W822" s="3"/>
      <c r="X822" s="3"/>
      <c r="Y822" s="3"/>
      <c r="Z822" s="3"/>
    </row>
    <row r="823" spans="1:26" ht="14.25" customHeight="1">
      <c r="A823" s="1"/>
      <c r="B823" s="1"/>
      <c r="C823" s="1"/>
      <c r="D823" s="1"/>
      <c r="E823" s="19"/>
      <c r="F823" s="3"/>
      <c r="G823" s="3"/>
      <c r="H823" s="3"/>
      <c r="I823" s="3"/>
      <c r="J823" s="3"/>
      <c r="K823" s="3"/>
      <c r="L823" s="3"/>
      <c r="M823" s="3"/>
      <c r="N823" s="3"/>
      <c r="O823" s="3"/>
      <c r="P823" s="3"/>
      <c r="Q823" s="3"/>
      <c r="R823" s="3"/>
      <c r="S823" s="3"/>
      <c r="T823" s="3"/>
      <c r="U823" s="3"/>
      <c r="V823" s="3"/>
      <c r="W823" s="3"/>
      <c r="X823" s="3"/>
      <c r="Y823" s="3"/>
      <c r="Z823" s="3"/>
    </row>
    <row r="824" spans="1:26" ht="14.25" customHeight="1">
      <c r="A824" s="1"/>
      <c r="B824" s="1"/>
      <c r="C824" s="1"/>
      <c r="D824" s="1"/>
      <c r="E824" s="19"/>
      <c r="F824" s="3"/>
      <c r="G824" s="3"/>
      <c r="H824" s="3"/>
      <c r="I824" s="3"/>
      <c r="J824" s="3"/>
      <c r="K824" s="3"/>
      <c r="L824" s="3"/>
      <c r="M824" s="3"/>
      <c r="N824" s="3"/>
      <c r="O824" s="3"/>
      <c r="P824" s="3"/>
      <c r="Q824" s="3"/>
      <c r="R824" s="3"/>
      <c r="S824" s="3"/>
      <c r="T824" s="3"/>
      <c r="U824" s="3"/>
      <c r="V824" s="3"/>
      <c r="W824" s="3"/>
      <c r="X824" s="3"/>
      <c r="Y824" s="3"/>
      <c r="Z824" s="3"/>
    </row>
    <row r="825" spans="1:26" ht="14.25" customHeight="1">
      <c r="A825" s="1"/>
      <c r="B825" s="1"/>
      <c r="C825" s="1"/>
      <c r="D825" s="1"/>
      <c r="E825" s="19"/>
      <c r="F825" s="3"/>
      <c r="G825" s="3"/>
      <c r="H825" s="3"/>
      <c r="I825" s="3"/>
      <c r="J825" s="3"/>
      <c r="K825" s="3"/>
      <c r="L825" s="3"/>
      <c r="M825" s="3"/>
      <c r="N825" s="3"/>
      <c r="O825" s="3"/>
      <c r="P825" s="3"/>
      <c r="Q825" s="3"/>
      <c r="R825" s="3"/>
      <c r="S825" s="3"/>
      <c r="T825" s="3"/>
      <c r="U825" s="3"/>
      <c r="V825" s="3"/>
      <c r="W825" s="3"/>
      <c r="X825" s="3"/>
      <c r="Y825" s="3"/>
      <c r="Z825" s="3"/>
    </row>
    <row r="826" spans="1:26" ht="14.25" customHeight="1">
      <c r="A826" s="1"/>
      <c r="B826" s="1"/>
      <c r="C826" s="1"/>
      <c r="D826" s="1"/>
      <c r="E826" s="19"/>
      <c r="F826" s="3"/>
      <c r="G826" s="3"/>
      <c r="H826" s="3"/>
      <c r="I826" s="3"/>
      <c r="J826" s="3"/>
      <c r="K826" s="3"/>
      <c r="L826" s="3"/>
      <c r="M826" s="3"/>
      <c r="N826" s="3"/>
      <c r="O826" s="3"/>
      <c r="P826" s="3"/>
      <c r="Q826" s="3"/>
      <c r="R826" s="3"/>
      <c r="S826" s="3"/>
      <c r="T826" s="3"/>
      <c r="U826" s="3"/>
      <c r="V826" s="3"/>
      <c r="W826" s="3"/>
      <c r="X826" s="3"/>
      <c r="Y826" s="3"/>
      <c r="Z826" s="3"/>
    </row>
    <row r="827" spans="1:26" ht="14.25" customHeight="1">
      <c r="A827" s="1"/>
      <c r="B827" s="1"/>
      <c r="C827" s="1"/>
      <c r="D827" s="1"/>
      <c r="E827" s="19"/>
      <c r="F827" s="3"/>
      <c r="G827" s="3"/>
      <c r="H827" s="3"/>
      <c r="I827" s="3"/>
      <c r="J827" s="3"/>
      <c r="K827" s="3"/>
      <c r="L827" s="3"/>
      <c r="M827" s="3"/>
      <c r="N827" s="3"/>
      <c r="O827" s="3"/>
      <c r="P827" s="3"/>
      <c r="Q827" s="3"/>
      <c r="R827" s="3"/>
      <c r="S827" s="3"/>
      <c r="T827" s="3"/>
      <c r="U827" s="3"/>
      <c r="V827" s="3"/>
      <c r="W827" s="3"/>
      <c r="X827" s="3"/>
      <c r="Y827" s="3"/>
      <c r="Z827" s="3"/>
    </row>
    <row r="828" spans="1:26" ht="14.25" customHeight="1">
      <c r="A828" s="1"/>
      <c r="B828" s="1"/>
      <c r="C828" s="1"/>
      <c r="D828" s="1"/>
      <c r="E828" s="19"/>
      <c r="F828" s="3"/>
      <c r="G828" s="3"/>
      <c r="H828" s="3"/>
      <c r="I828" s="3"/>
      <c r="J828" s="3"/>
      <c r="K828" s="3"/>
      <c r="L828" s="3"/>
      <c r="M828" s="3"/>
      <c r="N828" s="3"/>
      <c r="O828" s="3"/>
      <c r="P828" s="3"/>
      <c r="Q828" s="3"/>
      <c r="R828" s="3"/>
      <c r="S828" s="3"/>
      <c r="T828" s="3"/>
      <c r="U828" s="3"/>
      <c r="V828" s="3"/>
      <c r="W828" s="3"/>
      <c r="X828" s="3"/>
      <c r="Y828" s="3"/>
      <c r="Z828" s="3"/>
    </row>
    <row r="829" spans="1:26" ht="14.25" customHeight="1">
      <c r="A829" s="1"/>
      <c r="B829" s="1"/>
      <c r="C829" s="1"/>
      <c r="D829" s="1"/>
      <c r="E829" s="19"/>
      <c r="F829" s="3"/>
      <c r="G829" s="3"/>
      <c r="H829" s="3"/>
      <c r="I829" s="3"/>
      <c r="J829" s="3"/>
      <c r="K829" s="3"/>
      <c r="L829" s="3"/>
      <c r="M829" s="3"/>
      <c r="N829" s="3"/>
      <c r="O829" s="3"/>
      <c r="P829" s="3"/>
      <c r="Q829" s="3"/>
      <c r="R829" s="3"/>
      <c r="S829" s="3"/>
      <c r="T829" s="3"/>
      <c r="U829" s="3"/>
      <c r="V829" s="3"/>
      <c r="W829" s="3"/>
      <c r="X829" s="3"/>
      <c r="Y829" s="3"/>
      <c r="Z829" s="3"/>
    </row>
    <row r="830" spans="1:26" ht="14.25" customHeight="1">
      <c r="A830" s="1"/>
      <c r="B830" s="1"/>
      <c r="C830" s="1"/>
      <c r="D830" s="1"/>
      <c r="E830" s="19"/>
      <c r="F830" s="3"/>
      <c r="G830" s="3"/>
      <c r="H830" s="3"/>
      <c r="I830" s="3"/>
      <c r="J830" s="3"/>
      <c r="K830" s="3"/>
      <c r="L830" s="3"/>
      <c r="M830" s="3"/>
      <c r="N830" s="3"/>
      <c r="O830" s="3"/>
      <c r="P830" s="3"/>
      <c r="Q830" s="3"/>
      <c r="R830" s="3"/>
      <c r="S830" s="3"/>
      <c r="T830" s="3"/>
      <c r="U830" s="3"/>
      <c r="V830" s="3"/>
      <c r="W830" s="3"/>
      <c r="X830" s="3"/>
      <c r="Y830" s="3"/>
      <c r="Z830" s="3"/>
    </row>
    <row r="831" spans="1:26" ht="14.25" customHeight="1">
      <c r="A831" s="1"/>
      <c r="B831" s="1"/>
      <c r="C831" s="1"/>
      <c r="D831" s="1"/>
      <c r="E831" s="19"/>
      <c r="F831" s="3"/>
      <c r="G831" s="3"/>
      <c r="H831" s="3"/>
      <c r="I831" s="3"/>
      <c r="J831" s="3"/>
      <c r="K831" s="3"/>
      <c r="L831" s="3"/>
      <c r="M831" s="3"/>
      <c r="N831" s="3"/>
      <c r="O831" s="3"/>
      <c r="P831" s="3"/>
      <c r="Q831" s="3"/>
      <c r="R831" s="3"/>
      <c r="S831" s="3"/>
      <c r="T831" s="3"/>
      <c r="U831" s="3"/>
      <c r="V831" s="3"/>
      <c r="W831" s="3"/>
      <c r="X831" s="3"/>
      <c r="Y831" s="3"/>
      <c r="Z831" s="3"/>
    </row>
    <row r="832" spans="1:26" ht="14.25" customHeight="1">
      <c r="A832" s="1"/>
      <c r="B832" s="1"/>
      <c r="C832" s="1"/>
      <c r="D832" s="1"/>
      <c r="E832" s="19"/>
      <c r="F832" s="3"/>
      <c r="G832" s="3"/>
      <c r="H832" s="3"/>
      <c r="I832" s="3"/>
      <c r="J832" s="3"/>
      <c r="K832" s="3"/>
      <c r="L832" s="3"/>
      <c r="M832" s="3"/>
      <c r="N832" s="3"/>
      <c r="O832" s="3"/>
      <c r="P832" s="3"/>
      <c r="Q832" s="3"/>
      <c r="R832" s="3"/>
      <c r="S832" s="3"/>
      <c r="T832" s="3"/>
      <c r="U832" s="3"/>
      <c r="V832" s="3"/>
      <c r="W832" s="3"/>
      <c r="X832" s="3"/>
      <c r="Y832" s="3"/>
      <c r="Z832" s="3"/>
    </row>
    <row r="833" spans="1:26" ht="14.25" customHeight="1">
      <c r="A833" s="1"/>
      <c r="B833" s="1"/>
      <c r="C833" s="1"/>
      <c r="D833" s="1"/>
      <c r="E833" s="19"/>
      <c r="F833" s="3"/>
      <c r="G833" s="3"/>
      <c r="H833" s="3"/>
      <c r="I833" s="3"/>
      <c r="J833" s="3"/>
      <c r="K833" s="3"/>
      <c r="L833" s="3"/>
      <c r="M833" s="3"/>
      <c r="N833" s="3"/>
      <c r="O833" s="3"/>
      <c r="P833" s="3"/>
      <c r="Q833" s="3"/>
      <c r="R833" s="3"/>
      <c r="S833" s="3"/>
      <c r="T833" s="3"/>
      <c r="U833" s="3"/>
      <c r="V833" s="3"/>
      <c r="W833" s="3"/>
      <c r="X833" s="3"/>
      <c r="Y833" s="3"/>
      <c r="Z833" s="3"/>
    </row>
    <row r="834" spans="1:26" ht="14.25" customHeight="1">
      <c r="A834" s="1"/>
      <c r="B834" s="1"/>
      <c r="C834" s="1"/>
      <c r="D834" s="1"/>
      <c r="E834" s="19"/>
      <c r="F834" s="3"/>
      <c r="G834" s="3"/>
      <c r="H834" s="3"/>
      <c r="I834" s="3"/>
      <c r="J834" s="3"/>
      <c r="K834" s="3"/>
      <c r="L834" s="3"/>
      <c r="M834" s="3"/>
      <c r="N834" s="3"/>
      <c r="O834" s="3"/>
      <c r="P834" s="3"/>
      <c r="Q834" s="3"/>
      <c r="R834" s="3"/>
      <c r="S834" s="3"/>
      <c r="T834" s="3"/>
      <c r="U834" s="3"/>
      <c r="V834" s="3"/>
      <c r="W834" s="3"/>
      <c r="X834" s="3"/>
      <c r="Y834" s="3"/>
      <c r="Z834" s="3"/>
    </row>
    <row r="835" spans="1:26" ht="14.25" customHeight="1">
      <c r="A835" s="1"/>
      <c r="B835" s="1"/>
      <c r="C835" s="1"/>
      <c r="D835" s="1"/>
      <c r="E835" s="19"/>
      <c r="F835" s="3"/>
      <c r="G835" s="3"/>
      <c r="H835" s="3"/>
      <c r="I835" s="3"/>
      <c r="J835" s="3"/>
      <c r="K835" s="3"/>
      <c r="L835" s="3"/>
      <c r="M835" s="3"/>
      <c r="N835" s="3"/>
      <c r="O835" s="3"/>
      <c r="P835" s="3"/>
      <c r="Q835" s="3"/>
      <c r="R835" s="3"/>
      <c r="S835" s="3"/>
      <c r="T835" s="3"/>
      <c r="U835" s="3"/>
      <c r="V835" s="3"/>
      <c r="W835" s="3"/>
      <c r="X835" s="3"/>
      <c r="Y835" s="3"/>
      <c r="Z835" s="3"/>
    </row>
    <row r="836" spans="1:26" ht="14.25" customHeight="1">
      <c r="A836" s="1"/>
      <c r="B836" s="1"/>
      <c r="C836" s="1"/>
      <c r="D836" s="1"/>
      <c r="E836" s="19"/>
      <c r="F836" s="3"/>
      <c r="G836" s="3"/>
      <c r="H836" s="3"/>
      <c r="I836" s="3"/>
      <c r="J836" s="3"/>
      <c r="K836" s="3"/>
      <c r="L836" s="3"/>
      <c r="M836" s="3"/>
      <c r="N836" s="3"/>
      <c r="O836" s="3"/>
      <c r="P836" s="3"/>
      <c r="Q836" s="3"/>
      <c r="R836" s="3"/>
      <c r="S836" s="3"/>
      <c r="T836" s="3"/>
      <c r="U836" s="3"/>
      <c r="V836" s="3"/>
      <c r="W836" s="3"/>
      <c r="X836" s="3"/>
      <c r="Y836" s="3"/>
      <c r="Z836" s="3"/>
    </row>
    <row r="837" spans="1:26" ht="14.25" customHeight="1">
      <c r="A837" s="1"/>
      <c r="B837" s="1"/>
      <c r="C837" s="1"/>
      <c r="D837" s="1"/>
      <c r="E837" s="19"/>
      <c r="F837" s="3"/>
      <c r="G837" s="3"/>
      <c r="H837" s="3"/>
      <c r="I837" s="3"/>
      <c r="J837" s="3"/>
      <c r="K837" s="3"/>
      <c r="L837" s="3"/>
      <c r="M837" s="3"/>
      <c r="N837" s="3"/>
      <c r="O837" s="3"/>
      <c r="P837" s="3"/>
      <c r="Q837" s="3"/>
      <c r="R837" s="3"/>
      <c r="S837" s="3"/>
      <c r="T837" s="3"/>
      <c r="U837" s="3"/>
      <c r="V837" s="3"/>
      <c r="W837" s="3"/>
      <c r="X837" s="3"/>
      <c r="Y837" s="3"/>
      <c r="Z837" s="3"/>
    </row>
    <row r="838" spans="1:26" ht="14.25" customHeight="1">
      <c r="A838" s="1"/>
      <c r="B838" s="1"/>
      <c r="C838" s="1"/>
      <c r="D838" s="1"/>
      <c r="E838" s="19"/>
      <c r="F838" s="3"/>
      <c r="G838" s="3"/>
      <c r="H838" s="3"/>
      <c r="I838" s="3"/>
      <c r="J838" s="3"/>
      <c r="K838" s="3"/>
      <c r="L838" s="3"/>
      <c r="M838" s="3"/>
      <c r="N838" s="3"/>
      <c r="O838" s="3"/>
      <c r="P838" s="3"/>
      <c r="Q838" s="3"/>
      <c r="R838" s="3"/>
      <c r="S838" s="3"/>
      <c r="T838" s="3"/>
      <c r="U838" s="3"/>
      <c r="V838" s="3"/>
      <c r="W838" s="3"/>
      <c r="X838" s="3"/>
      <c r="Y838" s="3"/>
      <c r="Z838" s="3"/>
    </row>
    <row r="839" spans="1:26" ht="14.25" customHeight="1">
      <c r="A839" s="1"/>
      <c r="B839" s="1"/>
      <c r="C839" s="1"/>
      <c r="D839" s="1"/>
      <c r="E839" s="19"/>
      <c r="F839" s="3"/>
      <c r="G839" s="3"/>
      <c r="H839" s="3"/>
      <c r="I839" s="3"/>
      <c r="J839" s="3"/>
      <c r="K839" s="3"/>
      <c r="L839" s="3"/>
      <c r="M839" s="3"/>
      <c r="N839" s="3"/>
      <c r="O839" s="3"/>
      <c r="P839" s="3"/>
      <c r="Q839" s="3"/>
      <c r="R839" s="3"/>
      <c r="S839" s="3"/>
      <c r="T839" s="3"/>
      <c r="U839" s="3"/>
      <c r="V839" s="3"/>
      <c r="W839" s="3"/>
      <c r="X839" s="3"/>
      <c r="Y839" s="3"/>
      <c r="Z839" s="3"/>
    </row>
    <row r="840" spans="1:26" ht="14.25" customHeight="1">
      <c r="A840" s="1"/>
      <c r="B840" s="1"/>
      <c r="C840" s="1"/>
      <c r="D840" s="1"/>
      <c r="E840" s="19"/>
      <c r="F840" s="3"/>
      <c r="G840" s="3"/>
      <c r="H840" s="3"/>
      <c r="I840" s="3"/>
      <c r="J840" s="3"/>
      <c r="K840" s="3"/>
      <c r="L840" s="3"/>
      <c r="M840" s="3"/>
      <c r="N840" s="3"/>
      <c r="O840" s="3"/>
      <c r="P840" s="3"/>
      <c r="Q840" s="3"/>
      <c r="R840" s="3"/>
      <c r="S840" s="3"/>
      <c r="T840" s="3"/>
      <c r="U840" s="3"/>
      <c r="V840" s="3"/>
      <c r="W840" s="3"/>
      <c r="X840" s="3"/>
      <c r="Y840" s="3"/>
      <c r="Z840" s="3"/>
    </row>
    <row r="841" spans="1:26" ht="14.25" customHeight="1">
      <c r="A841" s="1"/>
      <c r="B841" s="1"/>
      <c r="C841" s="1"/>
      <c r="D841" s="1"/>
      <c r="E841" s="19"/>
      <c r="F841" s="3"/>
      <c r="G841" s="3"/>
      <c r="H841" s="3"/>
      <c r="I841" s="3"/>
      <c r="J841" s="3"/>
      <c r="K841" s="3"/>
      <c r="L841" s="3"/>
      <c r="M841" s="3"/>
      <c r="N841" s="3"/>
      <c r="O841" s="3"/>
      <c r="P841" s="3"/>
      <c r="Q841" s="3"/>
      <c r="R841" s="3"/>
      <c r="S841" s="3"/>
      <c r="T841" s="3"/>
      <c r="U841" s="3"/>
      <c r="V841" s="3"/>
      <c r="W841" s="3"/>
      <c r="X841" s="3"/>
      <c r="Y841" s="3"/>
      <c r="Z841" s="3"/>
    </row>
    <row r="842" spans="1:26" ht="14.25" customHeight="1">
      <c r="A842" s="1"/>
      <c r="B842" s="1"/>
      <c r="C842" s="1"/>
      <c r="D842" s="1"/>
      <c r="E842" s="19"/>
      <c r="F842" s="3"/>
      <c r="G842" s="3"/>
      <c r="H842" s="3"/>
      <c r="I842" s="3"/>
      <c r="J842" s="3"/>
      <c r="K842" s="3"/>
      <c r="L842" s="3"/>
      <c r="M842" s="3"/>
      <c r="N842" s="3"/>
      <c r="O842" s="3"/>
      <c r="P842" s="3"/>
      <c r="Q842" s="3"/>
      <c r="R842" s="3"/>
      <c r="S842" s="3"/>
      <c r="T842" s="3"/>
      <c r="U842" s="3"/>
      <c r="V842" s="3"/>
      <c r="W842" s="3"/>
      <c r="X842" s="3"/>
      <c r="Y842" s="3"/>
      <c r="Z842" s="3"/>
    </row>
    <row r="843" spans="1:26" ht="14.25" customHeight="1">
      <c r="A843" s="1"/>
      <c r="B843" s="1"/>
      <c r="C843" s="1"/>
      <c r="D843" s="1"/>
      <c r="E843" s="19"/>
      <c r="F843" s="3"/>
      <c r="G843" s="3"/>
      <c r="H843" s="3"/>
      <c r="I843" s="3"/>
      <c r="J843" s="3"/>
      <c r="K843" s="3"/>
      <c r="L843" s="3"/>
      <c r="M843" s="3"/>
      <c r="N843" s="3"/>
      <c r="O843" s="3"/>
      <c r="P843" s="3"/>
      <c r="Q843" s="3"/>
      <c r="R843" s="3"/>
      <c r="S843" s="3"/>
      <c r="T843" s="3"/>
      <c r="U843" s="3"/>
      <c r="V843" s="3"/>
      <c r="W843" s="3"/>
      <c r="X843" s="3"/>
      <c r="Y843" s="3"/>
      <c r="Z843" s="3"/>
    </row>
    <row r="844" spans="1:26" ht="14.25" customHeight="1">
      <c r="A844" s="1"/>
      <c r="B844" s="1"/>
      <c r="C844" s="1"/>
      <c r="D844" s="1"/>
      <c r="E844" s="19"/>
      <c r="F844" s="3"/>
      <c r="G844" s="3"/>
      <c r="H844" s="3"/>
      <c r="I844" s="3"/>
      <c r="J844" s="3"/>
      <c r="K844" s="3"/>
      <c r="L844" s="3"/>
      <c r="M844" s="3"/>
      <c r="N844" s="3"/>
      <c r="O844" s="3"/>
      <c r="P844" s="3"/>
      <c r="Q844" s="3"/>
      <c r="R844" s="3"/>
      <c r="S844" s="3"/>
      <c r="T844" s="3"/>
      <c r="U844" s="3"/>
      <c r="V844" s="3"/>
      <c r="W844" s="3"/>
      <c r="X844" s="3"/>
      <c r="Y844" s="3"/>
      <c r="Z844" s="3"/>
    </row>
    <row r="845" spans="1:26" ht="14.25" customHeight="1">
      <c r="A845" s="1"/>
      <c r="B845" s="1"/>
      <c r="C845" s="1"/>
      <c r="D845" s="1"/>
      <c r="E845" s="19"/>
      <c r="F845" s="3"/>
      <c r="G845" s="3"/>
      <c r="H845" s="3"/>
      <c r="I845" s="3"/>
      <c r="J845" s="3"/>
      <c r="K845" s="3"/>
      <c r="L845" s="3"/>
      <c r="M845" s="3"/>
      <c r="N845" s="3"/>
      <c r="O845" s="3"/>
      <c r="P845" s="3"/>
      <c r="Q845" s="3"/>
      <c r="R845" s="3"/>
      <c r="S845" s="3"/>
      <c r="T845" s="3"/>
      <c r="U845" s="3"/>
      <c r="V845" s="3"/>
      <c r="W845" s="3"/>
      <c r="X845" s="3"/>
      <c r="Y845" s="3"/>
      <c r="Z845" s="3"/>
    </row>
    <row r="846" spans="1:26" ht="14.25" customHeight="1">
      <c r="A846" s="1"/>
      <c r="B846" s="1"/>
      <c r="C846" s="1"/>
      <c r="D846" s="1"/>
      <c r="E846" s="19"/>
      <c r="F846" s="3"/>
      <c r="G846" s="3"/>
      <c r="H846" s="3"/>
      <c r="I846" s="3"/>
      <c r="J846" s="3"/>
      <c r="K846" s="3"/>
      <c r="L846" s="3"/>
      <c r="M846" s="3"/>
      <c r="N846" s="3"/>
      <c r="O846" s="3"/>
      <c r="P846" s="3"/>
      <c r="Q846" s="3"/>
      <c r="R846" s="3"/>
      <c r="S846" s="3"/>
      <c r="T846" s="3"/>
      <c r="U846" s="3"/>
      <c r="V846" s="3"/>
      <c r="W846" s="3"/>
      <c r="X846" s="3"/>
      <c r="Y846" s="3"/>
      <c r="Z846" s="3"/>
    </row>
    <row r="847" spans="1:26" ht="14.25" customHeight="1">
      <c r="A847" s="1"/>
      <c r="B847" s="1"/>
      <c r="C847" s="1"/>
      <c r="D847" s="1"/>
      <c r="E847" s="19"/>
      <c r="F847" s="3"/>
      <c r="G847" s="3"/>
      <c r="H847" s="3"/>
      <c r="I847" s="3"/>
      <c r="J847" s="3"/>
      <c r="K847" s="3"/>
      <c r="L847" s="3"/>
      <c r="M847" s="3"/>
      <c r="N847" s="3"/>
      <c r="O847" s="3"/>
      <c r="P847" s="3"/>
      <c r="Q847" s="3"/>
      <c r="R847" s="3"/>
      <c r="S847" s="3"/>
      <c r="T847" s="3"/>
      <c r="U847" s="3"/>
      <c r="V847" s="3"/>
      <c r="W847" s="3"/>
      <c r="X847" s="3"/>
      <c r="Y847" s="3"/>
      <c r="Z847" s="3"/>
    </row>
    <row r="848" spans="1:26" ht="14.25" customHeight="1">
      <c r="A848" s="1"/>
      <c r="B848" s="1"/>
      <c r="C848" s="1"/>
      <c r="D848" s="1"/>
      <c r="E848" s="19"/>
      <c r="F848" s="3"/>
      <c r="G848" s="3"/>
      <c r="H848" s="3"/>
      <c r="I848" s="3"/>
      <c r="J848" s="3"/>
      <c r="K848" s="3"/>
      <c r="L848" s="3"/>
      <c r="M848" s="3"/>
      <c r="N848" s="3"/>
      <c r="O848" s="3"/>
      <c r="P848" s="3"/>
      <c r="Q848" s="3"/>
      <c r="R848" s="3"/>
      <c r="S848" s="3"/>
      <c r="T848" s="3"/>
      <c r="U848" s="3"/>
      <c r="V848" s="3"/>
      <c r="W848" s="3"/>
      <c r="X848" s="3"/>
      <c r="Y848" s="3"/>
      <c r="Z848" s="3"/>
    </row>
    <row r="849" spans="1:26" ht="14.25" customHeight="1">
      <c r="A849" s="1"/>
      <c r="B849" s="1"/>
      <c r="C849" s="1"/>
      <c r="D849" s="1"/>
      <c r="E849" s="19"/>
      <c r="F849" s="3"/>
      <c r="G849" s="3"/>
      <c r="H849" s="3"/>
      <c r="I849" s="3"/>
      <c r="J849" s="3"/>
      <c r="K849" s="3"/>
      <c r="L849" s="3"/>
      <c r="M849" s="3"/>
      <c r="N849" s="3"/>
      <c r="O849" s="3"/>
      <c r="P849" s="3"/>
      <c r="Q849" s="3"/>
      <c r="R849" s="3"/>
      <c r="S849" s="3"/>
      <c r="T849" s="3"/>
      <c r="U849" s="3"/>
      <c r="V849" s="3"/>
      <c r="W849" s="3"/>
      <c r="X849" s="3"/>
      <c r="Y849" s="3"/>
      <c r="Z849" s="3"/>
    </row>
    <row r="850" spans="1:26" ht="14.25" customHeight="1">
      <c r="A850" s="1"/>
      <c r="B850" s="1"/>
      <c r="C850" s="1"/>
      <c r="D850" s="1"/>
      <c r="E850" s="19"/>
      <c r="F850" s="3"/>
      <c r="G850" s="3"/>
      <c r="H850" s="3"/>
      <c r="I850" s="3"/>
      <c r="J850" s="3"/>
      <c r="K850" s="3"/>
      <c r="L850" s="3"/>
      <c r="M850" s="3"/>
      <c r="N850" s="3"/>
      <c r="O850" s="3"/>
      <c r="P850" s="3"/>
      <c r="Q850" s="3"/>
      <c r="R850" s="3"/>
      <c r="S850" s="3"/>
      <c r="T850" s="3"/>
      <c r="U850" s="3"/>
      <c r="V850" s="3"/>
      <c r="W850" s="3"/>
      <c r="X850" s="3"/>
      <c r="Y850" s="3"/>
      <c r="Z850" s="3"/>
    </row>
    <row r="851" spans="1:26" ht="14.25" customHeight="1">
      <c r="A851" s="1"/>
      <c r="B851" s="1"/>
      <c r="C851" s="1"/>
      <c r="D851" s="1"/>
      <c r="E851" s="19"/>
      <c r="F851" s="3"/>
      <c r="G851" s="3"/>
      <c r="H851" s="3"/>
      <c r="I851" s="3"/>
      <c r="J851" s="3"/>
      <c r="K851" s="3"/>
      <c r="L851" s="3"/>
      <c r="M851" s="3"/>
      <c r="N851" s="3"/>
      <c r="O851" s="3"/>
      <c r="P851" s="3"/>
      <c r="Q851" s="3"/>
      <c r="R851" s="3"/>
      <c r="S851" s="3"/>
      <c r="T851" s="3"/>
      <c r="U851" s="3"/>
      <c r="V851" s="3"/>
      <c r="W851" s="3"/>
      <c r="X851" s="3"/>
      <c r="Y851" s="3"/>
      <c r="Z851" s="3"/>
    </row>
    <row r="852" spans="1:26" ht="14.25" customHeight="1">
      <c r="A852" s="1"/>
      <c r="B852" s="1"/>
      <c r="C852" s="1"/>
      <c r="D852" s="1"/>
      <c r="E852" s="19"/>
      <c r="F852" s="3"/>
      <c r="G852" s="3"/>
      <c r="H852" s="3"/>
      <c r="I852" s="3"/>
      <c r="J852" s="3"/>
      <c r="K852" s="3"/>
      <c r="L852" s="3"/>
      <c r="M852" s="3"/>
      <c r="N852" s="3"/>
      <c r="O852" s="3"/>
      <c r="P852" s="3"/>
      <c r="Q852" s="3"/>
      <c r="R852" s="3"/>
      <c r="S852" s="3"/>
      <c r="T852" s="3"/>
      <c r="U852" s="3"/>
      <c r="V852" s="3"/>
      <c r="W852" s="3"/>
      <c r="X852" s="3"/>
      <c r="Y852" s="3"/>
      <c r="Z852" s="3"/>
    </row>
    <row r="853" spans="1:26" ht="14.25" customHeight="1">
      <c r="A853" s="1"/>
      <c r="B853" s="1"/>
      <c r="C853" s="1"/>
      <c r="D853" s="1"/>
      <c r="E853" s="19"/>
      <c r="F853" s="3"/>
      <c r="G853" s="3"/>
      <c r="H853" s="3"/>
      <c r="I853" s="3"/>
      <c r="J853" s="3"/>
      <c r="K853" s="3"/>
      <c r="L853" s="3"/>
      <c r="M853" s="3"/>
      <c r="N853" s="3"/>
      <c r="O853" s="3"/>
      <c r="P853" s="3"/>
      <c r="Q853" s="3"/>
      <c r="R853" s="3"/>
      <c r="S853" s="3"/>
      <c r="T853" s="3"/>
      <c r="U853" s="3"/>
      <c r="V853" s="3"/>
      <c r="W853" s="3"/>
      <c r="X853" s="3"/>
      <c r="Y853" s="3"/>
      <c r="Z853" s="3"/>
    </row>
    <row r="854" spans="1:26" ht="14.25" customHeight="1">
      <c r="A854" s="1"/>
      <c r="B854" s="1"/>
      <c r="C854" s="1"/>
      <c r="D854" s="1"/>
      <c r="E854" s="19"/>
      <c r="F854" s="3"/>
      <c r="G854" s="3"/>
      <c r="H854" s="3"/>
      <c r="I854" s="3"/>
      <c r="J854" s="3"/>
      <c r="K854" s="3"/>
      <c r="L854" s="3"/>
      <c r="M854" s="3"/>
      <c r="N854" s="3"/>
      <c r="O854" s="3"/>
      <c r="P854" s="3"/>
      <c r="Q854" s="3"/>
      <c r="R854" s="3"/>
      <c r="S854" s="3"/>
      <c r="T854" s="3"/>
      <c r="U854" s="3"/>
      <c r="V854" s="3"/>
      <c r="W854" s="3"/>
      <c r="X854" s="3"/>
      <c r="Y854" s="3"/>
      <c r="Z854" s="3"/>
    </row>
    <row r="855" spans="1:26" ht="14.25" customHeight="1">
      <c r="A855" s="1"/>
      <c r="B855" s="1"/>
      <c r="C855" s="1"/>
      <c r="D855" s="1"/>
      <c r="E855" s="19"/>
      <c r="F855" s="3"/>
      <c r="G855" s="3"/>
      <c r="H855" s="3"/>
      <c r="I855" s="3"/>
      <c r="J855" s="3"/>
      <c r="K855" s="3"/>
      <c r="L855" s="3"/>
      <c r="M855" s="3"/>
      <c r="N855" s="3"/>
      <c r="O855" s="3"/>
      <c r="P855" s="3"/>
      <c r="Q855" s="3"/>
      <c r="R855" s="3"/>
      <c r="S855" s="3"/>
      <c r="T855" s="3"/>
      <c r="U855" s="3"/>
      <c r="V855" s="3"/>
      <c r="W855" s="3"/>
      <c r="X855" s="3"/>
      <c r="Y855" s="3"/>
      <c r="Z855" s="3"/>
    </row>
    <row r="856" spans="1:26" ht="14.25" customHeight="1">
      <c r="A856" s="1"/>
      <c r="B856" s="1"/>
      <c r="C856" s="1"/>
      <c r="D856" s="1"/>
      <c r="E856" s="19"/>
      <c r="F856" s="3"/>
      <c r="G856" s="3"/>
      <c r="H856" s="3"/>
      <c r="I856" s="3"/>
      <c r="J856" s="3"/>
      <c r="K856" s="3"/>
      <c r="L856" s="3"/>
      <c r="M856" s="3"/>
      <c r="N856" s="3"/>
      <c r="O856" s="3"/>
      <c r="P856" s="3"/>
      <c r="Q856" s="3"/>
      <c r="R856" s="3"/>
      <c r="S856" s="3"/>
      <c r="T856" s="3"/>
      <c r="U856" s="3"/>
      <c r="V856" s="3"/>
      <c r="W856" s="3"/>
      <c r="X856" s="3"/>
      <c r="Y856" s="3"/>
      <c r="Z856" s="3"/>
    </row>
    <row r="857" spans="1:26" ht="14.25" customHeight="1">
      <c r="A857" s="1"/>
      <c r="B857" s="1"/>
      <c r="C857" s="1"/>
      <c r="D857" s="1"/>
      <c r="E857" s="19"/>
      <c r="F857" s="3"/>
      <c r="G857" s="3"/>
      <c r="H857" s="3"/>
      <c r="I857" s="3"/>
      <c r="J857" s="3"/>
      <c r="K857" s="3"/>
      <c r="L857" s="3"/>
      <c r="M857" s="3"/>
      <c r="N857" s="3"/>
      <c r="O857" s="3"/>
      <c r="P857" s="3"/>
      <c r="Q857" s="3"/>
      <c r="R857" s="3"/>
      <c r="S857" s="3"/>
      <c r="T857" s="3"/>
      <c r="U857" s="3"/>
      <c r="V857" s="3"/>
      <c r="W857" s="3"/>
      <c r="X857" s="3"/>
      <c r="Y857" s="3"/>
      <c r="Z857" s="3"/>
    </row>
    <row r="858" spans="1:26" ht="14.25" customHeight="1">
      <c r="A858" s="1"/>
      <c r="B858" s="1"/>
      <c r="C858" s="1"/>
      <c r="D858" s="1"/>
      <c r="E858" s="19"/>
      <c r="F858" s="3"/>
      <c r="G858" s="3"/>
      <c r="H858" s="3"/>
      <c r="I858" s="3"/>
      <c r="J858" s="3"/>
      <c r="K858" s="3"/>
      <c r="L858" s="3"/>
      <c r="M858" s="3"/>
      <c r="N858" s="3"/>
      <c r="O858" s="3"/>
      <c r="P858" s="3"/>
      <c r="Q858" s="3"/>
      <c r="R858" s="3"/>
      <c r="S858" s="3"/>
      <c r="T858" s="3"/>
      <c r="U858" s="3"/>
      <c r="V858" s="3"/>
      <c r="W858" s="3"/>
      <c r="X858" s="3"/>
      <c r="Y858" s="3"/>
      <c r="Z858" s="3"/>
    </row>
    <row r="859" spans="1:26" ht="14.25" customHeight="1">
      <c r="A859" s="1"/>
      <c r="B859" s="1"/>
      <c r="C859" s="1"/>
      <c r="D859" s="1"/>
      <c r="E859" s="19"/>
      <c r="F859" s="3"/>
      <c r="G859" s="3"/>
      <c r="H859" s="3"/>
      <c r="I859" s="3"/>
      <c r="J859" s="3"/>
      <c r="K859" s="3"/>
      <c r="L859" s="3"/>
      <c r="M859" s="3"/>
      <c r="N859" s="3"/>
      <c r="O859" s="3"/>
      <c r="P859" s="3"/>
      <c r="Q859" s="3"/>
      <c r="R859" s="3"/>
      <c r="S859" s="3"/>
      <c r="T859" s="3"/>
      <c r="U859" s="3"/>
      <c r="V859" s="3"/>
      <c r="W859" s="3"/>
      <c r="X859" s="3"/>
      <c r="Y859" s="3"/>
      <c r="Z859" s="3"/>
    </row>
    <row r="860" spans="1:26" ht="14.25" customHeight="1">
      <c r="A860" s="1"/>
      <c r="B860" s="1"/>
      <c r="C860" s="1"/>
      <c r="D860" s="1"/>
      <c r="E860" s="19"/>
      <c r="F860" s="3"/>
      <c r="G860" s="3"/>
      <c r="H860" s="3"/>
      <c r="I860" s="3"/>
      <c r="J860" s="3"/>
      <c r="K860" s="3"/>
      <c r="L860" s="3"/>
      <c r="M860" s="3"/>
      <c r="N860" s="3"/>
      <c r="O860" s="3"/>
      <c r="P860" s="3"/>
      <c r="Q860" s="3"/>
      <c r="R860" s="3"/>
      <c r="S860" s="3"/>
      <c r="T860" s="3"/>
      <c r="U860" s="3"/>
      <c r="V860" s="3"/>
      <c r="W860" s="3"/>
      <c r="X860" s="3"/>
      <c r="Y860" s="3"/>
      <c r="Z860" s="3"/>
    </row>
    <row r="861" spans="1:26" ht="14.25" customHeight="1">
      <c r="A861" s="1"/>
      <c r="B861" s="1"/>
      <c r="C861" s="1"/>
      <c r="D861" s="1"/>
      <c r="E861" s="19"/>
      <c r="F861" s="3"/>
      <c r="G861" s="3"/>
      <c r="H861" s="3"/>
      <c r="I861" s="3"/>
      <c r="J861" s="3"/>
      <c r="K861" s="3"/>
      <c r="L861" s="3"/>
      <c r="M861" s="3"/>
      <c r="N861" s="3"/>
      <c r="O861" s="3"/>
      <c r="P861" s="3"/>
      <c r="Q861" s="3"/>
      <c r="R861" s="3"/>
      <c r="S861" s="3"/>
      <c r="T861" s="3"/>
      <c r="U861" s="3"/>
      <c r="V861" s="3"/>
      <c r="W861" s="3"/>
      <c r="X861" s="3"/>
      <c r="Y861" s="3"/>
      <c r="Z861" s="3"/>
    </row>
    <row r="862" spans="1:26" ht="14.25" customHeight="1">
      <c r="A862" s="1"/>
      <c r="B862" s="1"/>
      <c r="C862" s="1"/>
      <c r="D862" s="1"/>
      <c r="E862" s="19"/>
      <c r="F862" s="3"/>
      <c r="G862" s="3"/>
      <c r="H862" s="3"/>
      <c r="I862" s="3"/>
      <c r="J862" s="3"/>
      <c r="K862" s="3"/>
      <c r="L862" s="3"/>
      <c r="M862" s="3"/>
      <c r="N862" s="3"/>
      <c r="O862" s="3"/>
      <c r="P862" s="3"/>
      <c r="Q862" s="3"/>
      <c r="R862" s="3"/>
      <c r="S862" s="3"/>
      <c r="T862" s="3"/>
      <c r="U862" s="3"/>
      <c r="V862" s="3"/>
      <c r="W862" s="3"/>
      <c r="X862" s="3"/>
      <c r="Y862" s="3"/>
      <c r="Z862" s="3"/>
    </row>
    <row r="863" spans="1:26" ht="14.25" customHeight="1">
      <c r="A863" s="1"/>
      <c r="B863" s="1"/>
      <c r="C863" s="1"/>
      <c r="D863" s="1"/>
      <c r="E863" s="19"/>
      <c r="F863" s="3"/>
      <c r="G863" s="3"/>
      <c r="H863" s="3"/>
      <c r="I863" s="3"/>
      <c r="J863" s="3"/>
      <c r="K863" s="3"/>
      <c r="L863" s="3"/>
      <c r="M863" s="3"/>
      <c r="N863" s="3"/>
      <c r="O863" s="3"/>
      <c r="P863" s="3"/>
      <c r="Q863" s="3"/>
      <c r="R863" s="3"/>
      <c r="S863" s="3"/>
      <c r="T863" s="3"/>
      <c r="U863" s="3"/>
      <c r="V863" s="3"/>
      <c r="W863" s="3"/>
      <c r="X863" s="3"/>
      <c r="Y863" s="3"/>
      <c r="Z863" s="3"/>
    </row>
    <row r="864" spans="1:26" ht="14.25" customHeight="1">
      <c r="A864" s="1"/>
      <c r="B864" s="1"/>
      <c r="C864" s="1"/>
      <c r="D864" s="1"/>
      <c r="E864" s="19"/>
      <c r="F864" s="3"/>
      <c r="G864" s="3"/>
      <c r="H864" s="3"/>
      <c r="I864" s="3"/>
      <c r="J864" s="3"/>
      <c r="K864" s="3"/>
      <c r="L864" s="3"/>
      <c r="M864" s="3"/>
      <c r="N864" s="3"/>
      <c r="O864" s="3"/>
      <c r="P864" s="3"/>
      <c r="Q864" s="3"/>
      <c r="R864" s="3"/>
      <c r="S864" s="3"/>
      <c r="T864" s="3"/>
      <c r="U864" s="3"/>
      <c r="V864" s="3"/>
      <c r="W864" s="3"/>
      <c r="X864" s="3"/>
      <c r="Y864" s="3"/>
      <c r="Z864" s="3"/>
    </row>
    <row r="865" spans="1:26" ht="14.25" customHeight="1">
      <c r="A865" s="1"/>
      <c r="B865" s="1"/>
      <c r="C865" s="1"/>
      <c r="D865" s="1"/>
      <c r="E865" s="19"/>
      <c r="F865" s="3"/>
      <c r="G865" s="3"/>
      <c r="H865" s="3"/>
      <c r="I865" s="3"/>
      <c r="J865" s="3"/>
      <c r="K865" s="3"/>
      <c r="L865" s="3"/>
      <c r="M865" s="3"/>
      <c r="N865" s="3"/>
      <c r="O865" s="3"/>
      <c r="P865" s="3"/>
      <c r="Q865" s="3"/>
      <c r="R865" s="3"/>
      <c r="S865" s="3"/>
      <c r="T865" s="3"/>
      <c r="U865" s="3"/>
      <c r="V865" s="3"/>
      <c r="W865" s="3"/>
      <c r="X865" s="3"/>
      <c r="Y865" s="3"/>
      <c r="Z865" s="3"/>
    </row>
    <row r="866" spans="1:26" ht="14.25" customHeight="1">
      <c r="A866" s="1"/>
      <c r="B866" s="1"/>
      <c r="C866" s="1"/>
      <c r="D866" s="1"/>
      <c r="E866" s="19"/>
      <c r="F866" s="3"/>
      <c r="G866" s="3"/>
      <c r="H866" s="3"/>
      <c r="I866" s="3"/>
      <c r="J866" s="3"/>
      <c r="K866" s="3"/>
      <c r="L866" s="3"/>
      <c r="M866" s="3"/>
      <c r="N866" s="3"/>
      <c r="O866" s="3"/>
      <c r="P866" s="3"/>
      <c r="Q866" s="3"/>
      <c r="R866" s="3"/>
      <c r="S866" s="3"/>
      <c r="T866" s="3"/>
      <c r="U866" s="3"/>
      <c r="V866" s="3"/>
      <c r="W866" s="3"/>
      <c r="X866" s="3"/>
      <c r="Y866" s="3"/>
      <c r="Z866" s="3"/>
    </row>
    <row r="867" spans="1:26" ht="14.25" customHeight="1">
      <c r="A867" s="1"/>
      <c r="B867" s="1"/>
      <c r="C867" s="1"/>
      <c r="D867" s="1"/>
      <c r="E867" s="19"/>
      <c r="F867" s="3"/>
      <c r="G867" s="3"/>
      <c r="H867" s="3"/>
      <c r="I867" s="3"/>
      <c r="J867" s="3"/>
      <c r="K867" s="3"/>
      <c r="L867" s="3"/>
      <c r="M867" s="3"/>
      <c r="N867" s="3"/>
      <c r="O867" s="3"/>
      <c r="P867" s="3"/>
      <c r="Q867" s="3"/>
      <c r="R867" s="3"/>
      <c r="S867" s="3"/>
      <c r="T867" s="3"/>
      <c r="U867" s="3"/>
      <c r="V867" s="3"/>
      <c r="W867" s="3"/>
      <c r="X867" s="3"/>
      <c r="Y867" s="3"/>
      <c r="Z867" s="3"/>
    </row>
    <row r="868" spans="1:26" ht="14.25" customHeight="1">
      <c r="A868" s="1"/>
      <c r="B868" s="1"/>
      <c r="C868" s="1"/>
      <c r="D868" s="1"/>
      <c r="E868" s="19"/>
      <c r="F868" s="3"/>
      <c r="G868" s="3"/>
      <c r="H868" s="3"/>
      <c r="I868" s="3"/>
      <c r="J868" s="3"/>
      <c r="K868" s="3"/>
      <c r="L868" s="3"/>
      <c r="M868" s="3"/>
      <c r="N868" s="3"/>
      <c r="O868" s="3"/>
      <c r="P868" s="3"/>
      <c r="Q868" s="3"/>
      <c r="R868" s="3"/>
      <c r="S868" s="3"/>
      <c r="T868" s="3"/>
      <c r="U868" s="3"/>
      <c r="V868" s="3"/>
      <c r="W868" s="3"/>
      <c r="X868" s="3"/>
      <c r="Y868" s="3"/>
      <c r="Z868" s="3"/>
    </row>
    <row r="869" spans="1:26" ht="14.25" customHeight="1">
      <c r="A869" s="1"/>
      <c r="B869" s="1"/>
      <c r="C869" s="1"/>
      <c r="D869" s="1"/>
      <c r="E869" s="19"/>
      <c r="F869" s="3"/>
      <c r="G869" s="3"/>
      <c r="H869" s="3"/>
      <c r="I869" s="3"/>
      <c r="J869" s="3"/>
      <c r="K869" s="3"/>
      <c r="L869" s="3"/>
      <c r="M869" s="3"/>
      <c r="N869" s="3"/>
      <c r="O869" s="3"/>
      <c r="P869" s="3"/>
      <c r="Q869" s="3"/>
      <c r="R869" s="3"/>
      <c r="S869" s="3"/>
      <c r="T869" s="3"/>
      <c r="U869" s="3"/>
      <c r="V869" s="3"/>
      <c r="W869" s="3"/>
      <c r="X869" s="3"/>
      <c r="Y869" s="3"/>
      <c r="Z869" s="3"/>
    </row>
    <row r="870" spans="1:26" ht="14.25" customHeight="1">
      <c r="A870" s="1"/>
      <c r="B870" s="1"/>
      <c r="C870" s="1"/>
      <c r="D870" s="1"/>
      <c r="E870" s="19"/>
      <c r="F870" s="3"/>
      <c r="G870" s="3"/>
      <c r="H870" s="3"/>
      <c r="I870" s="3"/>
      <c r="J870" s="3"/>
      <c r="K870" s="3"/>
      <c r="L870" s="3"/>
      <c r="M870" s="3"/>
      <c r="N870" s="3"/>
      <c r="O870" s="3"/>
      <c r="P870" s="3"/>
      <c r="Q870" s="3"/>
      <c r="R870" s="3"/>
      <c r="S870" s="3"/>
      <c r="T870" s="3"/>
      <c r="U870" s="3"/>
      <c r="V870" s="3"/>
      <c r="W870" s="3"/>
      <c r="X870" s="3"/>
      <c r="Y870" s="3"/>
      <c r="Z870" s="3"/>
    </row>
    <row r="871" spans="1:26" ht="14.25" customHeight="1">
      <c r="A871" s="1"/>
      <c r="B871" s="1"/>
      <c r="C871" s="1"/>
      <c r="D871" s="1"/>
      <c r="E871" s="19"/>
      <c r="F871" s="3"/>
      <c r="G871" s="3"/>
      <c r="H871" s="3"/>
      <c r="I871" s="3"/>
      <c r="J871" s="3"/>
      <c r="K871" s="3"/>
      <c r="L871" s="3"/>
      <c r="M871" s="3"/>
      <c r="N871" s="3"/>
      <c r="O871" s="3"/>
      <c r="P871" s="3"/>
      <c r="Q871" s="3"/>
      <c r="R871" s="3"/>
      <c r="S871" s="3"/>
      <c r="T871" s="3"/>
      <c r="U871" s="3"/>
      <c r="V871" s="3"/>
      <c r="W871" s="3"/>
      <c r="X871" s="3"/>
      <c r="Y871" s="3"/>
      <c r="Z871" s="3"/>
    </row>
    <row r="872" spans="1:26" ht="14.25" customHeight="1">
      <c r="A872" s="1"/>
      <c r="B872" s="1"/>
      <c r="C872" s="1"/>
      <c r="D872" s="1"/>
      <c r="E872" s="19"/>
      <c r="F872" s="3"/>
      <c r="G872" s="3"/>
      <c r="H872" s="3"/>
      <c r="I872" s="3"/>
      <c r="J872" s="3"/>
      <c r="K872" s="3"/>
      <c r="L872" s="3"/>
      <c r="M872" s="3"/>
      <c r="N872" s="3"/>
      <c r="O872" s="3"/>
      <c r="P872" s="3"/>
      <c r="Q872" s="3"/>
      <c r="R872" s="3"/>
      <c r="S872" s="3"/>
      <c r="T872" s="3"/>
      <c r="U872" s="3"/>
      <c r="V872" s="3"/>
      <c r="W872" s="3"/>
      <c r="X872" s="3"/>
      <c r="Y872" s="3"/>
      <c r="Z872" s="3"/>
    </row>
    <row r="873" spans="1:26" ht="14.25" customHeight="1">
      <c r="A873" s="1"/>
      <c r="B873" s="1"/>
      <c r="C873" s="1"/>
      <c r="D873" s="1"/>
      <c r="E873" s="19"/>
      <c r="F873" s="3"/>
      <c r="G873" s="3"/>
      <c r="H873" s="3"/>
      <c r="I873" s="3"/>
      <c r="J873" s="3"/>
      <c r="K873" s="3"/>
      <c r="L873" s="3"/>
      <c r="M873" s="3"/>
      <c r="N873" s="3"/>
      <c r="O873" s="3"/>
      <c r="P873" s="3"/>
      <c r="Q873" s="3"/>
      <c r="R873" s="3"/>
      <c r="S873" s="3"/>
      <c r="T873" s="3"/>
      <c r="U873" s="3"/>
      <c r="V873" s="3"/>
      <c r="W873" s="3"/>
      <c r="X873" s="3"/>
      <c r="Y873" s="3"/>
      <c r="Z873" s="3"/>
    </row>
    <row r="874" spans="1:26" ht="14.25" customHeight="1">
      <c r="A874" s="1"/>
      <c r="B874" s="1"/>
      <c r="C874" s="1"/>
      <c r="D874" s="1"/>
      <c r="E874" s="19"/>
      <c r="F874" s="3"/>
      <c r="G874" s="3"/>
      <c r="H874" s="3"/>
      <c r="I874" s="3"/>
      <c r="J874" s="3"/>
      <c r="K874" s="3"/>
      <c r="L874" s="3"/>
      <c r="M874" s="3"/>
      <c r="N874" s="3"/>
      <c r="O874" s="3"/>
      <c r="P874" s="3"/>
      <c r="Q874" s="3"/>
      <c r="R874" s="3"/>
      <c r="S874" s="3"/>
      <c r="T874" s="3"/>
      <c r="U874" s="3"/>
      <c r="V874" s="3"/>
      <c r="W874" s="3"/>
      <c r="X874" s="3"/>
      <c r="Y874" s="3"/>
      <c r="Z874" s="3"/>
    </row>
    <row r="875" spans="1:26" ht="14.25" customHeight="1">
      <c r="A875" s="1"/>
      <c r="B875" s="1"/>
      <c r="C875" s="1"/>
      <c r="D875" s="1"/>
      <c r="E875" s="19"/>
      <c r="F875" s="3"/>
      <c r="G875" s="3"/>
      <c r="H875" s="3"/>
      <c r="I875" s="3"/>
      <c r="J875" s="3"/>
      <c r="K875" s="3"/>
      <c r="L875" s="3"/>
      <c r="M875" s="3"/>
      <c r="N875" s="3"/>
      <c r="O875" s="3"/>
      <c r="P875" s="3"/>
      <c r="Q875" s="3"/>
      <c r="R875" s="3"/>
      <c r="S875" s="3"/>
      <c r="T875" s="3"/>
      <c r="U875" s="3"/>
      <c r="V875" s="3"/>
      <c r="W875" s="3"/>
      <c r="X875" s="3"/>
      <c r="Y875" s="3"/>
      <c r="Z875" s="3"/>
    </row>
    <row r="876" spans="1:26" ht="14.25" customHeight="1">
      <c r="A876" s="1"/>
      <c r="B876" s="1"/>
      <c r="C876" s="1"/>
      <c r="D876" s="1"/>
      <c r="E876" s="19"/>
      <c r="F876" s="3"/>
      <c r="G876" s="3"/>
      <c r="H876" s="3"/>
      <c r="I876" s="3"/>
      <c r="J876" s="3"/>
      <c r="K876" s="3"/>
      <c r="L876" s="3"/>
      <c r="M876" s="3"/>
      <c r="N876" s="3"/>
      <c r="O876" s="3"/>
      <c r="P876" s="3"/>
      <c r="Q876" s="3"/>
      <c r="R876" s="3"/>
      <c r="S876" s="3"/>
      <c r="T876" s="3"/>
      <c r="U876" s="3"/>
      <c r="V876" s="3"/>
      <c r="W876" s="3"/>
      <c r="X876" s="3"/>
      <c r="Y876" s="3"/>
      <c r="Z876" s="3"/>
    </row>
    <row r="877" spans="1:26" ht="14.25" customHeight="1">
      <c r="A877" s="1"/>
      <c r="B877" s="1"/>
      <c r="C877" s="1"/>
      <c r="D877" s="1"/>
      <c r="E877" s="19"/>
      <c r="F877" s="3"/>
      <c r="G877" s="3"/>
      <c r="H877" s="3"/>
      <c r="I877" s="3"/>
      <c r="J877" s="3"/>
      <c r="K877" s="3"/>
      <c r="L877" s="3"/>
      <c r="M877" s="3"/>
      <c r="N877" s="3"/>
      <c r="O877" s="3"/>
      <c r="P877" s="3"/>
      <c r="Q877" s="3"/>
      <c r="R877" s="3"/>
      <c r="S877" s="3"/>
      <c r="T877" s="3"/>
      <c r="U877" s="3"/>
      <c r="V877" s="3"/>
      <c r="W877" s="3"/>
      <c r="X877" s="3"/>
      <c r="Y877" s="3"/>
      <c r="Z877" s="3"/>
    </row>
    <row r="878" spans="1:26" ht="14.25" customHeight="1">
      <c r="A878" s="1"/>
      <c r="B878" s="1"/>
      <c r="C878" s="1"/>
      <c r="D878" s="1"/>
      <c r="E878" s="19"/>
      <c r="F878" s="3"/>
      <c r="G878" s="3"/>
      <c r="H878" s="3"/>
      <c r="I878" s="3"/>
      <c r="J878" s="3"/>
      <c r="K878" s="3"/>
      <c r="L878" s="3"/>
      <c r="M878" s="3"/>
      <c r="N878" s="3"/>
      <c r="O878" s="3"/>
      <c r="P878" s="3"/>
      <c r="Q878" s="3"/>
      <c r="R878" s="3"/>
      <c r="S878" s="3"/>
      <c r="T878" s="3"/>
      <c r="U878" s="3"/>
      <c r="V878" s="3"/>
      <c r="W878" s="3"/>
      <c r="X878" s="3"/>
      <c r="Y878" s="3"/>
      <c r="Z878" s="3"/>
    </row>
    <row r="879" spans="1:26" ht="14.25" customHeight="1">
      <c r="A879" s="1"/>
      <c r="B879" s="1"/>
      <c r="C879" s="1"/>
      <c r="D879" s="1"/>
      <c r="E879" s="19"/>
      <c r="F879" s="3"/>
      <c r="G879" s="3"/>
      <c r="H879" s="3"/>
      <c r="I879" s="3"/>
      <c r="J879" s="3"/>
      <c r="K879" s="3"/>
      <c r="L879" s="3"/>
      <c r="M879" s="3"/>
      <c r="N879" s="3"/>
      <c r="O879" s="3"/>
      <c r="P879" s="3"/>
      <c r="Q879" s="3"/>
      <c r="R879" s="3"/>
      <c r="S879" s="3"/>
      <c r="T879" s="3"/>
      <c r="U879" s="3"/>
      <c r="V879" s="3"/>
      <c r="W879" s="3"/>
      <c r="X879" s="3"/>
      <c r="Y879" s="3"/>
      <c r="Z879" s="3"/>
    </row>
    <row r="880" spans="1:26" ht="14.25" customHeight="1">
      <c r="A880" s="1"/>
      <c r="B880" s="1"/>
      <c r="C880" s="1"/>
      <c r="D880" s="1"/>
      <c r="E880" s="19"/>
      <c r="F880" s="3"/>
      <c r="G880" s="3"/>
      <c r="H880" s="3"/>
      <c r="I880" s="3"/>
      <c r="J880" s="3"/>
      <c r="K880" s="3"/>
      <c r="L880" s="3"/>
      <c r="M880" s="3"/>
      <c r="N880" s="3"/>
      <c r="O880" s="3"/>
      <c r="P880" s="3"/>
      <c r="Q880" s="3"/>
      <c r="R880" s="3"/>
      <c r="S880" s="3"/>
      <c r="T880" s="3"/>
      <c r="U880" s="3"/>
      <c r="V880" s="3"/>
      <c r="W880" s="3"/>
      <c r="X880" s="3"/>
      <c r="Y880" s="3"/>
      <c r="Z880" s="3"/>
    </row>
    <row r="881" spans="1:26" ht="14.25" customHeight="1">
      <c r="A881" s="1"/>
      <c r="B881" s="1"/>
      <c r="C881" s="1"/>
      <c r="D881" s="1"/>
      <c r="E881" s="19"/>
      <c r="F881" s="3"/>
      <c r="G881" s="3"/>
      <c r="H881" s="3"/>
      <c r="I881" s="3"/>
      <c r="J881" s="3"/>
      <c r="K881" s="3"/>
      <c r="L881" s="3"/>
      <c r="M881" s="3"/>
      <c r="N881" s="3"/>
      <c r="O881" s="3"/>
      <c r="P881" s="3"/>
      <c r="Q881" s="3"/>
      <c r="R881" s="3"/>
      <c r="S881" s="3"/>
      <c r="T881" s="3"/>
      <c r="U881" s="3"/>
      <c r="V881" s="3"/>
      <c r="W881" s="3"/>
      <c r="X881" s="3"/>
      <c r="Y881" s="3"/>
      <c r="Z881" s="3"/>
    </row>
    <row r="882" spans="1:26" ht="14.25" customHeight="1">
      <c r="A882" s="1"/>
      <c r="B882" s="1"/>
      <c r="C882" s="1"/>
      <c r="D882" s="1"/>
      <c r="E882" s="19"/>
      <c r="F882" s="3"/>
      <c r="G882" s="3"/>
      <c r="H882" s="3"/>
      <c r="I882" s="3"/>
      <c r="J882" s="3"/>
      <c r="K882" s="3"/>
      <c r="L882" s="3"/>
      <c r="M882" s="3"/>
      <c r="N882" s="3"/>
      <c r="O882" s="3"/>
      <c r="P882" s="3"/>
      <c r="Q882" s="3"/>
      <c r="R882" s="3"/>
      <c r="S882" s="3"/>
      <c r="T882" s="3"/>
      <c r="U882" s="3"/>
      <c r="V882" s="3"/>
      <c r="W882" s="3"/>
      <c r="X882" s="3"/>
      <c r="Y882" s="3"/>
      <c r="Z882" s="3"/>
    </row>
    <row r="883" spans="1:26" ht="14.25" customHeight="1">
      <c r="A883" s="1"/>
      <c r="B883" s="1"/>
      <c r="C883" s="1"/>
      <c r="D883" s="1"/>
      <c r="E883" s="19"/>
      <c r="F883" s="3"/>
      <c r="G883" s="3"/>
      <c r="H883" s="3"/>
      <c r="I883" s="3"/>
      <c r="J883" s="3"/>
      <c r="K883" s="3"/>
      <c r="L883" s="3"/>
      <c r="M883" s="3"/>
      <c r="N883" s="3"/>
      <c r="O883" s="3"/>
      <c r="P883" s="3"/>
      <c r="Q883" s="3"/>
      <c r="R883" s="3"/>
      <c r="S883" s="3"/>
      <c r="T883" s="3"/>
      <c r="U883" s="3"/>
      <c r="V883" s="3"/>
      <c r="W883" s="3"/>
      <c r="X883" s="3"/>
      <c r="Y883" s="3"/>
      <c r="Z883" s="3"/>
    </row>
    <row r="884" spans="1:26" ht="14.25" customHeight="1">
      <c r="A884" s="1"/>
      <c r="B884" s="1"/>
      <c r="C884" s="1"/>
      <c r="D884" s="1"/>
      <c r="E884" s="19"/>
      <c r="F884" s="3"/>
      <c r="G884" s="3"/>
      <c r="H884" s="3"/>
      <c r="I884" s="3"/>
      <c r="J884" s="3"/>
      <c r="K884" s="3"/>
      <c r="L884" s="3"/>
      <c r="M884" s="3"/>
      <c r="N884" s="3"/>
      <c r="O884" s="3"/>
      <c r="P884" s="3"/>
      <c r="Q884" s="3"/>
      <c r="R884" s="3"/>
      <c r="S884" s="3"/>
      <c r="T884" s="3"/>
      <c r="U884" s="3"/>
      <c r="V884" s="3"/>
      <c r="W884" s="3"/>
      <c r="X884" s="3"/>
      <c r="Y884" s="3"/>
      <c r="Z884" s="3"/>
    </row>
    <row r="885" spans="1:26" ht="14.25" customHeight="1">
      <c r="A885" s="1"/>
      <c r="B885" s="1"/>
      <c r="C885" s="1"/>
      <c r="D885" s="1"/>
      <c r="E885" s="19"/>
      <c r="F885" s="3"/>
      <c r="G885" s="3"/>
      <c r="H885" s="3"/>
      <c r="I885" s="3"/>
      <c r="J885" s="3"/>
      <c r="K885" s="3"/>
      <c r="L885" s="3"/>
      <c r="M885" s="3"/>
      <c r="N885" s="3"/>
      <c r="O885" s="3"/>
      <c r="P885" s="3"/>
      <c r="Q885" s="3"/>
      <c r="R885" s="3"/>
      <c r="S885" s="3"/>
      <c r="T885" s="3"/>
      <c r="U885" s="3"/>
      <c r="V885" s="3"/>
      <c r="W885" s="3"/>
      <c r="X885" s="3"/>
      <c r="Y885" s="3"/>
      <c r="Z885" s="3"/>
    </row>
    <row r="886" spans="1:26" ht="14.25" customHeight="1">
      <c r="A886" s="1"/>
      <c r="B886" s="1"/>
      <c r="C886" s="1"/>
      <c r="D886" s="1"/>
      <c r="E886" s="19"/>
      <c r="F886" s="3"/>
      <c r="G886" s="3"/>
      <c r="H886" s="3"/>
      <c r="I886" s="3"/>
      <c r="J886" s="3"/>
      <c r="K886" s="3"/>
      <c r="L886" s="3"/>
      <c r="M886" s="3"/>
      <c r="N886" s="3"/>
      <c r="O886" s="3"/>
      <c r="P886" s="3"/>
      <c r="Q886" s="3"/>
      <c r="R886" s="3"/>
      <c r="S886" s="3"/>
      <c r="T886" s="3"/>
      <c r="U886" s="3"/>
      <c r="V886" s="3"/>
      <c r="W886" s="3"/>
      <c r="X886" s="3"/>
      <c r="Y886" s="3"/>
      <c r="Z886" s="3"/>
    </row>
    <row r="887" spans="1:26" ht="14.25" customHeight="1">
      <c r="A887" s="1"/>
      <c r="B887" s="1"/>
      <c r="C887" s="1"/>
      <c r="D887" s="1"/>
      <c r="E887" s="19"/>
      <c r="F887" s="3"/>
      <c r="G887" s="3"/>
      <c r="H887" s="3"/>
      <c r="I887" s="3"/>
      <c r="J887" s="3"/>
      <c r="K887" s="3"/>
      <c r="L887" s="3"/>
      <c r="M887" s="3"/>
      <c r="N887" s="3"/>
      <c r="O887" s="3"/>
      <c r="P887" s="3"/>
      <c r="Q887" s="3"/>
      <c r="R887" s="3"/>
      <c r="S887" s="3"/>
      <c r="T887" s="3"/>
      <c r="U887" s="3"/>
      <c r="V887" s="3"/>
      <c r="W887" s="3"/>
      <c r="X887" s="3"/>
      <c r="Y887" s="3"/>
      <c r="Z887" s="3"/>
    </row>
    <row r="888" spans="1:26" ht="14.25" customHeight="1">
      <c r="A888" s="1"/>
      <c r="B888" s="1"/>
      <c r="C888" s="1"/>
      <c r="D888" s="1"/>
      <c r="E888" s="19"/>
      <c r="F888" s="3"/>
      <c r="G888" s="3"/>
      <c r="H888" s="3"/>
      <c r="I888" s="3"/>
      <c r="J888" s="3"/>
      <c r="K888" s="3"/>
      <c r="L888" s="3"/>
      <c r="M888" s="3"/>
      <c r="N888" s="3"/>
      <c r="O888" s="3"/>
      <c r="P888" s="3"/>
      <c r="Q888" s="3"/>
      <c r="R888" s="3"/>
      <c r="S888" s="3"/>
      <c r="T888" s="3"/>
      <c r="U888" s="3"/>
      <c r="V888" s="3"/>
      <c r="W888" s="3"/>
      <c r="X888" s="3"/>
      <c r="Y888" s="3"/>
      <c r="Z888" s="3"/>
    </row>
    <row r="889" spans="1:26" ht="14.25" customHeight="1">
      <c r="A889" s="1"/>
      <c r="B889" s="1"/>
      <c r="C889" s="1"/>
      <c r="D889" s="1"/>
      <c r="E889" s="19"/>
      <c r="F889" s="3"/>
      <c r="G889" s="3"/>
      <c r="H889" s="3"/>
      <c r="I889" s="3"/>
      <c r="J889" s="3"/>
      <c r="K889" s="3"/>
      <c r="L889" s="3"/>
      <c r="M889" s="3"/>
      <c r="N889" s="3"/>
      <c r="O889" s="3"/>
      <c r="P889" s="3"/>
      <c r="Q889" s="3"/>
      <c r="R889" s="3"/>
      <c r="S889" s="3"/>
      <c r="T889" s="3"/>
      <c r="U889" s="3"/>
      <c r="V889" s="3"/>
      <c r="W889" s="3"/>
      <c r="X889" s="3"/>
      <c r="Y889" s="3"/>
      <c r="Z889" s="3"/>
    </row>
    <row r="890" spans="1:26" ht="14.25" customHeight="1">
      <c r="A890" s="1"/>
      <c r="B890" s="1"/>
      <c r="C890" s="1"/>
      <c r="D890" s="1"/>
      <c r="E890" s="19"/>
      <c r="F890" s="3"/>
      <c r="G890" s="3"/>
      <c r="H890" s="3"/>
      <c r="I890" s="3"/>
      <c r="J890" s="3"/>
      <c r="K890" s="3"/>
      <c r="L890" s="3"/>
      <c r="M890" s="3"/>
      <c r="N890" s="3"/>
      <c r="O890" s="3"/>
      <c r="P890" s="3"/>
      <c r="Q890" s="3"/>
      <c r="R890" s="3"/>
      <c r="S890" s="3"/>
      <c r="T890" s="3"/>
      <c r="U890" s="3"/>
      <c r="V890" s="3"/>
      <c r="W890" s="3"/>
      <c r="X890" s="3"/>
      <c r="Y890" s="3"/>
      <c r="Z890" s="3"/>
    </row>
    <row r="891" spans="1:26" ht="14.25" customHeight="1">
      <c r="A891" s="1"/>
      <c r="B891" s="1"/>
      <c r="C891" s="1"/>
      <c r="D891" s="1"/>
      <c r="E891" s="19"/>
      <c r="F891" s="3"/>
      <c r="G891" s="3"/>
      <c r="H891" s="3"/>
      <c r="I891" s="3"/>
      <c r="J891" s="3"/>
      <c r="K891" s="3"/>
      <c r="L891" s="3"/>
      <c r="M891" s="3"/>
      <c r="N891" s="3"/>
      <c r="O891" s="3"/>
      <c r="P891" s="3"/>
      <c r="Q891" s="3"/>
      <c r="R891" s="3"/>
      <c r="S891" s="3"/>
      <c r="T891" s="3"/>
      <c r="U891" s="3"/>
      <c r="V891" s="3"/>
      <c r="W891" s="3"/>
      <c r="X891" s="3"/>
      <c r="Y891" s="3"/>
      <c r="Z891" s="3"/>
    </row>
    <row r="892" spans="1:26" ht="14.25" customHeight="1">
      <c r="A892" s="1"/>
      <c r="B892" s="1"/>
      <c r="C892" s="1"/>
      <c r="D892" s="1"/>
      <c r="E892" s="19"/>
      <c r="F892" s="3"/>
      <c r="G892" s="3"/>
      <c r="H892" s="3"/>
      <c r="I892" s="3"/>
      <c r="J892" s="3"/>
      <c r="K892" s="3"/>
      <c r="L892" s="3"/>
      <c r="M892" s="3"/>
      <c r="N892" s="3"/>
      <c r="O892" s="3"/>
      <c r="P892" s="3"/>
      <c r="Q892" s="3"/>
      <c r="R892" s="3"/>
      <c r="S892" s="3"/>
      <c r="T892" s="3"/>
      <c r="U892" s="3"/>
      <c r="V892" s="3"/>
      <c r="W892" s="3"/>
      <c r="X892" s="3"/>
      <c r="Y892" s="3"/>
      <c r="Z892" s="3"/>
    </row>
    <row r="893" spans="1:26" ht="14.25" customHeight="1">
      <c r="A893" s="1"/>
      <c r="B893" s="1"/>
      <c r="C893" s="1"/>
      <c r="D893" s="1"/>
      <c r="E893" s="19"/>
      <c r="F893" s="3"/>
      <c r="G893" s="3"/>
      <c r="H893" s="3"/>
      <c r="I893" s="3"/>
      <c r="J893" s="3"/>
      <c r="K893" s="3"/>
      <c r="L893" s="3"/>
      <c r="M893" s="3"/>
      <c r="N893" s="3"/>
      <c r="O893" s="3"/>
      <c r="P893" s="3"/>
      <c r="Q893" s="3"/>
      <c r="R893" s="3"/>
      <c r="S893" s="3"/>
      <c r="T893" s="3"/>
      <c r="U893" s="3"/>
      <c r="V893" s="3"/>
      <c r="W893" s="3"/>
      <c r="X893" s="3"/>
      <c r="Y893" s="3"/>
      <c r="Z893" s="3"/>
    </row>
    <row r="894" spans="1:26" ht="14.25" customHeight="1">
      <c r="A894" s="1"/>
      <c r="B894" s="1"/>
      <c r="C894" s="1"/>
      <c r="D894" s="1"/>
      <c r="E894" s="19"/>
      <c r="F894" s="3"/>
      <c r="G894" s="3"/>
      <c r="H894" s="3"/>
      <c r="I894" s="3"/>
      <c r="J894" s="3"/>
      <c r="K894" s="3"/>
      <c r="L894" s="3"/>
      <c r="M894" s="3"/>
      <c r="N894" s="3"/>
      <c r="O894" s="3"/>
      <c r="P894" s="3"/>
      <c r="Q894" s="3"/>
      <c r="R894" s="3"/>
      <c r="S894" s="3"/>
      <c r="T894" s="3"/>
      <c r="U894" s="3"/>
      <c r="V894" s="3"/>
      <c r="W894" s="3"/>
      <c r="X894" s="3"/>
      <c r="Y894" s="3"/>
      <c r="Z894" s="3"/>
    </row>
    <row r="895" spans="1:26" ht="14.25" customHeight="1">
      <c r="A895" s="1"/>
      <c r="B895" s="1"/>
      <c r="C895" s="1"/>
      <c r="D895" s="1"/>
      <c r="E895" s="19"/>
      <c r="F895" s="3"/>
      <c r="G895" s="3"/>
      <c r="H895" s="3"/>
      <c r="I895" s="3"/>
      <c r="J895" s="3"/>
      <c r="K895" s="3"/>
      <c r="L895" s="3"/>
      <c r="M895" s="3"/>
      <c r="N895" s="3"/>
      <c r="O895" s="3"/>
      <c r="P895" s="3"/>
      <c r="Q895" s="3"/>
      <c r="R895" s="3"/>
      <c r="S895" s="3"/>
      <c r="T895" s="3"/>
      <c r="U895" s="3"/>
      <c r="V895" s="3"/>
      <c r="W895" s="3"/>
      <c r="X895" s="3"/>
      <c r="Y895" s="3"/>
      <c r="Z895" s="3"/>
    </row>
    <row r="896" spans="1:26" ht="14.25" customHeight="1">
      <c r="A896" s="1"/>
      <c r="B896" s="1"/>
      <c r="C896" s="1"/>
      <c r="D896" s="1"/>
      <c r="E896" s="19"/>
      <c r="F896" s="3"/>
      <c r="G896" s="3"/>
      <c r="H896" s="3"/>
      <c r="I896" s="3"/>
      <c r="J896" s="3"/>
      <c r="K896" s="3"/>
      <c r="L896" s="3"/>
      <c r="M896" s="3"/>
      <c r="N896" s="3"/>
      <c r="O896" s="3"/>
      <c r="P896" s="3"/>
      <c r="Q896" s="3"/>
      <c r="R896" s="3"/>
      <c r="S896" s="3"/>
      <c r="T896" s="3"/>
      <c r="U896" s="3"/>
      <c r="V896" s="3"/>
      <c r="W896" s="3"/>
      <c r="X896" s="3"/>
      <c r="Y896" s="3"/>
      <c r="Z896" s="3"/>
    </row>
    <row r="897" spans="1:26" ht="14.25" customHeight="1">
      <c r="A897" s="1"/>
      <c r="B897" s="1"/>
      <c r="C897" s="1"/>
      <c r="D897" s="1"/>
      <c r="E897" s="19"/>
      <c r="F897" s="3"/>
      <c r="G897" s="3"/>
      <c r="H897" s="3"/>
      <c r="I897" s="3"/>
      <c r="J897" s="3"/>
      <c r="K897" s="3"/>
      <c r="L897" s="3"/>
      <c r="M897" s="3"/>
      <c r="N897" s="3"/>
      <c r="O897" s="3"/>
      <c r="P897" s="3"/>
      <c r="Q897" s="3"/>
      <c r="R897" s="3"/>
      <c r="S897" s="3"/>
      <c r="T897" s="3"/>
      <c r="U897" s="3"/>
      <c r="V897" s="3"/>
      <c r="W897" s="3"/>
      <c r="X897" s="3"/>
      <c r="Y897" s="3"/>
      <c r="Z897" s="3"/>
    </row>
    <row r="898" spans="1:26" ht="14.25" customHeight="1">
      <c r="A898" s="1"/>
      <c r="B898" s="1"/>
      <c r="C898" s="1"/>
      <c r="D898" s="1"/>
      <c r="E898" s="19"/>
      <c r="F898" s="3"/>
      <c r="G898" s="3"/>
      <c r="H898" s="3"/>
      <c r="I898" s="3"/>
      <c r="J898" s="3"/>
      <c r="K898" s="3"/>
      <c r="L898" s="3"/>
      <c r="M898" s="3"/>
      <c r="N898" s="3"/>
      <c r="O898" s="3"/>
      <c r="P898" s="3"/>
      <c r="Q898" s="3"/>
      <c r="R898" s="3"/>
      <c r="S898" s="3"/>
      <c r="T898" s="3"/>
      <c r="U898" s="3"/>
      <c r="V898" s="3"/>
      <c r="W898" s="3"/>
      <c r="X898" s="3"/>
      <c r="Y898" s="3"/>
      <c r="Z898" s="3"/>
    </row>
    <row r="899" spans="1:26" ht="14.25" customHeight="1">
      <c r="A899" s="1"/>
      <c r="B899" s="1"/>
      <c r="C899" s="1"/>
      <c r="D899" s="1"/>
      <c r="E899" s="19"/>
      <c r="F899" s="3"/>
      <c r="G899" s="3"/>
      <c r="H899" s="3"/>
      <c r="I899" s="3"/>
      <c r="J899" s="3"/>
      <c r="K899" s="3"/>
      <c r="L899" s="3"/>
      <c r="M899" s="3"/>
      <c r="N899" s="3"/>
      <c r="O899" s="3"/>
      <c r="P899" s="3"/>
      <c r="Q899" s="3"/>
      <c r="R899" s="3"/>
      <c r="S899" s="3"/>
      <c r="T899" s="3"/>
      <c r="U899" s="3"/>
      <c r="V899" s="3"/>
      <c r="W899" s="3"/>
      <c r="X899" s="3"/>
      <c r="Y899" s="3"/>
      <c r="Z899" s="3"/>
    </row>
    <row r="900" spans="1:26" ht="14.25" customHeight="1">
      <c r="A900" s="1"/>
      <c r="B900" s="1"/>
      <c r="C900" s="1"/>
      <c r="D900" s="1"/>
      <c r="E900" s="19"/>
      <c r="F900" s="3"/>
      <c r="G900" s="3"/>
      <c r="H900" s="3"/>
      <c r="I900" s="3"/>
      <c r="J900" s="3"/>
      <c r="K900" s="3"/>
      <c r="L900" s="3"/>
      <c r="M900" s="3"/>
      <c r="N900" s="3"/>
      <c r="O900" s="3"/>
      <c r="P900" s="3"/>
      <c r="Q900" s="3"/>
      <c r="R900" s="3"/>
      <c r="S900" s="3"/>
      <c r="T900" s="3"/>
      <c r="U900" s="3"/>
      <c r="V900" s="3"/>
      <c r="W900" s="3"/>
      <c r="X900" s="3"/>
      <c r="Y900" s="3"/>
      <c r="Z900" s="3"/>
    </row>
    <row r="901" spans="1:26" ht="14.25" customHeight="1">
      <c r="A901" s="1"/>
      <c r="B901" s="1"/>
      <c r="C901" s="1"/>
      <c r="D901" s="1"/>
      <c r="E901" s="19"/>
      <c r="F901" s="3"/>
      <c r="G901" s="3"/>
      <c r="H901" s="3"/>
      <c r="I901" s="3"/>
      <c r="J901" s="3"/>
      <c r="K901" s="3"/>
      <c r="L901" s="3"/>
      <c r="M901" s="3"/>
      <c r="N901" s="3"/>
      <c r="O901" s="3"/>
      <c r="P901" s="3"/>
      <c r="Q901" s="3"/>
      <c r="R901" s="3"/>
      <c r="S901" s="3"/>
      <c r="T901" s="3"/>
      <c r="U901" s="3"/>
      <c r="V901" s="3"/>
      <c r="W901" s="3"/>
      <c r="X901" s="3"/>
      <c r="Y901" s="3"/>
      <c r="Z901" s="3"/>
    </row>
    <row r="902" spans="1:26" ht="14.25" customHeight="1">
      <c r="A902" s="1"/>
      <c r="B902" s="1"/>
      <c r="C902" s="1"/>
      <c r="D902" s="1"/>
      <c r="E902" s="19"/>
      <c r="F902" s="3"/>
      <c r="G902" s="3"/>
      <c r="H902" s="3"/>
      <c r="I902" s="3"/>
      <c r="J902" s="3"/>
      <c r="K902" s="3"/>
      <c r="L902" s="3"/>
      <c r="M902" s="3"/>
      <c r="N902" s="3"/>
      <c r="O902" s="3"/>
      <c r="P902" s="3"/>
      <c r="Q902" s="3"/>
      <c r="R902" s="3"/>
      <c r="S902" s="3"/>
      <c r="T902" s="3"/>
      <c r="U902" s="3"/>
      <c r="V902" s="3"/>
      <c r="W902" s="3"/>
      <c r="X902" s="3"/>
      <c r="Y902" s="3"/>
      <c r="Z902" s="3"/>
    </row>
    <row r="903" spans="1:26" ht="14.25" customHeight="1">
      <c r="A903" s="1"/>
      <c r="B903" s="1"/>
      <c r="C903" s="1"/>
      <c r="D903" s="1"/>
      <c r="E903" s="19"/>
      <c r="F903" s="3"/>
      <c r="G903" s="3"/>
      <c r="H903" s="3"/>
      <c r="I903" s="3"/>
      <c r="J903" s="3"/>
      <c r="K903" s="3"/>
      <c r="L903" s="3"/>
      <c r="M903" s="3"/>
      <c r="N903" s="3"/>
      <c r="O903" s="3"/>
      <c r="P903" s="3"/>
      <c r="Q903" s="3"/>
      <c r="R903" s="3"/>
      <c r="S903" s="3"/>
      <c r="T903" s="3"/>
      <c r="U903" s="3"/>
      <c r="V903" s="3"/>
      <c r="W903" s="3"/>
      <c r="X903" s="3"/>
      <c r="Y903" s="3"/>
      <c r="Z903" s="3"/>
    </row>
    <row r="904" spans="1:26" ht="14.25" customHeight="1">
      <c r="A904" s="1"/>
      <c r="B904" s="1"/>
      <c r="C904" s="1"/>
      <c r="D904" s="1"/>
      <c r="E904" s="19"/>
      <c r="F904" s="3"/>
      <c r="G904" s="3"/>
      <c r="H904" s="3"/>
      <c r="I904" s="3"/>
      <c r="J904" s="3"/>
      <c r="K904" s="3"/>
      <c r="L904" s="3"/>
      <c r="M904" s="3"/>
      <c r="N904" s="3"/>
      <c r="O904" s="3"/>
      <c r="P904" s="3"/>
      <c r="Q904" s="3"/>
      <c r="R904" s="3"/>
      <c r="S904" s="3"/>
      <c r="T904" s="3"/>
      <c r="U904" s="3"/>
      <c r="V904" s="3"/>
      <c r="W904" s="3"/>
      <c r="X904" s="3"/>
      <c r="Y904" s="3"/>
      <c r="Z904" s="3"/>
    </row>
    <row r="905" spans="1:26" ht="14.25" customHeight="1">
      <c r="A905" s="1"/>
      <c r="B905" s="1"/>
      <c r="C905" s="1"/>
      <c r="D905" s="1"/>
      <c r="E905" s="19"/>
      <c r="F905" s="3"/>
      <c r="G905" s="3"/>
      <c r="H905" s="3"/>
      <c r="I905" s="3"/>
      <c r="J905" s="3"/>
      <c r="K905" s="3"/>
      <c r="L905" s="3"/>
      <c r="M905" s="3"/>
      <c r="N905" s="3"/>
      <c r="O905" s="3"/>
      <c r="P905" s="3"/>
      <c r="Q905" s="3"/>
      <c r="R905" s="3"/>
      <c r="S905" s="3"/>
      <c r="T905" s="3"/>
      <c r="U905" s="3"/>
      <c r="V905" s="3"/>
      <c r="W905" s="3"/>
      <c r="X905" s="3"/>
      <c r="Y905" s="3"/>
      <c r="Z905" s="3"/>
    </row>
    <row r="906" spans="1:26" ht="14.25" customHeight="1">
      <c r="A906" s="1"/>
      <c r="B906" s="1"/>
      <c r="C906" s="1"/>
      <c r="D906" s="1"/>
      <c r="E906" s="19"/>
      <c r="F906" s="3"/>
      <c r="G906" s="3"/>
      <c r="H906" s="3"/>
      <c r="I906" s="3"/>
      <c r="J906" s="3"/>
      <c r="K906" s="3"/>
      <c r="L906" s="3"/>
      <c r="M906" s="3"/>
      <c r="N906" s="3"/>
      <c r="O906" s="3"/>
      <c r="P906" s="3"/>
      <c r="Q906" s="3"/>
      <c r="R906" s="3"/>
      <c r="S906" s="3"/>
      <c r="T906" s="3"/>
      <c r="U906" s="3"/>
      <c r="V906" s="3"/>
      <c r="W906" s="3"/>
      <c r="X906" s="3"/>
      <c r="Y906" s="3"/>
      <c r="Z906" s="3"/>
    </row>
    <row r="907" spans="1:26" ht="14.25" customHeight="1">
      <c r="A907" s="1"/>
      <c r="B907" s="1"/>
      <c r="C907" s="1"/>
      <c r="D907" s="1"/>
      <c r="E907" s="19"/>
      <c r="F907" s="3"/>
      <c r="G907" s="3"/>
      <c r="H907" s="3"/>
      <c r="I907" s="3"/>
      <c r="J907" s="3"/>
      <c r="K907" s="3"/>
      <c r="L907" s="3"/>
      <c r="M907" s="3"/>
      <c r="N907" s="3"/>
      <c r="O907" s="3"/>
      <c r="P907" s="3"/>
      <c r="Q907" s="3"/>
      <c r="R907" s="3"/>
      <c r="S907" s="3"/>
      <c r="T907" s="3"/>
      <c r="U907" s="3"/>
      <c r="V907" s="3"/>
      <c r="W907" s="3"/>
      <c r="X907" s="3"/>
      <c r="Y907" s="3"/>
      <c r="Z907" s="3"/>
    </row>
    <row r="908" spans="1:26" ht="14.25" customHeight="1">
      <c r="A908" s="1"/>
      <c r="B908" s="1"/>
      <c r="C908" s="1"/>
      <c r="D908" s="1"/>
      <c r="E908" s="19"/>
      <c r="F908" s="3"/>
      <c r="G908" s="3"/>
      <c r="H908" s="3"/>
      <c r="I908" s="3"/>
      <c r="J908" s="3"/>
      <c r="K908" s="3"/>
      <c r="L908" s="3"/>
      <c r="M908" s="3"/>
      <c r="N908" s="3"/>
      <c r="O908" s="3"/>
      <c r="P908" s="3"/>
      <c r="Q908" s="3"/>
      <c r="R908" s="3"/>
      <c r="S908" s="3"/>
      <c r="T908" s="3"/>
      <c r="U908" s="3"/>
      <c r="V908" s="3"/>
      <c r="W908" s="3"/>
      <c r="X908" s="3"/>
      <c r="Y908" s="3"/>
      <c r="Z908" s="3"/>
    </row>
    <row r="909" spans="1:26" ht="14.25" customHeight="1">
      <c r="A909" s="1"/>
      <c r="B909" s="1"/>
      <c r="C909" s="1"/>
      <c r="D909" s="1"/>
      <c r="E909" s="19"/>
      <c r="F909" s="3"/>
      <c r="G909" s="3"/>
      <c r="H909" s="3"/>
      <c r="I909" s="3"/>
      <c r="J909" s="3"/>
      <c r="K909" s="3"/>
      <c r="L909" s="3"/>
      <c r="M909" s="3"/>
      <c r="N909" s="3"/>
      <c r="O909" s="3"/>
      <c r="P909" s="3"/>
      <c r="Q909" s="3"/>
      <c r="R909" s="3"/>
      <c r="S909" s="3"/>
      <c r="T909" s="3"/>
      <c r="U909" s="3"/>
      <c r="V909" s="3"/>
      <c r="W909" s="3"/>
      <c r="X909" s="3"/>
      <c r="Y909" s="3"/>
      <c r="Z909" s="3"/>
    </row>
    <row r="910" spans="1:26" ht="14.25" customHeight="1">
      <c r="A910" s="1"/>
      <c r="B910" s="1"/>
      <c r="C910" s="1"/>
      <c r="D910" s="1"/>
      <c r="E910" s="19"/>
      <c r="F910" s="3"/>
      <c r="G910" s="3"/>
      <c r="H910" s="3"/>
      <c r="I910" s="3"/>
      <c r="J910" s="3"/>
      <c r="K910" s="3"/>
      <c r="L910" s="3"/>
      <c r="M910" s="3"/>
      <c r="N910" s="3"/>
      <c r="O910" s="3"/>
      <c r="P910" s="3"/>
      <c r="Q910" s="3"/>
      <c r="R910" s="3"/>
      <c r="S910" s="3"/>
      <c r="T910" s="3"/>
      <c r="U910" s="3"/>
      <c r="V910" s="3"/>
      <c r="W910" s="3"/>
      <c r="X910" s="3"/>
      <c r="Y910" s="3"/>
      <c r="Z910" s="3"/>
    </row>
    <row r="911" spans="1:26" ht="14.25" customHeight="1">
      <c r="A911" s="1"/>
      <c r="B911" s="1"/>
      <c r="C911" s="1"/>
      <c r="D911" s="1"/>
      <c r="E911" s="19"/>
      <c r="F911" s="3"/>
      <c r="G911" s="3"/>
      <c r="H911" s="3"/>
      <c r="I911" s="3"/>
      <c r="J911" s="3"/>
      <c r="K911" s="3"/>
      <c r="L911" s="3"/>
      <c r="M911" s="3"/>
      <c r="N911" s="3"/>
      <c r="O911" s="3"/>
      <c r="P911" s="3"/>
      <c r="Q911" s="3"/>
      <c r="R911" s="3"/>
      <c r="S911" s="3"/>
      <c r="T911" s="3"/>
      <c r="U911" s="3"/>
      <c r="V911" s="3"/>
      <c r="W911" s="3"/>
      <c r="X911" s="3"/>
      <c r="Y911" s="3"/>
      <c r="Z911" s="3"/>
    </row>
    <row r="912" spans="1:26" ht="14.25" customHeight="1">
      <c r="A912" s="1"/>
      <c r="B912" s="1"/>
      <c r="C912" s="1"/>
      <c r="D912" s="1"/>
      <c r="E912" s="19"/>
      <c r="F912" s="3"/>
      <c r="G912" s="3"/>
      <c r="H912" s="3"/>
      <c r="I912" s="3"/>
      <c r="J912" s="3"/>
      <c r="K912" s="3"/>
      <c r="L912" s="3"/>
      <c r="M912" s="3"/>
      <c r="N912" s="3"/>
      <c r="O912" s="3"/>
      <c r="P912" s="3"/>
      <c r="Q912" s="3"/>
      <c r="R912" s="3"/>
      <c r="S912" s="3"/>
      <c r="T912" s="3"/>
      <c r="U912" s="3"/>
      <c r="V912" s="3"/>
      <c r="W912" s="3"/>
      <c r="X912" s="3"/>
      <c r="Y912" s="3"/>
      <c r="Z912" s="3"/>
    </row>
    <row r="913" spans="1:26" ht="14.25" customHeight="1">
      <c r="A913" s="1"/>
      <c r="B913" s="1"/>
      <c r="C913" s="1"/>
      <c r="D913" s="1"/>
      <c r="E913" s="19"/>
      <c r="F913" s="3"/>
      <c r="G913" s="3"/>
      <c r="H913" s="3"/>
      <c r="I913" s="3"/>
      <c r="J913" s="3"/>
      <c r="K913" s="3"/>
      <c r="L913" s="3"/>
      <c r="M913" s="3"/>
      <c r="N913" s="3"/>
      <c r="O913" s="3"/>
      <c r="P913" s="3"/>
      <c r="Q913" s="3"/>
      <c r="R913" s="3"/>
      <c r="S913" s="3"/>
      <c r="T913" s="3"/>
      <c r="U913" s="3"/>
      <c r="V913" s="3"/>
      <c r="W913" s="3"/>
      <c r="X913" s="3"/>
      <c r="Y913" s="3"/>
      <c r="Z913" s="3"/>
    </row>
    <row r="914" spans="1:26" ht="14.25" customHeight="1">
      <c r="A914" s="1"/>
      <c r="B914" s="1"/>
      <c r="C914" s="1"/>
      <c r="D914" s="1"/>
      <c r="E914" s="19"/>
      <c r="F914" s="3"/>
      <c r="G914" s="3"/>
      <c r="H914" s="3"/>
      <c r="I914" s="3"/>
      <c r="J914" s="3"/>
      <c r="K914" s="3"/>
      <c r="L914" s="3"/>
      <c r="M914" s="3"/>
      <c r="N914" s="3"/>
      <c r="O914" s="3"/>
      <c r="P914" s="3"/>
      <c r="Q914" s="3"/>
      <c r="R914" s="3"/>
      <c r="S914" s="3"/>
      <c r="T914" s="3"/>
      <c r="U914" s="3"/>
      <c r="V914" s="3"/>
      <c r="W914" s="3"/>
      <c r="X914" s="3"/>
      <c r="Y914" s="3"/>
      <c r="Z914" s="3"/>
    </row>
    <row r="915" spans="1:26" ht="14.25" customHeight="1">
      <c r="A915" s="1"/>
      <c r="B915" s="1"/>
      <c r="C915" s="1"/>
      <c r="D915" s="1"/>
      <c r="E915" s="19"/>
      <c r="F915" s="3"/>
      <c r="G915" s="3"/>
      <c r="H915" s="3"/>
      <c r="I915" s="3"/>
      <c r="J915" s="3"/>
      <c r="K915" s="3"/>
      <c r="L915" s="3"/>
      <c r="M915" s="3"/>
      <c r="N915" s="3"/>
      <c r="O915" s="3"/>
      <c r="P915" s="3"/>
      <c r="Q915" s="3"/>
      <c r="R915" s="3"/>
      <c r="S915" s="3"/>
      <c r="T915" s="3"/>
      <c r="U915" s="3"/>
      <c r="V915" s="3"/>
      <c r="W915" s="3"/>
      <c r="X915" s="3"/>
      <c r="Y915" s="3"/>
      <c r="Z915" s="3"/>
    </row>
    <row r="916" spans="1:26" ht="14.25" customHeight="1">
      <c r="A916" s="1"/>
      <c r="B916" s="1"/>
      <c r="C916" s="1"/>
      <c r="D916" s="1"/>
      <c r="E916" s="19"/>
      <c r="F916" s="3"/>
      <c r="G916" s="3"/>
      <c r="H916" s="3"/>
      <c r="I916" s="3"/>
      <c r="J916" s="3"/>
      <c r="K916" s="3"/>
      <c r="L916" s="3"/>
      <c r="M916" s="3"/>
      <c r="N916" s="3"/>
      <c r="O916" s="3"/>
      <c r="P916" s="3"/>
      <c r="Q916" s="3"/>
      <c r="R916" s="3"/>
      <c r="S916" s="3"/>
      <c r="T916" s="3"/>
      <c r="U916" s="3"/>
      <c r="V916" s="3"/>
      <c r="W916" s="3"/>
      <c r="X916" s="3"/>
      <c r="Y916" s="3"/>
      <c r="Z916" s="3"/>
    </row>
    <row r="917" spans="1:26" ht="14.25" customHeight="1">
      <c r="A917" s="1"/>
      <c r="B917" s="1"/>
      <c r="C917" s="1"/>
      <c r="D917" s="1"/>
      <c r="E917" s="19"/>
      <c r="F917" s="3"/>
      <c r="G917" s="3"/>
      <c r="H917" s="3"/>
      <c r="I917" s="3"/>
      <c r="J917" s="3"/>
      <c r="K917" s="3"/>
      <c r="L917" s="3"/>
      <c r="M917" s="3"/>
      <c r="N917" s="3"/>
      <c r="O917" s="3"/>
      <c r="P917" s="3"/>
      <c r="Q917" s="3"/>
      <c r="R917" s="3"/>
      <c r="S917" s="3"/>
      <c r="T917" s="3"/>
      <c r="U917" s="3"/>
      <c r="V917" s="3"/>
      <c r="W917" s="3"/>
      <c r="X917" s="3"/>
      <c r="Y917" s="3"/>
      <c r="Z917" s="3"/>
    </row>
    <row r="918" spans="1:26" ht="14.25" customHeight="1">
      <c r="A918" s="1"/>
      <c r="B918" s="1"/>
      <c r="C918" s="1"/>
      <c r="D918" s="1"/>
      <c r="E918" s="19"/>
      <c r="F918" s="3"/>
      <c r="G918" s="3"/>
      <c r="H918" s="3"/>
      <c r="I918" s="3"/>
      <c r="J918" s="3"/>
      <c r="K918" s="3"/>
      <c r="L918" s="3"/>
      <c r="M918" s="3"/>
      <c r="N918" s="3"/>
      <c r="O918" s="3"/>
      <c r="P918" s="3"/>
      <c r="Q918" s="3"/>
      <c r="R918" s="3"/>
      <c r="S918" s="3"/>
      <c r="T918" s="3"/>
      <c r="U918" s="3"/>
      <c r="V918" s="3"/>
      <c r="W918" s="3"/>
      <c r="X918" s="3"/>
      <c r="Y918" s="3"/>
      <c r="Z918" s="3"/>
    </row>
    <row r="919" spans="1:26" ht="14.25" customHeight="1">
      <c r="A919" s="1"/>
      <c r="B919" s="1"/>
      <c r="C919" s="1"/>
      <c r="D919" s="1"/>
      <c r="E919" s="19"/>
      <c r="F919" s="3"/>
      <c r="G919" s="3"/>
      <c r="H919" s="3"/>
      <c r="I919" s="3"/>
      <c r="J919" s="3"/>
      <c r="K919" s="3"/>
      <c r="L919" s="3"/>
      <c r="M919" s="3"/>
      <c r="N919" s="3"/>
      <c r="O919" s="3"/>
      <c r="P919" s="3"/>
      <c r="Q919" s="3"/>
      <c r="R919" s="3"/>
      <c r="S919" s="3"/>
      <c r="T919" s="3"/>
      <c r="U919" s="3"/>
      <c r="V919" s="3"/>
      <c r="W919" s="3"/>
      <c r="X919" s="3"/>
      <c r="Y919" s="3"/>
      <c r="Z919" s="3"/>
    </row>
    <row r="920" spans="1:26" ht="14.25" customHeight="1">
      <c r="A920" s="1"/>
      <c r="B920" s="1"/>
      <c r="C920" s="1"/>
      <c r="D920" s="1"/>
      <c r="E920" s="19"/>
      <c r="F920" s="3"/>
      <c r="G920" s="3"/>
      <c r="H920" s="3"/>
      <c r="I920" s="3"/>
      <c r="J920" s="3"/>
      <c r="K920" s="3"/>
      <c r="L920" s="3"/>
      <c r="M920" s="3"/>
      <c r="N920" s="3"/>
      <c r="O920" s="3"/>
      <c r="P920" s="3"/>
      <c r="Q920" s="3"/>
      <c r="R920" s="3"/>
      <c r="S920" s="3"/>
      <c r="T920" s="3"/>
      <c r="U920" s="3"/>
      <c r="V920" s="3"/>
      <c r="W920" s="3"/>
      <c r="X920" s="3"/>
      <c r="Y920" s="3"/>
      <c r="Z920" s="3"/>
    </row>
    <row r="921" spans="1:26" ht="14.25" customHeight="1">
      <c r="A921" s="1"/>
      <c r="B921" s="1"/>
      <c r="C921" s="1"/>
      <c r="D921" s="1"/>
      <c r="E921" s="19"/>
      <c r="F921" s="3"/>
      <c r="G921" s="3"/>
      <c r="H921" s="3"/>
      <c r="I921" s="3"/>
      <c r="J921" s="3"/>
      <c r="K921" s="3"/>
      <c r="L921" s="3"/>
      <c r="M921" s="3"/>
      <c r="N921" s="3"/>
      <c r="O921" s="3"/>
      <c r="P921" s="3"/>
      <c r="Q921" s="3"/>
      <c r="R921" s="3"/>
      <c r="S921" s="3"/>
      <c r="T921" s="3"/>
      <c r="U921" s="3"/>
      <c r="V921" s="3"/>
      <c r="W921" s="3"/>
      <c r="X921" s="3"/>
      <c r="Y921" s="3"/>
      <c r="Z921" s="3"/>
    </row>
    <row r="922" spans="1:26" ht="14.25" customHeight="1">
      <c r="A922" s="1"/>
      <c r="B922" s="1"/>
      <c r="C922" s="1"/>
      <c r="D922" s="1"/>
      <c r="E922" s="19"/>
      <c r="F922" s="3"/>
      <c r="G922" s="3"/>
      <c r="H922" s="3"/>
      <c r="I922" s="3"/>
      <c r="J922" s="3"/>
      <c r="K922" s="3"/>
      <c r="L922" s="3"/>
      <c r="M922" s="3"/>
      <c r="N922" s="3"/>
      <c r="O922" s="3"/>
      <c r="P922" s="3"/>
      <c r="Q922" s="3"/>
      <c r="R922" s="3"/>
      <c r="S922" s="3"/>
      <c r="T922" s="3"/>
      <c r="U922" s="3"/>
      <c r="V922" s="3"/>
      <c r="W922" s="3"/>
      <c r="X922" s="3"/>
      <c r="Y922" s="3"/>
      <c r="Z922" s="3"/>
    </row>
    <row r="923" spans="1:26" ht="14.25" customHeight="1">
      <c r="A923" s="1"/>
      <c r="B923" s="1"/>
      <c r="C923" s="1"/>
      <c r="D923" s="1"/>
      <c r="E923" s="19"/>
      <c r="F923" s="3"/>
      <c r="G923" s="3"/>
      <c r="H923" s="3"/>
      <c r="I923" s="3"/>
      <c r="J923" s="3"/>
      <c r="K923" s="3"/>
      <c r="L923" s="3"/>
      <c r="M923" s="3"/>
      <c r="N923" s="3"/>
      <c r="O923" s="3"/>
      <c r="P923" s="3"/>
      <c r="Q923" s="3"/>
      <c r="R923" s="3"/>
      <c r="S923" s="3"/>
      <c r="T923" s="3"/>
      <c r="U923" s="3"/>
      <c r="V923" s="3"/>
      <c r="W923" s="3"/>
      <c r="X923" s="3"/>
      <c r="Y923" s="3"/>
      <c r="Z923" s="3"/>
    </row>
    <row r="924" spans="1:26" ht="14.25" customHeight="1">
      <c r="A924" s="1"/>
      <c r="B924" s="1"/>
      <c r="C924" s="1"/>
      <c r="D924" s="1"/>
      <c r="E924" s="19"/>
      <c r="F924" s="3"/>
      <c r="G924" s="3"/>
      <c r="H924" s="3"/>
      <c r="I924" s="3"/>
      <c r="J924" s="3"/>
      <c r="K924" s="3"/>
      <c r="L924" s="3"/>
      <c r="M924" s="3"/>
      <c r="N924" s="3"/>
      <c r="O924" s="3"/>
      <c r="P924" s="3"/>
      <c r="Q924" s="3"/>
      <c r="R924" s="3"/>
      <c r="S924" s="3"/>
      <c r="T924" s="3"/>
      <c r="U924" s="3"/>
      <c r="V924" s="3"/>
      <c r="W924" s="3"/>
      <c r="X924" s="3"/>
      <c r="Y924" s="3"/>
      <c r="Z924" s="3"/>
    </row>
    <row r="925" spans="1:26" ht="14.25" customHeight="1">
      <c r="A925" s="1"/>
      <c r="B925" s="1"/>
      <c r="C925" s="1"/>
      <c r="D925" s="1"/>
      <c r="E925" s="19"/>
      <c r="F925" s="3"/>
      <c r="G925" s="3"/>
      <c r="H925" s="3"/>
      <c r="I925" s="3"/>
      <c r="J925" s="3"/>
      <c r="K925" s="3"/>
      <c r="L925" s="3"/>
      <c r="M925" s="3"/>
      <c r="N925" s="3"/>
      <c r="O925" s="3"/>
      <c r="P925" s="3"/>
      <c r="Q925" s="3"/>
      <c r="R925" s="3"/>
      <c r="S925" s="3"/>
      <c r="T925" s="3"/>
      <c r="U925" s="3"/>
      <c r="V925" s="3"/>
      <c r="W925" s="3"/>
      <c r="X925" s="3"/>
      <c r="Y925" s="3"/>
      <c r="Z925" s="3"/>
    </row>
    <row r="926" spans="1:26" ht="14.25" customHeight="1">
      <c r="A926" s="1"/>
      <c r="B926" s="1"/>
      <c r="C926" s="1"/>
      <c r="D926" s="1"/>
      <c r="E926" s="19"/>
      <c r="F926" s="3"/>
      <c r="G926" s="3"/>
      <c r="H926" s="3"/>
      <c r="I926" s="3"/>
      <c r="J926" s="3"/>
      <c r="K926" s="3"/>
      <c r="L926" s="3"/>
      <c r="M926" s="3"/>
      <c r="N926" s="3"/>
      <c r="O926" s="3"/>
      <c r="P926" s="3"/>
      <c r="Q926" s="3"/>
      <c r="R926" s="3"/>
      <c r="S926" s="3"/>
      <c r="T926" s="3"/>
      <c r="U926" s="3"/>
      <c r="V926" s="3"/>
      <c r="W926" s="3"/>
      <c r="X926" s="3"/>
      <c r="Y926" s="3"/>
      <c r="Z926" s="3"/>
    </row>
    <row r="927" spans="1:26" ht="14.25" customHeight="1">
      <c r="A927" s="1"/>
      <c r="B927" s="1"/>
      <c r="C927" s="1"/>
      <c r="D927" s="1"/>
      <c r="E927" s="19"/>
      <c r="F927" s="3"/>
      <c r="G927" s="3"/>
      <c r="H927" s="3"/>
      <c r="I927" s="3"/>
      <c r="J927" s="3"/>
      <c r="K927" s="3"/>
      <c r="L927" s="3"/>
      <c r="M927" s="3"/>
      <c r="N927" s="3"/>
      <c r="O927" s="3"/>
      <c r="P927" s="3"/>
      <c r="Q927" s="3"/>
      <c r="R927" s="3"/>
      <c r="S927" s="3"/>
      <c r="T927" s="3"/>
      <c r="U927" s="3"/>
      <c r="V927" s="3"/>
      <c r="W927" s="3"/>
      <c r="X927" s="3"/>
      <c r="Y927" s="3"/>
      <c r="Z927" s="3"/>
    </row>
    <row r="928" spans="1:26" ht="14.25" customHeight="1">
      <c r="A928" s="1"/>
      <c r="B928" s="1"/>
      <c r="C928" s="1"/>
      <c r="D928" s="1"/>
      <c r="E928" s="19"/>
      <c r="F928" s="3"/>
      <c r="G928" s="3"/>
      <c r="H928" s="3"/>
      <c r="I928" s="3"/>
      <c r="J928" s="3"/>
      <c r="K928" s="3"/>
      <c r="L928" s="3"/>
      <c r="M928" s="3"/>
      <c r="N928" s="3"/>
      <c r="O928" s="3"/>
      <c r="P928" s="3"/>
      <c r="Q928" s="3"/>
      <c r="R928" s="3"/>
      <c r="S928" s="3"/>
      <c r="T928" s="3"/>
      <c r="U928" s="3"/>
      <c r="V928" s="3"/>
      <c r="W928" s="3"/>
      <c r="X928" s="3"/>
      <c r="Y928" s="3"/>
      <c r="Z928" s="3"/>
    </row>
    <row r="929" spans="1:26" ht="14.25" customHeight="1">
      <c r="A929" s="1"/>
      <c r="B929" s="1"/>
      <c r="C929" s="1"/>
      <c r="D929" s="1"/>
      <c r="E929" s="19"/>
      <c r="F929" s="3"/>
      <c r="G929" s="3"/>
      <c r="H929" s="3"/>
      <c r="I929" s="3"/>
      <c r="J929" s="3"/>
      <c r="K929" s="3"/>
      <c r="L929" s="3"/>
      <c r="M929" s="3"/>
      <c r="N929" s="3"/>
      <c r="O929" s="3"/>
      <c r="P929" s="3"/>
      <c r="Q929" s="3"/>
      <c r="R929" s="3"/>
      <c r="S929" s="3"/>
      <c r="T929" s="3"/>
      <c r="U929" s="3"/>
      <c r="V929" s="3"/>
      <c r="W929" s="3"/>
      <c r="X929" s="3"/>
      <c r="Y929" s="3"/>
      <c r="Z929" s="3"/>
    </row>
    <row r="930" spans="1:26" ht="14.25" customHeight="1">
      <c r="A930" s="1"/>
      <c r="B930" s="1"/>
      <c r="C930" s="1"/>
      <c r="D930" s="1"/>
      <c r="E930" s="19"/>
      <c r="F930" s="3"/>
      <c r="G930" s="3"/>
      <c r="H930" s="3"/>
      <c r="I930" s="3"/>
      <c r="J930" s="3"/>
      <c r="K930" s="3"/>
      <c r="L930" s="3"/>
      <c r="M930" s="3"/>
      <c r="N930" s="3"/>
      <c r="O930" s="3"/>
      <c r="P930" s="3"/>
      <c r="Q930" s="3"/>
      <c r="R930" s="3"/>
      <c r="S930" s="3"/>
      <c r="T930" s="3"/>
      <c r="U930" s="3"/>
      <c r="V930" s="3"/>
      <c r="W930" s="3"/>
      <c r="X930" s="3"/>
      <c r="Y930" s="3"/>
      <c r="Z930" s="3"/>
    </row>
    <row r="931" spans="1:26" ht="14.25" customHeight="1">
      <c r="A931" s="1"/>
      <c r="B931" s="1"/>
      <c r="C931" s="1"/>
      <c r="D931" s="1"/>
      <c r="E931" s="19"/>
      <c r="F931" s="3"/>
      <c r="G931" s="3"/>
      <c r="H931" s="3"/>
      <c r="I931" s="3"/>
      <c r="J931" s="3"/>
      <c r="K931" s="3"/>
      <c r="L931" s="3"/>
      <c r="M931" s="3"/>
      <c r="N931" s="3"/>
      <c r="O931" s="3"/>
      <c r="P931" s="3"/>
      <c r="Q931" s="3"/>
      <c r="R931" s="3"/>
      <c r="S931" s="3"/>
      <c r="T931" s="3"/>
      <c r="U931" s="3"/>
      <c r="V931" s="3"/>
      <c r="W931" s="3"/>
      <c r="X931" s="3"/>
      <c r="Y931" s="3"/>
      <c r="Z931" s="3"/>
    </row>
    <row r="932" spans="1:26" ht="14.25" customHeight="1">
      <c r="A932" s="1"/>
      <c r="B932" s="1"/>
      <c r="C932" s="1"/>
      <c r="D932" s="1"/>
      <c r="E932" s="19"/>
      <c r="F932" s="3"/>
      <c r="G932" s="3"/>
      <c r="H932" s="3"/>
      <c r="I932" s="3"/>
      <c r="J932" s="3"/>
      <c r="K932" s="3"/>
      <c r="L932" s="3"/>
      <c r="M932" s="3"/>
      <c r="N932" s="3"/>
      <c r="O932" s="3"/>
      <c r="P932" s="3"/>
      <c r="Q932" s="3"/>
      <c r="R932" s="3"/>
      <c r="S932" s="3"/>
      <c r="T932" s="3"/>
      <c r="U932" s="3"/>
      <c r="V932" s="3"/>
      <c r="W932" s="3"/>
      <c r="X932" s="3"/>
      <c r="Y932" s="3"/>
      <c r="Z932" s="3"/>
    </row>
    <row r="933" spans="1:26" ht="14.25" customHeight="1">
      <c r="A933" s="1"/>
      <c r="B933" s="1"/>
      <c r="C933" s="1"/>
      <c r="D933" s="1"/>
      <c r="E933" s="19"/>
      <c r="F933" s="3"/>
      <c r="G933" s="3"/>
      <c r="H933" s="3"/>
      <c r="I933" s="3"/>
      <c r="J933" s="3"/>
      <c r="K933" s="3"/>
      <c r="L933" s="3"/>
      <c r="M933" s="3"/>
      <c r="N933" s="3"/>
      <c r="O933" s="3"/>
      <c r="P933" s="3"/>
      <c r="Q933" s="3"/>
      <c r="R933" s="3"/>
      <c r="S933" s="3"/>
      <c r="T933" s="3"/>
      <c r="U933" s="3"/>
      <c r="V933" s="3"/>
      <c r="W933" s="3"/>
      <c r="X933" s="3"/>
      <c r="Y933" s="3"/>
      <c r="Z933" s="3"/>
    </row>
    <row r="934" spans="1:26" ht="14.25" customHeight="1">
      <c r="A934" s="1"/>
      <c r="B934" s="1"/>
      <c r="C934" s="1"/>
      <c r="D934" s="1"/>
      <c r="E934" s="19"/>
      <c r="F934" s="3"/>
      <c r="G934" s="3"/>
      <c r="H934" s="3"/>
      <c r="I934" s="3"/>
      <c r="J934" s="3"/>
      <c r="K934" s="3"/>
      <c r="L934" s="3"/>
      <c r="M934" s="3"/>
      <c r="N934" s="3"/>
      <c r="O934" s="3"/>
      <c r="P934" s="3"/>
      <c r="Q934" s="3"/>
      <c r="R934" s="3"/>
      <c r="S934" s="3"/>
      <c r="T934" s="3"/>
      <c r="U934" s="3"/>
      <c r="V934" s="3"/>
      <c r="W934" s="3"/>
      <c r="X934" s="3"/>
      <c r="Y934" s="3"/>
      <c r="Z934" s="3"/>
    </row>
    <row r="935" spans="1:26" ht="14.25" customHeight="1">
      <c r="A935" s="1"/>
      <c r="B935" s="1"/>
      <c r="C935" s="1"/>
      <c r="D935" s="1"/>
      <c r="E935" s="19"/>
      <c r="F935" s="3"/>
      <c r="G935" s="3"/>
      <c r="H935" s="3"/>
      <c r="I935" s="3"/>
      <c r="J935" s="3"/>
      <c r="K935" s="3"/>
      <c r="L935" s="3"/>
      <c r="M935" s="3"/>
      <c r="N935" s="3"/>
      <c r="O935" s="3"/>
      <c r="P935" s="3"/>
      <c r="Q935" s="3"/>
      <c r="R935" s="3"/>
      <c r="S935" s="3"/>
      <c r="T935" s="3"/>
      <c r="U935" s="3"/>
      <c r="V935" s="3"/>
      <c r="W935" s="3"/>
      <c r="X935" s="3"/>
      <c r="Y935" s="3"/>
      <c r="Z935" s="3"/>
    </row>
    <row r="936" spans="1:26" ht="14.25" customHeight="1">
      <c r="A936" s="1"/>
      <c r="B936" s="1"/>
      <c r="C936" s="1"/>
      <c r="D936" s="1"/>
      <c r="E936" s="19"/>
      <c r="F936" s="3"/>
      <c r="G936" s="3"/>
      <c r="H936" s="3"/>
      <c r="I936" s="3"/>
      <c r="J936" s="3"/>
      <c r="K936" s="3"/>
      <c r="L936" s="3"/>
      <c r="M936" s="3"/>
      <c r="N936" s="3"/>
      <c r="O936" s="3"/>
      <c r="P936" s="3"/>
      <c r="Q936" s="3"/>
      <c r="R936" s="3"/>
      <c r="S936" s="3"/>
      <c r="T936" s="3"/>
      <c r="U936" s="3"/>
      <c r="V936" s="3"/>
      <c r="W936" s="3"/>
      <c r="X936" s="3"/>
      <c r="Y936" s="3"/>
      <c r="Z936" s="3"/>
    </row>
    <row r="937" spans="1:26" ht="14.25" customHeight="1">
      <c r="A937" s="1"/>
      <c r="B937" s="1"/>
      <c r="C937" s="1"/>
      <c r="D937" s="1"/>
      <c r="E937" s="19"/>
      <c r="F937" s="3"/>
      <c r="G937" s="3"/>
      <c r="H937" s="3"/>
      <c r="I937" s="3"/>
      <c r="J937" s="3"/>
      <c r="K937" s="3"/>
      <c r="L937" s="3"/>
      <c r="M937" s="3"/>
      <c r="N937" s="3"/>
      <c r="O937" s="3"/>
      <c r="P937" s="3"/>
      <c r="Q937" s="3"/>
      <c r="R937" s="3"/>
      <c r="S937" s="3"/>
      <c r="T937" s="3"/>
      <c r="U937" s="3"/>
      <c r="V937" s="3"/>
      <c r="W937" s="3"/>
      <c r="X937" s="3"/>
      <c r="Y937" s="3"/>
      <c r="Z937" s="3"/>
    </row>
    <row r="938" spans="1:26" ht="14.25" customHeight="1">
      <c r="A938" s="1"/>
      <c r="B938" s="1"/>
      <c r="C938" s="1"/>
      <c r="D938" s="1"/>
      <c r="E938" s="19"/>
      <c r="F938" s="3"/>
      <c r="G938" s="3"/>
      <c r="H938" s="3"/>
      <c r="I938" s="3"/>
      <c r="J938" s="3"/>
      <c r="K938" s="3"/>
      <c r="L938" s="3"/>
      <c r="M938" s="3"/>
      <c r="N938" s="3"/>
      <c r="O938" s="3"/>
      <c r="P938" s="3"/>
      <c r="Q938" s="3"/>
      <c r="R938" s="3"/>
      <c r="S938" s="3"/>
      <c r="T938" s="3"/>
      <c r="U938" s="3"/>
      <c r="V938" s="3"/>
      <c r="W938" s="3"/>
      <c r="X938" s="3"/>
      <c r="Y938" s="3"/>
      <c r="Z938" s="3"/>
    </row>
    <row r="939" spans="1:26" ht="14.25" customHeight="1">
      <c r="A939" s="1"/>
      <c r="B939" s="1"/>
      <c r="C939" s="1"/>
      <c r="D939" s="1"/>
      <c r="E939" s="19"/>
      <c r="F939" s="3"/>
      <c r="G939" s="3"/>
      <c r="H939" s="3"/>
      <c r="I939" s="3"/>
      <c r="J939" s="3"/>
      <c r="K939" s="3"/>
      <c r="L939" s="3"/>
      <c r="M939" s="3"/>
      <c r="N939" s="3"/>
      <c r="O939" s="3"/>
      <c r="P939" s="3"/>
      <c r="Q939" s="3"/>
      <c r="R939" s="3"/>
      <c r="S939" s="3"/>
      <c r="T939" s="3"/>
      <c r="U939" s="3"/>
      <c r="V939" s="3"/>
      <c r="W939" s="3"/>
      <c r="X939" s="3"/>
      <c r="Y939" s="3"/>
      <c r="Z939" s="3"/>
    </row>
    <row r="940" spans="1:26" ht="14.25" customHeight="1">
      <c r="A940" s="1"/>
      <c r="B940" s="1"/>
      <c r="C940" s="1"/>
      <c r="D940" s="1"/>
      <c r="E940" s="19"/>
      <c r="F940" s="3"/>
      <c r="G940" s="3"/>
      <c r="H940" s="3"/>
      <c r="I940" s="3"/>
      <c r="J940" s="3"/>
      <c r="K940" s="3"/>
      <c r="L940" s="3"/>
      <c r="M940" s="3"/>
      <c r="N940" s="3"/>
      <c r="O940" s="3"/>
      <c r="P940" s="3"/>
      <c r="Q940" s="3"/>
      <c r="R940" s="3"/>
      <c r="S940" s="3"/>
      <c r="T940" s="3"/>
      <c r="U940" s="3"/>
      <c r="V940" s="3"/>
      <c r="W940" s="3"/>
      <c r="X940" s="3"/>
      <c r="Y940" s="3"/>
      <c r="Z940" s="3"/>
    </row>
    <row r="941" spans="1:26" ht="14.25" customHeight="1">
      <c r="A941" s="1"/>
      <c r="B941" s="1"/>
      <c r="C941" s="1"/>
      <c r="D941" s="1"/>
      <c r="E941" s="19"/>
      <c r="F941" s="3"/>
      <c r="G941" s="3"/>
      <c r="H941" s="3"/>
      <c r="I941" s="3"/>
      <c r="J941" s="3"/>
      <c r="K941" s="3"/>
      <c r="L941" s="3"/>
      <c r="M941" s="3"/>
      <c r="N941" s="3"/>
      <c r="O941" s="3"/>
      <c r="P941" s="3"/>
      <c r="Q941" s="3"/>
      <c r="R941" s="3"/>
      <c r="S941" s="3"/>
      <c r="T941" s="3"/>
      <c r="U941" s="3"/>
      <c r="V941" s="3"/>
      <c r="W941" s="3"/>
      <c r="X941" s="3"/>
      <c r="Y941" s="3"/>
      <c r="Z941" s="3"/>
    </row>
    <row r="942" spans="1:26" ht="14.25" customHeight="1">
      <c r="A942" s="1"/>
      <c r="B942" s="1"/>
      <c r="C942" s="1"/>
      <c r="D942" s="1"/>
      <c r="E942" s="19"/>
      <c r="F942" s="3"/>
      <c r="G942" s="3"/>
      <c r="H942" s="3"/>
      <c r="I942" s="3"/>
      <c r="J942" s="3"/>
      <c r="K942" s="3"/>
      <c r="L942" s="3"/>
      <c r="M942" s="3"/>
      <c r="N942" s="3"/>
      <c r="O942" s="3"/>
      <c r="P942" s="3"/>
      <c r="Q942" s="3"/>
      <c r="R942" s="3"/>
      <c r="S942" s="3"/>
      <c r="T942" s="3"/>
      <c r="U942" s="3"/>
      <c r="V942" s="3"/>
      <c r="W942" s="3"/>
      <c r="X942" s="3"/>
      <c r="Y942" s="3"/>
      <c r="Z942" s="3"/>
    </row>
    <row r="943" spans="1:26" ht="14.25" customHeight="1">
      <c r="A943" s="1"/>
      <c r="B943" s="1"/>
      <c r="C943" s="1"/>
      <c r="D943" s="1"/>
      <c r="E943" s="19"/>
      <c r="F943" s="3"/>
      <c r="G943" s="3"/>
      <c r="H943" s="3"/>
      <c r="I943" s="3"/>
      <c r="J943" s="3"/>
      <c r="K943" s="3"/>
      <c r="L943" s="3"/>
      <c r="M943" s="3"/>
      <c r="N943" s="3"/>
      <c r="O943" s="3"/>
      <c r="P943" s="3"/>
      <c r="Q943" s="3"/>
      <c r="R943" s="3"/>
      <c r="S943" s="3"/>
      <c r="T943" s="3"/>
      <c r="U943" s="3"/>
      <c r="V943" s="3"/>
      <c r="W943" s="3"/>
      <c r="X943" s="3"/>
      <c r="Y943" s="3"/>
      <c r="Z943" s="3"/>
    </row>
    <row r="944" spans="1:26" ht="14.25" customHeight="1">
      <c r="A944" s="1"/>
      <c r="B944" s="1"/>
      <c r="C944" s="1"/>
      <c r="D944" s="1"/>
      <c r="E944" s="19"/>
      <c r="F944" s="3"/>
      <c r="G944" s="3"/>
      <c r="H944" s="3"/>
      <c r="I944" s="3"/>
      <c r="J944" s="3"/>
      <c r="K944" s="3"/>
      <c r="L944" s="3"/>
      <c r="M944" s="3"/>
      <c r="N944" s="3"/>
      <c r="O944" s="3"/>
      <c r="P944" s="3"/>
      <c r="Q944" s="3"/>
      <c r="R944" s="3"/>
      <c r="S944" s="3"/>
      <c r="T944" s="3"/>
      <c r="U944" s="3"/>
      <c r="V944" s="3"/>
      <c r="W944" s="3"/>
      <c r="X944" s="3"/>
      <c r="Y944" s="3"/>
      <c r="Z944" s="3"/>
    </row>
    <row r="945" spans="1:26" ht="14.25" customHeight="1">
      <c r="A945" s="1"/>
      <c r="B945" s="1"/>
      <c r="C945" s="1"/>
      <c r="D945" s="1"/>
      <c r="E945" s="19"/>
      <c r="F945" s="3"/>
      <c r="G945" s="3"/>
      <c r="H945" s="3"/>
      <c r="I945" s="3"/>
      <c r="J945" s="3"/>
      <c r="K945" s="3"/>
      <c r="L945" s="3"/>
      <c r="M945" s="3"/>
      <c r="N945" s="3"/>
      <c r="O945" s="3"/>
      <c r="P945" s="3"/>
      <c r="Q945" s="3"/>
      <c r="R945" s="3"/>
      <c r="S945" s="3"/>
      <c r="T945" s="3"/>
      <c r="U945" s="3"/>
      <c r="V945" s="3"/>
      <c r="W945" s="3"/>
      <c r="X945" s="3"/>
      <c r="Y945" s="3"/>
      <c r="Z945" s="3"/>
    </row>
    <row r="946" spans="1:26" ht="14.25" customHeight="1">
      <c r="A946" s="1"/>
      <c r="B946" s="1"/>
      <c r="C946" s="1"/>
      <c r="D946" s="1"/>
      <c r="E946" s="19"/>
      <c r="F946" s="3"/>
      <c r="G946" s="3"/>
      <c r="H946" s="3"/>
      <c r="I946" s="3"/>
      <c r="J946" s="3"/>
      <c r="K946" s="3"/>
      <c r="L946" s="3"/>
      <c r="M946" s="3"/>
      <c r="N946" s="3"/>
      <c r="O946" s="3"/>
      <c r="P946" s="3"/>
      <c r="Q946" s="3"/>
      <c r="R946" s="3"/>
      <c r="S946" s="3"/>
      <c r="T946" s="3"/>
      <c r="U946" s="3"/>
      <c r="V946" s="3"/>
      <c r="W946" s="3"/>
      <c r="X946" s="3"/>
      <c r="Y946" s="3"/>
      <c r="Z946" s="3"/>
    </row>
    <row r="947" spans="1:26" ht="14.25" customHeight="1">
      <c r="A947" s="1"/>
      <c r="B947" s="1"/>
      <c r="C947" s="1"/>
      <c r="D947" s="1"/>
      <c r="E947" s="19"/>
      <c r="F947" s="3"/>
      <c r="G947" s="3"/>
      <c r="H947" s="3"/>
      <c r="I947" s="3"/>
      <c r="J947" s="3"/>
      <c r="K947" s="3"/>
      <c r="L947" s="3"/>
      <c r="M947" s="3"/>
      <c r="N947" s="3"/>
      <c r="O947" s="3"/>
      <c r="P947" s="3"/>
      <c r="Q947" s="3"/>
      <c r="R947" s="3"/>
      <c r="S947" s="3"/>
      <c r="T947" s="3"/>
      <c r="U947" s="3"/>
      <c r="V947" s="3"/>
      <c r="W947" s="3"/>
      <c r="X947" s="3"/>
      <c r="Y947" s="3"/>
      <c r="Z947" s="3"/>
    </row>
    <row r="948" spans="1:26" ht="14.25" customHeight="1">
      <c r="A948" s="1"/>
      <c r="B948" s="1"/>
      <c r="C948" s="1"/>
      <c r="D948" s="1"/>
      <c r="E948" s="19"/>
      <c r="F948" s="3"/>
      <c r="G948" s="3"/>
      <c r="H948" s="3"/>
      <c r="I948" s="3"/>
      <c r="J948" s="3"/>
      <c r="K948" s="3"/>
      <c r="L948" s="3"/>
      <c r="M948" s="3"/>
      <c r="N948" s="3"/>
      <c r="O948" s="3"/>
      <c r="P948" s="3"/>
      <c r="Q948" s="3"/>
      <c r="R948" s="3"/>
      <c r="S948" s="3"/>
      <c r="T948" s="3"/>
      <c r="U948" s="3"/>
      <c r="V948" s="3"/>
      <c r="W948" s="3"/>
      <c r="X948" s="3"/>
      <c r="Y948" s="3"/>
      <c r="Z948" s="3"/>
    </row>
    <row r="949" spans="1:26" ht="14.25" customHeight="1">
      <c r="A949" s="1"/>
      <c r="B949" s="1"/>
      <c r="C949" s="1"/>
      <c r="D949" s="1"/>
      <c r="E949" s="19"/>
      <c r="F949" s="3"/>
      <c r="G949" s="3"/>
      <c r="H949" s="3"/>
      <c r="I949" s="3"/>
      <c r="J949" s="3"/>
      <c r="K949" s="3"/>
      <c r="L949" s="3"/>
      <c r="M949" s="3"/>
      <c r="N949" s="3"/>
      <c r="O949" s="3"/>
      <c r="P949" s="3"/>
      <c r="Q949" s="3"/>
      <c r="R949" s="3"/>
      <c r="S949" s="3"/>
      <c r="T949" s="3"/>
      <c r="U949" s="3"/>
      <c r="V949" s="3"/>
      <c r="W949" s="3"/>
      <c r="X949" s="3"/>
      <c r="Y949" s="3"/>
      <c r="Z949" s="3"/>
    </row>
    <row r="950" spans="1:26" ht="14.25" customHeight="1">
      <c r="A950" s="1"/>
      <c r="B950" s="1"/>
      <c r="C950" s="1"/>
      <c r="D950" s="1"/>
      <c r="E950" s="19"/>
      <c r="F950" s="3"/>
      <c r="G950" s="3"/>
      <c r="H950" s="3"/>
      <c r="I950" s="3"/>
      <c r="J950" s="3"/>
      <c r="K950" s="3"/>
      <c r="L950" s="3"/>
      <c r="M950" s="3"/>
      <c r="N950" s="3"/>
      <c r="O950" s="3"/>
      <c r="P950" s="3"/>
      <c r="Q950" s="3"/>
      <c r="R950" s="3"/>
      <c r="S950" s="3"/>
      <c r="T950" s="3"/>
      <c r="U950" s="3"/>
      <c r="V950" s="3"/>
      <c r="W950" s="3"/>
      <c r="X950" s="3"/>
      <c r="Y950" s="3"/>
      <c r="Z950" s="3"/>
    </row>
    <row r="951" spans="1:26" ht="14.25" customHeight="1">
      <c r="A951" s="1"/>
      <c r="B951" s="1"/>
      <c r="C951" s="1"/>
      <c r="D951" s="1"/>
      <c r="E951" s="19"/>
      <c r="F951" s="3"/>
      <c r="G951" s="3"/>
      <c r="H951" s="3"/>
      <c r="I951" s="3"/>
      <c r="J951" s="3"/>
      <c r="K951" s="3"/>
      <c r="L951" s="3"/>
      <c r="M951" s="3"/>
      <c r="N951" s="3"/>
      <c r="O951" s="3"/>
      <c r="P951" s="3"/>
      <c r="Q951" s="3"/>
      <c r="R951" s="3"/>
      <c r="S951" s="3"/>
      <c r="T951" s="3"/>
      <c r="U951" s="3"/>
      <c r="V951" s="3"/>
      <c r="W951" s="3"/>
      <c r="X951" s="3"/>
      <c r="Y951" s="3"/>
      <c r="Z951" s="3"/>
    </row>
    <row r="952" spans="1:26" ht="14.25" customHeight="1">
      <c r="A952" s="1"/>
      <c r="B952" s="1"/>
      <c r="C952" s="1"/>
      <c r="D952" s="1"/>
      <c r="E952" s="19"/>
      <c r="F952" s="3"/>
      <c r="G952" s="3"/>
      <c r="H952" s="3"/>
      <c r="I952" s="3"/>
      <c r="J952" s="3"/>
      <c r="K952" s="3"/>
      <c r="L952" s="3"/>
      <c r="M952" s="3"/>
      <c r="N952" s="3"/>
      <c r="O952" s="3"/>
      <c r="P952" s="3"/>
      <c r="Q952" s="3"/>
      <c r="R952" s="3"/>
      <c r="S952" s="3"/>
      <c r="T952" s="3"/>
      <c r="U952" s="3"/>
      <c r="V952" s="3"/>
      <c r="W952" s="3"/>
      <c r="X952" s="3"/>
      <c r="Y952" s="3"/>
      <c r="Z952" s="3"/>
    </row>
    <row r="953" spans="1:26" ht="14.25" customHeight="1">
      <c r="A953" s="1"/>
      <c r="B953" s="1"/>
      <c r="C953" s="1"/>
      <c r="D953" s="1"/>
      <c r="E953" s="19"/>
      <c r="F953" s="3"/>
      <c r="G953" s="3"/>
      <c r="H953" s="3"/>
      <c r="I953" s="3"/>
      <c r="J953" s="3"/>
      <c r="K953" s="3"/>
      <c r="L953" s="3"/>
      <c r="M953" s="3"/>
      <c r="N953" s="3"/>
      <c r="O953" s="3"/>
      <c r="P953" s="3"/>
      <c r="Q953" s="3"/>
      <c r="R953" s="3"/>
      <c r="S953" s="3"/>
      <c r="T953" s="3"/>
      <c r="U953" s="3"/>
      <c r="V953" s="3"/>
      <c r="W953" s="3"/>
      <c r="X953" s="3"/>
      <c r="Y953" s="3"/>
      <c r="Z953" s="3"/>
    </row>
    <row r="954" spans="1:26" ht="14.25" customHeight="1">
      <c r="A954" s="1"/>
      <c r="B954" s="1"/>
      <c r="C954" s="1"/>
      <c r="D954" s="1"/>
      <c r="E954" s="19"/>
      <c r="F954" s="3"/>
      <c r="G954" s="3"/>
      <c r="H954" s="3"/>
      <c r="I954" s="3"/>
      <c r="J954" s="3"/>
      <c r="K954" s="3"/>
      <c r="L954" s="3"/>
      <c r="M954" s="3"/>
      <c r="N954" s="3"/>
      <c r="O954" s="3"/>
      <c r="P954" s="3"/>
      <c r="Q954" s="3"/>
      <c r="R954" s="3"/>
      <c r="S954" s="3"/>
      <c r="T954" s="3"/>
      <c r="U954" s="3"/>
      <c r="V954" s="3"/>
      <c r="W954" s="3"/>
      <c r="X954" s="3"/>
      <c r="Y954" s="3"/>
      <c r="Z954" s="3"/>
    </row>
    <row r="955" spans="1:26" ht="14.25" customHeight="1">
      <c r="A955" s="1"/>
      <c r="B955" s="1"/>
      <c r="C955" s="1"/>
      <c r="D955" s="1"/>
      <c r="E955" s="19"/>
      <c r="F955" s="3"/>
      <c r="G955" s="3"/>
      <c r="H955" s="3"/>
      <c r="I955" s="3"/>
      <c r="J955" s="3"/>
      <c r="K955" s="3"/>
      <c r="L955" s="3"/>
      <c r="M955" s="3"/>
      <c r="N955" s="3"/>
      <c r="O955" s="3"/>
      <c r="P955" s="3"/>
      <c r="Q955" s="3"/>
      <c r="R955" s="3"/>
      <c r="S955" s="3"/>
      <c r="T955" s="3"/>
      <c r="U955" s="3"/>
      <c r="V955" s="3"/>
      <c r="W955" s="3"/>
      <c r="X955" s="3"/>
      <c r="Y955" s="3"/>
      <c r="Z955" s="3"/>
    </row>
    <row r="956" spans="1:26" ht="14.25" customHeight="1">
      <c r="A956" s="1"/>
      <c r="B956" s="1"/>
      <c r="C956" s="1"/>
      <c r="D956" s="1"/>
      <c r="E956" s="19"/>
      <c r="F956" s="3"/>
      <c r="G956" s="3"/>
      <c r="H956" s="3"/>
      <c r="I956" s="3"/>
      <c r="J956" s="3"/>
      <c r="K956" s="3"/>
      <c r="L956" s="3"/>
      <c r="M956" s="3"/>
      <c r="N956" s="3"/>
      <c r="O956" s="3"/>
      <c r="P956" s="3"/>
      <c r="Q956" s="3"/>
      <c r="R956" s="3"/>
      <c r="S956" s="3"/>
      <c r="T956" s="3"/>
      <c r="U956" s="3"/>
      <c r="V956" s="3"/>
      <c r="W956" s="3"/>
      <c r="X956" s="3"/>
      <c r="Y956" s="3"/>
      <c r="Z956" s="3"/>
    </row>
    <row r="957" spans="1:26" ht="14.25" customHeight="1">
      <c r="A957" s="1"/>
      <c r="B957" s="1"/>
      <c r="C957" s="1"/>
      <c r="D957" s="1"/>
      <c r="E957" s="19"/>
      <c r="F957" s="3"/>
      <c r="G957" s="3"/>
      <c r="H957" s="3"/>
      <c r="I957" s="3"/>
      <c r="J957" s="3"/>
      <c r="K957" s="3"/>
      <c r="L957" s="3"/>
      <c r="M957" s="3"/>
      <c r="N957" s="3"/>
      <c r="O957" s="3"/>
      <c r="P957" s="3"/>
      <c r="Q957" s="3"/>
      <c r="R957" s="3"/>
      <c r="S957" s="3"/>
      <c r="T957" s="3"/>
      <c r="U957" s="3"/>
      <c r="V957" s="3"/>
      <c r="W957" s="3"/>
      <c r="X957" s="3"/>
      <c r="Y957" s="3"/>
      <c r="Z957" s="3"/>
    </row>
    <row r="958" spans="1:26" ht="14.25" customHeight="1">
      <c r="A958" s="1"/>
      <c r="B958" s="1"/>
      <c r="C958" s="1"/>
      <c r="D958" s="1"/>
      <c r="E958" s="19"/>
      <c r="F958" s="3"/>
      <c r="G958" s="3"/>
      <c r="H958" s="3"/>
      <c r="I958" s="3"/>
      <c r="J958" s="3"/>
      <c r="K958" s="3"/>
      <c r="L958" s="3"/>
      <c r="M958" s="3"/>
      <c r="N958" s="3"/>
      <c r="O958" s="3"/>
      <c r="P958" s="3"/>
      <c r="Q958" s="3"/>
      <c r="R958" s="3"/>
      <c r="S958" s="3"/>
      <c r="T958" s="3"/>
      <c r="U958" s="3"/>
      <c r="V958" s="3"/>
      <c r="W958" s="3"/>
      <c r="X958" s="3"/>
      <c r="Y958" s="3"/>
      <c r="Z958" s="3"/>
    </row>
    <row r="959" spans="1:26" ht="14.25" customHeight="1">
      <c r="A959" s="1"/>
      <c r="B959" s="1"/>
      <c r="C959" s="1"/>
      <c r="D959" s="1"/>
      <c r="E959" s="19"/>
      <c r="F959" s="3"/>
      <c r="G959" s="3"/>
      <c r="H959" s="3"/>
      <c r="I959" s="3"/>
      <c r="J959" s="3"/>
      <c r="K959" s="3"/>
      <c r="L959" s="3"/>
      <c r="M959" s="3"/>
      <c r="N959" s="3"/>
      <c r="O959" s="3"/>
      <c r="P959" s="3"/>
      <c r="Q959" s="3"/>
      <c r="R959" s="3"/>
      <c r="S959" s="3"/>
      <c r="T959" s="3"/>
      <c r="U959" s="3"/>
      <c r="V959" s="3"/>
      <c r="W959" s="3"/>
      <c r="X959" s="3"/>
      <c r="Y959" s="3"/>
      <c r="Z959" s="3"/>
    </row>
    <row r="960" spans="1:26" ht="14.25" customHeight="1">
      <c r="A960" s="1"/>
      <c r="B960" s="1"/>
      <c r="C960" s="1"/>
      <c r="D960" s="1"/>
      <c r="E960" s="19"/>
      <c r="F960" s="3"/>
      <c r="G960" s="3"/>
      <c r="H960" s="3"/>
      <c r="I960" s="3"/>
      <c r="J960" s="3"/>
      <c r="K960" s="3"/>
      <c r="L960" s="3"/>
      <c r="M960" s="3"/>
      <c r="N960" s="3"/>
      <c r="O960" s="3"/>
      <c r="P960" s="3"/>
      <c r="Q960" s="3"/>
      <c r="R960" s="3"/>
      <c r="S960" s="3"/>
      <c r="T960" s="3"/>
      <c r="U960" s="3"/>
      <c r="V960" s="3"/>
      <c r="W960" s="3"/>
      <c r="X960" s="3"/>
      <c r="Y960" s="3"/>
      <c r="Z960" s="3"/>
    </row>
    <row r="961" spans="1:26" ht="14.25" customHeight="1">
      <c r="A961" s="1"/>
      <c r="B961" s="1"/>
      <c r="C961" s="1"/>
      <c r="D961" s="1"/>
      <c r="E961" s="19"/>
      <c r="F961" s="3"/>
      <c r="G961" s="3"/>
      <c r="H961" s="3"/>
      <c r="I961" s="3"/>
      <c r="J961" s="3"/>
      <c r="K961" s="3"/>
      <c r="L961" s="3"/>
      <c r="M961" s="3"/>
      <c r="N961" s="3"/>
      <c r="O961" s="3"/>
      <c r="P961" s="3"/>
      <c r="Q961" s="3"/>
      <c r="R961" s="3"/>
      <c r="S961" s="3"/>
      <c r="T961" s="3"/>
      <c r="U961" s="3"/>
      <c r="V961" s="3"/>
      <c r="W961" s="3"/>
      <c r="X961" s="3"/>
      <c r="Y961" s="3"/>
      <c r="Z961" s="3"/>
    </row>
    <row r="962" spans="1:26" ht="14.25" customHeight="1">
      <c r="A962" s="1"/>
      <c r="B962" s="1"/>
      <c r="C962" s="1"/>
      <c r="D962" s="1"/>
      <c r="E962" s="19"/>
      <c r="F962" s="3"/>
      <c r="G962" s="3"/>
      <c r="H962" s="3"/>
      <c r="I962" s="3"/>
      <c r="J962" s="3"/>
      <c r="K962" s="3"/>
      <c r="L962" s="3"/>
      <c r="M962" s="3"/>
      <c r="N962" s="3"/>
      <c r="O962" s="3"/>
      <c r="P962" s="3"/>
      <c r="Q962" s="3"/>
      <c r="R962" s="3"/>
      <c r="S962" s="3"/>
      <c r="T962" s="3"/>
      <c r="U962" s="3"/>
      <c r="V962" s="3"/>
      <c r="W962" s="3"/>
      <c r="X962" s="3"/>
      <c r="Y962" s="3"/>
      <c r="Z962" s="3"/>
    </row>
    <row r="963" spans="1:26" ht="14.25" customHeight="1">
      <c r="A963" s="1"/>
      <c r="B963" s="1"/>
      <c r="C963" s="1"/>
      <c r="D963" s="1"/>
      <c r="E963" s="19"/>
      <c r="F963" s="3"/>
      <c r="G963" s="3"/>
      <c r="H963" s="3"/>
      <c r="I963" s="3"/>
      <c r="J963" s="3"/>
      <c r="K963" s="3"/>
      <c r="L963" s="3"/>
      <c r="M963" s="3"/>
      <c r="N963" s="3"/>
      <c r="O963" s="3"/>
      <c r="P963" s="3"/>
      <c r="Q963" s="3"/>
      <c r="R963" s="3"/>
      <c r="S963" s="3"/>
      <c r="T963" s="3"/>
      <c r="U963" s="3"/>
      <c r="V963" s="3"/>
      <c r="W963" s="3"/>
      <c r="X963" s="3"/>
      <c r="Y963" s="3"/>
      <c r="Z963" s="3"/>
    </row>
    <row r="964" spans="1:26" ht="14.25" customHeight="1">
      <c r="A964" s="1"/>
      <c r="B964" s="1"/>
      <c r="C964" s="1"/>
      <c r="D964" s="1"/>
      <c r="E964" s="19"/>
      <c r="F964" s="3"/>
      <c r="G964" s="3"/>
      <c r="H964" s="3"/>
      <c r="I964" s="3"/>
      <c r="J964" s="3"/>
      <c r="K964" s="3"/>
      <c r="L964" s="3"/>
      <c r="M964" s="3"/>
      <c r="N964" s="3"/>
      <c r="O964" s="3"/>
      <c r="P964" s="3"/>
      <c r="Q964" s="3"/>
      <c r="R964" s="3"/>
      <c r="S964" s="3"/>
      <c r="T964" s="3"/>
      <c r="U964" s="3"/>
      <c r="V964" s="3"/>
      <c r="W964" s="3"/>
      <c r="X964" s="3"/>
      <c r="Y964" s="3"/>
      <c r="Z964" s="3"/>
    </row>
    <row r="965" spans="1:26" ht="14.25" customHeight="1">
      <c r="A965" s="1"/>
      <c r="B965" s="1"/>
      <c r="C965" s="1"/>
      <c r="D965" s="1"/>
      <c r="E965" s="19"/>
      <c r="F965" s="3"/>
      <c r="G965" s="3"/>
      <c r="H965" s="3"/>
      <c r="I965" s="3"/>
      <c r="J965" s="3"/>
      <c r="K965" s="3"/>
      <c r="L965" s="3"/>
      <c r="M965" s="3"/>
      <c r="N965" s="3"/>
      <c r="O965" s="3"/>
      <c r="P965" s="3"/>
      <c r="Q965" s="3"/>
      <c r="R965" s="3"/>
      <c r="S965" s="3"/>
      <c r="T965" s="3"/>
      <c r="U965" s="3"/>
      <c r="V965" s="3"/>
      <c r="W965" s="3"/>
      <c r="X965" s="3"/>
      <c r="Y965" s="3"/>
      <c r="Z965" s="3"/>
    </row>
    <row r="966" spans="1:26" ht="14.25" customHeight="1">
      <c r="A966" s="1"/>
      <c r="B966" s="1"/>
      <c r="C966" s="1"/>
      <c r="D966" s="1"/>
      <c r="E966" s="19"/>
      <c r="F966" s="3"/>
      <c r="G966" s="3"/>
      <c r="H966" s="3"/>
      <c r="I966" s="3"/>
      <c r="J966" s="3"/>
      <c r="K966" s="3"/>
      <c r="L966" s="3"/>
      <c r="M966" s="3"/>
      <c r="N966" s="3"/>
      <c r="O966" s="3"/>
      <c r="P966" s="3"/>
      <c r="Q966" s="3"/>
      <c r="R966" s="3"/>
      <c r="S966" s="3"/>
      <c r="T966" s="3"/>
      <c r="U966" s="3"/>
      <c r="V966" s="3"/>
      <c r="W966" s="3"/>
      <c r="X966" s="3"/>
      <c r="Y966" s="3"/>
      <c r="Z966" s="3"/>
    </row>
    <row r="967" spans="1:26" ht="14.25" customHeight="1">
      <c r="A967" s="1"/>
      <c r="B967" s="1"/>
      <c r="C967" s="1"/>
      <c r="D967" s="1"/>
      <c r="E967" s="19"/>
      <c r="F967" s="3"/>
      <c r="G967" s="3"/>
      <c r="H967" s="3"/>
      <c r="I967" s="3"/>
      <c r="J967" s="3"/>
      <c r="K967" s="3"/>
      <c r="L967" s="3"/>
      <c r="M967" s="3"/>
      <c r="N967" s="3"/>
      <c r="O967" s="3"/>
      <c r="P967" s="3"/>
      <c r="Q967" s="3"/>
      <c r="R967" s="3"/>
      <c r="S967" s="3"/>
      <c r="T967" s="3"/>
      <c r="U967" s="3"/>
      <c r="V967" s="3"/>
      <c r="W967" s="3"/>
      <c r="X967" s="3"/>
      <c r="Y967" s="3"/>
      <c r="Z967" s="3"/>
    </row>
    <row r="968" spans="1:26" ht="14.25" customHeight="1">
      <c r="A968" s="1"/>
      <c r="B968" s="1"/>
      <c r="C968" s="1"/>
      <c r="D968" s="1"/>
      <c r="E968" s="19"/>
      <c r="F968" s="3"/>
      <c r="G968" s="3"/>
      <c r="H968" s="3"/>
      <c r="I968" s="3"/>
      <c r="J968" s="3"/>
      <c r="K968" s="3"/>
      <c r="L968" s="3"/>
      <c r="M968" s="3"/>
      <c r="N968" s="3"/>
      <c r="O968" s="3"/>
      <c r="P968" s="3"/>
      <c r="Q968" s="3"/>
      <c r="R968" s="3"/>
      <c r="S968" s="3"/>
      <c r="T968" s="3"/>
      <c r="U968" s="3"/>
      <c r="V968" s="3"/>
      <c r="W968" s="3"/>
      <c r="X968" s="3"/>
      <c r="Y968" s="3"/>
      <c r="Z968" s="3"/>
    </row>
    <row r="969" spans="1:26" ht="14.25" customHeight="1">
      <c r="A969" s="1"/>
      <c r="B969" s="1"/>
      <c r="C969" s="1"/>
      <c r="D969" s="1"/>
      <c r="E969" s="19"/>
      <c r="F969" s="3"/>
      <c r="G969" s="3"/>
      <c r="H969" s="3"/>
      <c r="I969" s="3"/>
      <c r="J969" s="3"/>
      <c r="K969" s="3"/>
      <c r="L969" s="3"/>
      <c r="M969" s="3"/>
      <c r="N969" s="3"/>
      <c r="O969" s="3"/>
      <c r="P969" s="3"/>
      <c r="Q969" s="3"/>
      <c r="R969" s="3"/>
      <c r="S969" s="3"/>
      <c r="T969" s="3"/>
      <c r="U969" s="3"/>
      <c r="V969" s="3"/>
      <c r="W969" s="3"/>
      <c r="X969" s="3"/>
      <c r="Y969" s="3"/>
      <c r="Z969" s="3"/>
    </row>
    <row r="970" spans="1:26" ht="14.25" customHeight="1">
      <c r="A970" s="1"/>
      <c r="B970" s="1"/>
      <c r="C970" s="1"/>
      <c r="D970" s="1"/>
      <c r="E970" s="19"/>
      <c r="F970" s="3"/>
      <c r="G970" s="3"/>
      <c r="H970" s="3"/>
      <c r="I970" s="3"/>
      <c r="J970" s="3"/>
      <c r="K970" s="3"/>
      <c r="L970" s="3"/>
      <c r="M970" s="3"/>
      <c r="N970" s="3"/>
      <c r="O970" s="3"/>
      <c r="P970" s="3"/>
      <c r="Q970" s="3"/>
      <c r="R970" s="3"/>
      <c r="S970" s="3"/>
      <c r="T970" s="3"/>
      <c r="U970" s="3"/>
      <c r="V970" s="3"/>
      <c r="W970" s="3"/>
      <c r="X970" s="3"/>
      <c r="Y970" s="3"/>
      <c r="Z970" s="3"/>
    </row>
    <row r="971" spans="1:26" ht="14.25" customHeight="1">
      <c r="A971" s="1"/>
      <c r="B971" s="1"/>
      <c r="C971" s="1"/>
      <c r="D971" s="1"/>
      <c r="E971" s="19"/>
      <c r="F971" s="3"/>
      <c r="G971" s="3"/>
      <c r="H971" s="3"/>
      <c r="I971" s="3"/>
      <c r="J971" s="3"/>
      <c r="K971" s="3"/>
      <c r="L971" s="3"/>
      <c r="M971" s="3"/>
      <c r="N971" s="3"/>
      <c r="O971" s="3"/>
      <c r="P971" s="3"/>
      <c r="Q971" s="3"/>
      <c r="R971" s="3"/>
      <c r="S971" s="3"/>
      <c r="T971" s="3"/>
      <c r="U971" s="3"/>
      <c r="V971" s="3"/>
      <c r="W971" s="3"/>
      <c r="X971" s="3"/>
      <c r="Y971" s="3"/>
      <c r="Z971" s="3"/>
    </row>
    <row r="972" spans="1:26" ht="14.25" customHeight="1">
      <c r="A972" s="1"/>
      <c r="B972" s="1"/>
      <c r="C972" s="1"/>
      <c r="D972" s="1"/>
      <c r="E972" s="19"/>
      <c r="F972" s="3"/>
      <c r="G972" s="3"/>
      <c r="H972" s="3"/>
      <c r="I972" s="3"/>
      <c r="J972" s="3"/>
      <c r="K972" s="3"/>
      <c r="L972" s="3"/>
      <c r="M972" s="3"/>
      <c r="N972" s="3"/>
      <c r="O972" s="3"/>
      <c r="P972" s="3"/>
      <c r="Q972" s="3"/>
      <c r="R972" s="3"/>
      <c r="S972" s="3"/>
      <c r="T972" s="3"/>
      <c r="U972" s="3"/>
      <c r="V972" s="3"/>
      <c r="W972" s="3"/>
      <c r="X972" s="3"/>
      <c r="Y972" s="3"/>
      <c r="Z972" s="3"/>
    </row>
    <row r="973" spans="1:26" ht="14.25" customHeight="1">
      <c r="A973" s="1"/>
      <c r="B973" s="1"/>
      <c r="C973" s="1"/>
      <c r="D973" s="1"/>
      <c r="E973" s="19"/>
      <c r="F973" s="3"/>
      <c r="G973" s="3"/>
      <c r="H973" s="3"/>
      <c r="I973" s="3"/>
      <c r="J973" s="3"/>
      <c r="K973" s="3"/>
      <c r="L973" s="3"/>
      <c r="M973" s="3"/>
      <c r="N973" s="3"/>
      <c r="O973" s="3"/>
      <c r="P973" s="3"/>
      <c r="Q973" s="3"/>
      <c r="R973" s="3"/>
      <c r="S973" s="3"/>
      <c r="T973" s="3"/>
      <c r="U973" s="3"/>
      <c r="V973" s="3"/>
      <c r="W973" s="3"/>
      <c r="X973" s="3"/>
      <c r="Y973" s="3"/>
      <c r="Z973" s="3"/>
    </row>
    <row r="974" spans="1:26" ht="14.25" customHeight="1">
      <c r="A974" s="1"/>
      <c r="B974" s="1"/>
      <c r="C974" s="1"/>
      <c r="D974" s="1"/>
      <c r="E974" s="19"/>
      <c r="F974" s="3"/>
      <c r="G974" s="3"/>
      <c r="H974" s="3"/>
      <c r="I974" s="3"/>
      <c r="J974" s="3"/>
      <c r="K974" s="3"/>
      <c r="L974" s="3"/>
      <c r="M974" s="3"/>
      <c r="N974" s="3"/>
      <c r="O974" s="3"/>
      <c r="P974" s="3"/>
      <c r="Q974" s="3"/>
      <c r="R974" s="3"/>
      <c r="S974" s="3"/>
      <c r="T974" s="3"/>
      <c r="U974" s="3"/>
      <c r="V974" s="3"/>
      <c r="W974" s="3"/>
      <c r="X974" s="3"/>
      <c r="Y974" s="3"/>
      <c r="Z974" s="3"/>
    </row>
    <row r="975" spans="1:26" ht="14.25" customHeight="1">
      <c r="A975" s="1"/>
      <c r="B975" s="1"/>
      <c r="C975" s="1"/>
      <c r="D975" s="1"/>
      <c r="E975" s="19"/>
      <c r="F975" s="3"/>
      <c r="G975" s="3"/>
      <c r="H975" s="3"/>
      <c r="I975" s="3"/>
      <c r="J975" s="3"/>
      <c r="K975" s="3"/>
      <c r="L975" s="3"/>
      <c r="M975" s="3"/>
      <c r="N975" s="3"/>
      <c r="O975" s="3"/>
      <c r="P975" s="3"/>
      <c r="Q975" s="3"/>
      <c r="R975" s="3"/>
      <c r="S975" s="3"/>
      <c r="T975" s="3"/>
      <c r="U975" s="3"/>
      <c r="V975" s="3"/>
      <c r="W975" s="3"/>
      <c r="X975" s="3"/>
      <c r="Y975" s="3"/>
      <c r="Z975" s="3"/>
    </row>
    <row r="976" spans="1:26" ht="14.25" customHeight="1">
      <c r="A976" s="1"/>
      <c r="B976" s="1"/>
      <c r="C976" s="1"/>
      <c r="D976" s="1"/>
      <c r="E976" s="19"/>
      <c r="F976" s="3"/>
      <c r="G976" s="3"/>
      <c r="H976" s="3"/>
      <c r="I976" s="3"/>
      <c r="J976" s="3"/>
      <c r="K976" s="3"/>
      <c r="L976" s="3"/>
      <c r="M976" s="3"/>
      <c r="N976" s="3"/>
      <c r="O976" s="3"/>
      <c r="P976" s="3"/>
      <c r="Q976" s="3"/>
      <c r="R976" s="3"/>
      <c r="S976" s="3"/>
      <c r="T976" s="3"/>
      <c r="U976" s="3"/>
      <c r="V976" s="3"/>
      <c r="W976" s="3"/>
      <c r="X976" s="3"/>
      <c r="Y976" s="3"/>
      <c r="Z976" s="3"/>
    </row>
    <row r="977" spans="1:26" ht="14.25" customHeight="1">
      <c r="A977" s="1"/>
      <c r="B977" s="1"/>
      <c r="C977" s="1"/>
      <c r="D977" s="1"/>
      <c r="E977" s="19"/>
      <c r="F977" s="3"/>
      <c r="G977" s="3"/>
      <c r="H977" s="3"/>
      <c r="I977" s="3"/>
      <c r="J977" s="3"/>
      <c r="K977" s="3"/>
      <c r="L977" s="3"/>
      <c r="M977" s="3"/>
      <c r="N977" s="3"/>
      <c r="O977" s="3"/>
      <c r="P977" s="3"/>
      <c r="Q977" s="3"/>
      <c r="R977" s="3"/>
      <c r="S977" s="3"/>
      <c r="T977" s="3"/>
      <c r="U977" s="3"/>
      <c r="V977" s="3"/>
      <c r="W977" s="3"/>
      <c r="X977" s="3"/>
      <c r="Y977" s="3"/>
      <c r="Z977" s="3"/>
    </row>
    <row r="978" spans="1:26" ht="14.25" customHeight="1">
      <c r="A978" s="1"/>
      <c r="B978" s="1"/>
      <c r="C978" s="1"/>
      <c r="D978" s="1"/>
      <c r="E978" s="19"/>
      <c r="F978" s="3"/>
      <c r="G978" s="3"/>
      <c r="H978" s="3"/>
      <c r="I978" s="3"/>
      <c r="J978" s="3"/>
      <c r="K978" s="3"/>
      <c r="L978" s="3"/>
      <c r="M978" s="3"/>
      <c r="N978" s="3"/>
      <c r="O978" s="3"/>
      <c r="P978" s="3"/>
      <c r="Q978" s="3"/>
      <c r="R978" s="3"/>
      <c r="S978" s="3"/>
      <c r="T978" s="3"/>
      <c r="U978" s="3"/>
      <c r="V978" s="3"/>
      <c r="W978" s="3"/>
      <c r="X978" s="3"/>
      <c r="Y978" s="3"/>
      <c r="Z978" s="3"/>
    </row>
    <row r="979" spans="1:26" ht="14.25" customHeight="1">
      <c r="A979" s="1"/>
      <c r="B979" s="1"/>
      <c r="C979" s="1"/>
      <c r="D979" s="1"/>
      <c r="E979" s="19"/>
      <c r="F979" s="3"/>
      <c r="G979" s="3"/>
      <c r="H979" s="3"/>
      <c r="I979" s="3"/>
      <c r="J979" s="3"/>
      <c r="K979" s="3"/>
      <c r="L979" s="3"/>
      <c r="M979" s="3"/>
      <c r="N979" s="3"/>
      <c r="O979" s="3"/>
      <c r="P979" s="3"/>
      <c r="Q979" s="3"/>
      <c r="R979" s="3"/>
      <c r="S979" s="3"/>
      <c r="T979" s="3"/>
      <c r="U979" s="3"/>
      <c r="V979" s="3"/>
      <c r="W979" s="3"/>
      <c r="X979" s="3"/>
      <c r="Y979" s="3"/>
      <c r="Z979" s="3"/>
    </row>
    <row r="980" spans="1:26" ht="14.25" customHeight="1">
      <c r="A980" s="1"/>
      <c r="B980" s="1"/>
      <c r="C980" s="1"/>
      <c r="D980" s="1"/>
      <c r="E980" s="19"/>
      <c r="F980" s="3"/>
      <c r="G980" s="3"/>
      <c r="H980" s="3"/>
      <c r="I980" s="3"/>
      <c r="J980" s="3"/>
      <c r="K980" s="3"/>
      <c r="L980" s="3"/>
      <c r="M980" s="3"/>
      <c r="N980" s="3"/>
      <c r="O980" s="3"/>
      <c r="P980" s="3"/>
      <c r="Q980" s="3"/>
      <c r="R980" s="3"/>
      <c r="S980" s="3"/>
      <c r="T980" s="3"/>
      <c r="U980" s="3"/>
      <c r="V980" s="3"/>
      <c r="W980" s="3"/>
      <c r="X980" s="3"/>
      <c r="Y980" s="3"/>
      <c r="Z980" s="3"/>
    </row>
    <row r="981" spans="1:26" ht="14.25" customHeight="1">
      <c r="A981" s="1"/>
      <c r="B981" s="1"/>
      <c r="C981" s="1"/>
      <c r="D981" s="1"/>
      <c r="E981" s="19"/>
      <c r="F981" s="3"/>
      <c r="G981" s="3"/>
      <c r="H981" s="3"/>
      <c r="I981" s="3"/>
      <c r="J981" s="3"/>
      <c r="K981" s="3"/>
      <c r="L981" s="3"/>
      <c r="M981" s="3"/>
      <c r="N981" s="3"/>
      <c r="O981" s="3"/>
      <c r="P981" s="3"/>
      <c r="Q981" s="3"/>
      <c r="R981" s="3"/>
      <c r="S981" s="3"/>
      <c r="T981" s="3"/>
      <c r="U981" s="3"/>
      <c r="V981" s="3"/>
      <c r="W981" s="3"/>
      <c r="X981" s="3"/>
      <c r="Y981" s="3"/>
      <c r="Z981" s="3"/>
    </row>
    <row r="982" spans="1:26" ht="14.25" customHeight="1">
      <c r="A982" s="1"/>
      <c r="B982" s="1"/>
      <c r="C982" s="1"/>
      <c r="D982" s="1"/>
      <c r="E982" s="19"/>
      <c r="F982" s="3"/>
      <c r="G982" s="3"/>
      <c r="H982" s="3"/>
      <c r="I982" s="3"/>
      <c r="J982" s="3"/>
      <c r="K982" s="3"/>
      <c r="L982" s="3"/>
      <c r="M982" s="3"/>
      <c r="N982" s="3"/>
      <c r="O982" s="3"/>
      <c r="P982" s="3"/>
      <c r="Q982" s="3"/>
      <c r="R982" s="3"/>
      <c r="S982" s="3"/>
      <c r="T982" s="3"/>
      <c r="U982" s="3"/>
      <c r="V982" s="3"/>
      <c r="W982" s="3"/>
      <c r="X982" s="3"/>
      <c r="Y982" s="3"/>
      <c r="Z982" s="3"/>
    </row>
    <row r="983" spans="1:26" ht="14.25" customHeight="1">
      <c r="A983" s="1"/>
      <c r="B983" s="1"/>
      <c r="C983" s="1"/>
      <c r="D983" s="1"/>
      <c r="E983" s="19"/>
      <c r="F983" s="3"/>
      <c r="G983" s="3"/>
      <c r="H983" s="3"/>
      <c r="I983" s="3"/>
      <c r="J983" s="3"/>
      <c r="K983" s="3"/>
      <c r="L983" s="3"/>
      <c r="M983" s="3"/>
      <c r="N983" s="3"/>
      <c r="O983" s="3"/>
      <c r="P983" s="3"/>
      <c r="Q983" s="3"/>
      <c r="R983" s="3"/>
      <c r="S983" s="3"/>
      <c r="T983" s="3"/>
      <c r="U983" s="3"/>
      <c r="V983" s="3"/>
      <c r="W983" s="3"/>
      <c r="X983" s="3"/>
      <c r="Y983" s="3"/>
      <c r="Z983" s="3"/>
    </row>
    <row r="984" spans="1:26" ht="14.25" customHeight="1">
      <c r="A984" s="1"/>
      <c r="B984" s="1"/>
      <c r="C984" s="1"/>
      <c r="D984" s="1"/>
      <c r="E984" s="19"/>
      <c r="F984" s="3"/>
      <c r="G984" s="3"/>
      <c r="H984" s="3"/>
      <c r="I984" s="3"/>
      <c r="J984" s="3"/>
      <c r="K984" s="3"/>
      <c r="L984" s="3"/>
      <c r="M984" s="3"/>
      <c r="N984" s="3"/>
      <c r="O984" s="3"/>
      <c r="P984" s="3"/>
      <c r="Q984" s="3"/>
      <c r="R984" s="3"/>
      <c r="S984" s="3"/>
      <c r="T984" s="3"/>
      <c r="U984" s="3"/>
      <c r="V984" s="3"/>
      <c r="W984" s="3"/>
      <c r="X984" s="3"/>
      <c r="Y984" s="3"/>
      <c r="Z984" s="3"/>
    </row>
    <row r="985" spans="1:26" ht="14.25" customHeight="1">
      <c r="A985" s="1"/>
      <c r="B985" s="1"/>
      <c r="C985" s="1"/>
      <c r="D985" s="1"/>
      <c r="E985" s="19"/>
      <c r="F985" s="3"/>
      <c r="G985" s="3"/>
      <c r="H985" s="3"/>
      <c r="I985" s="3"/>
      <c r="J985" s="3"/>
      <c r="K985" s="3"/>
      <c r="L985" s="3"/>
      <c r="M985" s="3"/>
      <c r="N985" s="3"/>
      <c r="O985" s="3"/>
      <c r="P985" s="3"/>
      <c r="Q985" s="3"/>
      <c r="R985" s="3"/>
      <c r="S985" s="3"/>
      <c r="T985" s="3"/>
      <c r="U985" s="3"/>
      <c r="V985" s="3"/>
      <c r="W985" s="3"/>
      <c r="X985" s="3"/>
      <c r="Y985" s="3"/>
      <c r="Z985" s="3"/>
    </row>
    <row r="986" spans="1:26" ht="14.25" customHeight="1">
      <c r="A986" s="1"/>
      <c r="B986" s="1"/>
      <c r="C986" s="1"/>
      <c r="D986" s="1"/>
      <c r="E986" s="19"/>
      <c r="F986" s="3"/>
      <c r="G986" s="3"/>
      <c r="H986" s="3"/>
      <c r="I986" s="3"/>
      <c r="J986" s="3"/>
      <c r="K986" s="3"/>
      <c r="L986" s="3"/>
      <c r="M986" s="3"/>
      <c r="N986" s="3"/>
      <c r="O986" s="3"/>
      <c r="P986" s="3"/>
      <c r="Q986" s="3"/>
      <c r="R986" s="3"/>
      <c r="S986" s="3"/>
      <c r="T986" s="3"/>
      <c r="U986" s="3"/>
      <c r="V986" s="3"/>
      <c r="W986" s="3"/>
      <c r="X986" s="3"/>
      <c r="Y986" s="3"/>
      <c r="Z986" s="3"/>
    </row>
    <row r="987" spans="1:26" ht="14.25" customHeight="1">
      <c r="A987" s="1"/>
      <c r="B987" s="1"/>
      <c r="C987" s="1"/>
      <c r="D987" s="1"/>
      <c r="E987" s="19"/>
      <c r="F987" s="3"/>
      <c r="G987" s="3"/>
      <c r="H987" s="3"/>
      <c r="I987" s="3"/>
      <c r="J987" s="3"/>
      <c r="K987" s="3"/>
      <c r="L987" s="3"/>
      <c r="M987" s="3"/>
      <c r="N987" s="3"/>
      <c r="O987" s="3"/>
      <c r="P987" s="3"/>
      <c r="Q987" s="3"/>
      <c r="R987" s="3"/>
      <c r="S987" s="3"/>
      <c r="T987" s="3"/>
      <c r="U987" s="3"/>
      <c r="V987" s="3"/>
      <c r="W987" s="3"/>
      <c r="X987" s="3"/>
      <c r="Y987" s="3"/>
      <c r="Z987" s="3"/>
    </row>
    <row r="988" spans="1:26" ht="14.25" customHeight="1">
      <c r="A988" s="1"/>
      <c r="B988" s="1"/>
      <c r="C988" s="1"/>
      <c r="D988" s="1"/>
      <c r="E988" s="19"/>
      <c r="F988" s="3"/>
      <c r="G988" s="3"/>
      <c r="H988" s="3"/>
      <c r="I988" s="3"/>
      <c r="J988" s="3"/>
      <c r="K988" s="3"/>
      <c r="L988" s="3"/>
      <c r="M988" s="3"/>
      <c r="N988" s="3"/>
      <c r="O988" s="3"/>
      <c r="P988" s="3"/>
      <c r="Q988" s="3"/>
      <c r="R988" s="3"/>
      <c r="S988" s="3"/>
      <c r="T988" s="3"/>
      <c r="U988" s="3"/>
      <c r="V988" s="3"/>
      <c r="W988" s="3"/>
      <c r="X988" s="3"/>
      <c r="Y988" s="3"/>
      <c r="Z988" s="3"/>
    </row>
    <row r="989" spans="1:26" ht="14.25" customHeight="1">
      <c r="A989" s="1"/>
      <c r="B989" s="1"/>
      <c r="C989" s="1"/>
      <c r="D989" s="1"/>
      <c r="E989" s="19"/>
      <c r="F989" s="3"/>
      <c r="G989" s="3"/>
      <c r="H989" s="3"/>
      <c r="I989" s="3"/>
      <c r="J989" s="3"/>
      <c r="K989" s="3"/>
      <c r="L989" s="3"/>
      <c r="M989" s="3"/>
      <c r="N989" s="3"/>
      <c r="O989" s="3"/>
      <c r="P989" s="3"/>
      <c r="Q989" s="3"/>
      <c r="R989" s="3"/>
      <c r="S989" s="3"/>
      <c r="T989" s="3"/>
      <c r="U989" s="3"/>
      <c r="V989" s="3"/>
      <c r="W989" s="3"/>
      <c r="X989" s="3"/>
      <c r="Y989" s="3"/>
      <c r="Z989" s="3"/>
    </row>
    <row r="990" spans="1:26" ht="14.25" customHeight="1">
      <c r="A990" s="1"/>
      <c r="B990" s="1"/>
      <c r="C990" s="1"/>
      <c r="D990" s="1"/>
      <c r="E990" s="19"/>
      <c r="F990" s="3"/>
      <c r="G990" s="3"/>
      <c r="H990" s="3"/>
      <c r="I990" s="3"/>
      <c r="J990" s="3"/>
      <c r="K990" s="3"/>
      <c r="L990" s="3"/>
      <c r="M990" s="3"/>
      <c r="N990" s="3"/>
      <c r="O990" s="3"/>
      <c r="P990" s="3"/>
      <c r="Q990" s="3"/>
      <c r="R990" s="3"/>
      <c r="S990" s="3"/>
      <c r="T990" s="3"/>
      <c r="U990" s="3"/>
      <c r="V990" s="3"/>
      <c r="W990" s="3"/>
      <c r="X990" s="3"/>
      <c r="Y990" s="3"/>
      <c r="Z990" s="3"/>
    </row>
    <row r="991" spans="1:26" ht="14.25" customHeight="1">
      <c r="A991" s="1"/>
      <c r="B991" s="1"/>
      <c r="C991" s="1"/>
      <c r="D991" s="1"/>
      <c r="E991" s="19"/>
      <c r="F991" s="3"/>
      <c r="G991" s="3"/>
      <c r="H991" s="3"/>
      <c r="I991" s="3"/>
      <c r="J991" s="3"/>
      <c r="K991" s="3"/>
      <c r="L991" s="3"/>
      <c r="M991" s="3"/>
      <c r="N991" s="3"/>
      <c r="O991" s="3"/>
      <c r="P991" s="3"/>
      <c r="Q991" s="3"/>
      <c r="R991" s="3"/>
      <c r="S991" s="3"/>
      <c r="T991" s="3"/>
      <c r="U991" s="3"/>
      <c r="V991" s="3"/>
      <c r="W991" s="3"/>
      <c r="X991" s="3"/>
      <c r="Y991" s="3"/>
      <c r="Z991" s="3"/>
    </row>
    <row r="992" spans="1:26" ht="14.25" customHeight="1">
      <c r="A992" s="1"/>
      <c r="B992" s="1"/>
      <c r="C992" s="1"/>
      <c r="D992" s="1"/>
      <c r="E992" s="19"/>
      <c r="F992" s="3"/>
      <c r="G992" s="3"/>
      <c r="H992" s="3"/>
      <c r="I992" s="3"/>
      <c r="J992" s="3"/>
      <c r="K992" s="3"/>
      <c r="L992" s="3"/>
      <c r="M992" s="3"/>
      <c r="N992" s="3"/>
      <c r="O992" s="3"/>
      <c r="P992" s="3"/>
      <c r="Q992" s="3"/>
      <c r="R992" s="3"/>
      <c r="S992" s="3"/>
      <c r="T992" s="3"/>
      <c r="U992" s="3"/>
      <c r="V992" s="3"/>
      <c r="W992" s="3"/>
      <c r="X992" s="3"/>
      <c r="Y992" s="3"/>
      <c r="Z992" s="3"/>
    </row>
    <row r="993" spans="1:26" ht="14.25" customHeight="1">
      <c r="A993" s="1"/>
      <c r="B993" s="1"/>
      <c r="C993" s="1"/>
      <c r="D993" s="1"/>
      <c r="E993" s="19"/>
      <c r="F993" s="3"/>
      <c r="G993" s="3"/>
      <c r="H993" s="3"/>
      <c r="I993" s="3"/>
      <c r="J993" s="3"/>
      <c r="K993" s="3"/>
      <c r="L993" s="3"/>
      <c r="M993" s="3"/>
      <c r="N993" s="3"/>
      <c r="O993" s="3"/>
      <c r="P993" s="3"/>
      <c r="Q993" s="3"/>
      <c r="R993" s="3"/>
      <c r="S993" s="3"/>
      <c r="T993" s="3"/>
      <c r="U993" s="3"/>
      <c r="V993" s="3"/>
      <c r="W993" s="3"/>
      <c r="X993" s="3"/>
      <c r="Y993" s="3"/>
      <c r="Z993" s="3"/>
    </row>
    <row r="994" spans="1:26" ht="14.25" customHeight="1">
      <c r="A994" s="1"/>
      <c r="B994" s="1"/>
      <c r="C994" s="1"/>
      <c r="D994" s="1"/>
      <c r="E994" s="19"/>
      <c r="F994" s="3"/>
      <c r="G994" s="3"/>
      <c r="H994" s="3"/>
      <c r="I994" s="3"/>
      <c r="J994" s="3"/>
      <c r="K994" s="3"/>
      <c r="L994" s="3"/>
      <c r="M994" s="3"/>
      <c r="N994" s="3"/>
      <c r="O994" s="3"/>
      <c r="P994" s="3"/>
      <c r="Q994" s="3"/>
      <c r="R994" s="3"/>
      <c r="S994" s="3"/>
      <c r="T994" s="3"/>
      <c r="U994" s="3"/>
      <c r="V994" s="3"/>
      <c r="W994" s="3"/>
      <c r="X994" s="3"/>
      <c r="Y994" s="3"/>
      <c r="Z994" s="3"/>
    </row>
    <row r="995" spans="1:26" ht="14.25" customHeight="1">
      <c r="A995" s="1"/>
      <c r="B995" s="1"/>
      <c r="C995" s="1"/>
      <c r="D995" s="1"/>
      <c r="E995" s="19"/>
      <c r="F995" s="3"/>
      <c r="G995" s="3"/>
      <c r="H995" s="3"/>
      <c r="I995" s="3"/>
      <c r="J995" s="3"/>
      <c r="K995" s="3"/>
      <c r="L995" s="3"/>
      <c r="M995" s="3"/>
      <c r="N995" s="3"/>
      <c r="O995" s="3"/>
      <c r="P995" s="3"/>
      <c r="Q995" s="3"/>
      <c r="R995" s="3"/>
      <c r="S995" s="3"/>
      <c r="T995" s="3"/>
      <c r="U995" s="3"/>
      <c r="V995" s="3"/>
      <c r="W995" s="3"/>
      <c r="X995" s="3"/>
      <c r="Y995" s="3"/>
      <c r="Z995" s="3"/>
    </row>
    <row r="996" spans="1:26" ht="14.25" customHeight="1">
      <c r="A996" s="1"/>
      <c r="B996" s="1"/>
      <c r="C996" s="1"/>
      <c r="D996" s="1"/>
      <c r="E996" s="19"/>
      <c r="F996" s="3"/>
      <c r="G996" s="3"/>
      <c r="H996" s="3"/>
      <c r="I996" s="3"/>
      <c r="J996" s="3"/>
      <c r="K996" s="3"/>
      <c r="L996" s="3"/>
      <c r="M996" s="3"/>
      <c r="N996" s="3"/>
      <c r="O996" s="3"/>
      <c r="P996" s="3"/>
      <c r="Q996" s="3"/>
      <c r="R996" s="3"/>
      <c r="S996" s="3"/>
      <c r="T996" s="3"/>
      <c r="U996" s="3"/>
      <c r="V996" s="3"/>
      <c r="W996" s="3"/>
      <c r="X996" s="3"/>
      <c r="Y996" s="3"/>
      <c r="Z996" s="3"/>
    </row>
    <row r="997" spans="1:26" ht="14.25" customHeight="1">
      <c r="A997" s="1"/>
      <c r="B997" s="1"/>
      <c r="C997" s="1"/>
      <c r="D997" s="1"/>
      <c r="E997" s="19"/>
      <c r="F997" s="3"/>
      <c r="G997" s="3"/>
      <c r="H997" s="3"/>
      <c r="I997" s="3"/>
      <c r="J997" s="3"/>
      <c r="K997" s="3"/>
      <c r="L997" s="3"/>
      <c r="M997" s="3"/>
      <c r="N997" s="3"/>
      <c r="O997" s="3"/>
      <c r="P997" s="3"/>
      <c r="Q997" s="3"/>
      <c r="R997" s="3"/>
      <c r="S997" s="3"/>
      <c r="T997" s="3"/>
      <c r="U997" s="3"/>
      <c r="V997" s="3"/>
      <c r="W997" s="3"/>
      <c r="X997" s="3"/>
      <c r="Y997" s="3"/>
      <c r="Z997" s="3"/>
    </row>
    <row r="998" spans="1:26" ht="14.25" customHeight="1">
      <c r="A998" s="1"/>
      <c r="B998" s="1"/>
      <c r="C998" s="1"/>
      <c r="D998" s="1"/>
      <c r="E998" s="19"/>
      <c r="F998" s="3"/>
      <c r="G998" s="3"/>
      <c r="H998" s="3"/>
      <c r="I998" s="3"/>
      <c r="J998" s="3"/>
      <c r="K998" s="3"/>
      <c r="L998" s="3"/>
      <c r="M998" s="3"/>
      <c r="N998" s="3"/>
      <c r="O998" s="3"/>
      <c r="P998" s="3"/>
      <c r="Q998" s="3"/>
      <c r="R998" s="3"/>
      <c r="S998" s="3"/>
      <c r="T998" s="3"/>
      <c r="U998" s="3"/>
      <c r="V998" s="3"/>
      <c r="W998" s="3"/>
      <c r="X998" s="3"/>
      <c r="Y998" s="3"/>
      <c r="Z998" s="3"/>
    </row>
    <row r="999" spans="1:26" ht="14.25" customHeight="1">
      <c r="A999" s="1"/>
      <c r="B999" s="1"/>
      <c r="C999" s="1"/>
      <c r="D999" s="1"/>
      <c r="E999" s="19"/>
      <c r="F999" s="3"/>
      <c r="G999" s="3"/>
      <c r="H999" s="3"/>
      <c r="I999" s="3"/>
      <c r="J999" s="3"/>
      <c r="K999" s="3"/>
      <c r="L999" s="3"/>
      <c r="M999" s="3"/>
      <c r="N999" s="3"/>
      <c r="O999" s="3"/>
      <c r="P999" s="3"/>
      <c r="Q999" s="3"/>
      <c r="R999" s="3"/>
      <c r="S999" s="3"/>
      <c r="T999" s="3"/>
      <c r="U999" s="3"/>
      <c r="V999" s="3"/>
      <c r="W999" s="3"/>
      <c r="X999" s="3"/>
      <c r="Y999" s="3"/>
      <c r="Z999" s="3"/>
    </row>
    <row r="1000" spans="1:26" ht="14.25" customHeight="1">
      <c r="A1000" s="1"/>
      <c r="B1000" s="1"/>
      <c r="C1000" s="1"/>
      <c r="D1000" s="1"/>
      <c r="E1000" s="19"/>
      <c r="F1000" s="3"/>
      <c r="G1000" s="3"/>
      <c r="H1000" s="3"/>
      <c r="I1000" s="3"/>
      <c r="J1000" s="3"/>
      <c r="K1000" s="3"/>
      <c r="L1000" s="3"/>
      <c r="M1000" s="3"/>
      <c r="N1000" s="3"/>
      <c r="O1000" s="3"/>
      <c r="P1000" s="3"/>
      <c r="Q1000" s="3"/>
      <c r="R1000" s="3"/>
      <c r="S1000" s="3"/>
      <c r="T1000" s="3"/>
      <c r="U1000" s="3"/>
      <c r="V1000" s="3"/>
      <c r="W1000" s="3"/>
      <c r="X1000" s="3"/>
      <c r="Y1000" s="3"/>
      <c r="Z1000" s="3"/>
    </row>
    <row r="1001" spans="1:26" ht="14.25" customHeight="1">
      <c r="A1001" s="1"/>
      <c r="B1001" s="1"/>
      <c r="C1001" s="1"/>
      <c r="D1001" s="1"/>
      <c r="E1001" s="19"/>
      <c r="F1001" s="3"/>
      <c r="G1001" s="3"/>
      <c r="H1001" s="3"/>
      <c r="I1001" s="3"/>
      <c r="J1001" s="3"/>
      <c r="K1001" s="3"/>
      <c r="L1001" s="3"/>
      <c r="M1001" s="3"/>
      <c r="N1001" s="3"/>
      <c r="O1001" s="3"/>
      <c r="P1001" s="3"/>
      <c r="Q1001" s="3"/>
      <c r="R1001" s="3"/>
      <c r="S1001" s="3"/>
      <c r="T1001" s="3"/>
      <c r="U1001" s="3"/>
      <c r="V1001" s="3"/>
      <c r="W1001" s="3"/>
      <c r="X1001" s="3"/>
      <c r="Y1001" s="3"/>
      <c r="Z1001" s="3"/>
    </row>
    <row r="1002" spans="1:26" ht="14.25" customHeight="1">
      <c r="A1002" s="1"/>
      <c r="B1002" s="1"/>
      <c r="C1002" s="1"/>
      <c r="D1002" s="1"/>
      <c r="E1002" s="19"/>
      <c r="F1002" s="3"/>
      <c r="G1002" s="3"/>
      <c r="H1002" s="3"/>
      <c r="I1002" s="3"/>
      <c r="J1002" s="3"/>
      <c r="K1002" s="3"/>
      <c r="L1002" s="3"/>
      <c r="M1002" s="3"/>
      <c r="N1002" s="3"/>
      <c r="O1002" s="3"/>
      <c r="P1002" s="3"/>
      <c r="Q1002" s="3"/>
      <c r="R1002" s="3"/>
      <c r="S1002" s="3"/>
      <c r="T1002" s="3"/>
      <c r="U1002" s="3"/>
      <c r="V1002" s="3"/>
      <c r="W1002" s="3"/>
      <c r="X1002" s="3"/>
      <c r="Y1002" s="3"/>
      <c r="Z1002" s="3"/>
    </row>
    <row r="1003" spans="1:26" ht="14.25" customHeight="1">
      <c r="A1003" s="1"/>
      <c r="B1003" s="1"/>
      <c r="C1003" s="1"/>
      <c r="D1003" s="1"/>
      <c r="E1003" s="19"/>
      <c r="F1003" s="3"/>
      <c r="G1003" s="3"/>
      <c r="H1003" s="3"/>
      <c r="I1003" s="3"/>
      <c r="J1003" s="3"/>
      <c r="K1003" s="3"/>
      <c r="L1003" s="3"/>
      <c r="M1003" s="3"/>
      <c r="N1003" s="3"/>
      <c r="O1003" s="3"/>
      <c r="P1003" s="3"/>
      <c r="Q1003" s="3"/>
      <c r="R1003" s="3"/>
      <c r="S1003" s="3"/>
      <c r="T1003" s="3"/>
      <c r="U1003" s="3"/>
      <c r="V1003" s="3"/>
      <c r="W1003" s="3"/>
      <c r="X1003" s="3"/>
      <c r="Y1003" s="3"/>
      <c r="Z1003" s="3"/>
    </row>
    <row r="1004" spans="1:26" ht="14.25" customHeight="1">
      <c r="A1004" s="1"/>
      <c r="B1004" s="1"/>
      <c r="C1004" s="1"/>
      <c r="D1004" s="1"/>
      <c r="E1004" s="19"/>
      <c r="F1004" s="3"/>
      <c r="G1004" s="3"/>
      <c r="H1004" s="3"/>
      <c r="I1004" s="3"/>
      <c r="J1004" s="3"/>
      <c r="K1004" s="3"/>
      <c r="L1004" s="3"/>
      <c r="M1004" s="3"/>
      <c r="N1004" s="3"/>
      <c r="O1004" s="3"/>
      <c r="P1004" s="3"/>
      <c r="Q1004" s="3"/>
      <c r="R1004" s="3"/>
      <c r="S1004" s="3"/>
      <c r="T1004" s="3"/>
      <c r="U1004" s="3"/>
      <c r="V1004" s="3"/>
      <c r="W1004" s="3"/>
      <c r="X1004" s="3"/>
      <c r="Y1004" s="3"/>
      <c r="Z1004" s="3"/>
    </row>
    <row r="1005" spans="1:26" ht="14.25" customHeight="1">
      <c r="A1005" s="1"/>
      <c r="B1005" s="1"/>
      <c r="C1005" s="1"/>
      <c r="D1005" s="1"/>
      <c r="E1005" s="19"/>
      <c r="F1005" s="3"/>
      <c r="G1005" s="3"/>
      <c r="H1005" s="3"/>
      <c r="I1005" s="3"/>
      <c r="J1005" s="3"/>
      <c r="K1005" s="3"/>
      <c r="L1005" s="3"/>
      <c r="M1005" s="3"/>
      <c r="N1005" s="3"/>
      <c r="O1005" s="3"/>
      <c r="P1005" s="3"/>
      <c r="Q1005" s="3"/>
      <c r="R1005" s="3"/>
      <c r="S1005" s="3"/>
      <c r="T1005" s="3"/>
      <c r="U1005" s="3"/>
      <c r="V1005" s="3"/>
      <c r="W1005" s="3"/>
      <c r="X1005" s="3"/>
      <c r="Y1005" s="3"/>
      <c r="Z1005" s="3"/>
    </row>
    <row r="1006" spans="1:26" ht="14.25" customHeight="1">
      <c r="A1006" s="1"/>
      <c r="B1006" s="1"/>
      <c r="C1006" s="1"/>
      <c r="D1006" s="1"/>
      <c r="E1006" s="19"/>
      <c r="F1006" s="3"/>
      <c r="G1006" s="3"/>
      <c r="H1006" s="3"/>
      <c r="I1006" s="3"/>
      <c r="J1006" s="3"/>
      <c r="K1006" s="3"/>
      <c r="L1006" s="3"/>
      <c r="M1006" s="3"/>
      <c r="N1006" s="3"/>
      <c r="O1006" s="3"/>
      <c r="P1006" s="3"/>
      <c r="Q1006" s="3"/>
      <c r="R1006" s="3"/>
      <c r="S1006" s="3"/>
      <c r="T1006" s="3"/>
      <c r="U1006" s="3"/>
      <c r="V1006" s="3"/>
      <c r="W1006" s="3"/>
      <c r="X1006" s="3"/>
      <c r="Y1006" s="3"/>
      <c r="Z1006" s="3"/>
    </row>
    <row r="1007" spans="1:26" ht="14.25" customHeight="1">
      <c r="A1007" s="1"/>
      <c r="B1007" s="1"/>
      <c r="C1007" s="1"/>
      <c r="D1007" s="1"/>
      <c r="E1007" s="19"/>
      <c r="F1007" s="3"/>
      <c r="G1007" s="3"/>
      <c r="H1007" s="3"/>
      <c r="I1007" s="3"/>
      <c r="J1007" s="3"/>
      <c r="K1007" s="3"/>
      <c r="L1007" s="3"/>
      <c r="M1007" s="3"/>
      <c r="N1007" s="3"/>
      <c r="O1007" s="3"/>
      <c r="P1007" s="3"/>
      <c r="Q1007" s="3"/>
      <c r="R1007" s="3"/>
      <c r="S1007" s="3"/>
      <c r="T1007" s="3"/>
      <c r="U1007" s="3"/>
      <c r="V1007" s="3"/>
      <c r="W1007" s="3"/>
      <c r="X1007" s="3"/>
      <c r="Y1007" s="3"/>
      <c r="Z1007" s="3"/>
    </row>
    <row r="1008" spans="1:26" ht="14.25" customHeight="1">
      <c r="A1008" s="1"/>
      <c r="B1008" s="1"/>
      <c r="C1008" s="1"/>
      <c r="D1008" s="1"/>
      <c r="E1008" s="19"/>
      <c r="F1008" s="3"/>
      <c r="G1008" s="3"/>
      <c r="H1008" s="3"/>
      <c r="I1008" s="3"/>
      <c r="J1008" s="3"/>
      <c r="K1008" s="3"/>
      <c r="L1008" s="3"/>
      <c r="M1008" s="3"/>
      <c r="N1008" s="3"/>
      <c r="O1008" s="3"/>
      <c r="P1008" s="3"/>
      <c r="Q1008" s="3"/>
      <c r="R1008" s="3"/>
      <c r="S1008" s="3"/>
      <c r="T1008" s="3"/>
      <c r="U1008" s="3"/>
      <c r="V1008" s="3"/>
      <c r="W1008" s="3"/>
      <c r="X1008" s="3"/>
      <c r="Y1008" s="3"/>
      <c r="Z1008" s="3"/>
    </row>
    <row r="1009" spans="1:26" ht="14.25" customHeight="1">
      <c r="A1009" s="1"/>
      <c r="B1009" s="1"/>
      <c r="C1009" s="1"/>
      <c r="D1009" s="1"/>
      <c r="E1009" s="19"/>
      <c r="F1009" s="3"/>
      <c r="G1009" s="3"/>
      <c r="H1009" s="3"/>
      <c r="I1009" s="3"/>
      <c r="J1009" s="3"/>
      <c r="K1009" s="3"/>
      <c r="L1009" s="3"/>
      <c r="M1009" s="3"/>
      <c r="N1009" s="3"/>
      <c r="O1009" s="3"/>
      <c r="P1009" s="3"/>
      <c r="Q1009" s="3"/>
      <c r="R1009" s="3"/>
      <c r="S1009" s="3"/>
      <c r="T1009" s="3"/>
      <c r="U1009" s="3"/>
      <c r="V1009" s="3"/>
      <c r="W1009" s="3"/>
      <c r="X1009" s="3"/>
      <c r="Y1009" s="3"/>
      <c r="Z1009" s="3"/>
    </row>
    <row r="1010" spans="1:26" ht="14.25" customHeight="1">
      <c r="A1010" s="1"/>
      <c r="B1010" s="1"/>
      <c r="C1010" s="1"/>
      <c r="D1010" s="1"/>
      <c r="E1010" s="19"/>
      <c r="F1010" s="3"/>
      <c r="G1010" s="3"/>
      <c r="H1010" s="3"/>
      <c r="I1010" s="3"/>
      <c r="J1010" s="3"/>
      <c r="K1010" s="3"/>
      <c r="L1010" s="3"/>
      <c r="M1010" s="3"/>
      <c r="N1010" s="3"/>
      <c r="O1010" s="3"/>
      <c r="P1010" s="3"/>
      <c r="Q1010" s="3"/>
      <c r="R1010" s="3"/>
      <c r="S1010" s="3"/>
      <c r="T1010" s="3"/>
      <c r="U1010" s="3"/>
      <c r="V1010" s="3"/>
      <c r="W1010" s="3"/>
      <c r="X1010" s="3"/>
      <c r="Y1010" s="3"/>
      <c r="Z1010" s="3"/>
    </row>
    <row r="1011" spans="1:26" ht="14.25" customHeight="1">
      <c r="A1011" s="1"/>
      <c r="B1011" s="1"/>
      <c r="C1011" s="1"/>
      <c r="D1011" s="1"/>
      <c r="E1011" s="19"/>
      <c r="F1011" s="3"/>
      <c r="G1011" s="3"/>
      <c r="H1011" s="3"/>
      <c r="I1011" s="3"/>
      <c r="J1011" s="3"/>
      <c r="K1011" s="3"/>
      <c r="L1011" s="3"/>
      <c r="M1011" s="3"/>
      <c r="N1011" s="3"/>
      <c r="O1011" s="3"/>
      <c r="P1011" s="3"/>
      <c r="Q1011" s="3"/>
      <c r="R1011" s="3"/>
      <c r="S1011" s="3"/>
      <c r="T1011" s="3"/>
      <c r="U1011" s="3"/>
      <c r="V1011" s="3"/>
      <c r="W1011" s="3"/>
      <c r="X1011" s="3"/>
      <c r="Y1011" s="3"/>
      <c r="Z1011" s="3"/>
    </row>
    <row r="1012" spans="1:26" ht="14.25" customHeight="1">
      <c r="A1012" s="1"/>
      <c r="B1012" s="1"/>
      <c r="C1012" s="1"/>
      <c r="D1012" s="1"/>
      <c r="E1012" s="19"/>
      <c r="F1012" s="3"/>
      <c r="G1012" s="3"/>
      <c r="H1012" s="3"/>
      <c r="I1012" s="3"/>
      <c r="J1012" s="3"/>
      <c r="K1012" s="3"/>
      <c r="L1012" s="3"/>
      <c r="M1012" s="3"/>
      <c r="N1012" s="3"/>
      <c r="O1012" s="3"/>
      <c r="P1012" s="3"/>
      <c r="Q1012" s="3"/>
      <c r="R1012" s="3"/>
      <c r="S1012" s="3"/>
      <c r="T1012" s="3"/>
      <c r="U1012" s="3"/>
      <c r="V1012" s="3"/>
      <c r="W1012" s="3"/>
      <c r="X1012" s="3"/>
      <c r="Y1012" s="3"/>
      <c r="Z1012" s="3"/>
    </row>
    <row r="1013" spans="1:26" ht="14.25" customHeight="1">
      <c r="A1013" s="1"/>
      <c r="B1013" s="1"/>
      <c r="C1013" s="1"/>
      <c r="D1013" s="1"/>
      <c r="E1013" s="19"/>
      <c r="F1013" s="3"/>
      <c r="G1013" s="3"/>
      <c r="H1013" s="3"/>
      <c r="I1013" s="3"/>
      <c r="J1013" s="3"/>
      <c r="K1013" s="3"/>
      <c r="L1013" s="3"/>
      <c r="M1013" s="3"/>
      <c r="N1013" s="3"/>
      <c r="O1013" s="3"/>
      <c r="P1013" s="3"/>
      <c r="Q1013" s="3"/>
      <c r="R1013" s="3"/>
      <c r="S1013" s="3"/>
      <c r="T1013" s="3"/>
      <c r="U1013" s="3"/>
      <c r="V1013" s="3"/>
      <c r="W1013" s="3"/>
      <c r="X1013" s="3"/>
      <c r="Y1013" s="3"/>
      <c r="Z1013" s="3"/>
    </row>
    <row r="1014" spans="1:26" ht="14.25" customHeight="1">
      <c r="A1014" s="1"/>
      <c r="B1014" s="1"/>
      <c r="C1014" s="1"/>
      <c r="D1014" s="1"/>
      <c r="E1014" s="19"/>
      <c r="F1014" s="3"/>
      <c r="G1014" s="3"/>
      <c r="H1014" s="3"/>
      <c r="I1014" s="3"/>
      <c r="J1014" s="3"/>
      <c r="K1014" s="3"/>
      <c r="L1014" s="3"/>
      <c r="M1014" s="3"/>
      <c r="N1014" s="3"/>
      <c r="O1014" s="3"/>
      <c r="P1014" s="3"/>
      <c r="Q1014" s="3"/>
      <c r="R1014" s="3"/>
      <c r="S1014" s="3"/>
      <c r="T1014" s="3"/>
      <c r="U1014" s="3"/>
      <c r="V1014" s="3"/>
      <c r="W1014" s="3"/>
      <c r="X1014" s="3"/>
      <c r="Y1014" s="3"/>
      <c r="Z1014" s="3"/>
    </row>
    <row r="1015" spans="1:26" ht="14.25" customHeight="1">
      <c r="A1015" s="1"/>
      <c r="B1015" s="1"/>
      <c r="C1015" s="1"/>
      <c r="D1015" s="1"/>
      <c r="E1015" s="19"/>
      <c r="F1015" s="3"/>
      <c r="G1015" s="3"/>
      <c r="H1015" s="3"/>
      <c r="I1015" s="3"/>
      <c r="J1015" s="3"/>
      <c r="K1015" s="3"/>
      <c r="L1015" s="3"/>
      <c r="M1015" s="3"/>
      <c r="N1015" s="3"/>
      <c r="O1015" s="3"/>
      <c r="P1015" s="3"/>
      <c r="Q1015" s="3"/>
      <c r="R1015" s="3"/>
      <c r="S1015" s="3"/>
      <c r="T1015" s="3"/>
      <c r="U1015" s="3"/>
      <c r="V1015" s="3"/>
      <c r="W1015" s="3"/>
      <c r="X1015" s="3"/>
      <c r="Y1015" s="3"/>
      <c r="Z1015" s="3"/>
    </row>
    <row r="1016" spans="1:26" ht="14.25" customHeight="1">
      <c r="A1016" s="1"/>
      <c r="B1016" s="1"/>
      <c r="C1016" s="1"/>
      <c r="D1016" s="1"/>
      <c r="E1016" s="19"/>
      <c r="F1016" s="3"/>
      <c r="G1016" s="3"/>
      <c r="H1016" s="3"/>
      <c r="I1016" s="3"/>
      <c r="J1016" s="3"/>
      <c r="K1016" s="3"/>
      <c r="L1016" s="3"/>
      <c r="M1016" s="3"/>
      <c r="N1016" s="3"/>
      <c r="O1016" s="3"/>
      <c r="P1016" s="3"/>
      <c r="Q1016" s="3"/>
      <c r="R1016" s="3"/>
      <c r="S1016" s="3"/>
      <c r="T1016" s="3"/>
      <c r="U1016" s="3"/>
      <c r="V1016" s="3"/>
      <c r="W1016" s="3"/>
      <c r="X1016" s="3"/>
      <c r="Y1016" s="3"/>
      <c r="Z1016" s="3"/>
    </row>
    <row r="1017" spans="1:26" ht="14.25" customHeight="1">
      <c r="A1017" s="1"/>
      <c r="B1017" s="1"/>
      <c r="C1017" s="1"/>
      <c r="D1017" s="1"/>
      <c r="E1017" s="19"/>
      <c r="F1017" s="3"/>
      <c r="G1017" s="3"/>
      <c r="H1017" s="3"/>
      <c r="I1017" s="3"/>
      <c r="J1017" s="3"/>
      <c r="K1017" s="3"/>
      <c r="L1017" s="3"/>
      <c r="M1017" s="3"/>
      <c r="N1017" s="3"/>
      <c r="O1017" s="3"/>
      <c r="P1017" s="3"/>
      <c r="Q1017" s="3"/>
      <c r="R1017" s="3"/>
      <c r="S1017" s="3"/>
      <c r="T1017" s="3"/>
      <c r="U1017" s="3"/>
      <c r="V1017" s="3"/>
      <c r="W1017" s="3"/>
      <c r="X1017" s="3"/>
      <c r="Y1017" s="3"/>
      <c r="Z1017" s="3"/>
    </row>
    <row r="1018" spans="1:26" ht="14.25" customHeight="1">
      <c r="A1018" s="1"/>
      <c r="B1018" s="1"/>
      <c r="C1018" s="1"/>
      <c r="D1018" s="1"/>
      <c r="E1018" s="19"/>
      <c r="F1018" s="3"/>
      <c r="G1018" s="3"/>
      <c r="H1018" s="3"/>
      <c r="I1018" s="3"/>
      <c r="J1018" s="3"/>
      <c r="K1018" s="3"/>
      <c r="L1018" s="3"/>
      <c r="M1018" s="3"/>
      <c r="N1018" s="3"/>
      <c r="O1018" s="3"/>
      <c r="P1018" s="3"/>
      <c r="Q1018" s="3"/>
      <c r="R1018" s="3"/>
      <c r="S1018" s="3"/>
      <c r="T1018" s="3"/>
      <c r="U1018" s="3"/>
      <c r="V1018" s="3"/>
      <c r="W1018" s="3"/>
      <c r="X1018" s="3"/>
      <c r="Y1018" s="3"/>
      <c r="Z1018" s="3"/>
    </row>
    <row r="1019" spans="1:26" ht="14.25" customHeight="1">
      <c r="A1019" s="1"/>
      <c r="B1019" s="1"/>
      <c r="C1019" s="1"/>
      <c r="D1019" s="1"/>
      <c r="E1019" s="19"/>
      <c r="F1019" s="3"/>
      <c r="G1019" s="3"/>
      <c r="H1019" s="3"/>
      <c r="I1019" s="3"/>
      <c r="J1019" s="3"/>
      <c r="K1019" s="3"/>
      <c r="L1019" s="3"/>
      <c r="M1019" s="3"/>
      <c r="N1019" s="3"/>
      <c r="O1019" s="3"/>
      <c r="P1019" s="3"/>
      <c r="Q1019" s="3"/>
      <c r="R1019" s="3"/>
      <c r="S1019" s="3"/>
      <c r="T1019" s="3"/>
      <c r="U1019" s="3"/>
      <c r="V1019" s="3"/>
      <c r="W1019" s="3"/>
      <c r="X1019" s="3"/>
      <c r="Y1019" s="3"/>
      <c r="Z1019" s="3"/>
    </row>
    <row r="1020" spans="1:26" ht="14.25" customHeight="1">
      <c r="A1020" s="1"/>
      <c r="B1020" s="1"/>
      <c r="C1020" s="1"/>
      <c r="D1020" s="1"/>
      <c r="E1020" s="19"/>
      <c r="F1020" s="3"/>
      <c r="G1020" s="3"/>
      <c r="H1020" s="3"/>
      <c r="I1020" s="3"/>
      <c r="J1020" s="3"/>
      <c r="K1020" s="3"/>
      <c r="L1020" s="3"/>
      <c r="M1020" s="3"/>
      <c r="N1020" s="3"/>
      <c r="O1020" s="3"/>
      <c r="P1020" s="3"/>
      <c r="Q1020" s="3"/>
      <c r="R1020" s="3"/>
      <c r="S1020" s="3"/>
      <c r="T1020" s="3"/>
      <c r="U1020" s="3"/>
      <c r="V1020" s="3"/>
      <c r="W1020" s="3"/>
      <c r="X1020" s="3"/>
      <c r="Y1020" s="3"/>
      <c r="Z1020" s="3"/>
    </row>
    <row r="1021" spans="1:26" ht="14.25" customHeight="1">
      <c r="A1021" s="1"/>
      <c r="B1021" s="1"/>
      <c r="C1021" s="1"/>
      <c r="D1021" s="1"/>
      <c r="E1021" s="19"/>
      <c r="F1021" s="3"/>
      <c r="G1021" s="3"/>
      <c r="H1021" s="3"/>
      <c r="I1021" s="3"/>
      <c r="J1021" s="3"/>
      <c r="K1021" s="3"/>
      <c r="L1021" s="3"/>
      <c r="M1021" s="3"/>
      <c r="N1021" s="3"/>
      <c r="O1021" s="3"/>
      <c r="P1021" s="3"/>
      <c r="Q1021" s="3"/>
      <c r="R1021" s="3"/>
      <c r="S1021" s="3"/>
      <c r="T1021" s="3"/>
      <c r="U1021" s="3"/>
      <c r="V1021" s="3"/>
      <c r="W1021" s="3"/>
      <c r="X1021" s="3"/>
      <c r="Y1021" s="3"/>
      <c r="Z1021" s="3"/>
    </row>
    <row r="1022" spans="1:26" ht="14.25" customHeight="1">
      <c r="A1022" s="1"/>
      <c r="B1022" s="1"/>
      <c r="C1022" s="1"/>
      <c r="D1022" s="1"/>
      <c r="E1022" s="19"/>
      <c r="F1022" s="3"/>
      <c r="G1022" s="3"/>
      <c r="H1022" s="3"/>
      <c r="I1022" s="3"/>
      <c r="J1022" s="3"/>
      <c r="K1022" s="3"/>
      <c r="L1022" s="3"/>
      <c r="M1022" s="3"/>
      <c r="N1022" s="3"/>
      <c r="O1022" s="3"/>
      <c r="P1022" s="3"/>
      <c r="Q1022" s="3"/>
      <c r="R1022" s="3"/>
      <c r="S1022" s="3"/>
      <c r="T1022" s="3"/>
      <c r="U1022" s="3"/>
      <c r="V1022" s="3"/>
      <c r="W1022" s="3"/>
      <c r="X1022" s="3"/>
      <c r="Y1022" s="3"/>
      <c r="Z1022" s="3"/>
    </row>
    <row r="1023" spans="1:26" ht="14.25" customHeight="1">
      <c r="A1023" s="1"/>
      <c r="B1023" s="1"/>
      <c r="C1023" s="1"/>
      <c r="D1023" s="1"/>
      <c r="E1023" s="19"/>
      <c r="F1023" s="3"/>
      <c r="G1023" s="3"/>
      <c r="H1023" s="3"/>
      <c r="I1023" s="3"/>
      <c r="J1023" s="3"/>
      <c r="K1023" s="3"/>
      <c r="L1023" s="3"/>
      <c r="M1023" s="3"/>
      <c r="N1023" s="3"/>
      <c r="O1023" s="3"/>
      <c r="P1023" s="3"/>
      <c r="Q1023" s="3"/>
      <c r="R1023" s="3"/>
      <c r="S1023" s="3"/>
      <c r="T1023" s="3"/>
      <c r="U1023" s="3"/>
      <c r="V1023" s="3"/>
      <c r="W1023" s="3"/>
      <c r="X1023" s="3"/>
      <c r="Y1023" s="3"/>
      <c r="Z1023" s="3"/>
    </row>
    <row r="1024" spans="1:26" ht="14.25" customHeight="1">
      <c r="A1024" s="1"/>
      <c r="B1024" s="1"/>
      <c r="C1024" s="1"/>
      <c r="D1024" s="1"/>
      <c r="E1024" s="19"/>
      <c r="F1024" s="3"/>
      <c r="G1024" s="3"/>
      <c r="H1024" s="3"/>
      <c r="I1024" s="3"/>
      <c r="J1024" s="3"/>
      <c r="K1024" s="3"/>
      <c r="L1024" s="3"/>
      <c r="M1024" s="3"/>
      <c r="N1024" s="3"/>
      <c r="O1024" s="3"/>
      <c r="P1024" s="3"/>
      <c r="Q1024" s="3"/>
      <c r="R1024" s="3"/>
      <c r="S1024" s="3"/>
      <c r="T1024" s="3"/>
      <c r="U1024" s="3"/>
      <c r="V1024" s="3"/>
      <c r="W1024" s="3"/>
      <c r="X1024" s="3"/>
      <c r="Y1024" s="3"/>
      <c r="Z1024" s="3"/>
    </row>
    <row r="1025" spans="1:26" ht="14.25" customHeight="1">
      <c r="A1025" s="1"/>
      <c r="B1025" s="1"/>
      <c r="C1025" s="1"/>
      <c r="D1025" s="1"/>
      <c r="E1025" s="19"/>
      <c r="F1025" s="3"/>
      <c r="G1025" s="3"/>
      <c r="H1025" s="3"/>
      <c r="I1025" s="3"/>
      <c r="J1025" s="3"/>
      <c r="K1025" s="3"/>
      <c r="L1025" s="3"/>
      <c r="M1025" s="3"/>
      <c r="N1025" s="3"/>
      <c r="O1025" s="3"/>
      <c r="P1025" s="3"/>
      <c r="Q1025" s="3"/>
      <c r="R1025" s="3"/>
      <c r="S1025" s="3"/>
      <c r="T1025" s="3"/>
      <c r="U1025" s="3"/>
      <c r="V1025" s="3"/>
      <c r="W1025" s="3"/>
      <c r="X1025" s="3"/>
      <c r="Y1025" s="3"/>
      <c r="Z1025" s="3"/>
    </row>
    <row r="1026" spans="1:26" ht="14.25" customHeight="1">
      <c r="A1026" s="1"/>
      <c r="B1026" s="1"/>
      <c r="C1026" s="1"/>
      <c r="D1026" s="1"/>
      <c r="E1026" s="19"/>
      <c r="F1026" s="3"/>
      <c r="G1026" s="3"/>
      <c r="H1026" s="3"/>
      <c r="I1026" s="3"/>
      <c r="J1026" s="3"/>
      <c r="K1026" s="3"/>
      <c r="L1026" s="3"/>
      <c r="M1026" s="3"/>
      <c r="N1026" s="3"/>
      <c r="O1026" s="3"/>
      <c r="P1026" s="3"/>
      <c r="Q1026" s="3"/>
      <c r="R1026" s="3"/>
      <c r="S1026" s="3"/>
      <c r="T1026" s="3"/>
      <c r="U1026" s="3"/>
      <c r="V1026" s="3"/>
      <c r="W1026" s="3"/>
      <c r="X1026" s="3"/>
      <c r="Y1026" s="3"/>
      <c r="Z1026" s="3"/>
    </row>
    <row r="1027" spans="1:26" ht="14.25" customHeight="1">
      <c r="A1027" s="1"/>
      <c r="B1027" s="1"/>
      <c r="C1027" s="1"/>
      <c r="D1027" s="1"/>
      <c r="E1027" s="19"/>
      <c r="F1027" s="3"/>
      <c r="G1027" s="3"/>
      <c r="H1027" s="3"/>
      <c r="I1027" s="3"/>
      <c r="J1027" s="3"/>
      <c r="K1027" s="3"/>
      <c r="L1027" s="3"/>
      <c r="M1027" s="3"/>
      <c r="N1027" s="3"/>
      <c r="O1027" s="3"/>
      <c r="P1027" s="3"/>
      <c r="Q1027" s="3"/>
      <c r="R1027" s="3"/>
      <c r="S1027" s="3"/>
      <c r="T1027" s="3"/>
      <c r="U1027" s="3"/>
      <c r="V1027" s="3"/>
      <c r="W1027" s="3"/>
      <c r="X1027" s="3"/>
      <c r="Y1027" s="3"/>
      <c r="Z1027" s="3"/>
    </row>
    <row r="1028" spans="1:26" ht="14.25" customHeight="1">
      <c r="A1028" s="1"/>
      <c r="B1028" s="1"/>
      <c r="C1028" s="1"/>
      <c r="D1028" s="1"/>
      <c r="E1028" s="19"/>
      <c r="F1028" s="3"/>
      <c r="G1028" s="3"/>
      <c r="H1028" s="3"/>
      <c r="I1028" s="3"/>
      <c r="J1028" s="3"/>
      <c r="K1028" s="3"/>
      <c r="L1028" s="3"/>
      <c r="M1028" s="3"/>
      <c r="N1028" s="3"/>
      <c r="O1028" s="3"/>
      <c r="P1028" s="3"/>
      <c r="Q1028" s="3"/>
      <c r="R1028" s="3"/>
      <c r="S1028" s="3"/>
      <c r="T1028" s="3"/>
      <c r="U1028" s="3"/>
      <c r="V1028" s="3"/>
      <c r="W1028" s="3"/>
      <c r="X1028" s="3"/>
      <c r="Y1028" s="3"/>
      <c r="Z1028" s="3"/>
    </row>
    <row r="1029" spans="1:26" ht="14.25" customHeight="1">
      <c r="A1029" s="1"/>
      <c r="B1029" s="1"/>
      <c r="C1029" s="1"/>
      <c r="D1029" s="1"/>
      <c r="E1029" s="19"/>
      <c r="F1029" s="3"/>
      <c r="G1029" s="3"/>
      <c r="H1029" s="3"/>
      <c r="I1029" s="3"/>
      <c r="J1029" s="3"/>
      <c r="K1029" s="3"/>
      <c r="L1029" s="3"/>
      <c r="M1029" s="3"/>
      <c r="N1029" s="3"/>
      <c r="O1029" s="3"/>
      <c r="P1029" s="3"/>
      <c r="Q1029" s="3"/>
      <c r="R1029" s="3"/>
      <c r="S1029" s="3"/>
      <c r="T1029" s="3"/>
      <c r="U1029" s="3"/>
      <c r="V1029" s="3"/>
      <c r="W1029" s="3"/>
      <c r="X1029" s="3"/>
      <c r="Y1029" s="3"/>
      <c r="Z1029" s="3"/>
    </row>
    <row r="1030" spans="1:26" ht="14.25" customHeight="1">
      <c r="A1030" s="1"/>
      <c r="B1030" s="1"/>
      <c r="C1030" s="1"/>
      <c r="D1030" s="1"/>
      <c r="E1030" s="19"/>
      <c r="F1030" s="3"/>
      <c r="G1030" s="3"/>
      <c r="H1030" s="3"/>
      <c r="I1030" s="3"/>
      <c r="J1030" s="3"/>
      <c r="K1030" s="3"/>
      <c r="L1030" s="3"/>
      <c r="M1030" s="3"/>
      <c r="N1030" s="3"/>
      <c r="O1030" s="3"/>
      <c r="P1030" s="3"/>
      <c r="Q1030" s="3"/>
      <c r="R1030" s="3"/>
      <c r="S1030" s="3"/>
      <c r="T1030" s="3"/>
      <c r="U1030" s="3"/>
      <c r="V1030" s="3"/>
      <c r="W1030" s="3"/>
      <c r="X1030" s="3"/>
      <c r="Y1030" s="3"/>
      <c r="Z1030" s="3"/>
    </row>
    <row r="1031" spans="1:26" ht="14.25" customHeight="1">
      <c r="A1031" s="1"/>
      <c r="B1031" s="1"/>
      <c r="C1031" s="1"/>
      <c r="D1031" s="1"/>
      <c r="E1031" s="19"/>
      <c r="F1031" s="3"/>
      <c r="G1031" s="3"/>
      <c r="H1031" s="3"/>
      <c r="I1031" s="3"/>
      <c r="J1031" s="3"/>
      <c r="K1031" s="3"/>
      <c r="L1031" s="3"/>
      <c r="M1031" s="3"/>
      <c r="N1031" s="3"/>
      <c r="O1031" s="3"/>
      <c r="P1031" s="3"/>
      <c r="Q1031" s="3"/>
      <c r="R1031" s="3"/>
      <c r="S1031" s="3"/>
      <c r="T1031" s="3"/>
      <c r="U1031" s="3"/>
      <c r="V1031" s="3"/>
      <c r="W1031" s="3"/>
      <c r="X1031" s="3"/>
      <c r="Y1031" s="3"/>
      <c r="Z1031" s="3"/>
    </row>
    <row r="1032" spans="1:26" ht="14.25" customHeight="1">
      <c r="A1032" s="1"/>
      <c r="B1032" s="1"/>
      <c r="C1032" s="1"/>
      <c r="D1032" s="1"/>
      <c r="E1032" s="19"/>
      <c r="F1032" s="3"/>
      <c r="G1032" s="3"/>
      <c r="H1032" s="3"/>
      <c r="I1032" s="3"/>
      <c r="J1032" s="3"/>
      <c r="K1032" s="3"/>
      <c r="L1032" s="3"/>
      <c r="M1032" s="3"/>
      <c r="N1032" s="3"/>
      <c r="O1032" s="3"/>
      <c r="P1032" s="3"/>
      <c r="Q1032" s="3"/>
      <c r="R1032" s="3"/>
      <c r="S1032" s="3"/>
      <c r="T1032" s="3"/>
      <c r="U1032" s="3"/>
      <c r="V1032" s="3"/>
      <c r="W1032" s="3"/>
      <c r="X1032" s="3"/>
      <c r="Y1032" s="3"/>
      <c r="Z1032" s="3"/>
    </row>
    <row r="1033" spans="1:26" ht="14.25" customHeight="1">
      <c r="A1033" s="1"/>
      <c r="B1033" s="1"/>
      <c r="C1033" s="1"/>
      <c r="D1033" s="1"/>
      <c r="E1033" s="19"/>
      <c r="F1033" s="3"/>
      <c r="G1033" s="3"/>
      <c r="H1033" s="3"/>
      <c r="I1033" s="3"/>
      <c r="J1033" s="3"/>
      <c r="K1033" s="3"/>
      <c r="L1033" s="3"/>
      <c r="M1033" s="3"/>
      <c r="N1033" s="3"/>
      <c r="O1033" s="3"/>
      <c r="P1033" s="3"/>
      <c r="Q1033" s="3"/>
      <c r="R1033" s="3"/>
      <c r="S1033" s="3"/>
      <c r="T1033" s="3"/>
      <c r="U1033" s="3"/>
      <c r="V1033" s="3"/>
      <c r="W1033" s="3"/>
      <c r="X1033" s="3"/>
      <c r="Y1033" s="3"/>
      <c r="Z1033" s="3"/>
    </row>
    <row r="1034" spans="1:26" ht="14.25" customHeight="1">
      <c r="A1034" s="1"/>
      <c r="B1034" s="1"/>
      <c r="C1034" s="1"/>
      <c r="D1034" s="1"/>
      <c r="E1034" s="19"/>
      <c r="F1034" s="3"/>
      <c r="G1034" s="3"/>
      <c r="H1034" s="3"/>
      <c r="I1034" s="3"/>
      <c r="J1034" s="3"/>
      <c r="K1034" s="3"/>
      <c r="L1034" s="3"/>
      <c r="M1034" s="3"/>
      <c r="N1034" s="3"/>
      <c r="O1034" s="3"/>
      <c r="P1034" s="3"/>
      <c r="Q1034" s="3"/>
      <c r="R1034" s="3"/>
      <c r="S1034" s="3"/>
      <c r="T1034" s="3"/>
      <c r="U1034" s="3"/>
      <c r="V1034" s="3"/>
      <c r="W1034" s="3"/>
      <c r="X1034" s="3"/>
      <c r="Y1034" s="3"/>
      <c r="Z1034" s="3"/>
    </row>
    <row r="1035" spans="1:26" ht="14.25" customHeight="1">
      <c r="A1035" s="1"/>
      <c r="B1035" s="1"/>
      <c r="C1035" s="1"/>
      <c r="D1035" s="1"/>
      <c r="E1035" s="19"/>
      <c r="F1035" s="3"/>
      <c r="G1035" s="3"/>
      <c r="H1035" s="3"/>
      <c r="I1035" s="3"/>
      <c r="J1035" s="3"/>
      <c r="K1035" s="3"/>
      <c r="L1035" s="3"/>
      <c r="M1035" s="3"/>
      <c r="N1035" s="3"/>
      <c r="O1035" s="3"/>
      <c r="P1035" s="3"/>
      <c r="Q1035" s="3"/>
      <c r="R1035" s="3"/>
      <c r="S1035" s="3"/>
      <c r="T1035" s="3"/>
      <c r="U1035" s="3"/>
      <c r="V1035" s="3"/>
      <c r="W1035" s="3"/>
      <c r="X1035" s="3"/>
      <c r="Y1035" s="3"/>
      <c r="Z1035" s="3"/>
    </row>
    <row r="1036" spans="1:26" ht="14.25" customHeight="1">
      <c r="A1036" s="1"/>
      <c r="B1036" s="1"/>
      <c r="C1036" s="1"/>
      <c r="D1036" s="1"/>
      <c r="E1036" s="19"/>
      <c r="F1036" s="3"/>
      <c r="G1036" s="3"/>
      <c r="H1036" s="3"/>
      <c r="I1036" s="3"/>
      <c r="J1036" s="3"/>
      <c r="K1036" s="3"/>
      <c r="L1036" s="3"/>
      <c r="M1036" s="3"/>
      <c r="N1036" s="3"/>
      <c r="O1036" s="3"/>
      <c r="P1036" s="3"/>
      <c r="Q1036" s="3"/>
      <c r="R1036" s="3"/>
      <c r="S1036" s="3"/>
      <c r="T1036" s="3"/>
      <c r="U1036" s="3"/>
      <c r="V1036" s="3"/>
      <c r="W1036" s="3"/>
      <c r="X1036" s="3"/>
      <c r="Y1036" s="3"/>
      <c r="Z1036" s="3"/>
    </row>
    <row r="1037" spans="1:26" ht="14.25" customHeight="1">
      <c r="A1037" s="1"/>
      <c r="B1037" s="1"/>
      <c r="C1037" s="1"/>
      <c r="D1037" s="1"/>
      <c r="E1037" s="19"/>
      <c r="F1037" s="3"/>
      <c r="G1037" s="3"/>
      <c r="H1037" s="3"/>
      <c r="I1037" s="3"/>
      <c r="J1037" s="3"/>
      <c r="K1037" s="3"/>
      <c r="L1037" s="3"/>
      <c r="M1037" s="3"/>
      <c r="N1037" s="3"/>
      <c r="O1037" s="3"/>
      <c r="P1037" s="3"/>
      <c r="Q1037" s="3"/>
      <c r="R1037" s="3"/>
      <c r="S1037" s="3"/>
      <c r="T1037" s="3"/>
      <c r="U1037" s="3"/>
      <c r="V1037" s="3"/>
      <c r="W1037" s="3"/>
      <c r="X1037" s="3"/>
      <c r="Y1037" s="3"/>
      <c r="Z1037" s="3"/>
    </row>
    <row r="1038" spans="1:26" ht="14.25" customHeight="1">
      <c r="A1038" s="1"/>
      <c r="B1038" s="1"/>
      <c r="C1038" s="1"/>
      <c r="D1038" s="1"/>
      <c r="E1038" s="19"/>
      <c r="F1038" s="3"/>
      <c r="G1038" s="3"/>
      <c r="H1038" s="3"/>
      <c r="I1038" s="3"/>
      <c r="J1038" s="3"/>
      <c r="K1038" s="3"/>
      <c r="L1038" s="3"/>
      <c r="M1038" s="3"/>
      <c r="N1038" s="3"/>
      <c r="O1038" s="3"/>
      <c r="P1038" s="3"/>
      <c r="Q1038" s="3"/>
      <c r="R1038" s="3"/>
      <c r="S1038" s="3"/>
      <c r="T1038" s="3"/>
      <c r="U1038" s="3"/>
      <c r="V1038" s="3"/>
      <c r="W1038" s="3"/>
      <c r="X1038" s="3"/>
      <c r="Y1038" s="3"/>
      <c r="Z1038" s="3"/>
    </row>
    <row r="1039" spans="1:26" ht="14.25" customHeight="1">
      <c r="A1039" s="1"/>
      <c r="B1039" s="1"/>
      <c r="C1039" s="1"/>
      <c r="D1039" s="1"/>
      <c r="E1039" s="19"/>
      <c r="F1039" s="3"/>
      <c r="G1039" s="3"/>
      <c r="H1039" s="3"/>
      <c r="I1039" s="3"/>
      <c r="J1039" s="3"/>
      <c r="K1039" s="3"/>
      <c r="L1039" s="3"/>
      <c r="M1039" s="3"/>
      <c r="N1039" s="3"/>
      <c r="O1039" s="3"/>
      <c r="P1039" s="3"/>
      <c r="Q1039" s="3"/>
      <c r="R1039" s="3"/>
      <c r="S1039" s="3"/>
      <c r="T1039" s="3"/>
      <c r="U1039" s="3"/>
      <c r="V1039" s="3"/>
      <c r="W1039" s="3"/>
      <c r="X1039" s="3"/>
      <c r="Y1039" s="3"/>
      <c r="Z1039" s="3"/>
    </row>
    <row r="1040" spans="1:26" ht="14.25" customHeight="1">
      <c r="A1040" s="1"/>
      <c r="B1040" s="1"/>
      <c r="C1040" s="1"/>
      <c r="D1040" s="1"/>
      <c r="E1040" s="19"/>
      <c r="F1040" s="3"/>
      <c r="G1040" s="3"/>
      <c r="H1040" s="3"/>
      <c r="I1040" s="3"/>
      <c r="J1040" s="3"/>
      <c r="K1040" s="3"/>
      <c r="L1040" s="3"/>
      <c r="M1040" s="3"/>
      <c r="N1040" s="3"/>
      <c r="O1040" s="3"/>
      <c r="P1040" s="3"/>
      <c r="Q1040" s="3"/>
      <c r="R1040" s="3"/>
      <c r="S1040" s="3"/>
      <c r="T1040" s="3"/>
      <c r="U1040" s="3"/>
      <c r="V1040" s="3"/>
      <c r="W1040" s="3"/>
      <c r="X1040" s="3"/>
      <c r="Y1040" s="3"/>
      <c r="Z1040" s="3"/>
    </row>
    <row r="1041" spans="1:26" ht="14.25" customHeight="1">
      <c r="A1041" s="1"/>
      <c r="B1041" s="1"/>
      <c r="C1041" s="1"/>
      <c r="D1041" s="1"/>
      <c r="E1041" s="19"/>
      <c r="F1041" s="3"/>
      <c r="G1041" s="3"/>
      <c r="H1041" s="3"/>
      <c r="I1041" s="3"/>
      <c r="J1041" s="3"/>
      <c r="K1041" s="3"/>
      <c r="L1041" s="3"/>
      <c r="M1041" s="3"/>
      <c r="N1041" s="3"/>
      <c r="O1041" s="3"/>
      <c r="P1041" s="3"/>
      <c r="Q1041" s="3"/>
      <c r="R1041" s="3"/>
      <c r="S1041" s="3"/>
      <c r="T1041" s="3"/>
      <c r="U1041" s="3"/>
      <c r="V1041" s="3"/>
      <c r="W1041" s="3"/>
      <c r="X1041" s="3"/>
      <c r="Y1041" s="3"/>
      <c r="Z1041" s="3"/>
    </row>
    <row r="1042" spans="1:26" ht="14.25" customHeight="1">
      <c r="A1042" s="1"/>
      <c r="B1042" s="1"/>
      <c r="C1042" s="1"/>
      <c r="D1042" s="1"/>
      <c r="E1042" s="19"/>
      <c r="F1042" s="3"/>
      <c r="G1042" s="3"/>
      <c r="H1042" s="3"/>
      <c r="I1042" s="3"/>
      <c r="J1042" s="3"/>
      <c r="K1042" s="3"/>
      <c r="L1042" s="3"/>
      <c r="M1042" s="3"/>
      <c r="N1042" s="3"/>
      <c r="O1042" s="3"/>
      <c r="P1042" s="3"/>
      <c r="Q1042" s="3"/>
      <c r="R1042" s="3"/>
      <c r="S1042" s="3"/>
      <c r="T1042" s="3"/>
      <c r="U1042" s="3"/>
      <c r="V1042" s="3"/>
      <c r="W1042" s="3"/>
      <c r="X1042" s="3"/>
      <c r="Y1042" s="3"/>
      <c r="Z1042" s="3"/>
    </row>
    <row r="1043" spans="1:26" ht="14.25" customHeight="1">
      <c r="A1043" s="1"/>
      <c r="B1043" s="1"/>
      <c r="C1043" s="1"/>
      <c r="D1043" s="1"/>
      <c r="E1043" s="19"/>
      <c r="F1043" s="3"/>
      <c r="G1043" s="3"/>
      <c r="H1043" s="3"/>
      <c r="I1043" s="3"/>
      <c r="J1043" s="3"/>
      <c r="K1043" s="3"/>
      <c r="L1043" s="3"/>
      <c r="M1043" s="3"/>
      <c r="N1043" s="3"/>
      <c r="O1043" s="3"/>
      <c r="P1043" s="3"/>
      <c r="Q1043" s="3"/>
      <c r="R1043" s="3"/>
      <c r="S1043" s="3"/>
      <c r="T1043" s="3"/>
      <c r="U1043" s="3"/>
      <c r="V1043" s="3"/>
      <c r="W1043" s="3"/>
      <c r="X1043" s="3"/>
      <c r="Y1043" s="3"/>
      <c r="Z1043" s="3"/>
    </row>
    <row r="1044" spans="1:26" ht="14.25" customHeight="1">
      <c r="A1044" s="1"/>
      <c r="B1044" s="1"/>
      <c r="C1044" s="1"/>
      <c r="D1044" s="1"/>
      <c r="E1044" s="19"/>
      <c r="F1044" s="3"/>
      <c r="G1044" s="3"/>
      <c r="H1044" s="3"/>
      <c r="I1044" s="3"/>
      <c r="J1044" s="3"/>
      <c r="K1044" s="3"/>
      <c r="L1044" s="3"/>
      <c r="M1044" s="3"/>
      <c r="N1044" s="3"/>
      <c r="O1044" s="3"/>
      <c r="P1044" s="3"/>
      <c r="Q1044" s="3"/>
      <c r="R1044" s="3"/>
      <c r="S1044" s="3"/>
      <c r="T1044" s="3"/>
      <c r="U1044" s="3"/>
      <c r="V1044" s="3"/>
      <c r="W1044" s="3"/>
      <c r="X1044" s="3"/>
      <c r="Y1044" s="3"/>
      <c r="Z1044" s="3"/>
    </row>
    <row r="1045" spans="1:26" ht="14.25" customHeight="1">
      <c r="A1045" s="1"/>
      <c r="B1045" s="1"/>
      <c r="C1045" s="1"/>
      <c r="D1045" s="1"/>
      <c r="E1045" s="19"/>
      <c r="F1045" s="3"/>
      <c r="G1045" s="3"/>
      <c r="H1045" s="3"/>
      <c r="I1045" s="3"/>
      <c r="J1045" s="3"/>
      <c r="K1045" s="3"/>
      <c r="L1045" s="3"/>
      <c r="M1045" s="3"/>
      <c r="N1045" s="3"/>
      <c r="O1045" s="3"/>
      <c r="P1045" s="3"/>
      <c r="Q1045" s="3"/>
      <c r="R1045" s="3"/>
      <c r="S1045" s="3"/>
      <c r="T1045" s="3"/>
      <c r="U1045" s="3"/>
      <c r="V1045" s="3"/>
      <c r="W1045" s="3"/>
      <c r="X1045" s="3"/>
      <c r="Y1045" s="3"/>
      <c r="Z1045" s="3"/>
    </row>
    <row r="1046" spans="1:26" ht="14.25" customHeight="1">
      <c r="A1046" s="1"/>
      <c r="B1046" s="1"/>
      <c r="C1046" s="1"/>
      <c r="D1046" s="1"/>
      <c r="E1046" s="19"/>
      <c r="F1046" s="3"/>
      <c r="G1046" s="3"/>
      <c r="H1046" s="3"/>
      <c r="I1046" s="3"/>
      <c r="J1046" s="3"/>
      <c r="K1046" s="3"/>
      <c r="L1046" s="3"/>
      <c r="M1046" s="3"/>
      <c r="N1046" s="3"/>
      <c r="O1046" s="3"/>
      <c r="P1046" s="3"/>
      <c r="Q1046" s="3"/>
      <c r="R1046" s="3"/>
      <c r="S1046" s="3"/>
      <c r="T1046" s="3"/>
      <c r="U1046" s="3"/>
      <c r="V1046" s="3"/>
      <c r="W1046" s="3"/>
      <c r="X1046" s="3"/>
      <c r="Y1046" s="3"/>
      <c r="Z1046" s="3"/>
    </row>
    <row r="1047" spans="1:26" ht="14.25" customHeight="1">
      <c r="A1047" s="1"/>
      <c r="B1047" s="1"/>
      <c r="C1047" s="1"/>
      <c r="D1047" s="1"/>
      <c r="E1047" s="19"/>
      <c r="F1047" s="3"/>
      <c r="G1047" s="3"/>
      <c r="H1047" s="3"/>
      <c r="I1047" s="3"/>
      <c r="J1047" s="3"/>
      <c r="K1047" s="3"/>
      <c r="L1047" s="3"/>
      <c r="M1047" s="3"/>
      <c r="N1047" s="3"/>
      <c r="O1047" s="3"/>
      <c r="P1047" s="3"/>
      <c r="Q1047" s="3"/>
      <c r="R1047" s="3"/>
      <c r="S1047" s="3"/>
      <c r="T1047" s="3"/>
      <c r="U1047" s="3"/>
      <c r="V1047" s="3"/>
      <c r="W1047" s="3"/>
      <c r="X1047" s="3"/>
      <c r="Y1047" s="3"/>
      <c r="Z1047" s="3"/>
    </row>
    <row r="1048" spans="1:26" ht="14.25" customHeight="1">
      <c r="A1048" s="1"/>
      <c r="B1048" s="1"/>
      <c r="C1048" s="1"/>
      <c r="D1048" s="1"/>
      <c r="E1048" s="19"/>
      <c r="F1048" s="3"/>
      <c r="G1048" s="3"/>
      <c r="H1048" s="3"/>
      <c r="I1048" s="3"/>
      <c r="J1048" s="3"/>
      <c r="K1048" s="3"/>
      <c r="L1048" s="3"/>
      <c r="M1048" s="3"/>
      <c r="N1048" s="3"/>
      <c r="O1048" s="3"/>
      <c r="P1048" s="3"/>
      <c r="Q1048" s="3"/>
      <c r="R1048" s="3"/>
      <c r="S1048" s="3"/>
      <c r="T1048" s="3"/>
      <c r="U1048" s="3"/>
      <c r="V1048" s="3"/>
      <c r="W1048" s="3"/>
      <c r="X1048" s="3"/>
      <c r="Y1048" s="3"/>
      <c r="Z1048" s="3"/>
    </row>
    <row r="1049" spans="1:26" ht="14.25" customHeight="1">
      <c r="A1049" s="1"/>
      <c r="B1049" s="1"/>
      <c r="C1049" s="1"/>
      <c r="D1049" s="1"/>
      <c r="E1049" s="19"/>
      <c r="F1049" s="3"/>
      <c r="G1049" s="3"/>
      <c r="H1049" s="3"/>
      <c r="I1049" s="3"/>
      <c r="J1049" s="3"/>
      <c r="K1049" s="3"/>
      <c r="L1049" s="3"/>
      <c r="M1049" s="3"/>
      <c r="N1049" s="3"/>
      <c r="O1049" s="3"/>
      <c r="P1049" s="3"/>
      <c r="Q1049" s="3"/>
      <c r="R1049" s="3"/>
      <c r="S1049" s="3"/>
      <c r="T1049" s="3"/>
      <c r="U1049" s="3"/>
      <c r="V1049" s="3"/>
      <c r="W1049" s="3"/>
      <c r="X1049" s="3"/>
      <c r="Y1049" s="3"/>
      <c r="Z1049" s="3"/>
    </row>
    <row r="1050" spans="1:26" ht="14.25" customHeight="1">
      <c r="A1050" s="1"/>
      <c r="B1050" s="1"/>
      <c r="C1050" s="1"/>
      <c r="D1050" s="1"/>
      <c r="E1050" s="19"/>
      <c r="F1050" s="3"/>
      <c r="G1050" s="3"/>
      <c r="H1050" s="3"/>
      <c r="I1050" s="3"/>
      <c r="J1050" s="3"/>
      <c r="K1050" s="3"/>
      <c r="L1050" s="3"/>
      <c r="M1050" s="3"/>
      <c r="N1050" s="3"/>
      <c r="O1050" s="3"/>
      <c r="P1050" s="3"/>
      <c r="Q1050" s="3"/>
      <c r="R1050" s="3"/>
      <c r="S1050" s="3"/>
      <c r="T1050" s="3"/>
      <c r="U1050" s="3"/>
      <c r="V1050" s="3"/>
      <c r="W1050" s="3"/>
      <c r="X1050" s="3"/>
      <c r="Y1050" s="3"/>
      <c r="Z1050" s="3"/>
    </row>
    <row r="1051" spans="1:26" ht="14.25" customHeight="1">
      <c r="A1051" s="1"/>
      <c r="B1051" s="1"/>
      <c r="C1051" s="1"/>
      <c r="D1051" s="1"/>
      <c r="E1051" s="19"/>
      <c r="F1051" s="3"/>
      <c r="G1051" s="3"/>
      <c r="H1051" s="3"/>
      <c r="I1051" s="3"/>
      <c r="J1051" s="3"/>
      <c r="K1051" s="3"/>
      <c r="L1051" s="3"/>
      <c r="M1051" s="3"/>
      <c r="N1051" s="3"/>
      <c r="O1051" s="3"/>
      <c r="P1051" s="3"/>
      <c r="Q1051" s="3"/>
      <c r="R1051" s="3"/>
      <c r="S1051" s="3"/>
      <c r="T1051" s="3"/>
      <c r="U1051" s="3"/>
      <c r="V1051" s="3"/>
      <c r="W1051" s="3"/>
      <c r="X1051" s="3"/>
      <c r="Y1051" s="3"/>
      <c r="Z1051" s="3"/>
    </row>
    <row r="1052" spans="1:26" ht="14.25" customHeight="1">
      <c r="A1052" s="1"/>
      <c r="B1052" s="1"/>
      <c r="C1052" s="1"/>
      <c r="D1052" s="1"/>
      <c r="E1052" s="19"/>
      <c r="F1052" s="3"/>
      <c r="G1052" s="3"/>
      <c r="H1052" s="3"/>
      <c r="I1052" s="3"/>
      <c r="J1052" s="3"/>
      <c r="K1052" s="3"/>
      <c r="L1052" s="3"/>
      <c r="M1052" s="3"/>
      <c r="N1052" s="3"/>
      <c r="O1052" s="3"/>
      <c r="P1052" s="3"/>
      <c r="Q1052" s="3"/>
      <c r="R1052" s="3"/>
      <c r="S1052" s="3"/>
      <c r="T1052" s="3"/>
      <c r="U1052" s="3"/>
      <c r="V1052" s="3"/>
      <c r="W1052" s="3"/>
      <c r="X1052" s="3"/>
      <c r="Y1052" s="3"/>
      <c r="Z1052" s="3"/>
    </row>
    <row r="1053" spans="1:26" ht="14.25" customHeight="1">
      <c r="A1053" s="1"/>
      <c r="B1053" s="1"/>
      <c r="C1053" s="1"/>
      <c r="D1053" s="1"/>
      <c r="E1053" s="19"/>
      <c r="F1053" s="3"/>
      <c r="G1053" s="3"/>
      <c r="H1053" s="3"/>
      <c r="I1053" s="3"/>
      <c r="J1053" s="3"/>
      <c r="K1053" s="3"/>
      <c r="L1053" s="3"/>
      <c r="M1053" s="3"/>
      <c r="N1053" s="3"/>
      <c r="O1053" s="3"/>
      <c r="P1053" s="3"/>
      <c r="Q1053" s="3"/>
      <c r="R1053" s="3"/>
      <c r="S1053" s="3"/>
      <c r="T1053" s="3"/>
      <c r="U1053" s="3"/>
      <c r="V1053" s="3"/>
      <c r="W1053" s="3"/>
      <c r="X1053" s="3"/>
      <c r="Y1053" s="3"/>
      <c r="Z1053" s="3"/>
    </row>
    <row r="1054" spans="1:26" ht="14.25" customHeight="1">
      <c r="A1054" s="1"/>
      <c r="B1054" s="1"/>
      <c r="C1054" s="1"/>
      <c r="D1054" s="1"/>
      <c r="E1054" s="19"/>
      <c r="F1054" s="3"/>
      <c r="G1054" s="3"/>
      <c r="H1054" s="3"/>
      <c r="I1054" s="3"/>
      <c r="J1054" s="3"/>
      <c r="K1054" s="3"/>
      <c r="L1054" s="3"/>
      <c r="M1054" s="3"/>
      <c r="N1054" s="3"/>
      <c r="O1054" s="3"/>
      <c r="P1054" s="3"/>
      <c r="Q1054" s="3"/>
      <c r="R1054" s="3"/>
      <c r="S1054" s="3"/>
      <c r="T1054" s="3"/>
      <c r="U1054" s="3"/>
      <c r="V1054" s="3"/>
      <c r="W1054" s="3"/>
      <c r="X1054" s="3"/>
      <c r="Y1054" s="3"/>
      <c r="Z1054" s="3"/>
    </row>
    <row r="1055" spans="1:26" ht="14.25" customHeight="1">
      <c r="A1055" s="1"/>
      <c r="B1055" s="1"/>
      <c r="C1055" s="1"/>
      <c r="D1055" s="1"/>
      <c r="E1055" s="19"/>
      <c r="F1055" s="3"/>
      <c r="G1055" s="3"/>
      <c r="H1055" s="3"/>
      <c r="I1055" s="3"/>
      <c r="J1055" s="3"/>
      <c r="K1055" s="3"/>
      <c r="L1055" s="3"/>
      <c r="M1055" s="3"/>
      <c r="N1055" s="3"/>
      <c r="O1055" s="3"/>
      <c r="P1055" s="3"/>
      <c r="Q1055" s="3"/>
      <c r="R1055" s="3"/>
      <c r="S1055" s="3"/>
      <c r="T1055" s="3"/>
      <c r="U1055" s="3"/>
      <c r="V1055" s="3"/>
      <c r="W1055" s="3"/>
      <c r="X1055" s="3"/>
      <c r="Y1055" s="3"/>
      <c r="Z1055" s="3"/>
    </row>
    <row r="1056" spans="1:26" ht="14.25" customHeight="1">
      <c r="A1056" s="1"/>
      <c r="B1056" s="1"/>
      <c r="C1056" s="1"/>
      <c r="D1056" s="1"/>
      <c r="E1056" s="19"/>
      <c r="F1056" s="3"/>
      <c r="G1056" s="3"/>
      <c r="H1056" s="3"/>
      <c r="I1056" s="3"/>
      <c r="J1056" s="3"/>
      <c r="K1056" s="3"/>
      <c r="L1056" s="3"/>
      <c r="M1056" s="3"/>
      <c r="N1056" s="3"/>
      <c r="O1056" s="3"/>
      <c r="P1056" s="3"/>
      <c r="Q1056" s="3"/>
      <c r="R1056" s="3"/>
      <c r="S1056" s="3"/>
      <c r="T1056" s="3"/>
      <c r="U1056" s="3"/>
      <c r="V1056" s="3"/>
      <c r="W1056" s="3"/>
      <c r="X1056" s="3"/>
      <c r="Y1056" s="3"/>
      <c r="Z1056" s="3"/>
    </row>
    <row r="1057" spans="1:26" ht="14.25" customHeight="1">
      <c r="A1057" s="1"/>
      <c r="B1057" s="1"/>
      <c r="C1057" s="1"/>
      <c r="D1057" s="1"/>
      <c r="E1057" s="19"/>
      <c r="F1057" s="3"/>
      <c r="G1057" s="3"/>
      <c r="H1057" s="3"/>
      <c r="I1057" s="3"/>
      <c r="J1057" s="3"/>
      <c r="K1057" s="3"/>
      <c r="L1057" s="3"/>
      <c r="M1057" s="3"/>
      <c r="N1057" s="3"/>
      <c r="O1057" s="3"/>
      <c r="P1057" s="3"/>
      <c r="Q1057" s="3"/>
      <c r="R1057" s="3"/>
      <c r="S1057" s="3"/>
      <c r="T1057" s="3"/>
      <c r="U1057" s="3"/>
      <c r="V1057" s="3"/>
      <c r="W1057" s="3"/>
      <c r="X1057" s="3"/>
      <c r="Y1057" s="3"/>
      <c r="Z1057" s="3"/>
    </row>
    <row r="1058" spans="1:26" ht="14.25" customHeight="1">
      <c r="A1058" s="1"/>
      <c r="B1058" s="1"/>
      <c r="C1058" s="1"/>
      <c r="D1058" s="1"/>
      <c r="E1058" s="19"/>
      <c r="F1058" s="3"/>
      <c r="G1058" s="3"/>
      <c r="H1058" s="3"/>
      <c r="I1058" s="3"/>
      <c r="J1058" s="3"/>
      <c r="K1058" s="3"/>
      <c r="L1058" s="3"/>
      <c r="M1058" s="3"/>
      <c r="N1058" s="3"/>
      <c r="O1058" s="3"/>
      <c r="P1058" s="3"/>
      <c r="Q1058" s="3"/>
      <c r="R1058" s="3"/>
      <c r="S1058" s="3"/>
      <c r="T1058" s="3"/>
      <c r="U1058" s="3"/>
      <c r="V1058" s="3"/>
      <c r="W1058" s="3"/>
      <c r="X1058" s="3"/>
      <c r="Y1058" s="3"/>
      <c r="Z1058" s="3"/>
    </row>
    <row r="1059" spans="1:26" ht="14.25" customHeight="1">
      <c r="A1059" s="1"/>
      <c r="B1059" s="1"/>
      <c r="C1059" s="1"/>
      <c r="D1059" s="1"/>
      <c r="E1059" s="19"/>
      <c r="F1059" s="3"/>
      <c r="G1059" s="3"/>
      <c r="H1059" s="3"/>
      <c r="I1059" s="3"/>
      <c r="J1059" s="3"/>
      <c r="K1059" s="3"/>
      <c r="L1059" s="3"/>
      <c r="M1059" s="3"/>
      <c r="N1059" s="3"/>
      <c r="O1059" s="3"/>
      <c r="P1059" s="3"/>
      <c r="Q1059" s="3"/>
      <c r="R1059" s="3"/>
      <c r="S1059" s="3"/>
      <c r="T1059" s="3"/>
      <c r="U1059" s="3"/>
      <c r="V1059" s="3"/>
      <c r="W1059" s="3"/>
      <c r="X1059" s="3"/>
      <c r="Y1059" s="3"/>
      <c r="Z1059" s="3"/>
    </row>
    <row r="1060" spans="1:26" ht="14.25" customHeight="1">
      <c r="A1060" s="1"/>
      <c r="B1060" s="1"/>
      <c r="C1060" s="1"/>
      <c r="D1060" s="1"/>
      <c r="E1060" s="19"/>
      <c r="F1060" s="3"/>
      <c r="G1060" s="3"/>
      <c r="H1060" s="3"/>
      <c r="I1060" s="3"/>
      <c r="J1060" s="3"/>
      <c r="K1060" s="3"/>
      <c r="L1060" s="3"/>
      <c r="M1060" s="3"/>
      <c r="N1060" s="3"/>
      <c r="O1060" s="3"/>
      <c r="P1060" s="3"/>
      <c r="Q1060" s="3"/>
      <c r="R1060" s="3"/>
      <c r="S1060" s="3"/>
      <c r="T1060" s="3"/>
      <c r="U1060" s="3"/>
      <c r="V1060" s="3"/>
      <c r="W1060" s="3"/>
      <c r="X1060" s="3"/>
      <c r="Y1060" s="3"/>
      <c r="Z1060" s="3"/>
    </row>
    <row r="1061" spans="1:26" ht="14.25" customHeight="1">
      <c r="A1061" s="1"/>
      <c r="B1061" s="1"/>
      <c r="C1061" s="1"/>
      <c r="D1061" s="1"/>
      <c r="E1061" s="19"/>
      <c r="F1061" s="3"/>
      <c r="G1061" s="3"/>
      <c r="H1061" s="3"/>
      <c r="I1061" s="3"/>
      <c r="J1061" s="3"/>
      <c r="K1061" s="3"/>
      <c r="L1061" s="3"/>
      <c r="M1061" s="3"/>
      <c r="N1061" s="3"/>
      <c r="O1061" s="3"/>
      <c r="P1061" s="3"/>
      <c r="Q1061" s="3"/>
      <c r="R1061" s="3"/>
      <c r="S1061" s="3"/>
      <c r="T1061" s="3"/>
      <c r="U1061" s="3"/>
      <c r="V1061" s="3"/>
      <c r="W1061" s="3"/>
      <c r="X1061" s="3"/>
      <c r="Y1061" s="3"/>
      <c r="Z1061" s="3"/>
    </row>
    <row r="1062" spans="1:26" ht="14.25" customHeight="1">
      <c r="A1062" s="1"/>
      <c r="B1062" s="1"/>
      <c r="C1062" s="1"/>
      <c r="D1062" s="1"/>
      <c r="E1062" s="19"/>
      <c r="F1062" s="3"/>
      <c r="G1062" s="3"/>
      <c r="H1062" s="3"/>
      <c r="I1062" s="3"/>
      <c r="J1062" s="3"/>
      <c r="K1062" s="3"/>
      <c r="L1062" s="3"/>
      <c r="M1062" s="3"/>
      <c r="N1062" s="3"/>
      <c r="O1062" s="3"/>
      <c r="P1062" s="3"/>
      <c r="Q1062" s="3"/>
      <c r="R1062" s="3"/>
      <c r="S1062" s="3"/>
      <c r="T1062" s="3"/>
      <c r="U1062" s="3"/>
      <c r="V1062" s="3"/>
      <c r="W1062" s="3"/>
      <c r="X1062" s="3"/>
      <c r="Y1062" s="3"/>
      <c r="Z1062" s="3"/>
    </row>
    <row r="1063" spans="1:26" ht="14.25" customHeight="1">
      <c r="A1063" s="1"/>
      <c r="B1063" s="1"/>
      <c r="C1063" s="1"/>
      <c r="D1063" s="1"/>
      <c r="E1063" s="19"/>
      <c r="F1063" s="3"/>
      <c r="G1063" s="3"/>
      <c r="H1063" s="3"/>
      <c r="I1063" s="3"/>
      <c r="J1063" s="3"/>
      <c r="K1063" s="3"/>
      <c r="L1063" s="3"/>
      <c r="M1063" s="3"/>
      <c r="N1063" s="3"/>
      <c r="O1063" s="3"/>
      <c r="P1063" s="3"/>
      <c r="Q1063" s="3"/>
      <c r="R1063" s="3"/>
      <c r="S1063" s="3"/>
      <c r="T1063" s="3"/>
      <c r="U1063" s="3"/>
      <c r="V1063" s="3"/>
      <c r="W1063" s="3"/>
      <c r="X1063" s="3"/>
      <c r="Y1063" s="3"/>
      <c r="Z1063" s="3"/>
    </row>
    <row r="1064" spans="1:26" ht="14.25" customHeight="1">
      <c r="A1064" s="1"/>
      <c r="B1064" s="1"/>
      <c r="C1064" s="1"/>
      <c r="D1064" s="1"/>
      <c r="E1064" s="19"/>
      <c r="F1064" s="3"/>
      <c r="G1064" s="3"/>
      <c r="H1064" s="3"/>
      <c r="I1064" s="3"/>
      <c r="J1064" s="3"/>
      <c r="K1064" s="3"/>
      <c r="L1064" s="3"/>
      <c r="M1064" s="3"/>
      <c r="N1064" s="3"/>
      <c r="O1064" s="3"/>
      <c r="P1064" s="3"/>
      <c r="Q1064" s="3"/>
      <c r="R1064" s="3"/>
      <c r="S1064" s="3"/>
      <c r="T1064" s="3"/>
      <c r="U1064" s="3"/>
      <c r="V1064" s="3"/>
      <c r="W1064" s="3"/>
      <c r="X1064" s="3"/>
      <c r="Y1064" s="3"/>
      <c r="Z1064" s="3"/>
    </row>
    <row r="1065" spans="1:26" ht="14.25" customHeight="1">
      <c r="A1065" s="1"/>
      <c r="B1065" s="1"/>
      <c r="C1065" s="1"/>
      <c r="D1065" s="1"/>
      <c r="E1065" s="19"/>
      <c r="F1065" s="3"/>
      <c r="G1065" s="3"/>
      <c r="H1065" s="3"/>
      <c r="I1065" s="3"/>
      <c r="J1065" s="3"/>
      <c r="K1065" s="3"/>
      <c r="L1065" s="3"/>
      <c r="M1065" s="3"/>
      <c r="N1065" s="3"/>
      <c r="O1065" s="3"/>
      <c r="P1065" s="3"/>
      <c r="Q1065" s="3"/>
      <c r="R1065" s="3"/>
      <c r="S1065" s="3"/>
      <c r="T1065" s="3"/>
      <c r="U1065" s="3"/>
      <c r="V1065" s="3"/>
      <c r="W1065" s="3"/>
      <c r="X1065" s="3"/>
      <c r="Y1065" s="3"/>
      <c r="Z1065" s="3"/>
    </row>
    <row r="1066" spans="1:26" ht="14.25" customHeight="1">
      <c r="A1066" s="1"/>
      <c r="B1066" s="1"/>
      <c r="C1066" s="1"/>
      <c r="D1066" s="1"/>
      <c r="E1066" s="19"/>
      <c r="F1066" s="3"/>
      <c r="G1066" s="3"/>
      <c r="H1066" s="3"/>
      <c r="I1066" s="3"/>
      <c r="J1066" s="3"/>
      <c r="K1066" s="3"/>
      <c r="L1066" s="3"/>
      <c r="M1066" s="3"/>
      <c r="N1066" s="3"/>
      <c r="O1066" s="3"/>
      <c r="P1066" s="3"/>
      <c r="Q1066" s="3"/>
      <c r="R1066" s="3"/>
      <c r="S1066" s="3"/>
      <c r="T1066" s="3"/>
      <c r="U1066" s="3"/>
      <c r="V1066" s="3"/>
      <c r="W1066" s="3"/>
      <c r="X1066" s="3"/>
      <c r="Y1066" s="3"/>
      <c r="Z1066" s="3"/>
    </row>
    <row r="1067" spans="1:26" ht="14.25" customHeight="1">
      <c r="A1067" s="1"/>
      <c r="B1067" s="1"/>
      <c r="C1067" s="1"/>
      <c r="D1067" s="1"/>
      <c r="E1067" s="19"/>
      <c r="F1067" s="3"/>
      <c r="G1067" s="3"/>
      <c r="H1067" s="3"/>
      <c r="I1067" s="3"/>
      <c r="J1067" s="3"/>
      <c r="K1067" s="3"/>
      <c r="L1067" s="3"/>
      <c r="M1067" s="3"/>
      <c r="N1067" s="3"/>
      <c r="O1067" s="3"/>
      <c r="P1067" s="3"/>
      <c r="Q1067" s="3"/>
      <c r="R1067" s="3"/>
      <c r="S1067" s="3"/>
      <c r="T1067" s="3"/>
      <c r="U1067" s="3"/>
      <c r="V1067" s="3"/>
      <c r="W1067" s="3"/>
      <c r="X1067" s="3"/>
      <c r="Y1067" s="3"/>
      <c r="Z1067" s="3"/>
    </row>
    <row r="1068" spans="1:26" ht="14.25" customHeight="1">
      <c r="A1068" s="1"/>
      <c r="B1068" s="1"/>
      <c r="C1068" s="1"/>
      <c r="D1068" s="1"/>
      <c r="E1068" s="19"/>
      <c r="F1068" s="3"/>
      <c r="G1068" s="3"/>
      <c r="H1068" s="3"/>
      <c r="I1068" s="3"/>
      <c r="J1068" s="3"/>
      <c r="K1068" s="3"/>
      <c r="L1068" s="3"/>
      <c r="M1068" s="3"/>
      <c r="N1068" s="3"/>
      <c r="O1068" s="3"/>
      <c r="P1068" s="3"/>
      <c r="Q1068" s="3"/>
      <c r="R1068" s="3"/>
      <c r="S1068" s="3"/>
      <c r="T1068" s="3"/>
      <c r="U1068" s="3"/>
      <c r="V1068" s="3"/>
      <c r="W1068" s="3"/>
      <c r="X1068" s="3"/>
      <c r="Y1068" s="3"/>
      <c r="Z1068" s="3"/>
    </row>
    <row r="1069" spans="1:26" ht="14.25" customHeight="1">
      <c r="A1069" s="1"/>
      <c r="B1069" s="1"/>
      <c r="C1069" s="1"/>
      <c r="D1069" s="1"/>
      <c r="E1069" s="19"/>
      <c r="F1069" s="3"/>
      <c r="G1069" s="3"/>
      <c r="H1069" s="3"/>
      <c r="I1069" s="3"/>
      <c r="J1069" s="3"/>
      <c r="K1069" s="3"/>
      <c r="L1069" s="3"/>
      <c r="M1069" s="3"/>
      <c r="N1069" s="3"/>
      <c r="O1069" s="3"/>
      <c r="P1069" s="3"/>
      <c r="Q1069" s="3"/>
      <c r="R1069" s="3"/>
      <c r="S1069" s="3"/>
      <c r="T1069" s="3"/>
      <c r="U1069" s="3"/>
      <c r="V1069" s="3"/>
      <c r="W1069" s="3"/>
      <c r="X1069" s="3"/>
      <c r="Y1069" s="3"/>
      <c r="Z1069" s="3"/>
    </row>
    <row r="1070" spans="1:26" ht="14.25" customHeight="1">
      <c r="A1070" s="1"/>
      <c r="B1070" s="1"/>
      <c r="C1070" s="1"/>
      <c r="D1070" s="1"/>
      <c r="E1070" s="19"/>
      <c r="F1070" s="3"/>
      <c r="G1070" s="3"/>
      <c r="H1070" s="3"/>
      <c r="I1070" s="3"/>
      <c r="J1070" s="3"/>
      <c r="K1070" s="3"/>
      <c r="L1070" s="3"/>
      <c r="M1070" s="3"/>
      <c r="N1070" s="3"/>
      <c r="O1070" s="3"/>
      <c r="P1070" s="3"/>
      <c r="Q1070" s="3"/>
      <c r="R1070" s="3"/>
      <c r="S1070" s="3"/>
      <c r="T1070" s="3"/>
      <c r="U1070" s="3"/>
      <c r="V1070" s="3"/>
      <c r="W1070" s="3"/>
      <c r="X1070" s="3"/>
      <c r="Y1070" s="3"/>
      <c r="Z1070" s="3"/>
    </row>
    <row r="1071" spans="1:26" ht="14.25" customHeight="1">
      <c r="A1071" s="1"/>
      <c r="B1071" s="1"/>
      <c r="C1071" s="1"/>
      <c r="D1071" s="1"/>
      <c r="E1071" s="19"/>
      <c r="F1071" s="3"/>
      <c r="G1071" s="3"/>
      <c r="H1071" s="3"/>
      <c r="I1071" s="3"/>
      <c r="J1071" s="3"/>
      <c r="K1071" s="3"/>
      <c r="L1071" s="3"/>
      <c r="M1071" s="3"/>
      <c r="N1071" s="3"/>
      <c r="O1071" s="3"/>
      <c r="P1071" s="3"/>
      <c r="Q1071" s="3"/>
      <c r="R1071" s="3"/>
      <c r="S1071" s="3"/>
      <c r="T1071" s="3"/>
      <c r="U1071" s="3"/>
      <c r="V1071" s="3"/>
      <c r="W1071" s="3"/>
      <c r="X1071" s="3"/>
      <c r="Y1071" s="3"/>
      <c r="Z1071" s="3"/>
    </row>
    <row r="1072" spans="1:26" ht="14.25" customHeight="1">
      <c r="A1072" s="1"/>
      <c r="B1072" s="1"/>
      <c r="C1072" s="1"/>
      <c r="D1072" s="1"/>
      <c r="E1072" s="19"/>
      <c r="F1072" s="3"/>
      <c r="G1072" s="3"/>
      <c r="H1072" s="3"/>
      <c r="I1072" s="3"/>
      <c r="J1072" s="3"/>
      <c r="K1072" s="3"/>
      <c r="L1072" s="3"/>
      <c r="M1072" s="3"/>
      <c r="N1072" s="3"/>
      <c r="O1072" s="3"/>
      <c r="P1072" s="3"/>
      <c r="Q1072" s="3"/>
      <c r="R1072" s="3"/>
      <c r="S1072" s="3"/>
      <c r="T1072" s="3"/>
      <c r="U1072" s="3"/>
      <c r="V1072" s="3"/>
      <c r="W1072" s="3"/>
      <c r="X1072" s="3"/>
      <c r="Y1072" s="3"/>
      <c r="Z1072" s="3"/>
    </row>
    <row r="1073" spans="1:26" ht="14.25" customHeight="1">
      <c r="A1073" s="1"/>
      <c r="B1073" s="1"/>
      <c r="C1073" s="1"/>
      <c r="D1073" s="1"/>
      <c r="E1073" s="19"/>
      <c r="F1073" s="3"/>
      <c r="G1073" s="3"/>
      <c r="H1073" s="3"/>
      <c r="I1073" s="3"/>
      <c r="J1073" s="3"/>
      <c r="K1073" s="3"/>
      <c r="L1073" s="3"/>
      <c r="M1073" s="3"/>
      <c r="N1073" s="3"/>
      <c r="O1073" s="3"/>
      <c r="P1073" s="3"/>
      <c r="Q1073" s="3"/>
      <c r="R1073" s="3"/>
      <c r="S1073" s="3"/>
      <c r="T1073" s="3"/>
      <c r="U1073" s="3"/>
      <c r="V1073" s="3"/>
      <c r="W1073" s="3"/>
      <c r="X1073" s="3"/>
      <c r="Y1073" s="3"/>
      <c r="Z1073" s="3"/>
    </row>
    <row r="1074" spans="1:26" ht="14.25" customHeight="1">
      <c r="A1074" s="1"/>
      <c r="B1074" s="1"/>
      <c r="C1074" s="1"/>
      <c r="D1074" s="1"/>
      <c r="E1074" s="19"/>
      <c r="F1074" s="3"/>
      <c r="G1074" s="3"/>
      <c r="H1074" s="3"/>
      <c r="I1074" s="3"/>
      <c r="J1074" s="3"/>
      <c r="K1074" s="3"/>
      <c r="L1074" s="3"/>
      <c r="M1074" s="3"/>
      <c r="N1074" s="3"/>
      <c r="O1074" s="3"/>
      <c r="P1074" s="3"/>
      <c r="Q1074" s="3"/>
      <c r="R1074" s="3"/>
      <c r="S1074" s="3"/>
      <c r="T1074" s="3"/>
      <c r="U1074" s="3"/>
      <c r="V1074" s="3"/>
      <c r="W1074" s="3"/>
      <c r="X1074" s="3"/>
      <c r="Y1074" s="3"/>
      <c r="Z1074" s="3"/>
    </row>
    <row r="1075" spans="1:26" ht="14.25" customHeight="1">
      <c r="A1075" s="1"/>
      <c r="B1075" s="1"/>
      <c r="C1075" s="1"/>
      <c r="D1075" s="1"/>
      <c r="E1075" s="19"/>
      <c r="F1075" s="3"/>
      <c r="G1075" s="3"/>
      <c r="H1075" s="3"/>
      <c r="I1075" s="3"/>
      <c r="J1075" s="3"/>
      <c r="K1075" s="3"/>
      <c r="L1075" s="3"/>
      <c r="M1075" s="3"/>
      <c r="N1075" s="3"/>
      <c r="O1075" s="3"/>
      <c r="P1075" s="3"/>
      <c r="Q1075" s="3"/>
      <c r="R1075" s="3"/>
      <c r="S1075" s="3"/>
      <c r="T1075" s="3"/>
      <c r="U1075" s="3"/>
      <c r="V1075" s="3"/>
      <c r="W1075" s="3"/>
      <c r="X1075" s="3"/>
      <c r="Y1075" s="3"/>
      <c r="Z1075" s="3"/>
    </row>
    <row r="1076" spans="1:26" ht="14.25" customHeight="1">
      <c r="A1076" s="1"/>
      <c r="B1076" s="1"/>
      <c r="C1076" s="1"/>
      <c r="D1076" s="1"/>
      <c r="E1076" s="19"/>
      <c r="F1076" s="3"/>
      <c r="G1076" s="3"/>
      <c r="H1076" s="3"/>
      <c r="I1076" s="3"/>
      <c r="J1076" s="3"/>
      <c r="K1076" s="3"/>
      <c r="L1076" s="3"/>
      <c r="M1076" s="3"/>
      <c r="N1076" s="3"/>
      <c r="O1076" s="3"/>
      <c r="P1076" s="3"/>
      <c r="Q1076" s="3"/>
      <c r="R1076" s="3"/>
      <c r="S1076" s="3"/>
      <c r="T1076" s="3"/>
      <c r="U1076" s="3"/>
      <c r="V1076" s="3"/>
      <c r="W1076" s="3"/>
      <c r="X1076" s="3"/>
      <c r="Y1076" s="3"/>
      <c r="Z1076" s="3"/>
    </row>
    <row r="1077" spans="1:26" ht="14.25" customHeight="1">
      <c r="A1077" s="1"/>
      <c r="B1077" s="1"/>
      <c r="C1077" s="1"/>
      <c r="D1077" s="1"/>
      <c r="E1077" s="19"/>
      <c r="F1077" s="3"/>
      <c r="G1077" s="3"/>
      <c r="H1077" s="3"/>
      <c r="I1077" s="3"/>
      <c r="J1077" s="3"/>
      <c r="K1077" s="3"/>
      <c r="L1077" s="3"/>
      <c r="M1077" s="3"/>
      <c r="N1077" s="3"/>
      <c r="O1077" s="3"/>
      <c r="P1077" s="3"/>
      <c r="Q1077" s="3"/>
      <c r="R1077" s="3"/>
      <c r="S1077" s="3"/>
      <c r="T1077" s="3"/>
      <c r="U1077" s="3"/>
      <c r="V1077" s="3"/>
      <c r="W1077" s="3"/>
      <c r="X1077" s="3"/>
      <c r="Y1077" s="3"/>
      <c r="Z1077" s="3"/>
    </row>
    <row r="1078" spans="1:26" ht="14.25" customHeight="1">
      <c r="A1078" s="1"/>
      <c r="B1078" s="1"/>
      <c r="C1078" s="1"/>
      <c r="D1078" s="1"/>
      <c r="E1078" s="19"/>
      <c r="F1078" s="3"/>
      <c r="G1078" s="3"/>
      <c r="H1078" s="3"/>
      <c r="I1078" s="3"/>
      <c r="J1078" s="3"/>
      <c r="K1078" s="3"/>
      <c r="L1078" s="3"/>
      <c r="M1078" s="3"/>
      <c r="N1078" s="3"/>
      <c r="O1078" s="3"/>
      <c r="P1078" s="3"/>
      <c r="Q1078" s="3"/>
      <c r="R1078" s="3"/>
      <c r="S1078" s="3"/>
      <c r="T1078" s="3"/>
      <c r="U1078" s="3"/>
      <c r="V1078" s="3"/>
      <c r="W1078" s="3"/>
      <c r="X1078" s="3"/>
      <c r="Y1078" s="3"/>
      <c r="Z1078" s="3"/>
    </row>
    <row r="1079" spans="1:26" ht="14.25" customHeight="1">
      <c r="A1079" s="1"/>
      <c r="B1079" s="1"/>
      <c r="C1079" s="1"/>
      <c r="D1079" s="1"/>
      <c r="E1079" s="19"/>
      <c r="F1079" s="3"/>
      <c r="G1079" s="3"/>
      <c r="H1079" s="3"/>
      <c r="I1079" s="3"/>
      <c r="J1079" s="3"/>
      <c r="K1079" s="3"/>
      <c r="L1079" s="3"/>
      <c r="M1079" s="3"/>
      <c r="N1079" s="3"/>
      <c r="O1079" s="3"/>
      <c r="P1079" s="3"/>
      <c r="Q1079" s="3"/>
      <c r="R1079" s="3"/>
      <c r="S1079" s="3"/>
      <c r="T1079" s="3"/>
      <c r="U1079" s="3"/>
      <c r="V1079" s="3"/>
      <c r="W1079" s="3"/>
      <c r="X1079" s="3"/>
      <c r="Y1079" s="3"/>
      <c r="Z1079" s="3"/>
    </row>
    <row r="1080" spans="1:26" ht="14.25" customHeight="1">
      <c r="A1080" s="1"/>
      <c r="B1080" s="1"/>
      <c r="C1080" s="1"/>
      <c r="D1080" s="1"/>
      <c r="E1080" s="19"/>
      <c r="F1080" s="3"/>
      <c r="G1080" s="3"/>
      <c r="H1080" s="3"/>
      <c r="I1080" s="3"/>
      <c r="J1080" s="3"/>
      <c r="K1080" s="3"/>
      <c r="L1080" s="3"/>
      <c r="M1080" s="3"/>
      <c r="N1080" s="3"/>
      <c r="O1080" s="3"/>
      <c r="P1080" s="3"/>
      <c r="Q1080" s="3"/>
      <c r="R1080" s="3"/>
      <c r="S1080" s="3"/>
      <c r="T1080" s="3"/>
      <c r="U1080" s="3"/>
      <c r="V1080" s="3"/>
      <c r="W1080" s="3"/>
      <c r="X1080" s="3"/>
      <c r="Y1080" s="3"/>
      <c r="Z1080" s="3"/>
    </row>
    <row r="1081" spans="1:26" ht="14.25" customHeight="1">
      <c r="A1081" s="1"/>
      <c r="B1081" s="1"/>
      <c r="C1081" s="1"/>
      <c r="D1081" s="1"/>
      <c r="E1081" s="19"/>
      <c r="F1081" s="3"/>
      <c r="G1081" s="3"/>
      <c r="H1081" s="3"/>
      <c r="I1081" s="3"/>
      <c r="J1081" s="3"/>
      <c r="K1081" s="3"/>
      <c r="L1081" s="3"/>
      <c r="M1081" s="3"/>
      <c r="N1081" s="3"/>
      <c r="O1081" s="3"/>
      <c r="P1081" s="3"/>
      <c r="Q1081" s="3"/>
      <c r="R1081" s="3"/>
      <c r="S1081" s="3"/>
      <c r="T1081" s="3"/>
      <c r="U1081" s="3"/>
      <c r="V1081" s="3"/>
      <c r="W1081" s="3"/>
      <c r="X1081" s="3"/>
      <c r="Y1081" s="3"/>
      <c r="Z1081" s="3"/>
    </row>
    <row r="1082" spans="1:26" ht="14.25" customHeight="1">
      <c r="A1082" s="1"/>
      <c r="B1082" s="1"/>
      <c r="C1082" s="1"/>
      <c r="D1082" s="1"/>
      <c r="E1082" s="19"/>
      <c r="F1082" s="3"/>
      <c r="G1082" s="3"/>
      <c r="H1082" s="3"/>
      <c r="I1082" s="3"/>
      <c r="J1082" s="3"/>
      <c r="K1082" s="3"/>
      <c r="L1082" s="3"/>
      <c r="M1082" s="3"/>
      <c r="N1082" s="3"/>
      <c r="O1082" s="3"/>
      <c r="P1082" s="3"/>
      <c r="Q1082" s="3"/>
      <c r="R1082" s="3"/>
      <c r="S1082" s="3"/>
      <c r="T1082" s="3"/>
      <c r="U1082" s="3"/>
      <c r="V1082" s="3"/>
      <c r="W1082" s="3"/>
      <c r="X1082" s="3"/>
      <c r="Y1082" s="3"/>
      <c r="Z1082" s="3"/>
    </row>
    <row r="1083" spans="1:26" ht="14.25" customHeight="1">
      <c r="A1083" s="1"/>
      <c r="B1083" s="1"/>
      <c r="C1083" s="1"/>
      <c r="D1083" s="1"/>
      <c r="E1083" s="19"/>
      <c r="F1083" s="3"/>
      <c r="G1083" s="3"/>
      <c r="H1083" s="3"/>
      <c r="I1083" s="3"/>
      <c r="J1083" s="3"/>
      <c r="K1083" s="3"/>
      <c r="L1083" s="3"/>
      <c r="M1083" s="3"/>
      <c r="N1083" s="3"/>
      <c r="O1083" s="3"/>
      <c r="P1083" s="3"/>
      <c r="Q1083" s="3"/>
      <c r="R1083" s="3"/>
      <c r="S1083" s="3"/>
      <c r="T1083" s="3"/>
      <c r="U1083" s="3"/>
      <c r="V1083" s="3"/>
      <c r="W1083" s="3"/>
      <c r="X1083" s="3"/>
      <c r="Y1083" s="3"/>
      <c r="Z1083" s="3"/>
    </row>
    <row r="1084" spans="1:26" ht="14.25" customHeight="1">
      <c r="A1084" s="1"/>
      <c r="B1084" s="1"/>
      <c r="C1084" s="1"/>
      <c r="D1084" s="1"/>
      <c r="E1084" s="19"/>
      <c r="F1084" s="3"/>
      <c r="G1084" s="3"/>
      <c r="H1084" s="3"/>
      <c r="I1084" s="3"/>
      <c r="J1084" s="3"/>
      <c r="K1084" s="3"/>
      <c r="L1084" s="3"/>
      <c r="M1084" s="3"/>
      <c r="N1084" s="3"/>
      <c r="O1084" s="3"/>
      <c r="P1084" s="3"/>
      <c r="Q1084" s="3"/>
      <c r="R1084" s="3"/>
      <c r="S1084" s="3"/>
      <c r="T1084" s="3"/>
      <c r="U1084" s="3"/>
      <c r="V1084" s="3"/>
      <c r="W1084" s="3"/>
      <c r="X1084" s="3"/>
      <c r="Y1084" s="3"/>
      <c r="Z1084" s="3"/>
    </row>
    <row r="1085" spans="1:26" ht="14.25" customHeight="1">
      <c r="A1085" s="1"/>
      <c r="B1085" s="1"/>
      <c r="C1085" s="1"/>
      <c r="D1085" s="1"/>
      <c r="E1085" s="19"/>
      <c r="F1085" s="3"/>
      <c r="G1085" s="3"/>
      <c r="H1085" s="3"/>
      <c r="I1085" s="3"/>
      <c r="J1085" s="3"/>
      <c r="K1085" s="3"/>
      <c r="L1085" s="3"/>
      <c r="M1085" s="3"/>
      <c r="N1085" s="3"/>
      <c r="O1085" s="3"/>
      <c r="P1085" s="3"/>
      <c r="Q1085" s="3"/>
      <c r="R1085" s="3"/>
      <c r="S1085" s="3"/>
      <c r="T1085" s="3"/>
      <c r="U1085" s="3"/>
      <c r="V1085" s="3"/>
      <c r="W1085" s="3"/>
      <c r="X1085" s="3"/>
      <c r="Y1085" s="3"/>
      <c r="Z1085" s="3"/>
    </row>
    <row r="1086" spans="1:26" ht="14.25" customHeight="1">
      <c r="A1086" s="1"/>
      <c r="B1086" s="1"/>
      <c r="C1086" s="1"/>
      <c r="D1086" s="1"/>
      <c r="E1086" s="19"/>
      <c r="F1086" s="3"/>
      <c r="G1086" s="3"/>
      <c r="H1086" s="3"/>
      <c r="I1086" s="3"/>
      <c r="J1086" s="3"/>
      <c r="K1086" s="3"/>
      <c r="L1086" s="3"/>
      <c r="M1086" s="3"/>
      <c r="N1086" s="3"/>
      <c r="O1086" s="3"/>
      <c r="P1086" s="3"/>
      <c r="Q1086" s="3"/>
      <c r="R1086" s="3"/>
      <c r="S1086" s="3"/>
      <c r="T1086" s="3"/>
      <c r="U1086" s="3"/>
      <c r="V1086" s="3"/>
      <c r="W1086" s="3"/>
      <c r="X1086" s="3"/>
      <c r="Y1086" s="3"/>
      <c r="Z1086" s="3"/>
    </row>
    <row r="1087" spans="1:26" ht="14.25" customHeight="1">
      <c r="A1087" s="1"/>
      <c r="B1087" s="1"/>
      <c r="C1087" s="1"/>
      <c r="D1087" s="1"/>
      <c r="E1087" s="19"/>
      <c r="F1087" s="3"/>
      <c r="G1087" s="3"/>
      <c r="H1087" s="3"/>
      <c r="I1087" s="3"/>
      <c r="J1087" s="3"/>
      <c r="K1087" s="3"/>
      <c r="L1087" s="3"/>
      <c r="M1087" s="3"/>
      <c r="N1087" s="3"/>
      <c r="O1087" s="3"/>
      <c r="P1087" s="3"/>
      <c r="Q1087" s="3"/>
      <c r="R1087" s="3"/>
      <c r="S1087" s="3"/>
      <c r="T1087" s="3"/>
      <c r="U1087" s="3"/>
      <c r="V1087" s="3"/>
      <c r="W1087" s="3"/>
      <c r="X1087" s="3"/>
      <c r="Y1087" s="3"/>
      <c r="Z1087" s="3"/>
    </row>
    <row r="1088" spans="1:26" ht="14.25" customHeight="1">
      <c r="A1088" s="1"/>
      <c r="B1088" s="1"/>
      <c r="C1088" s="1"/>
      <c r="D1088" s="1"/>
      <c r="E1088" s="19"/>
      <c r="F1088" s="3"/>
      <c r="G1088" s="3"/>
      <c r="H1088" s="3"/>
      <c r="I1088" s="3"/>
      <c r="J1088" s="3"/>
      <c r="K1088" s="3"/>
      <c r="L1088" s="3"/>
      <c r="M1088" s="3"/>
      <c r="N1088" s="3"/>
      <c r="O1088" s="3"/>
      <c r="P1088" s="3"/>
      <c r="Q1088" s="3"/>
      <c r="R1088" s="3"/>
      <c r="S1088" s="3"/>
      <c r="T1088" s="3"/>
      <c r="U1088" s="3"/>
      <c r="V1088" s="3"/>
      <c r="W1088" s="3"/>
      <c r="X1088" s="3"/>
      <c r="Y1088" s="3"/>
      <c r="Z1088" s="3"/>
    </row>
    <row r="1089" spans="1:26" ht="14.25" customHeight="1">
      <c r="A1089" s="1"/>
      <c r="B1089" s="1"/>
      <c r="C1089" s="1"/>
      <c r="D1089" s="1"/>
      <c r="E1089" s="19"/>
      <c r="F1089" s="3"/>
      <c r="G1089" s="3"/>
      <c r="H1089" s="3"/>
      <c r="I1089" s="3"/>
      <c r="J1089" s="3"/>
      <c r="K1089" s="3"/>
      <c r="L1089" s="3"/>
      <c r="M1089" s="3"/>
      <c r="N1089" s="3"/>
      <c r="O1089" s="3"/>
      <c r="P1089" s="3"/>
      <c r="Q1089" s="3"/>
      <c r="R1089" s="3"/>
      <c r="S1089" s="3"/>
      <c r="T1089" s="3"/>
      <c r="U1089" s="3"/>
      <c r="V1089" s="3"/>
      <c r="W1089" s="3"/>
      <c r="X1089" s="3"/>
      <c r="Y1089" s="3"/>
      <c r="Z1089" s="3"/>
    </row>
    <row r="1090" spans="1:26" ht="14.25" customHeight="1">
      <c r="A1090" s="1"/>
      <c r="B1090" s="1"/>
      <c r="C1090" s="1"/>
      <c r="D1090" s="1"/>
      <c r="E1090" s="19"/>
      <c r="F1090" s="3"/>
      <c r="G1090" s="3"/>
      <c r="H1090" s="3"/>
      <c r="I1090" s="3"/>
      <c r="J1090" s="3"/>
      <c r="K1090" s="3"/>
      <c r="L1090" s="3"/>
      <c r="M1090" s="3"/>
      <c r="N1090" s="3"/>
      <c r="O1090" s="3"/>
      <c r="P1090" s="3"/>
      <c r="Q1090" s="3"/>
      <c r="R1090" s="3"/>
      <c r="S1090" s="3"/>
      <c r="T1090" s="3"/>
      <c r="U1090" s="3"/>
      <c r="V1090" s="3"/>
      <c r="W1090" s="3"/>
      <c r="X1090" s="3"/>
      <c r="Y1090" s="3"/>
      <c r="Z1090" s="3"/>
    </row>
    <row r="1091" spans="1:26" ht="14.25" customHeight="1">
      <c r="A1091" s="1"/>
      <c r="B1091" s="1"/>
      <c r="C1091" s="1"/>
      <c r="D1091" s="1"/>
      <c r="E1091" s="19"/>
      <c r="F1091" s="3"/>
      <c r="G1091" s="3"/>
      <c r="H1091" s="3"/>
      <c r="I1091" s="3"/>
      <c r="J1091" s="3"/>
      <c r="K1091" s="3"/>
      <c r="L1091" s="3"/>
      <c r="M1091" s="3"/>
      <c r="N1091" s="3"/>
      <c r="O1091" s="3"/>
      <c r="P1091" s="3"/>
      <c r="Q1091" s="3"/>
      <c r="R1091" s="3"/>
      <c r="S1091" s="3"/>
      <c r="T1091" s="3"/>
      <c r="U1091" s="3"/>
      <c r="V1091" s="3"/>
      <c r="W1091" s="3"/>
      <c r="X1091" s="3"/>
      <c r="Y1091" s="3"/>
      <c r="Z1091" s="3"/>
    </row>
    <row r="1092" spans="1:26" ht="14.25" customHeight="1">
      <c r="A1092" s="1"/>
      <c r="B1092" s="1"/>
      <c r="C1092" s="1"/>
      <c r="D1092" s="1"/>
      <c r="E1092" s="19"/>
      <c r="F1092" s="3"/>
      <c r="G1092" s="3"/>
      <c r="H1092" s="3"/>
      <c r="I1092" s="3"/>
      <c r="J1092" s="3"/>
      <c r="K1092" s="3"/>
      <c r="L1092" s="3"/>
      <c r="M1092" s="3"/>
      <c r="N1092" s="3"/>
      <c r="O1092" s="3"/>
      <c r="P1092" s="3"/>
      <c r="Q1092" s="3"/>
      <c r="R1092" s="3"/>
      <c r="S1092" s="3"/>
      <c r="T1092" s="3"/>
      <c r="U1092" s="3"/>
      <c r="V1092" s="3"/>
      <c r="W1092" s="3"/>
      <c r="X1092" s="3"/>
      <c r="Y1092" s="3"/>
      <c r="Z1092" s="3"/>
    </row>
    <row r="1093" spans="1:26" ht="14.25" customHeight="1">
      <c r="A1093" s="1"/>
      <c r="B1093" s="1"/>
      <c r="C1093" s="1"/>
      <c r="D1093" s="1"/>
      <c r="E1093" s="19"/>
      <c r="F1093" s="3"/>
      <c r="G1093" s="3"/>
      <c r="H1093" s="3"/>
      <c r="I1093" s="3"/>
      <c r="J1093" s="3"/>
      <c r="K1093" s="3"/>
      <c r="L1093" s="3"/>
      <c r="M1093" s="3"/>
      <c r="N1093" s="3"/>
      <c r="O1093" s="3"/>
      <c r="P1093" s="3"/>
      <c r="Q1093" s="3"/>
      <c r="R1093" s="3"/>
      <c r="S1093" s="3"/>
      <c r="T1093" s="3"/>
      <c r="U1093" s="3"/>
      <c r="V1093" s="3"/>
      <c r="W1093" s="3"/>
      <c r="X1093" s="3"/>
      <c r="Y1093" s="3"/>
      <c r="Z1093" s="3"/>
    </row>
    <row r="1094" spans="1:26" ht="14.25" customHeight="1">
      <c r="A1094" s="1"/>
      <c r="B1094" s="1"/>
      <c r="C1094" s="1"/>
      <c r="D1094" s="1"/>
      <c r="E1094" s="19"/>
      <c r="F1094" s="3"/>
      <c r="G1094" s="3"/>
      <c r="H1094" s="3"/>
      <c r="I1094" s="3"/>
      <c r="J1094" s="3"/>
      <c r="K1094" s="3"/>
      <c r="L1094" s="3"/>
      <c r="M1094" s="3"/>
      <c r="N1094" s="3"/>
      <c r="O1094" s="3"/>
      <c r="P1094" s="3"/>
      <c r="Q1094" s="3"/>
      <c r="R1094" s="3"/>
      <c r="S1094" s="3"/>
      <c r="T1094" s="3"/>
      <c r="U1094" s="3"/>
      <c r="V1094" s="3"/>
      <c r="W1094" s="3"/>
      <c r="X1094" s="3"/>
      <c r="Y1094" s="3"/>
      <c r="Z1094" s="3"/>
    </row>
    <row r="1095" spans="1:26" ht="14.25" customHeight="1">
      <c r="A1095" s="1"/>
      <c r="B1095" s="1"/>
      <c r="C1095" s="1"/>
      <c r="D1095" s="1"/>
      <c r="E1095" s="19"/>
      <c r="F1095" s="3"/>
      <c r="G1095" s="3"/>
      <c r="H1095" s="3"/>
      <c r="I1095" s="3"/>
      <c r="J1095" s="3"/>
      <c r="K1095" s="3"/>
      <c r="L1095" s="3"/>
      <c r="M1095" s="3"/>
      <c r="N1095" s="3"/>
      <c r="O1095" s="3"/>
      <c r="P1095" s="3"/>
      <c r="Q1095" s="3"/>
      <c r="R1095" s="3"/>
      <c r="S1095" s="3"/>
      <c r="T1095" s="3"/>
      <c r="U1095" s="3"/>
      <c r="V1095" s="3"/>
      <c r="W1095" s="3"/>
      <c r="X1095" s="3"/>
      <c r="Y1095" s="3"/>
      <c r="Z1095" s="3"/>
    </row>
    <row r="1096" spans="1:26" ht="14.25" customHeight="1">
      <c r="A1096" s="1"/>
      <c r="B1096" s="1"/>
      <c r="C1096" s="1"/>
      <c r="D1096" s="1"/>
      <c r="E1096" s="19"/>
      <c r="F1096" s="3"/>
      <c r="G1096" s="3"/>
      <c r="H1096" s="3"/>
      <c r="I1096" s="3"/>
      <c r="J1096" s="3"/>
      <c r="K1096" s="3"/>
      <c r="L1096" s="3"/>
      <c r="M1096" s="3"/>
      <c r="N1096" s="3"/>
      <c r="O1096" s="3"/>
      <c r="P1096" s="3"/>
      <c r="Q1096" s="3"/>
      <c r="R1096" s="3"/>
      <c r="S1096" s="3"/>
      <c r="T1096" s="3"/>
      <c r="U1096" s="3"/>
      <c r="V1096" s="3"/>
      <c r="W1096" s="3"/>
      <c r="X1096" s="3"/>
      <c r="Y1096" s="3"/>
      <c r="Z1096" s="3"/>
    </row>
    <row r="1097" spans="1:26" ht="14.25" customHeight="1">
      <c r="A1097" s="1"/>
      <c r="B1097" s="1"/>
      <c r="C1097" s="1"/>
      <c r="D1097" s="1"/>
      <c r="E1097" s="19"/>
      <c r="F1097" s="3"/>
      <c r="G1097" s="3"/>
      <c r="H1097" s="3"/>
      <c r="I1097" s="3"/>
      <c r="J1097" s="3"/>
      <c r="K1097" s="3"/>
      <c r="L1097" s="3"/>
      <c r="M1097" s="3"/>
      <c r="N1097" s="3"/>
      <c r="O1097" s="3"/>
      <c r="P1097" s="3"/>
      <c r="Q1097" s="3"/>
      <c r="R1097" s="3"/>
      <c r="S1097" s="3"/>
      <c r="T1097" s="3"/>
      <c r="U1097" s="3"/>
      <c r="V1097" s="3"/>
      <c r="W1097" s="3"/>
      <c r="X1097" s="3"/>
      <c r="Y1097" s="3"/>
      <c r="Z1097" s="3"/>
    </row>
    <row r="1098" spans="1:26" ht="14.25" customHeight="1">
      <c r="A1098" s="1"/>
      <c r="B1098" s="1"/>
      <c r="C1098" s="1"/>
      <c r="D1098" s="1"/>
      <c r="E1098" s="19"/>
      <c r="F1098" s="3"/>
      <c r="G1098" s="3"/>
      <c r="H1098" s="3"/>
      <c r="I1098" s="3"/>
      <c r="J1098" s="3"/>
      <c r="K1098" s="3"/>
      <c r="L1098" s="3"/>
      <c r="M1098" s="3"/>
      <c r="N1098" s="3"/>
      <c r="O1098" s="3"/>
      <c r="P1098" s="3"/>
      <c r="Q1098" s="3"/>
      <c r="R1098" s="3"/>
      <c r="S1098" s="3"/>
      <c r="T1098" s="3"/>
      <c r="U1098" s="3"/>
      <c r="V1098" s="3"/>
      <c r="W1098" s="3"/>
      <c r="X1098" s="3"/>
      <c r="Y1098" s="3"/>
      <c r="Z1098" s="3"/>
    </row>
    <row r="1099" spans="1:26" ht="14.25" customHeight="1">
      <c r="A1099" s="1"/>
      <c r="B1099" s="1"/>
      <c r="C1099" s="1"/>
      <c r="D1099" s="1"/>
      <c r="E1099" s="19"/>
      <c r="F1099" s="3"/>
      <c r="G1099" s="3"/>
      <c r="H1099" s="3"/>
      <c r="I1099" s="3"/>
      <c r="J1099" s="3"/>
      <c r="K1099" s="3"/>
      <c r="L1099" s="3"/>
      <c r="M1099" s="3"/>
      <c r="N1099" s="3"/>
      <c r="O1099" s="3"/>
      <c r="P1099" s="3"/>
      <c r="Q1099" s="3"/>
      <c r="R1099" s="3"/>
      <c r="S1099" s="3"/>
      <c r="T1099" s="3"/>
      <c r="U1099" s="3"/>
      <c r="V1099" s="3"/>
      <c r="W1099" s="3"/>
      <c r="X1099" s="3"/>
      <c r="Y1099" s="3"/>
      <c r="Z1099" s="3"/>
    </row>
    <row r="1100" spans="1:26" ht="14.25" customHeight="1">
      <c r="A1100" s="1"/>
      <c r="B1100" s="1"/>
      <c r="C1100" s="1"/>
      <c r="D1100" s="1"/>
      <c r="E1100" s="19"/>
      <c r="F1100" s="3"/>
      <c r="G1100" s="3"/>
      <c r="H1100" s="3"/>
      <c r="I1100" s="3"/>
      <c r="J1100" s="3"/>
      <c r="K1100" s="3"/>
      <c r="L1100" s="3"/>
      <c r="M1100" s="3"/>
      <c r="N1100" s="3"/>
      <c r="O1100" s="3"/>
      <c r="P1100" s="3"/>
      <c r="Q1100" s="3"/>
      <c r="R1100" s="3"/>
      <c r="S1100" s="3"/>
      <c r="T1100" s="3"/>
      <c r="U1100" s="3"/>
      <c r="V1100" s="3"/>
      <c r="W1100" s="3"/>
      <c r="X1100" s="3"/>
      <c r="Y1100" s="3"/>
      <c r="Z1100" s="3"/>
    </row>
    <row r="1101" spans="1:26" ht="14.25" customHeight="1">
      <c r="A1101" s="1"/>
      <c r="B1101" s="1"/>
      <c r="C1101" s="1"/>
      <c r="D1101" s="1"/>
      <c r="E1101" s="19"/>
      <c r="F1101" s="3"/>
      <c r="G1101" s="3"/>
      <c r="H1101" s="3"/>
      <c r="I1101" s="3"/>
      <c r="J1101" s="3"/>
      <c r="K1101" s="3"/>
      <c r="L1101" s="3"/>
      <c r="M1101" s="3"/>
      <c r="N1101" s="3"/>
      <c r="O1101" s="3"/>
      <c r="P1101" s="3"/>
      <c r="Q1101" s="3"/>
      <c r="R1101" s="3"/>
      <c r="S1101" s="3"/>
      <c r="T1101" s="3"/>
      <c r="U1101" s="3"/>
      <c r="V1101" s="3"/>
      <c r="W1101" s="3"/>
      <c r="X1101" s="3"/>
      <c r="Y1101" s="3"/>
      <c r="Z1101" s="3"/>
    </row>
    <row r="1102" spans="1:26" ht="14.25" customHeight="1">
      <c r="A1102" s="1"/>
      <c r="B1102" s="1"/>
      <c r="C1102" s="1"/>
      <c r="D1102" s="1"/>
      <c r="E1102" s="19"/>
      <c r="F1102" s="3"/>
      <c r="G1102" s="3"/>
      <c r="H1102" s="3"/>
      <c r="I1102" s="3"/>
      <c r="J1102" s="3"/>
      <c r="K1102" s="3"/>
      <c r="L1102" s="3"/>
      <c r="M1102" s="3"/>
      <c r="N1102" s="3"/>
      <c r="O1102" s="3"/>
      <c r="P1102" s="3"/>
      <c r="Q1102" s="3"/>
      <c r="R1102" s="3"/>
      <c r="S1102" s="3"/>
      <c r="T1102" s="3"/>
      <c r="U1102" s="3"/>
      <c r="V1102" s="3"/>
      <c r="W1102" s="3"/>
      <c r="X1102" s="3"/>
      <c r="Y1102" s="3"/>
      <c r="Z1102" s="3"/>
    </row>
    <row r="1103" spans="1:26" ht="14.25" customHeight="1">
      <c r="A1103" s="1"/>
      <c r="B1103" s="1"/>
      <c r="C1103" s="1"/>
      <c r="D1103" s="1"/>
      <c r="E1103" s="19"/>
      <c r="F1103" s="3"/>
      <c r="G1103" s="3"/>
      <c r="H1103" s="3"/>
      <c r="I1103" s="3"/>
      <c r="J1103" s="3"/>
      <c r="K1103" s="3"/>
      <c r="L1103" s="3"/>
      <c r="M1103" s="3"/>
      <c r="N1103" s="3"/>
      <c r="O1103" s="3"/>
      <c r="P1103" s="3"/>
      <c r="Q1103" s="3"/>
      <c r="R1103" s="3"/>
      <c r="S1103" s="3"/>
      <c r="T1103" s="3"/>
      <c r="U1103" s="3"/>
      <c r="V1103" s="3"/>
      <c r="W1103" s="3"/>
      <c r="X1103" s="3"/>
      <c r="Y1103" s="3"/>
      <c r="Z1103" s="3"/>
    </row>
    <row r="1104" spans="1:26" ht="14.25" customHeight="1">
      <c r="A1104" s="1"/>
      <c r="B1104" s="1"/>
      <c r="C1104" s="1"/>
      <c r="D1104" s="1"/>
      <c r="E1104" s="19"/>
      <c r="F1104" s="3"/>
      <c r="G1104" s="3"/>
      <c r="H1104" s="3"/>
      <c r="I1104" s="3"/>
      <c r="J1104" s="3"/>
      <c r="K1104" s="3"/>
      <c r="L1104" s="3"/>
      <c r="M1104" s="3"/>
      <c r="N1104" s="3"/>
      <c r="O1104" s="3"/>
      <c r="P1104" s="3"/>
      <c r="Q1104" s="3"/>
      <c r="R1104" s="3"/>
      <c r="S1104" s="3"/>
      <c r="T1104" s="3"/>
      <c r="U1104" s="3"/>
      <c r="V1104" s="3"/>
      <c r="W1104" s="3"/>
      <c r="X1104" s="3"/>
      <c r="Y1104" s="3"/>
      <c r="Z1104" s="3"/>
    </row>
    <row r="1105" spans="1:26" ht="14.25" customHeight="1">
      <c r="A1105" s="1"/>
      <c r="B1105" s="1"/>
      <c r="C1105" s="1"/>
      <c r="D1105" s="1"/>
      <c r="E1105" s="19"/>
      <c r="F1105" s="3"/>
      <c r="G1105" s="3"/>
      <c r="H1105" s="3"/>
      <c r="I1105" s="3"/>
      <c r="J1105" s="3"/>
      <c r="K1105" s="3"/>
      <c r="L1105" s="3"/>
      <c r="M1105" s="3"/>
      <c r="N1105" s="3"/>
      <c r="O1105" s="3"/>
      <c r="P1105" s="3"/>
      <c r="Q1105" s="3"/>
      <c r="R1105" s="3"/>
      <c r="S1105" s="3"/>
      <c r="T1105" s="3"/>
      <c r="U1105" s="3"/>
      <c r="V1105" s="3"/>
      <c r="W1105" s="3"/>
      <c r="X1105" s="3"/>
      <c r="Y1105" s="3"/>
      <c r="Z1105" s="3"/>
    </row>
    <row r="1106" spans="1:26" ht="14.25" customHeight="1">
      <c r="A1106" s="1"/>
      <c r="B1106" s="1"/>
      <c r="C1106" s="1"/>
      <c r="D1106" s="1"/>
      <c r="E1106" s="19"/>
      <c r="F1106" s="3"/>
      <c r="G1106" s="3"/>
      <c r="H1106" s="3"/>
      <c r="I1106" s="3"/>
      <c r="J1106" s="3"/>
      <c r="K1106" s="3"/>
      <c r="L1106" s="3"/>
      <c r="M1106" s="3"/>
      <c r="N1106" s="3"/>
      <c r="O1106" s="3"/>
      <c r="P1106" s="3"/>
      <c r="Q1106" s="3"/>
      <c r="R1106" s="3"/>
      <c r="S1106" s="3"/>
      <c r="T1106" s="3"/>
      <c r="U1106" s="3"/>
      <c r="V1106" s="3"/>
      <c r="W1106" s="3"/>
      <c r="X1106" s="3"/>
      <c r="Y1106" s="3"/>
      <c r="Z1106" s="3"/>
    </row>
    <row r="1107" spans="1:26" ht="14.25" customHeight="1">
      <c r="A1107" s="1"/>
      <c r="B1107" s="1"/>
      <c r="C1107" s="1"/>
      <c r="D1107" s="1"/>
      <c r="E1107" s="19"/>
      <c r="F1107" s="3"/>
      <c r="G1107" s="3"/>
      <c r="H1107" s="3"/>
      <c r="I1107" s="3"/>
      <c r="J1107" s="3"/>
      <c r="K1107" s="3"/>
      <c r="L1107" s="3"/>
      <c r="M1107" s="3"/>
      <c r="N1107" s="3"/>
      <c r="O1107" s="3"/>
      <c r="P1107" s="3"/>
      <c r="Q1107" s="3"/>
      <c r="R1107" s="3"/>
      <c r="S1107" s="3"/>
      <c r="T1107" s="3"/>
      <c r="U1107" s="3"/>
      <c r="V1107" s="3"/>
      <c r="W1107" s="3"/>
      <c r="X1107" s="3"/>
      <c r="Y1107" s="3"/>
      <c r="Z1107" s="3"/>
    </row>
    <row r="1108" spans="1:26" ht="14.25" customHeight="1">
      <c r="A1108" s="1"/>
      <c r="B1108" s="1"/>
      <c r="C1108" s="1"/>
      <c r="D1108" s="1"/>
      <c r="E1108" s="19"/>
      <c r="F1108" s="3"/>
      <c r="G1108" s="3"/>
      <c r="H1108" s="3"/>
      <c r="I1108" s="3"/>
      <c r="J1108" s="3"/>
      <c r="K1108" s="3"/>
      <c r="L1108" s="3"/>
      <c r="M1108" s="3"/>
      <c r="N1108" s="3"/>
      <c r="O1108" s="3"/>
      <c r="P1108" s="3"/>
      <c r="Q1108" s="3"/>
      <c r="R1108" s="3"/>
      <c r="S1108" s="3"/>
      <c r="T1108" s="3"/>
      <c r="U1108" s="3"/>
      <c r="V1108" s="3"/>
      <c r="W1108" s="3"/>
      <c r="X1108" s="3"/>
      <c r="Y1108" s="3"/>
      <c r="Z1108" s="3"/>
    </row>
    <row r="1109" spans="1:26" ht="14.25" customHeight="1">
      <c r="A1109" s="1"/>
      <c r="B1109" s="1"/>
      <c r="C1109" s="1"/>
      <c r="D1109" s="1"/>
      <c r="E1109" s="19"/>
      <c r="F1109" s="3"/>
      <c r="G1109" s="3"/>
      <c r="H1109" s="3"/>
      <c r="I1109" s="3"/>
      <c r="J1109" s="3"/>
      <c r="K1109" s="3"/>
      <c r="L1109" s="3"/>
      <c r="M1109" s="3"/>
      <c r="N1109" s="3"/>
      <c r="O1109" s="3"/>
      <c r="P1109" s="3"/>
      <c r="Q1109" s="3"/>
      <c r="R1109" s="3"/>
      <c r="S1109" s="3"/>
      <c r="T1109" s="3"/>
      <c r="U1109" s="3"/>
      <c r="V1109" s="3"/>
      <c r="W1109" s="3"/>
      <c r="X1109" s="3"/>
      <c r="Y1109" s="3"/>
      <c r="Z1109" s="3"/>
    </row>
    <row r="1110" spans="1:26" ht="14.25" customHeight="1">
      <c r="A1110" s="1"/>
      <c r="B1110" s="1"/>
      <c r="C1110" s="1"/>
      <c r="D1110" s="1"/>
      <c r="E1110" s="19"/>
      <c r="F1110" s="3"/>
      <c r="G1110" s="3"/>
      <c r="H1110" s="3"/>
      <c r="I1110" s="3"/>
      <c r="J1110" s="3"/>
      <c r="K1110" s="3"/>
      <c r="L1110" s="3"/>
      <c r="M1110" s="3"/>
      <c r="N1110" s="3"/>
      <c r="O1110" s="3"/>
      <c r="P1110" s="3"/>
      <c r="Q1110" s="3"/>
      <c r="R1110" s="3"/>
      <c r="S1110" s="3"/>
      <c r="T1110" s="3"/>
      <c r="U1110" s="3"/>
      <c r="V1110" s="3"/>
      <c r="W1110" s="3"/>
      <c r="X1110" s="3"/>
      <c r="Y1110" s="3"/>
      <c r="Z1110" s="3"/>
    </row>
    <row r="1111" spans="1:26" ht="14.25" customHeight="1">
      <c r="A1111" s="1"/>
      <c r="B1111" s="1"/>
      <c r="C1111" s="1"/>
      <c r="D1111" s="1"/>
      <c r="E1111" s="19"/>
      <c r="F1111" s="3"/>
      <c r="G1111" s="3"/>
      <c r="H1111" s="3"/>
      <c r="I1111" s="3"/>
      <c r="J1111" s="3"/>
      <c r="K1111" s="3"/>
      <c r="L1111" s="3"/>
      <c r="M1111" s="3"/>
      <c r="N1111" s="3"/>
      <c r="O1111" s="3"/>
      <c r="P1111" s="3"/>
      <c r="Q1111" s="3"/>
      <c r="R1111" s="3"/>
      <c r="S1111" s="3"/>
      <c r="T1111" s="3"/>
      <c r="U1111" s="3"/>
      <c r="V1111" s="3"/>
      <c r="W1111" s="3"/>
      <c r="X1111" s="3"/>
      <c r="Y1111" s="3"/>
      <c r="Z1111" s="3"/>
    </row>
    <row r="1112" spans="1:26" ht="14.25" customHeight="1">
      <c r="A1112" s="1"/>
      <c r="B1112" s="1"/>
      <c r="C1112" s="1"/>
      <c r="D1112" s="1"/>
      <c r="E1112" s="19"/>
      <c r="F1112" s="3"/>
      <c r="G1112" s="3"/>
      <c r="H1112" s="3"/>
      <c r="I1112" s="3"/>
      <c r="J1112" s="3"/>
      <c r="K1112" s="3"/>
      <c r="L1112" s="3"/>
      <c r="M1112" s="3"/>
      <c r="N1112" s="3"/>
      <c r="O1112" s="3"/>
      <c r="P1112" s="3"/>
      <c r="Q1112" s="3"/>
      <c r="R1112" s="3"/>
      <c r="S1112" s="3"/>
      <c r="T1112" s="3"/>
      <c r="U1112" s="3"/>
      <c r="V1112" s="3"/>
      <c r="W1112" s="3"/>
      <c r="X1112" s="3"/>
      <c r="Y1112" s="3"/>
      <c r="Z1112" s="3"/>
    </row>
    <row r="1113" spans="1:26" ht="14.25" customHeight="1">
      <c r="A1113" s="1"/>
      <c r="B1113" s="1"/>
      <c r="C1113" s="1"/>
      <c r="D1113" s="1"/>
      <c r="E1113" s="19"/>
      <c r="F1113" s="3"/>
      <c r="G1113" s="3"/>
      <c r="H1113" s="3"/>
      <c r="I1113" s="3"/>
      <c r="J1113" s="3"/>
      <c r="K1113" s="3"/>
      <c r="L1113" s="3"/>
      <c r="M1113" s="3"/>
      <c r="N1113" s="3"/>
      <c r="O1113" s="3"/>
      <c r="P1113" s="3"/>
      <c r="Q1113" s="3"/>
      <c r="R1113" s="3"/>
      <c r="S1113" s="3"/>
      <c r="T1113" s="3"/>
      <c r="U1113" s="3"/>
      <c r="V1113" s="3"/>
      <c r="W1113" s="3"/>
      <c r="X1113" s="3"/>
      <c r="Y1113" s="3"/>
      <c r="Z1113" s="3"/>
    </row>
    <row r="1114" spans="1:26" ht="14.25" customHeight="1">
      <c r="A1114" s="1"/>
      <c r="B1114" s="1"/>
      <c r="C1114" s="1"/>
      <c r="D1114" s="1"/>
      <c r="E1114" s="19"/>
      <c r="F1114" s="3"/>
      <c r="G1114" s="3"/>
      <c r="H1114" s="3"/>
      <c r="I1114" s="3"/>
      <c r="J1114" s="3"/>
      <c r="K1114" s="3"/>
      <c r="L1114" s="3"/>
      <c r="M1114" s="3"/>
      <c r="N1114" s="3"/>
      <c r="O1114" s="3"/>
      <c r="P1114" s="3"/>
      <c r="Q1114" s="3"/>
      <c r="R1114" s="3"/>
      <c r="S1114" s="3"/>
      <c r="T1114" s="3"/>
      <c r="U1114" s="3"/>
      <c r="V1114" s="3"/>
      <c r="W1114" s="3"/>
      <c r="X1114" s="3"/>
      <c r="Y1114" s="3"/>
      <c r="Z1114" s="3"/>
    </row>
    <row r="1115" spans="1:26" ht="14.25" customHeight="1">
      <c r="A1115" s="1"/>
      <c r="B1115" s="1"/>
      <c r="C1115" s="1"/>
      <c r="D1115" s="1"/>
      <c r="E1115" s="19"/>
      <c r="F1115" s="3"/>
      <c r="G1115" s="3"/>
      <c r="H1115" s="3"/>
      <c r="I1115" s="3"/>
      <c r="J1115" s="3"/>
      <c r="K1115" s="3"/>
      <c r="L1115" s="3"/>
      <c r="M1115" s="3"/>
      <c r="N1115" s="3"/>
      <c r="O1115" s="3"/>
      <c r="P1115" s="3"/>
      <c r="Q1115" s="3"/>
      <c r="R1115" s="3"/>
      <c r="S1115" s="3"/>
      <c r="T1115" s="3"/>
      <c r="U1115" s="3"/>
      <c r="V1115" s="3"/>
      <c r="W1115" s="3"/>
      <c r="X1115" s="3"/>
      <c r="Y1115" s="3"/>
      <c r="Z1115" s="3"/>
    </row>
    <row r="1116" spans="1:26" ht="14.25" customHeight="1">
      <c r="A1116" s="1"/>
      <c r="B1116" s="1"/>
      <c r="C1116" s="1"/>
      <c r="D1116" s="1"/>
      <c r="E1116" s="19"/>
      <c r="F1116" s="3"/>
      <c r="G1116" s="3"/>
      <c r="H1116" s="3"/>
      <c r="I1116" s="3"/>
      <c r="J1116" s="3"/>
      <c r="K1116" s="3"/>
      <c r="L1116" s="3"/>
      <c r="M1116" s="3"/>
      <c r="N1116" s="3"/>
      <c r="O1116" s="3"/>
      <c r="P1116" s="3"/>
      <c r="Q1116" s="3"/>
      <c r="R1116" s="3"/>
      <c r="S1116" s="3"/>
      <c r="T1116" s="3"/>
      <c r="U1116" s="3"/>
      <c r="V1116" s="3"/>
      <c r="W1116" s="3"/>
      <c r="X1116" s="3"/>
      <c r="Y1116" s="3"/>
      <c r="Z1116" s="3"/>
    </row>
    <row r="1117" spans="1:26" ht="14.25" customHeight="1">
      <c r="A1117" s="1"/>
      <c r="B1117" s="1"/>
      <c r="C1117" s="1"/>
      <c r="D1117" s="1"/>
      <c r="E1117" s="19"/>
      <c r="F1117" s="3"/>
      <c r="G1117" s="3"/>
      <c r="H1117" s="3"/>
      <c r="I1117" s="3"/>
      <c r="J1117" s="3"/>
      <c r="K1117" s="3"/>
      <c r="L1117" s="3"/>
      <c r="M1117" s="3"/>
      <c r="N1117" s="3"/>
      <c r="O1117" s="3"/>
      <c r="P1117" s="3"/>
      <c r="Q1117" s="3"/>
      <c r="R1117" s="3"/>
      <c r="S1117" s="3"/>
      <c r="T1117" s="3"/>
      <c r="U1117" s="3"/>
      <c r="V1117" s="3"/>
      <c r="W1117" s="3"/>
      <c r="X1117" s="3"/>
      <c r="Y1117" s="3"/>
      <c r="Z1117" s="3"/>
    </row>
    <row r="1118" spans="1:26" ht="14.25" customHeight="1">
      <c r="A1118" s="1"/>
      <c r="B1118" s="1"/>
      <c r="C1118" s="1"/>
      <c r="D1118" s="1"/>
      <c r="E1118" s="19"/>
      <c r="F1118" s="3"/>
      <c r="G1118" s="3"/>
      <c r="H1118" s="3"/>
      <c r="I1118" s="3"/>
      <c r="J1118" s="3"/>
      <c r="K1118" s="3"/>
      <c r="L1118" s="3"/>
      <c r="M1118" s="3"/>
      <c r="N1118" s="3"/>
      <c r="O1118" s="3"/>
      <c r="P1118" s="3"/>
      <c r="Q1118" s="3"/>
      <c r="R1118" s="3"/>
      <c r="S1118" s="3"/>
      <c r="T1118" s="3"/>
      <c r="U1118" s="3"/>
      <c r="V1118" s="3"/>
      <c r="W1118" s="3"/>
      <c r="X1118" s="3"/>
      <c r="Y1118" s="3"/>
      <c r="Z1118" s="3"/>
    </row>
    <row r="1119" spans="1:26" ht="14.25" customHeight="1">
      <c r="A1119" s="1"/>
      <c r="B1119" s="1"/>
      <c r="C1119" s="1"/>
      <c r="D1119" s="1"/>
      <c r="E1119" s="19"/>
      <c r="F1119" s="3"/>
      <c r="G1119" s="3"/>
      <c r="H1119" s="3"/>
      <c r="I1119" s="3"/>
      <c r="J1119" s="3"/>
      <c r="K1119" s="3"/>
      <c r="L1119" s="3"/>
      <c r="M1119" s="3"/>
      <c r="N1119" s="3"/>
      <c r="O1119" s="3"/>
      <c r="P1119" s="3"/>
      <c r="Q1119" s="3"/>
      <c r="R1119" s="3"/>
      <c r="S1119" s="3"/>
      <c r="T1119" s="3"/>
      <c r="U1119" s="3"/>
      <c r="V1119" s="3"/>
      <c r="W1119" s="3"/>
      <c r="X1119" s="3"/>
      <c r="Y1119" s="3"/>
      <c r="Z1119" s="3"/>
    </row>
    <row r="1120" spans="1:26" ht="14.25" customHeight="1">
      <c r="A1120" s="1"/>
      <c r="B1120" s="1"/>
      <c r="C1120" s="1"/>
      <c r="D1120" s="1"/>
      <c r="E1120" s="19"/>
      <c r="F1120" s="3"/>
      <c r="G1120" s="3"/>
      <c r="H1120" s="3"/>
      <c r="I1120" s="3"/>
      <c r="J1120" s="3"/>
      <c r="K1120" s="3"/>
      <c r="L1120" s="3"/>
      <c r="M1120" s="3"/>
      <c r="N1120" s="3"/>
      <c r="O1120" s="3"/>
      <c r="P1120" s="3"/>
      <c r="Q1120" s="3"/>
      <c r="R1120" s="3"/>
      <c r="S1120" s="3"/>
      <c r="T1120" s="3"/>
      <c r="U1120" s="3"/>
      <c r="V1120" s="3"/>
      <c r="W1120" s="3"/>
      <c r="X1120" s="3"/>
      <c r="Y1120" s="3"/>
      <c r="Z1120" s="3"/>
    </row>
    <row r="1121" spans="1:26" ht="14.25" customHeight="1">
      <c r="A1121" s="1"/>
      <c r="B1121" s="1"/>
      <c r="C1121" s="1"/>
      <c r="D1121" s="1"/>
      <c r="E1121" s="19"/>
      <c r="F1121" s="3"/>
      <c r="G1121" s="3"/>
      <c r="H1121" s="3"/>
      <c r="I1121" s="3"/>
      <c r="J1121" s="3"/>
      <c r="K1121" s="3"/>
      <c r="L1121" s="3"/>
      <c r="M1121" s="3"/>
      <c r="N1121" s="3"/>
      <c r="O1121" s="3"/>
      <c r="P1121" s="3"/>
      <c r="Q1121" s="3"/>
      <c r="R1121" s="3"/>
      <c r="S1121" s="3"/>
      <c r="T1121" s="3"/>
      <c r="U1121" s="3"/>
      <c r="V1121" s="3"/>
      <c r="W1121" s="3"/>
      <c r="X1121" s="3"/>
      <c r="Y1121" s="3"/>
      <c r="Z1121" s="3"/>
    </row>
    <row r="1122" spans="1:26" ht="14.25" customHeight="1">
      <c r="A1122" s="1"/>
      <c r="B1122" s="1"/>
      <c r="C1122" s="1"/>
      <c r="D1122" s="1"/>
      <c r="E1122" s="19"/>
      <c r="F1122" s="3"/>
      <c r="G1122" s="3"/>
      <c r="H1122" s="3"/>
      <c r="I1122" s="3"/>
      <c r="J1122" s="3"/>
      <c r="K1122" s="3"/>
      <c r="L1122" s="3"/>
      <c r="M1122" s="3"/>
      <c r="N1122" s="3"/>
      <c r="O1122" s="3"/>
      <c r="P1122" s="3"/>
      <c r="Q1122" s="3"/>
      <c r="R1122" s="3"/>
      <c r="S1122" s="3"/>
      <c r="T1122" s="3"/>
      <c r="U1122" s="3"/>
      <c r="V1122" s="3"/>
      <c r="W1122" s="3"/>
      <c r="X1122" s="3"/>
      <c r="Y1122" s="3"/>
      <c r="Z1122" s="3"/>
    </row>
    <row r="1123" spans="1:26" ht="14.25" customHeight="1">
      <c r="A1123" s="1"/>
      <c r="B1123" s="1"/>
      <c r="C1123" s="1"/>
      <c r="D1123" s="1"/>
      <c r="E1123" s="19"/>
      <c r="F1123" s="3"/>
      <c r="G1123" s="3"/>
      <c r="H1123" s="3"/>
      <c r="I1123" s="3"/>
      <c r="J1123" s="3"/>
      <c r="K1123" s="3"/>
      <c r="L1123" s="3"/>
      <c r="M1123" s="3"/>
      <c r="N1123" s="3"/>
      <c r="O1123" s="3"/>
      <c r="P1123" s="3"/>
      <c r="Q1123" s="3"/>
      <c r="R1123" s="3"/>
      <c r="S1123" s="3"/>
      <c r="T1123" s="3"/>
      <c r="U1123" s="3"/>
      <c r="V1123" s="3"/>
      <c r="W1123" s="3"/>
      <c r="X1123" s="3"/>
      <c r="Y1123" s="3"/>
      <c r="Z1123" s="3"/>
    </row>
    <row r="1124" spans="1:26" ht="14.25" customHeight="1">
      <c r="A1124" s="1"/>
      <c r="B1124" s="1"/>
      <c r="C1124" s="1"/>
      <c r="D1124" s="1"/>
      <c r="E1124" s="19"/>
      <c r="F1124" s="3"/>
      <c r="G1124" s="3"/>
      <c r="H1124" s="3"/>
      <c r="I1124" s="3"/>
      <c r="J1124" s="3"/>
      <c r="K1124" s="3"/>
      <c r="L1124" s="3"/>
      <c r="M1124" s="3"/>
      <c r="N1124" s="3"/>
      <c r="O1124" s="3"/>
      <c r="P1124" s="3"/>
      <c r="Q1124" s="3"/>
      <c r="R1124" s="3"/>
      <c r="S1124" s="3"/>
      <c r="T1124" s="3"/>
      <c r="U1124" s="3"/>
      <c r="V1124" s="3"/>
      <c r="W1124" s="3"/>
      <c r="X1124" s="3"/>
      <c r="Y1124" s="3"/>
      <c r="Z1124" s="3"/>
    </row>
    <row r="1125" spans="1:26" ht="14.25" customHeight="1">
      <c r="A1125" s="1"/>
      <c r="B1125" s="1"/>
      <c r="C1125" s="1"/>
      <c r="D1125" s="1"/>
      <c r="E1125" s="19"/>
      <c r="F1125" s="3"/>
      <c r="G1125" s="3"/>
      <c r="H1125" s="3"/>
      <c r="I1125" s="3"/>
      <c r="J1125" s="3"/>
      <c r="K1125" s="3"/>
      <c r="L1125" s="3"/>
      <c r="M1125" s="3"/>
      <c r="N1125" s="3"/>
      <c r="O1125" s="3"/>
      <c r="P1125" s="3"/>
      <c r="Q1125" s="3"/>
      <c r="R1125" s="3"/>
      <c r="S1125" s="3"/>
      <c r="T1125" s="3"/>
      <c r="U1125" s="3"/>
      <c r="V1125" s="3"/>
      <c r="W1125" s="3"/>
      <c r="X1125" s="3"/>
      <c r="Y1125" s="3"/>
      <c r="Z1125" s="3"/>
    </row>
    <row r="1126" spans="1:26" ht="14.25" customHeight="1">
      <c r="A1126" s="1"/>
      <c r="B1126" s="1"/>
      <c r="C1126" s="1"/>
      <c r="D1126" s="1"/>
      <c r="E1126" s="19"/>
      <c r="F1126" s="3"/>
      <c r="G1126" s="3"/>
      <c r="H1126" s="3"/>
      <c r="I1126" s="3"/>
      <c r="J1126" s="3"/>
      <c r="K1126" s="3"/>
      <c r="L1126" s="3"/>
      <c r="M1126" s="3"/>
      <c r="N1126" s="3"/>
      <c r="O1126" s="3"/>
      <c r="P1126" s="3"/>
      <c r="Q1126" s="3"/>
      <c r="R1126" s="3"/>
      <c r="S1126" s="3"/>
      <c r="T1126" s="3"/>
      <c r="U1126" s="3"/>
      <c r="V1126" s="3"/>
      <c r="W1126" s="3"/>
      <c r="X1126" s="3"/>
      <c r="Y1126" s="3"/>
      <c r="Z1126" s="3"/>
    </row>
    <row r="1127" spans="1:26" ht="14.25" customHeight="1">
      <c r="A1127" s="1"/>
      <c r="B1127" s="1"/>
      <c r="C1127" s="1"/>
      <c r="D1127" s="1"/>
      <c r="E1127" s="19"/>
      <c r="F1127" s="3"/>
      <c r="G1127" s="3"/>
      <c r="H1127" s="3"/>
      <c r="I1127" s="3"/>
      <c r="J1127" s="3"/>
      <c r="K1127" s="3"/>
      <c r="L1127" s="3"/>
      <c r="M1127" s="3"/>
      <c r="N1127" s="3"/>
      <c r="O1127" s="3"/>
      <c r="P1127" s="3"/>
      <c r="Q1127" s="3"/>
      <c r="R1127" s="3"/>
      <c r="S1127" s="3"/>
      <c r="T1127" s="3"/>
      <c r="U1127" s="3"/>
      <c r="V1127" s="3"/>
      <c r="W1127" s="3"/>
      <c r="X1127" s="3"/>
      <c r="Y1127" s="3"/>
      <c r="Z1127" s="3"/>
    </row>
    <row r="1128" spans="1:26" ht="14.25" customHeight="1">
      <c r="A1128" s="1"/>
      <c r="B1128" s="1"/>
      <c r="C1128" s="1"/>
      <c r="D1128" s="1"/>
      <c r="E1128" s="19"/>
      <c r="F1128" s="3"/>
      <c r="G1128" s="3"/>
      <c r="H1128" s="3"/>
      <c r="I1128" s="3"/>
      <c r="J1128" s="3"/>
      <c r="K1128" s="3"/>
      <c r="L1128" s="3"/>
      <c r="M1128" s="3"/>
      <c r="N1128" s="3"/>
      <c r="O1128" s="3"/>
      <c r="P1128" s="3"/>
      <c r="Q1128" s="3"/>
      <c r="R1128" s="3"/>
      <c r="S1128" s="3"/>
      <c r="T1128" s="3"/>
      <c r="U1128" s="3"/>
      <c r="V1128" s="3"/>
      <c r="W1128" s="3"/>
      <c r="X1128" s="3"/>
      <c r="Y1128" s="3"/>
      <c r="Z1128" s="3"/>
    </row>
    <row r="1129" spans="1:26" ht="14.25" customHeight="1">
      <c r="A1129" s="1"/>
      <c r="B1129" s="1"/>
      <c r="C1129" s="1"/>
      <c r="D1129" s="1"/>
      <c r="E1129" s="19"/>
      <c r="F1129" s="3"/>
      <c r="G1129" s="3"/>
      <c r="H1129" s="3"/>
      <c r="I1129" s="3"/>
      <c r="J1129" s="3"/>
      <c r="K1129" s="3"/>
      <c r="L1129" s="3"/>
      <c r="M1129" s="3"/>
      <c r="N1129" s="3"/>
      <c r="O1129" s="3"/>
      <c r="P1129" s="3"/>
      <c r="Q1129" s="3"/>
      <c r="R1129" s="3"/>
      <c r="S1129" s="3"/>
      <c r="T1129" s="3"/>
      <c r="U1129" s="3"/>
      <c r="V1129" s="3"/>
      <c r="W1129" s="3"/>
      <c r="X1129" s="3"/>
      <c r="Y1129" s="3"/>
      <c r="Z1129" s="3"/>
    </row>
    <row r="1130" spans="1:26" ht="14.25" customHeight="1">
      <c r="A1130" s="1"/>
      <c r="B1130" s="1"/>
      <c r="C1130" s="1"/>
      <c r="D1130" s="1"/>
      <c r="E1130" s="19"/>
      <c r="F1130" s="3"/>
      <c r="G1130" s="3"/>
      <c r="H1130" s="3"/>
      <c r="I1130" s="3"/>
      <c r="J1130" s="3"/>
      <c r="K1130" s="3"/>
      <c r="L1130" s="3"/>
      <c r="M1130" s="3"/>
      <c r="N1130" s="3"/>
      <c r="O1130" s="3"/>
      <c r="P1130" s="3"/>
      <c r="Q1130" s="3"/>
      <c r="R1130" s="3"/>
      <c r="S1130" s="3"/>
      <c r="T1130" s="3"/>
      <c r="U1130" s="3"/>
      <c r="V1130" s="3"/>
      <c r="W1130" s="3"/>
      <c r="X1130" s="3"/>
      <c r="Y1130" s="3"/>
      <c r="Z1130" s="3"/>
    </row>
    <row r="1131" spans="1:26" ht="14.25" customHeight="1">
      <c r="A1131" s="1"/>
      <c r="B1131" s="1"/>
      <c r="C1131" s="1"/>
      <c r="D1131" s="1"/>
      <c r="E1131" s="19"/>
      <c r="F1131" s="3"/>
      <c r="G1131" s="3"/>
      <c r="H1131" s="3"/>
      <c r="I1131" s="3"/>
      <c r="J1131" s="3"/>
      <c r="K1131" s="3"/>
      <c r="L1131" s="3"/>
      <c r="M1131" s="3"/>
      <c r="N1131" s="3"/>
      <c r="O1131" s="3"/>
      <c r="P1131" s="3"/>
      <c r="Q1131" s="3"/>
      <c r="R1131" s="3"/>
      <c r="S1131" s="3"/>
      <c r="T1131" s="3"/>
      <c r="U1131" s="3"/>
      <c r="V1131" s="3"/>
      <c r="W1131" s="3"/>
      <c r="X1131" s="3"/>
      <c r="Y1131" s="3"/>
      <c r="Z1131" s="3"/>
    </row>
    <row r="1132" spans="1:26" ht="14.25" customHeight="1">
      <c r="A1132" s="1"/>
      <c r="B1132" s="1"/>
      <c r="C1132" s="1"/>
      <c r="D1132" s="1"/>
      <c r="E1132" s="19"/>
      <c r="F1132" s="3"/>
      <c r="G1132" s="3"/>
      <c r="H1132" s="3"/>
      <c r="I1132" s="3"/>
      <c r="J1132" s="3"/>
      <c r="K1132" s="3"/>
      <c r="L1132" s="3"/>
      <c r="M1132" s="3"/>
      <c r="N1132" s="3"/>
      <c r="O1132" s="3"/>
      <c r="P1132" s="3"/>
      <c r="Q1132" s="3"/>
      <c r="R1132" s="3"/>
      <c r="S1132" s="3"/>
      <c r="T1132" s="3"/>
      <c r="U1132" s="3"/>
      <c r="V1132" s="3"/>
      <c r="W1132" s="3"/>
      <c r="X1132" s="3"/>
      <c r="Y1132" s="3"/>
      <c r="Z1132" s="3"/>
    </row>
    <row r="1133" spans="1:26" ht="14.25" customHeight="1">
      <c r="A1133" s="1"/>
      <c r="B1133" s="1"/>
      <c r="C1133" s="1"/>
      <c r="D1133" s="1"/>
      <c r="E1133" s="19"/>
      <c r="F1133" s="3"/>
      <c r="G1133" s="3"/>
      <c r="H1133" s="3"/>
      <c r="I1133" s="3"/>
      <c r="J1133" s="3"/>
      <c r="K1133" s="3"/>
      <c r="L1133" s="3"/>
      <c r="M1133" s="3"/>
      <c r="N1133" s="3"/>
      <c r="O1133" s="3"/>
      <c r="P1133" s="3"/>
      <c r="Q1133" s="3"/>
      <c r="R1133" s="3"/>
      <c r="S1133" s="3"/>
      <c r="T1133" s="3"/>
      <c r="U1133" s="3"/>
      <c r="V1133" s="3"/>
      <c r="W1133" s="3"/>
      <c r="X1133" s="3"/>
      <c r="Y1133" s="3"/>
      <c r="Z1133" s="3"/>
    </row>
    <row r="1134" spans="1:26" ht="14.25" customHeight="1">
      <c r="A1134" s="1"/>
      <c r="B1134" s="1"/>
      <c r="C1134" s="1"/>
      <c r="D1134" s="1"/>
      <c r="E1134" s="19"/>
      <c r="F1134" s="3"/>
      <c r="G1134" s="3"/>
      <c r="H1134" s="3"/>
      <c r="I1134" s="3"/>
      <c r="J1134" s="3"/>
      <c r="K1134" s="3"/>
      <c r="L1134" s="3"/>
      <c r="M1134" s="3"/>
      <c r="N1134" s="3"/>
      <c r="O1134" s="3"/>
      <c r="P1134" s="3"/>
      <c r="Q1134" s="3"/>
      <c r="R1134" s="3"/>
      <c r="S1134" s="3"/>
      <c r="T1134" s="3"/>
      <c r="U1134" s="3"/>
      <c r="V1134" s="3"/>
      <c r="W1134" s="3"/>
      <c r="X1134" s="3"/>
      <c r="Y1134" s="3"/>
      <c r="Z1134" s="3"/>
    </row>
    <row r="1135" spans="1:26" ht="14.25" customHeight="1">
      <c r="A1135" s="1"/>
      <c r="B1135" s="1"/>
      <c r="C1135" s="1"/>
      <c r="D1135" s="1"/>
      <c r="E1135" s="19"/>
      <c r="F1135" s="3"/>
      <c r="G1135" s="3"/>
      <c r="H1135" s="3"/>
      <c r="I1135" s="3"/>
      <c r="J1135" s="3"/>
      <c r="K1135" s="3"/>
      <c r="L1135" s="3"/>
      <c r="M1135" s="3"/>
      <c r="N1135" s="3"/>
      <c r="O1135" s="3"/>
      <c r="P1135" s="3"/>
      <c r="Q1135" s="3"/>
      <c r="R1135" s="3"/>
      <c r="S1135" s="3"/>
      <c r="T1135" s="3"/>
      <c r="U1135" s="3"/>
      <c r="V1135" s="3"/>
      <c r="W1135" s="3"/>
      <c r="X1135" s="3"/>
      <c r="Y1135" s="3"/>
      <c r="Z1135" s="3"/>
    </row>
    <row r="1136" spans="1:26" ht="14.25" customHeight="1">
      <c r="A1136" s="1"/>
      <c r="B1136" s="1"/>
      <c r="C1136" s="1"/>
      <c r="D1136" s="1"/>
      <c r="E1136" s="19"/>
      <c r="F1136" s="3"/>
      <c r="G1136" s="3"/>
      <c r="H1136" s="3"/>
      <c r="I1136" s="3"/>
      <c r="J1136" s="3"/>
      <c r="K1136" s="3"/>
      <c r="L1136" s="3"/>
      <c r="M1136" s="3"/>
      <c r="N1136" s="3"/>
      <c r="O1136" s="3"/>
      <c r="P1136" s="3"/>
      <c r="Q1136" s="3"/>
      <c r="R1136" s="3"/>
      <c r="S1136" s="3"/>
      <c r="T1136" s="3"/>
      <c r="U1136" s="3"/>
      <c r="V1136" s="3"/>
      <c r="W1136" s="3"/>
      <c r="X1136" s="3"/>
      <c r="Y1136" s="3"/>
      <c r="Z1136" s="3"/>
    </row>
    <row r="1137" spans="1:26" ht="14.25" customHeight="1">
      <c r="A1137" s="1"/>
      <c r="B1137" s="1"/>
      <c r="C1137" s="1"/>
      <c r="D1137" s="1"/>
      <c r="E1137" s="19"/>
      <c r="F1137" s="3"/>
      <c r="G1137" s="3"/>
      <c r="H1137" s="3"/>
      <c r="I1137" s="3"/>
      <c r="J1137" s="3"/>
      <c r="K1137" s="3"/>
      <c r="L1137" s="3"/>
      <c r="M1137" s="3"/>
      <c r="N1137" s="3"/>
      <c r="O1137" s="3"/>
      <c r="P1137" s="3"/>
      <c r="Q1137" s="3"/>
      <c r="R1137" s="3"/>
      <c r="S1137" s="3"/>
      <c r="T1137" s="3"/>
      <c r="U1137" s="3"/>
      <c r="V1137" s="3"/>
      <c r="W1137" s="3"/>
      <c r="X1137" s="3"/>
      <c r="Y1137" s="3"/>
      <c r="Z1137" s="3"/>
    </row>
    <row r="1138" spans="1:26" ht="14.25" customHeight="1">
      <c r="A1138" s="1"/>
      <c r="B1138" s="1"/>
      <c r="C1138" s="1"/>
      <c r="D1138" s="1"/>
      <c r="E1138" s="19"/>
      <c r="F1138" s="3"/>
      <c r="G1138" s="3"/>
      <c r="H1138" s="3"/>
      <c r="I1138" s="3"/>
      <c r="J1138" s="3"/>
      <c r="K1138" s="3"/>
      <c r="L1138" s="3"/>
      <c r="M1138" s="3"/>
      <c r="N1138" s="3"/>
      <c r="O1138" s="3"/>
      <c r="P1138" s="3"/>
      <c r="Q1138" s="3"/>
      <c r="R1138" s="3"/>
      <c r="S1138" s="3"/>
      <c r="T1138" s="3"/>
      <c r="U1138" s="3"/>
      <c r="V1138" s="3"/>
      <c r="W1138" s="3"/>
      <c r="X1138" s="3"/>
      <c r="Y1138" s="3"/>
      <c r="Z1138" s="3"/>
    </row>
    <row r="1139" spans="1:26" ht="14.25" customHeight="1">
      <c r="A1139" s="1"/>
      <c r="B1139" s="1"/>
      <c r="C1139" s="1"/>
      <c r="D1139" s="1"/>
      <c r="E1139" s="19"/>
      <c r="F1139" s="3"/>
      <c r="G1139" s="3"/>
      <c r="H1139" s="3"/>
      <c r="I1139" s="3"/>
      <c r="J1139" s="3"/>
      <c r="K1139" s="3"/>
      <c r="L1139" s="3"/>
      <c r="M1139" s="3"/>
      <c r="N1139" s="3"/>
      <c r="O1139" s="3"/>
      <c r="P1139" s="3"/>
      <c r="Q1139" s="3"/>
      <c r="R1139" s="3"/>
      <c r="S1139" s="3"/>
      <c r="T1139" s="3"/>
      <c r="U1139" s="3"/>
      <c r="V1139" s="3"/>
      <c r="W1139" s="3"/>
      <c r="X1139" s="3"/>
      <c r="Y1139" s="3"/>
      <c r="Z1139" s="3"/>
    </row>
    <row r="1140" spans="1:26" ht="14.25" customHeight="1">
      <c r="A1140" s="1"/>
      <c r="B1140" s="1"/>
      <c r="C1140" s="1"/>
      <c r="D1140" s="1"/>
      <c r="E1140" s="19"/>
      <c r="F1140" s="3"/>
      <c r="G1140" s="3"/>
      <c r="H1140" s="3"/>
      <c r="I1140" s="3"/>
      <c r="J1140" s="3"/>
      <c r="K1140" s="3"/>
      <c r="L1140" s="3"/>
      <c r="M1140" s="3"/>
      <c r="N1140" s="3"/>
      <c r="O1140" s="3"/>
      <c r="P1140" s="3"/>
      <c r="Q1140" s="3"/>
      <c r="R1140" s="3"/>
      <c r="S1140" s="3"/>
      <c r="T1140" s="3"/>
      <c r="U1140" s="3"/>
      <c r="V1140" s="3"/>
      <c r="W1140" s="3"/>
      <c r="X1140" s="3"/>
      <c r="Y1140" s="3"/>
      <c r="Z1140" s="3"/>
    </row>
    <row r="1141" spans="1:26" ht="14.25" customHeight="1">
      <c r="A1141" s="1"/>
      <c r="B1141" s="1"/>
      <c r="C1141" s="1"/>
      <c r="D1141" s="1"/>
      <c r="E1141" s="19"/>
      <c r="F1141" s="3"/>
      <c r="G1141" s="3"/>
      <c r="H1141" s="3"/>
      <c r="I1141" s="3"/>
      <c r="J1141" s="3"/>
      <c r="K1141" s="3"/>
      <c r="L1141" s="3"/>
      <c r="M1141" s="3"/>
      <c r="N1141" s="3"/>
      <c r="O1141" s="3"/>
      <c r="P1141" s="3"/>
      <c r="Q1141" s="3"/>
      <c r="R1141" s="3"/>
      <c r="S1141" s="3"/>
      <c r="T1141" s="3"/>
      <c r="U1141" s="3"/>
      <c r="V1141" s="3"/>
      <c r="W1141" s="3"/>
      <c r="X1141" s="3"/>
      <c r="Y1141" s="3"/>
      <c r="Z1141" s="3"/>
    </row>
    <row r="1142" spans="1:26" ht="14.25" customHeight="1">
      <c r="A1142" s="1"/>
      <c r="B1142" s="1"/>
      <c r="C1142" s="1"/>
      <c r="D1142" s="1"/>
      <c r="E1142" s="19"/>
      <c r="F1142" s="3"/>
      <c r="G1142" s="3"/>
      <c r="H1142" s="3"/>
      <c r="I1142" s="3"/>
      <c r="J1142" s="3"/>
      <c r="K1142" s="3"/>
      <c r="L1142" s="3"/>
      <c r="M1142" s="3"/>
      <c r="N1142" s="3"/>
      <c r="O1142" s="3"/>
      <c r="P1142" s="3"/>
      <c r="Q1142" s="3"/>
      <c r="R1142" s="3"/>
      <c r="S1142" s="3"/>
      <c r="T1142" s="3"/>
      <c r="U1142" s="3"/>
      <c r="V1142" s="3"/>
      <c r="W1142" s="3"/>
      <c r="X1142" s="3"/>
      <c r="Y1142" s="3"/>
      <c r="Z1142" s="3"/>
    </row>
    <row r="1143" spans="1:26" ht="14.25" customHeight="1">
      <c r="A1143" s="1"/>
      <c r="B1143" s="1"/>
      <c r="C1143" s="1"/>
      <c r="D1143" s="1"/>
      <c r="E1143" s="19"/>
      <c r="F1143" s="3"/>
      <c r="G1143" s="3"/>
      <c r="H1143" s="3"/>
      <c r="I1143" s="3"/>
      <c r="J1143" s="3"/>
      <c r="K1143" s="3"/>
      <c r="L1143" s="3"/>
      <c r="M1143" s="3"/>
      <c r="N1143" s="3"/>
      <c r="O1143" s="3"/>
      <c r="P1143" s="3"/>
      <c r="Q1143" s="3"/>
      <c r="R1143" s="3"/>
      <c r="S1143" s="3"/>
      <c r="T1143" s="3"/>
      <c r="U1143" s="3"/>
      <c r="V1143" s="3"/>
      <c r="W1143" s="3"/>
      <c r="X1143" s="3"/>
      <c r="Y1143" s="3"/>
      <c r="Z1143" s="3"/>
    </row>
    <row r="1144" spans="1:26" ht="14.25" customHeight="1">
      <c r="A1144" s="1"/>
      <c r="B1144" s="1"/>
      <c r="C1144" s="1"/>
      <c r="D1144" s="1"/>
      <c r="E1144" s="19"/>
      <c r="F1144" s="3"/>
      <c r="G1144" s="3"/>
      <c r="H1144" s="3"/>
      <c r="I1144" s="3"/>
      <c r="J1144" s="3"/>
      <c r="K1144" s="3"/>
      <c r="L1144" s="3"/>
      <c r="M1144" s="3"/>
      <c r="N1144" s="3"/>
      <c r="O1144" s="3"/>
      <c r="P1144" s="3"/>
      <c r="Q1144" s="3"/>
      <c r="R1144" s="3"/>
      <c r="S1144" s="3"/>
      <c r="T1144" s="3"/>
      <c r="U1144" s="3"/>
      <c r="V1144" s="3"/>
      <c r="W1144" s="3"/>
      <c r="X1144" s="3"/>
      <c r="Y1144" s="3"/>
      <c r="Z1144" s="3"/>
    </row>
  </sheetData>
  <mergeCells count="5">
    <mergeCell ref="A1:L1"/>
    <mergeCell ref="B455:H455"/>
    <mergeCell ref="B454:H454"/>
    <mergeCell ref="B456:H456"/>
    <mergeCell ref="B457:H457"/>
  </mergeCells>
  <printOptions horizontalCentered="1"/>
  <pageMargins left="0.6692913385826772" right="0.23622047244094491" top="0.70866141732283472" bottom="0.70866141732283472" header="0" footer="0"/>
  <pageSetup paperSize="9" scale="78" orientation="landscape" r:id="rId1"/>
  <headerFooter>
    <oddFooter>Page &amp;P of &amp;N</oddFooter>
  </headerFooter>
  <rowBreaks count="5" manualBreakCount="5">
    <brk id="83" max="11" man="1"/>
    <brk id="124" max="11" man="1"/>
    <brk id="164" max="11" man="1"/>
    <brk id="216" max="11" man="1"/>
    <brk id="246" max="1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Z998"/>
  <sheetViews>
    <sheetView topLeftCell="A16" zoomScaleNormal="100" workbookViewId="0">
      <selection activeCell="C18" sqref="C18"/>
    </sheetView>
  </sheetViews>
  <sheetFormatPr defaultColWidth="12.5546875" defaultRowHeight="15" customHeight="1"/>
  <cols>
    <col min="1" max="1" width="6.6640625" customWidth="1"/>
    <col min="2" max="2" width="0.6640625" customWidth="1"/>
    <col min="3" max="3" width="58.5546875" customWidth="1"/>
    <col min="4" max="4" width="0.6640625" customWidth="1"/>
    <col min="5" max="5" width="28.6640625" customWidth="1"/>
    <col min="6" max="6" width="9.33203125" customWidth="1"/>
    <col min="7" max="7" width="10.6640625" customWidth="1"/>
    <col min="8" max="26" width="9.33203125" customWidth="1"/>
  </cols>
  <sheetData>
    <row r="1" spans="1:26" ht="57.75" customHeight="1">
      <c r="A1" s="760" t="s">
        <v>1258</v>
      </c>
      <c r="B1" s="761"/>
      <c r="C1" s="761"/>
      <c r="D1" s="761"/>
      <c r="E1" s="762"/>
      <c r="F1" s="1"/>
      <c r="G1" s="1"/>
      <c r="H1" s="1"/>
      <c r="I1" s="1"/>
      <c r="J1" s="1"/>
      <c r="K1" s="1"/>
      <c r="L1" s="1"/>
      <c r="M1" s="1"/>
      <c r="N1" s="1"/>
      <c r="O1" s="1"/>
      <c r="P1" s="1"/>
      <c r="Q1" s="1"/>
      <c r="R1" s="1"/>
      <c r="S1" s="1"/>
      <c r="T1" s="1"/>
      <c r="U1" s="1"/>
      <c r="V1" s="1"/>
      <c r="W1" s="1"/>
      <c r="X1" s="1"/>
      <c r="Y1" s="1"/>
      <c r="Z1" s="1"/>
    </row>
    <row r="2" spans="1:26" ht="12.75" customHeight="1">
      <c r="A2" s="446"/>
      <c r="B2" s="447"/>
      <c r="C2" s="447"/>
      <c r="D2" s="447"/>
      <c r="E2" s="448"/>
      <c r="F2" s="1"/>
      <c r="G2" s="1"/>
      <c r="H2" s="1"/>
      <c r="I2" s="1"/>
      <c r="J2" s="1"/>
      <c r="K2" s="1"/>
      <c r="L2" s="1"/>
      <c r="M2" s="1"/>
      <c r="N2" s="1"/>
      <c r="O2" s="1"/>
      <c r="P2" s="1"/>
      <c r="Q2" s="1"/>
      <c r="R2" s="1"/>
      <c r="S2" s="1"/>
      <c r="T2" s="1"/>
      <c r="U2" s="1"/>
      <c r="V2" s="1"/>
      <c r="W2" s="1"/>
      <c r="X2" s="1"/>
      <c r="Y2" s="1"/>
      <c r="Z2" s="1"/>
    </row>
    <row r="3" spans="1:26" ht="14.25" customHeight="1">
      <c r="A3" s="449"/>
      <c r="B3" s="450"/>
      <c r="C3" s="450"/>
      <c r="D3" s="450"/>
      <c r="E3" s="451"/>
      <c r="F3" s="1"/>
      <c r="G3" s="1"/>
      <c r="H3" s="1"/>
      <c r="I3" s="1"/>
      <c r="J3" s="1"/>
      <c r="K3" s="1"/>
      <c r="L3" s="1"/>
      <c r="M3" s="1"/>
      <c r="N3" s="1"/>
      <c r="O3" s="1"/>
      <c r="P3" s="1"/>
      <c r="Q3" s="1"/>
      <c r="R3" s="1"/>
      <c r="S3" s="1"/>
      <c r="T3" s="1"/>
      <c r="U3" s="1"/>
      <c r="V3" s="1"/>
      <c r="W3" s="1"/>
      <c r="X3" s="1"/>
      <c r="Y3" s="1"/>
      <c r="Z3" s="1"/>
    </row>
    <row r="4" spans="1:26" ht="15.75" customHeight="1">
      <c r="A4" s="763" t="s">
        <v>0</v>
      </c>
      <c r="B4" s="764"/>
      <c r="C4" s="764"/>
      <c r="D4" s="764"/>
      <c r="E4" s="765"/>
      <c r="F4" s="1"/>
      <c r="G4" s="1"/>
      <c r="H4" s="1"/>
      <c r="I4" s="1"/>
      <c r="J4" s="1"/>
      <c r="K4" s="1"/>
      <c r="L4" s="1"/>
      <c r="M4" s="1"/>
      <c r="N4" s="1"/>
      <c r="O4" s="1"/>
      <c r="P4" s="1"/>
      <c r="Q4" s="1"/>
      <c r="R4" s="1"/>
      <c r="S4" s="1"/>
      <c r="T4" s="1"/>
      <c r="U4" s="1"/>
      <c r="V4" s="1"/>
      <c r="W4" s="1"/>
      <c r="X4" s="1"/>
      <c r="Y4" s="1"/>
      <c r="Z4" s="1"/>
    </row>
    <row r="5" spans="1:26" ht="15.75" customHeight="1">
      <c r="A5" s="452"/>
      <c r="B5" s="453"/>
      <c r="C5" s="453"/>
      <c r="D5" s="453"/>
      <c r="E5" s="454"/>
      <c r="F5" s="1"/>
      <c r="G5" s="1"/>
      <c r="H5" s="1"/>
      <c r="I5" s="1"/>
      <c r="J5" s="1"/>
      <c r="K5" s="1"/>
      <c r="L5" s="1"/>
      <c r="M5" s="1"/>
      <c r="N5" s="1"/>
      <c r="O5" s="1"/>
      <c r="P5" s="1"/>
      <c r="Q5" s="1"/>
      <c r="R5" s="1"/>
      <c r="S5" s="1"/>
      <c r="T5" s="1"/>
      <c r="U5" s="1"/>
      <c r="V5" s="1"/>
      <c r="W5" s="1"/>
      <c r="X5" s="1"/>
      <c r="Y5" s="1"/>
      <c r="Z5" s="1"/>
    </row>
    <row r="6" spans="1:26" ht="15" customHeight="1">
      <c r="A6" s="455"/>
      <c r="B6" s="456"/>
      <c r="C6" s="456"/>
      <c r="D6" s="456"/>
      <c r="E6" s="457"/>
      <c r="F6" s="1"/>
      <c r="G6" s="1"/>
      <c r="H6" s="1"/>
      <c r="I6" s="1"/>
      <c r="J6" s="1"/>
      <c r="K6" s="1"/>
      <c r="L6" s="1"/>
      <c r="M6" s="1"/>
      <c r="N6" s="1"/>
      <c r="O6" s="1"/>
      <c r="P6" s="1"/>
      <c r="Q6" s="1"/>
      <c r="R6" s="1"/>
      <c r="S6" s="1"/>
      <c r="T6" s="1"/>
      <c r="U6" s="1"/>
      <c r="V6" s="1"/>
      <c r="W6" s="1"/>
      <c r="X6" s="1"/>
      <c r="Y6" s="1"/>
      <c r="Z6" s="1"/>
    </row>
    <row r="7" spans="1:26" ht="14.25" customHeight="1">
      <c r="A7" s="458"/>
      <c r="B7" s="450"/>
      <c r="C7" s="459"/>
      <c r="D7" s="459"/>
      <c r="E7" s="460"/>
      <c r="F7" s="3"/>
      <c r="G7" s="3"/>
      <c r="H7" s="3"/>
      <c r="I7" s="3"/>
      <c r="J7" s="3"/>
      <c r="K7" s="3"/>
      <c r="L7" s="3"/>
      <c r="M7" s="3"/>
      <c r="N7" s="3"/>
      <c r="O7" s="3"/>
      <c r="P7" s="3"/>
      <c r="Q7" s="3"/>
      <c r="R7" s="3"/>
      <c r="S7" s="3"/>
      <c r="T7" s="3"/>
      <c r="U7" s="3"/>
      <c r="V7" s="3"/>
      <c r="W7" s="3"/>
      <c r="X7" s="3"/>
      <c r="Y7" s="3"/>
      <c r="Z7" s="3"/>
    </row>
    <row r="8" spans="1:26" ht="18" customHeight="1">
      <c r="A8" s="461" t="s">
        <v>1</v>
      </c>
      <c r="B8" s="766" t="s">
        <v>2</v>
      </c>
      <c r="C8" s="767"/>
      <c r="D8" s="4"/>
      <c r="E8" s="462" t="s">
        <v>3</v>
      </c>
      <c r="F8" s="3"/>
      <c r="G8" s="3"/>
      <c r="H8" s="3"/>
      <c r="I8" s="3"/>
      <c r="J8" s="3"/>
      <c r="K8" s="3"/>
      <c r="L8" s="3"/>
      <c r="M8" s="3"/>
      <c r="N8" s="3"/>
      <c r="O8" s="3"/>
      <c r="P8" s="3"/>
      <c r="Q8" s="3"/>
      <c r="R8" s="3"/>
      <c r="S8" s="3"/>
      <c r="T8" s="3"/>
      <c r="U8" s="3"/>
      <c r="V8" s="3"/>
      <c r="W8" s="3"/>
      <c r="X8" s="3"/>
      <c r="Y8" s="3"/>
      <c r="Z8" s="3"/>
    </row>
    <row r="9" spans="1:26" ht="18" customHeight="1">
      <c r="A9" s="463" t="s">
        <v>4</v>
      </c>
      <c r="B9" s="768"/>
      <c r="C9" s="769"/>
      <c r="D9" s="5"/>
      <c r="E9" s="464" t="s">
        <v>5</v>
      </c>
      <c r="F9" s="3"/>
      <c r="G9" s="3"/>
      <c r="H9" s="3"/>
      <c r="I9" s="3"/>
      <c r="J9" s="3"/>
      <c r="K9" s="3"/>
      <c r="L9" s="3"/>
      <c r="M9" s="3"/>
      <c r="N9" s="3"/>
      <c r="O9" s="3"/>
      <c r="P9" s="3"/>
      <c r="Q9" s="3"/>
      <c r="R9" s="3"/>
      <c r="S9" s="3"/>
      <c r="T9" s="3"/>
      <c r="U9" s="3"/>
      <c r="V9" s="3"/>
      <c r="W9" s="3"/>
      <c r="X9" s="3"/>
      <c r="Y9" s="3"/>
      <c r="Z9" s="3"/>
    </row>
    <row r="10" spans="1:26" ht="14.25" customHeight="1">
      <c r="A10" s="465"/>
      <c r="B10" s="369"/>
      <c r="C10" s="466"/>
      <c r="D10" s="467"/>
      <c r="E10" s="468"/>
      <c r="F10" s="3"/>
      <c r="G10" s="3"/>
      <c r="H10" s="3"/>
      <c r="I10" s="3"/>
      <c r="J10" s="3"/>
      <c r="K10" s="3"/>
      <c r="L10" s="3"/>
      <c r="M10" s="3"/>
      <c r="N10" s="3"/>
      <c r="O10" s="3"/>
      <c r="P10" s="3"/>
      <c r="Q10" s="3"/>
      <c r="R10" s="3"/>
      <c r="S10" s="3"/>
      <c r="T10" s="3"/>
      <c r="U10" s="3"/>
      <c r="V10" s="3"/>
      <c r="W10" s="3"/>
      <c r="X10" s="3"/>
      <c r="Y10" s="3"/>
      <c r="Z10" s="3"/>
    </row>
    <row r="11" spans="1:26" ht="14.25" customHeight="1">
      <c r="A11" s="465"/>
      <c r="B11" s="369"/>
      <c r="C11" s="466"/>
      <c r="D11" s="467"/>
      <c r="E11" s="468"/>
      <c r="F11" s="3"/>
      <c r="G11" s="3"/>
      <c r="H11" s="3"/>
      <c r="I11" s="3"/>
      <c r="J11" s="3"/>
      <c r="K11" s="3"/>
      <c r="L11" s="3"/>
      <c r="M11" s="3"/>
      <c r="N11" s="3"/>
      <c r="O11" s="3"/>
      <c r="P11" s="3"/>
      <c r="Q11" s="3"/>
      <c r="R11" s="3"/>
      <c r="S11" s="3"/>
      <c r="T11" s="3"/>
      <c r="U11" s="3"/>
      <c r="V11" s="3"/>
      <c r="W11" s="3"/>
      <c r="X11" s="3"/>
      <c r="Y11" s="3"/>
      <c r="Z11" s="3"/>
    </row>
    <row r="12" spans="1:26" ht="14.25" customHeight="1">
      <c r="A12" s="465"/>
      <c r="B12" s="369"/>
      <c r="C12" s="466"/>
      <c r="D12" s="467"/>
      <c r="E12" s="468"/>
      <c r="F12" s="3"/>
      <c r="G12" s="3"/>
      <c r="H12" s="3"/>
      <c r="I12" s="3"/>
      <c r="J12" s="3"/>
      <c r="K12" s="3"/>
      <c r="L12" s="3"/>
      <c r="M12" s="3"/>
      <c r="N12" s="3"/>
      <c r="O12" s="3"/>
      <c r="P12" s="3"/>
      <c r="Q12" s="3"/>
      <c r="R12" s="3"/>
      <c r="S12" s="3"/>
      <c r="T12" s="3"/>
      <c r="U12" s="3"/>
      <c r="V12" s="3"/>
      <c r="W12" s="3"/>
      <c r="X12" s="3"/>
      <c r="Y12" s="3"/>
      <c r="Z12" s="3"/>
    </row>
    <row r="13" spans="1:26" ht="14.25" customHeight="1">
      <c r="A13" s="465"/>
      <c r="B13" s="369"/>
      <c r="C13" s="469" t="s">
        <v>6</v>
      </c>
      <c r="D13" s="467"/>
      <c r="E13" s="470">
        <v>3000</v>
      </c>
      <c r="F13" s="3"/>
      <c r="G13" s="3"/>
      <c r="H13" s="3"/>
      <c r="I13" s="3"/>
      <c r="J13" s="3"/>
      <c r="K13" s="3"/>
      <c r="L13" s="3"/>
      <c r="M13" s="3"/>
      <c r="N13" s="3"/>
      <c r="O13" s="3"/>
      <c r="P13" s="3"/>
      <c r="Q13" s="3"/>
      <c r="R13" s="3"/>
      <c r="S13" s="3"/>
      <c r="T13" s="3"/>
      <c r="U13" s="3"/>
      <c r="V13" s="3"/>
      <c r="W13" s="3"/>
      <c r="X13" s="3"/>
      <c r="Y13" s="3"/>
      <c r="Z13" s="3"/>
    </row>
    <row r="14" spans="1:26" ht="14.25" customHeight="1">
      <c r="A14" s="465"/>
      <c r="B14" s="369"/>
      <c r="C14" s="469"/>
      <c r="D14" s="467"/>
      <c r="E14" s="470"/>
      <c r="F14" s="3"/>
      <c r="G14" s="3"/>
      <c r="H14" s="3"/>
      <c r="I14" s="3"/>
      <c r="J14" s="3"/>
      <c r="K14" s="3"/>
      <c r="L14" s="3"/>
      <c r="M14" s="3"/>
      <c r="N14" s="3"/>
      <c r="O14" s="3"/>
      <c r="P14" s="3"/>
      <c r="Q14" s="3"/>
      <c r="R14" s="3"/>
      <c r="S14" s="3"/>
      <c r="T14" s="3"/>
      <c r="U14" s="3"/>
      <c r="V14" s="3"/>
      <c r="W14" s="3"/>
      <c r="X14" s="3"/>
      <c r="Y14" s="3"/>
      <c r="Z14" s="3"/>
    </row>
    <row r="15" spans="1:26" ht="14.25" customHeight="1">
      <c r="A15" s="465"/>
      <c r="B15" s="369"/>
      <c r="C15" s="471"/>
      <c r="D15" s="467"/>
      <c r="E15" s="470"/>
      <c r="F15" s="3"/>
      <c r="G15" s="3"/>
      <c r="H15" s="3"/>
      <c r="I15" s="3"/>
      <c r="J15" s="3"/>
      <c r="K15" s="3"/>
      <c r="L15" s="3"/>
      <c r="M15" s="3"/>
      <c r="N15" s="3"/>
      <c r="O15" s="3"/>
      <c r="P15" s="3"/>
      <c r="Q15" s="3"/>
      <c r="R15" s="3"/>
      <c r="S15" s="3"/>
      <c r="T15" s="3"/>
      <c r="U15" s="3"/>
      <c r="V15" s="3"/>
      <c r="W15" s="3"/>
      <c r="X15" s="3"/>
      <c r="Y15" s="3"/>
      <c r="Z15" s="3"/>
    </row>
    <row r="16" spans="1:26" ht="14.25" customHeight="1">
      <c r="A16" s="465"/>
      <c r="B16" s="369"/>
      <c r="C16" s="472" t="s">
        <v>1171</v>
      </c>
      <c r="D16" s="467"/>
      <c r="E16" s="470"/>
      <c r="F16" s="3"/>
      <c r="G16" s="3"/>
      <c r="H16" s="3"/>
      <c r="I16" s="3"/>
      <c r="J16" s="3"/>
      <c r="K16" s="3"/>
      <c r="L16" s="3"/>
      <c r="M16" s="3"/>
      <c r="N16" s="3"/>
      <c r="O16" s="3"/>
      <c r="P16" s="3"/>
      <c r="Q16" s="3"/>
      <c r="R16" s="3"/>
      <c r="S16" s="3"/>
      <c r="T16" s="3"/>
      <c r="U16" s="3"/>
      <c r="V16" s="3"/>
      <c r="W16" s="3"/>
      <c r="X16" s="3"/>
      <c r="Y16" s="3"/>
      <c r="Z16" s="3"/>
    </row>
    <row r="17" spans="1:26" ht="14.25" customHeight="1">
      <c r="A17" s="465"/>
      <c r="B17" s="369"/>
      <c r="C17" s="473" t="s">
        <v>1172</v>
      </c>
      <c r="D17" s="467"/>
      <c r="E17" s="470">
        <v>86446.16</v>
      </c>
      <c r="F17" s="3"/>
      <c r="G17" s="3"/>
      <c r="H17" s="3"/>
      <c r="I17" s="3"/>
      <c r="J17" s="3"/>
      <c r="K17" s="3"/>
      <c r="L17" s="10"/>
      <c r="M17" s="3"/>
      <c r="N17" s="3"/>
      <c r="O17" s="3"/>
      <c r="P17" s="3"/>
      <c r="Q17" s="3"/>
      <c r="R17" s="3"/>
      <c r="S17" s="3"/>
      <c r="T17" s="3"/>
      <c r="U17" s="3"/>
      <c r="V17" s="3"/>
      <c r="W17" s="3"/>
      <c r="X17" s="3"/>
      <c r="Y17" s="3"/>
      <c r="Z17" s="3"/>
    </row>
    <row r="18" spans="1:26" ht="14.25" customHeight="1">
      <c r="A18" s="465"/>
      <c r="B18" s="369"/>
      <c r="C18" s="474" t="s">
        <v>1173</v>
      </c>
      <c r="D18" s="467"/>
      <c r="E18" s="470">
        <v>20927.55</v>
      </c>
      <c r="F18" s="3"/>
      <c r="G18" s="3"/>
      <c r="H18" s="3"/>
      <c r="I18" s="3"/>
      <c r="J18" s="3"/>
      <c r="K18" s="3"/>
      <c r="L18" s="10"/>
      <c r="M18" s="3"/>
      <c r="N18" s="3"/>
      <c r="O18" s="3"/>
      <c r="P18" s="3"/>
      <c r="Q18" s="3"/>
      <c r="R18" s="3"/>
      <c r="S18" s="3"/>
      <c r="T18" s="3"/>
      <c r="U18" s="3"/>
      <c r="V18" s="3"/>
      <c r="W18" s="3"/>
      <c r="X18" s="3"/>
      <c r="Y18" s="3"/>
      <c r="Z18" s="3"/>
    </row>
    <row r="19" spans="1:26" s="379" customFormat="1" ht="14.25" customHeight="1">
      <c r="A19" s="465"/>
      <c r="B19" s="369"/>
      <c r="C19" s="474"/>
      <c r="D19" s="467"/>
      <c r="E19" s="470"/>
      <c r="F19" s="3"/>
      <c r="G19" s="3"/>
      <c r="H19" s="3"/>
      <c r="I19" s="3"/>
      <c r="J19" s="3"/>
      <c r="K19" s="3"/>
      <c r="L19" s="10"/>
      <c r="M19" s="3"/>
      <c r="N19" s="3"/>
      <c r="O19" s="3"/>
      <c r="P19" s="3"/>
      <c r="Q19" s="3"/>
      <c r="R19" s="3"/>
      <c r="S19" s="3"/>
      <c r="T19" s="3"/>
      <c r="U19" s="3"/>
      <c r="V19" s="3"/>
      <c r="W19" s="3"/>
      <c r="X19" s="3"/>
      <c r="Y19" s="3"/>
      <c r="Z19" s="3"/>
    </row>
    <row r="20" spans="1:26" ht="14.25" customHeight="1">
      <c r="A20" s="465"/>
      <c r="B20" s="369"/>
      <c r="C20" s="472" t="s">
        <v>7</v>
      </c>
      <c r="D20" s="467"/>
      <c r="E20" s="470">
        <f>+'C_Bill No. 3 Main bld (2)'!H367</f>
        <v>490778.86190414889</v>
      </c>
      <c r="F20" s="3"/>
      <c r="G20" s="3"/>
      <c r="H20" s="3"/>
      <c r="I20" s="3"/>
      <c r="J20" s="3"/>
      <c r="K20" s="3"/>
      <c r="L20" s="10"/>
      <c r="M20" s="3"/>
      <c r="N20" s="3"/>
      <c r="O20" s="3"/>
      <c r="P20" s="3"/>
      <c r="Q20" s="3"/>
      <c r="R20" s="3"/>
      <c r="S20" s="3"/>
      <c r="T20" s="3"/>
      <c r="U20" s="3"/>
      <c r="V20" s="3"/>
      <c r="W20" s="3"/>
      <c r="X20" s="3"/>
      <c r="Y20" s="3"/>
      <c r="Z20" s="3"/>
    </row>
    <row r="21" spans="1:26" ht="14.25" customHeight="1">
      <c r="A21" s="465"/>
      <c r="B21" s="369"/>
      <c r="C21" s="472"/>
      <c r="D21" s="467"/>
      <c r="E21" s="470"/>
      <c r="F21" s="3"/>
      <c r="G21" s="3"/>
      <c r="H21" s="3"/>
      <c r="I21" s="3"/>
      <c r="J21" s="3"/>
      <c r="K21" s="3"/>
      <c r="L21" s="3"/>
      <c r="M21" s="3"/>
      <c r="N21" s="3"/>
      <c r="O21" s="3"/>
      <c r="P21" s="3"/>
      <c r="Q21" s="3"/>
      <c r="R21" s="3"/>
      <c r="S21" s="3"/>
      <c r="T21" s="3"/>
      <c r="U21" s="3"/>
      <c r="V21" s="3"/>
      <c r="W21" s="3"/>
      <c r="X21" s="3"/>
      <c r="Y21" s="3"/>
      <c r="Z21" s="3"/>
    </row>
    <row r="22" spans="1:26" ht="14.25" customHeight="1">
      <c r="A22" s="465"/>
      <c r="B22" s="369"/>
      <c r="C22" s="474"/>
      <c r="D22" s="467"/>
      <c r="E22" s="470"/>
      <c r="F22" s="3"/>
      <c r="G22" s="3"/>
      <c r="H22" s="3"/>
      <c r="I22" s="3"/>
      <c r="J22" s="3"/>
      <c r="K22" s="3"/>
      <c r="L22" s="3"/>
      <c r="M22" s="3"/>
      <c r="N22" s="3"/>
      <c r="O22" s="3"/>
      <c r="P22" s="3"/>
      <c r="Q22" s="3"/>
      <c r="R22" s="3"/>
      <c r="S22" s="3"/>
      <c r="T22" s="3"/>
      <c r="U22" s="3"/>
      <c r="V22" s="3"/>
      <c r="W22" s="3"/>
      <c r="X22" s="3"/>
      <c r="Y22" s="3"/>
      <c r="Z22" s="3"/>
    </row>
    <row r="23" spans="1:26" ht="14.25" customHeight="1">
      <c r="A23" s="465"/>
      <c r="B23" s="369"/>
      <c r="C23" s="472" t="s">
        <v>8</v>
      </c>
      <c r="D23" s="467"/>
      <c r="E23" s="470">
        <f>'Bill No. 4 Ancillary'!H35</f>
        <v>2901.7896575000004</v>
      </c>
      <c r="F23" s="3"/>
      <c r="G23" s="3"/>
      <c r="H23" s="3"/>
      <c r="I23" s="3"/>
      <c r="J23" s="3"/>
      <c r="K23" s="3"/>
      <c r="L23" s="3"/>
      <c r="M23" s="3"/>
      <c r="N23" s="3"/>
      <c r="O23" s="3"/>
      <c r="P23" s="3"/>
      <c r="Q23" s="3"/>
      <c r="R23" s="3"/>
      <c r="S23" s="3"/>
      <c r="T23" s="3"/>
      <c r="U23" s="3"/>
      <c r="V23" s="3"/>
      <c r="W23" s="3"/>
      <c r="X23" s="3"/>
      <c r="Y23" s="3"/>
      <c r="Z23" s="3"/>
    </row>
    <row r="24" spans="1:26" ht="14.25" customHeight="1">
      <c r="A24" s="465"/>
      <c r="B24" s="369"/>
      <c r="C24" s="472"/>
      <c r="D24" s="467"/>
      <c r="E24" s="470"/>
      <c r="F24" s="3"/>
      <c r="G24" s="3"/>
      <c r="H24" s="3"/>
      <c r="I24" s="3"/>
      <c r="J24" s="3"/>
      <c r="K24" s="3"/>
      <c r="L24" s="3"/>
      <c r="M24" s="3"/>
      <c r="N24" s="3"/>
      <c r="O24" s="3"/>
      <c r="P24" s="3"/>
      <c r="Q24" s="3"/>
      <c r="R24" s="3"/>
      <c r="S24" s="3"/>
      <c r="T24" s="3"/>
      <c r="U24" s="3"/>
      <c r="V24" s="3"/>
      <c r="W24" s="3"/>
      <c r="X24" s="3"/>
      <c r="Y24" s="3"/>
      <c r="Z24" s="3"/>
    </row>
    <row r="25" spans="1:26" ht="18" customHeight="1">
      <c r="A25" s="465"/>
      <c r="B25" s="369"/>
      <c r="C25" s="472" t="s">
        <v>9</v>
      </c>
      <c r="D25" s="467"/>
      <c r="E25" s="470">
        <f>+'Bill No.5 Electrical &amp; ELV'!H592</f>
        <v>77653.48</v>
      </c>
      <c r="F25" s="3"/>
      <c r="G25" s="3"/>
      <c r="H25" s="3"/>
      <c r="I25" s="3"/>
      <c r="J25" s="3"/>
      <c r="K25" s="3"/>
      <c r="L25" s="3"/>
      <c r="M25" s="3"/>
      <c r="N25" s="3"/>
      <c r="O25" s="3"/>
      <c r="P25" s="3"/>
      <c r="Q25" s="3"/>
      <c r="R25" s="3"/>
      <c r="S25" s="3"/>
      <c r="T25" s="3"/>
      <c r="U25" s="3"/>
      <c r="V25" s="3"/>
      <c r="W25" s="3"/>
      <c r="X25" s="3"/>
      <c r="Y25" s="3"/>
      <c r="Z25" s="3"/>
    </row>
    <row r="26" spans="1:26" ht="18" customHeight="1">
      <c r="A26" s="465"/>
      <c r="B26" s="369"/>
      <c r="C26" s="472"/>
      <c r="D26" s="467"/>
      <c r="E26" s="470"/>
      <c r="F26" s="3"/>
      <c r="G26" s="3"/>
      <c r="H26" s="3"/>
      <c r="I26" s="3"/>
      <c r="J26" s="3"/>
      <c r="K26" s="3"/>
      <c r="L26" s="3"/>
      <c r="M26" s="3"/>
      <c r="N26" s="3"/>
      <c r="O26" s="3"/>
      <c r="P26" s="3"/>
      <c r="Q26" s="3"/>
      <c r="R26" s="3"/>
      <c r="S26" s="3"/>
      <c r="T26" s="3"/>
      <c r="U26" s="3"/>
      <c r="V26" s="3"/>
      <c r="W26" s="3"/>
      <c r="X26" s="3"/>
      <c r="Y26" s="3"/>
      <c r="Z26" s="3"/>
    </row>
    <row r="27" spans="1:26" ht="18" customHeight="1">
      <c r="A27" s="465"/>
      <c r="B27" s="369"/>
      <c r="C27" s="472" t="s">
        <v>10</v>
      </c>
      <c r="D27" s="467"/>
      <c r="E27" s="470">
        <f>+'Bill No.6 Plumbing'!H212</f>
        <v>43662.304649999998</v>
      </c>
      <c r="F27" s="3"/>
      <c r="G27" s="3"/>
      <c r="H27" s="3"/>
      <c r="I27" s="3"/>
      <c r="J27" s="3"/>
      <c r="K27" s="3"/>
      <c r="L27" s="3"/>
      <c r="M27" s="3"/>
      <c r="N27" s="3"/>
      <c r="O27" s="3"/>
      <c r="P27" s="3"/>
      <c r="Q27" s="3"/>
      <c r="R27" s="3"/>
      <c r="S27" s="3"/>
      <c r="T27" s="3"/>
      <c r="U27" s="3"/>
      <c r="V27" s="3"/>
      <c r="W27" s="3"/>
      <c r="X27" s="3"/>
      <c r="Y27" s="3"/>
      <c r="Z27" s="3"/>
    </row>
    <row r="28" spans="1:26" ht="18" customHeight="1">
      <c r="A28" s="465"/>
      <c r="B28" s="369"/>
      <c r="C28" s="472"/>
      <c r="D28" s="467"/>
      <c r="E28" s="470"/>
      <c r="F28" s="3"/>
      <c r="G28" s="3"/>
      <c r="H28" s="3"/>
      <c r="I28" s="3"/>
      <c r="J28" s="3"/>
      <c r="K28" s="3"/>
      <c r="L28" s="3"/>
      <c r="M28" s="3"/>
      <c r="N28" s="3"/>
      <c r="O28" s="3"/>
      <c r="P28" s="3"/>
      <c r="Q28" s="3"/>
      <c r="R28" s="3"/>
      <c r="S28" s="3"/>
      <c r="T28" s="3"/>
      <c r="U28" s="3"/>
      <c r="V28" s="3"/>
      <c r="W28" s="3"/>
      <c r="X28" s="3"/>
      <c r="Y28" s="3"/>
      <c r="Z28" s="3"/>
    </row>
    <row r="29" spans="1:26" ht="18" customHeight="1">
      <c r="A29" s="465"/>
      <c r="B29" s="369"/>
      <c r="C29" s="472"/>
      <c r="D29" s="467"/>
      <c r="E29" s="470"/>
      <c r="F29" s="3"/>
      <c r="G29" s="3"/>
      <c r="H29" s="3"/>
      <c r="I29" s="3"/>
      <c r="J29" s="3"/>
      <c r="K29" s="3"/>
      <c r="L29" s="3"/>
      <c r="M29" s="3"/>
      <c r="N29" s="3"/>
      <c r="O29" s="3"/>
      <c r="P29" s="3"/>
      <c r="Q29" s="3"/>
      <c r="R29" s="3"/>
      <c r="S29" s="3"/>
      <c r="T29" s="3"/>
      <c r="U29" s="3"/>
      <c r="V29" s="3"/>
      <c r="W29" s="3"/>
      <c r="X29" s="3"/>
      <c r="Y29" s="3"/>
      <c r="Z29" s="3"/>
    </row>
    <row r="30" spans="1:26" ht="18" customHeight="1">
      <c r="A30" s="465"/>
      <c r="B30" s="369"/>
      <c r="C30" s="472" t="s">
        <v>1245</v>
      </c>
      <c r="D30" s="467"/>
      <c r="E30" s="470">
        <f>+'BILL NO.9 PROVISIONAL'!H38</f>
        <v>152700</v>
      </c>
      <c r="F30" s="3"/>
      <c r="G30" s="3"/>
      <c r="H30" s="3"/>
      <c r="I30" s="3"/>
      <c r="J30" s="3"/>
      <c r="K30" s="3"/>
      <c r="L30" s="3"/>
      <c r="M30" s="3"/>
      <c r="N30" s="3"/>
      <c r="O30" s="3"/>
      <c r="P30" s="3"/>
      <c r="Q30" s="3"/>
      <c r="R30" s="3"/>
      <c r="S30" s="3"/>
      <c r="T30" s="3"/>
      <c r="U30" s="3"/>
      <c r="V30" s="3"/>
      <c r="W30" s="3"/>
      <c r="X30" s="3"/>
      <c r="Y30" s="3"/>
      <c r="Z30" s="3"/>
    </row>
    <row r="31" spans="1:26" ht="18" customHeight="1">
      <c r="A31" s="465"/>
      <c r="B31" s="369"/>
      <c r="C31" s="472"/>
      <c r="D31" s="467"/>
      <c r="E31" s="470"/>
      <c r="F31" s="3"/>
      <c r="G31" s="3"/>
      <c r="H31" s="3"/>
      <c r="I31" s="3"/>
      <c r="J31" s="3"/>
      <c r="K31" s="3"/>
      <c r="L31" s="3"/>
      <c r="M31" s="3"/>
      <c r="N31" s="3"/>
      <c r="O31" s="3"/>
      <c r="P31" s="3"/>
      <c r="Q31" s="3"/>
      <c r="R31" s="3"/>
      <c r="S31" s="3"/>
      <c r="T31" s="3"/>
      <c r="U31" s="3"/>
      <c r="V31" s="3"/>
      <c r="W31" s="3"/>
      <c r="X31" s="3"/>
      <c r="Y31" s="3"/>
      <c r="Z31" s="3"/>
    </row>
    <row r="32" spans="1:26" ht="14.25" customHeight="1">
      <c r="A32" s="465"/>
      <c r="B32" s="369"/>
      <c r="C32" s="472"/>
      <c r="D32" s="467"/>
      <c r="E32" s="470"/>
      <c r="F32" s="3"/>
      <c r="G32" s="3"/>
      <c r="H32" s="3"/>
      <c r="I32" s="3"/>
      <c r="J32" s="3"/>
      <c r="K32" s="3"/>
      <c r="L32" s="3"/>
      <c r="M32" s="3"/>
      <c r="N32" s="3"/>
      <c r="O32" s="3"/>
      <c r="P32" s="3"/>
      <c r="Q32" s="3"/>
      <c r="R32" s="3"/>
      <c r="S32" s="3"/>
      <c r="T32" s="3"/>
      <c r="U32" s="3"/>
      <c r="V32" s="3"/>
      <c r="W32" s="3"/>
      <c r="X32" s="3"/>
      <c r="Y32" s="3"/>
      <c r="Z32" s="3"/>
    </row>
    <row r="33" spans="1:26" ht="14.25" customHeight="1">
      <c r="A33" s="465"/>
      <c r="B33" s="369"/>
      <c r="C33" s="472"/>
      <c r="D33" s="467"/>
      <c r="E33" s="470"/>
      <c r="F33" s="3"/>
      <c r="G33" s="3"/>
      <c r="H33" s="3"/>
      <c r="I33" s="3"/>
      <c r="J33" s="3"/>
      <c r="K33" s="3"/>
      <c r="L33" s="3"/>
      <c r="M33" s="3"/>
      <c r="N33" s="3"/>
      <c r="O33" s="3"/>
      <c r="P33" s="3"/>
      <c r="Q33" s="3"/>
      <c r="R33" s="3"/>
      <c r="S33" s="3"/>
      <c r="T33" s="3"/>
      <c r="U33" s="3"/>
      <c r="V33" s="3"/>
      <c r="W33" s="3"/>
      <c r="X33" s="3"/>
      <c r="Y33" s="3"/>
      <c r="Z33" s="3"/>
    </row>
    <row r="34" spans="1:26" ht="15" customHeight="1">
      <c r="A34" s="475"/>
      <c r="B34" s="476"/>
      <c r="C34" s="472"/>
      <c r="D34" s="467"/>
      <c r="E34" s="470"/>
      <c r="F34" s="1"/>
      <c r="G34" s="1"/>
      <c r="H34" s="1"/>
      <c r="I34" s="1"/>
      <c r="J34" s="1"/>
      <c r="K34" s="1"/>
      <c r="L34" s="1"/>
      <c r="M34" s="1"/>
      <c r="N34" s="1"/>
      <c r="O34" s="1"/>
      <c r="P34" s="1"/>
      <c r="Q34" s="1"/>
      <c r="R34" s="1"/>
      <c r="S34" s="1"/>
      <c r="T34" s="1"/>
      <c r="U34" s="1"/>
      <c r="V34" s="1"/>
      <c r="W34" s="1"/>
      <c r="X34" s="1"/>
      <c r="Y34" s="1"/>
      <c r="Z34" s="1"/>
    </row>
    <row r="35" spans="1:26" ht="15" customHeight="1">
      <c r="A35" s="475"/>
      <c r="B35" s="476"/>
      <c r="C35" s="477"/>
      <c r="D35" s="467"/>
      <c r="E35" s="478"/>
      <c r="F35" s="1"/>
      <c r="G35" s="1"/>
      <c r="H35" s="1"/>
      <c r="I35" s="1"/>
      <c r="J35" s="1"/>
      <c r="K35" s="1"/>
      <c r="L35" s="1"/>
      <c r="M35" s="1"/>
      <c r="N35" s="1"/>
      <c r="O35" s="1"/>
      <c r="P35" s="1"/>
      <c r="Q35" s="1"/>
      <c r="R35" s="1"/>
      <c r="S35" s="1"/>
      <c r="T35" s="1"/>
      <c r="U35" s="1"/>
      <c r="V35" s="1"/>
      <c r="W35" s="1"/>
      <c r="X35" s="1"/>
      <c r="Y35" s="1"/>
      <c r="Z35" s="1"/>
    </row>
    <row r="36" spans="1:26" ht="15" customHeight="1">
      <c r="A36" s="475"/>
      <c r="B36" s="476"/>
      <c r="C36" s="477"/>
      <c r="D36" s="467"/>
      <c r="E36" s="470"/>
      <c r="F36" s="1"/>
      <c r="G36" s="1"/>
      <c r="H36" s="1"/>
      <c r="I36" s="1"/>
      <c r="J36" s="1"/>
      <c r="K36" s="1"/>
      <c r="L36" s="1"/>
      <c r="M36" s="1"/>
      <c r="N36" s="1"/>
      <c r="O36" s="1"/>
      <c r="P36" s="1"/>
      <c r="Q36" s="1"/>
      <c r="R36" s="1"/>
      <c r="S36" s="1"/>
      <c r="T36" s="1"/>
      <c r="U36" s="1"/>
      <c r="V36" s="1"/>
      <c r="W36" s="1"/>
      <c r="X36" s="1"/>
      <c r="Y36" s="1"/>
      <c r="Z36" s="1"/>
    </row>
    <row r="37" spans="1:26" ht="15" customHeight="1">
      <c r="A37" s="475"/>
      <c r="B37" s="476"/>
      <c r="C37" s="479" t="s">
        <v>11</v>
      </c>
      <c r="D37" s="467"/>
      <c r="E37" s="470">
        <f>SUM(E13:E35)</f>
        <v>878070.14621164883</v>
      </c>
      <c r="F37" s="1"/>
      <c r="G37" s="1"/>
      <c r="H37" s="1"/>
      <c r="I37" s="1"/>
      <c r="J37" s="1"/>
      <c r="K37" s="1"/>
      <c r="L37" s="1"/>
      <c r="M37" s="1"/>
      <c r="N37" s="1"/>
      <c r="O37" s="1"/>
      <c r="P37" s="1"/>
      <c r="Q37" s="1"/>
      <c r="R37" s="1"/>
      <c r="S37" s="1"/>
      <c r="T37" s="1"/>
      <c r="U37" s="1"/>
      <c r="V37" s="1"/>
      <c r="W37" s="1"/>
      <c r="X37" s="1"/>
      <c r="Y37" s="1"/>
      <c r="Z37" s="1"/>
    </row>
    <row r="38" spans="1:26" ht="15" customHeight="1">
      <c r="A38" s="475"/>
      <c r="B38" s="476"/>
      <c r="C38" s="477"/>
      <c r="D38" s="467"/>
      <c r="E38" s="470"/>
      <c r="F38" s="1"/>
      <c r="G38" s="1"/>
      <c r="H38" s="1"/>
      <c r="I38" s="1"/>
      <c r="J38" s="1"/>
      <c r="K38" s="1"/>
      <c r="L38" s="1"/>
      <c r="M38" s="1"/>
      <c r="N38" s="1"/>
      <c r="O38" s="1"/>
      <c r="P38" s="1"/>
      <c r="Q38" s="1"/>
      <c r="R38" s="1"/>
      <c r="S38" s="1"/>
      <c r="T38" s="1"/>
      <c r="U38" s="1"/>
      <c r="V38" s="1"/>
      <c r="W38" s="1"/>
      <c r="X38" s="1"/>
      <c r="Y38" s="1"/>
      <c r="Z38" s="1"/>
    </row>
    <row r="39" spans="1:26" ht="15" customHeight="1">
      <c r="A39" s="475"/>
      <c r="B39" s="476"/>
      <c r="C39" s="479"/>
      <c r="D39" s="467"/>
      <c r="E39" s="470"/>
      <c r="F39" s="1"/>
      <c r="G39" s="1"/>
      <c r="H39" s="1"/>
      <c r="I39" s="1"/>
      <c r="J39" s="1"/>
      <c r="K39" s="1"/>
      <c r="L39" s="1"/>
      <c r="M39" s="1"/>
      <c r="N39" s="1"/>
      <c r="O39" s="1"/>
      <c r="P39" s="1"/>
      <c r="Q39" s="1"/>
      <c r="R39" s="1"/>
      <c r="S39" s="1"/>
      <c r="T39" s="1"/>
      <c r="U39" s="1"/>
      <c r="V39" s="1"/>
      <c r="W39" s="1"/>
      <c r="X39" s="1"/>
      <c r="Y39" s="1"/>
      <c r="Z39" s="1"/>
    </row>
    <row r="40" spans="1:26" ht="15" customHeight="1">
      <c r="A40" s="475"/>
      <c r="B40" s="476"/>
      <c r="C40" s="477"/>
      <c r="D40" s="467"/>
      <c r="E40" s="470"/>
      <c r="F40" s="1"/>
      <c r="G40" s="1"/>
      <c r="H40" s="1"/>
      <c r="I40" s="1"/>
      <c r="J40" s="1"/>
      <c r="K40" s="1"/>
      <c r="L40" s="1"/>
      <c r="M40" s="1"/>
      <c r="N40" s="1"/>
      <c r="O40" s="1"/>
      <c r="P40" s="1"/>
      <c r="Q40" s="1"/>
      <c r="R40" s="1"/>
      <c r="S40" s="1"/>
      <c r="T40" s="1"/>
      <c r="U40" s="1"/>
      <c r="V40" s="1"/>
      <c r="W40" s="1"/>
      <c r="X40" s="1"/>
      <c r="Y40" s="1"/>
      <c r="Z40" s="1"/>
    </row>
    <row r="41" spans="1:26" ht="14.25" customHeight="1">
      <c r="A41" s="480"/>
      <c r="B41" s="481"/>
      <c r="C41" s="473"/>
      <c r="D41" s="482"/>
      <c r="E41" s="470"/>
      <c r="F41" s="3"/>
      <c r="G41" s="3"/>
      <c r="H41" s="3"/>
      <c r="I41" s="3"/>
      <c r="J41" s="3"/>
      <c r="K41" s="3"/>
      <c r="L41" s="3"/>
      <c r="M41" s="3"/>
      <c r="N41" s="3"/>
      <c r="O41" s="3"/>
      <c r="P41" s="3"/>
      <c r="Q41" s="3"/>
      <c r="R41" s="3"/>
      <c r="S41" s="3"/>
      <c r="T41" s="3"/>
      <c r="U41" s="3"/>
      <c r="V41" s="3"/>
      <c r="W41" s="3"/>
      <c r="X41" s="3"/>
      <c r="Y41" s="3"/>
      <c r="Z41" s="3"/>
    </row>
    <row r="42" spans="1:26" ht="14.25" customHeight="1">
      <c r="A42" s="483"/>
      <c r="B42" s="16"/>
      <c r="C42" s="770" t="s">
        <v>12</v>
      </c>
      <c r="D42" s="17"/>
      <c r="E42" s="484"/>
      <c r="F42" s="1"/>
      <c r="G42" s="1"/>
      <c r="H42" s="1"/>
      <c r="I42" s="1"/>
      <c r="J42" s="1"/>
      <c r="K42" s="1"/>
      <c r="L42" s="1"/>
      <c r="M42" s="1"/>
      <c r="N42" s="1"/>
      <c r="O42" s="1"/>
      <c r="P42" s="1"/>
      <c r="Q42" s="1"/>
      <c r="R42" s="1"/>
      <c r="S42" s="1"/>
      <c r="T42" s="1"/>
      <c r="U42" s="1"/>
      <c r="V42" s="1"/>
      <c r="W42" s="1"/>
      <c r="X42" s="1"/>
      <c r="Y42" s="1"/>
      <c r="Z42" s="1"/>
    </row>
    <row r="43" spans="1:26" ht="15" customHeight="1">
      <c r="A43" s="485" t="s">
        <v>13</v>
      </c>
      <c r="B43" s="486"/>
      <c r="C43" s="769"/>
      <c r="D43" s="487"/>
      <c r="E43" s="478">
        <f>E37+E39</f>
        <v>878070.14621164883</v>
      </c>
      <c r="F43" s="1"/>
      <c r="G43" s="18"/>
      <c r="H43" s="1"/>
      <c r="I43" s="1"/>
      <c r="J43" s="1"/>
      <c r="K43" s="1"/>
      <c r="L43" s="1"/>
      <c r="M43" s="1"/>
      <c r="N43" s="1"/>
      <c r="O43" s="1"/>
      <c r="P43" s="1"/>
      <c r="Q43" s="1"/>
      <c r="R43" s="1"/>
      <c r="S43" s="1"/>
      <c r="T43" s="1"/>
      <c r="U43" s="1"/>
      <c r="V43" s="1"/>
      <c r="W43" s="1"/>
      <c r="X43" s="1"/>
      <c r="Y43" s="1"/>
      <c r="Z43" s="1"/>
    </row>
    <row r="44" spans="1:26" ht="14.25" customHeight="1">
      <c r="A44" s="458"/>
      <c r="B44" s="450"/>
      <c r="C44" s="450"/>
      <c r="D44" s="450"/>
      <c r="E44" s="488"/>
      <c r="F44" s="3"/>
      <c r="G44" s="3"/>
      <c r="H44" s="3"/>
      <c r="I44" s="3"/>
      <c r="J44" s="3"/>
      <c r="K44" s="3"/>
      <c r="L44" s="3"/>
      <c r="M44" s="3"/>
      <c r="N44" s="3"/>
      <c r="O44" s="3"/>
      <c r="P44" s="3"/>
      <c r="Q44" s="3"/>
      <c r="R44" s="3"/>
      <c r="S44" s="3"/>
      <c r="T44" s="3"/>
      <c r="U44" s="3"/>
      <c r="V44" s="3"/>
      <c r="W44" s="3"/>
      <c r="X44" s="3"/>
      <c r="Y44" s="3"/>
      <c r="Z44" s="3"/>
    </row>
    <row r="45" spans="1:26" ht="14.25" customHeight="1">
      <c r="A45" s="489"/>
      <c r="B45" s="450"/>
      <c r="C45" s="490" t="s">
        <v>1176</v>
      </c>
      <c r="D45" s="490"/>
      <c r="E45" s="491">
        <v>5979.3</v>
      </c>
      <c r="F45" s="3"/>
      <c r="G45" s="3"/>
      <c r="H45" s="3"/>
      <c r="I45" s="3"/>
      <c r="J45" s="3"/>
      <c r="K45" s="3"/>
      <c r="L45" s="3"/>
      <c r="M45" s="3"/>
      <c r="N45" s="3"/>
      <c r="O45" s="3"/>
      <c r="P45" s="3"/>
      <c r="Q45" s="3"/>
      <c r="R45" s="3"/>
      <c r="S45" s="3"/>
      <c r="T45" s="3"/>
      <c r="U45" s="3"/>
      <c r="V45" s="3"/>
      <c r="W45" s="3"/>
      <c r="X45" s="3"/>
      <c r="Y45" s="3"/>
      <c r="Z45" s="3"/>
    </row>
    <row r="46" spans="1:26" ht="14.25" customHeight="1">
      <c r="A46" s="458"/>
      <c r="B46" s="450"/>
      <c r="C46" s="492" t="s">
        <v>1177</v>
      </c>
      <c r="D46" s="492"/>
      <c r="E46" s="493">
        <f>E43/E45</f>
        <v>146.85166260459397</v>
      </c>
      <c r="F46" s="3"/>
      <c r="G46" s="3"/>
      <c r="H46" s="3"/>
      <c r="I46" s="3"/>
      <c r="J46" s="3"/>
      <c r="K46" s="3"/>
      <c r="L46" s="3"/>
      <c r="M46" s="3"/>
      <c r="N46" s="3"/>
      <c r="O46" s="3"/>
      <c r="P46" s="3"/>
      <c r="Q46" s="3"/>
      <c r="R46" s="3"/>
      <c r="S46" s="3"/>
      <c r="T46" s="3"/>
      <c r="U46" s="3"/>
      <c r="V46" s="3"/>
      <c r="W46" s="3"/>
      <c r="X46" s="3"/>
      <c r="Y46" s="3"/>
      <c r="Z46" s="3"/>
    </row>
    <row r="47" spans="1:26" ht="14.25" customHeight="1">
      <c r="A47" s="458"/>
      <c r="B47" s="450"/>
      <c r="C47" s="450"/>
      <c r="D47" s="450"/>
      <c r="E47" s="488"/>
      <c r="F47" s="3"/>
      <c r="G47" s="3"/>
      <c r="H47" s="3"/>
      <c r="I47" s="3"/>
      <c r="J47" s="3"/>
      <c r="K47" s="3"/>
      <c r="L47" s="3"/>
      <c r="M47" s="3"/>
      <c r="N47" s="3"/>
      <c r="O47" s="3"/>
      <c r="P47" s="3"/>
      <c r="Q47" s="3"/>
      <c r="R47" s="3"/>
      <c r="S47" s="3"/>
      <c r="T47" s="3"/>
      <c r="U47" s="3"/>
      <c r="V47" s="3"/>
      <c r="W47" s="3"/>
      <c r="X47" s="3"/>
      <c r="Y47" s="3"/>
      <c r="Z47" s="3"/>
    </row>
    <row r="48" spans="1:26" ht="14.25" customHeight="1">
      <c r="A48" s="458"/>
      <c r="B48" s="450"/>
      <c r="C48" s="450"/>
      <c r="D48" s="450"/>
      <c r="E48" s="488"/>
      <c r="F48" s="3"/>
      <c r="G48" s="3"/>
      <c r="H48" s="3"/>
      <c r="I48" s="3"/>
      <c r="J48" s="3"/>
      <c r="K48" s="3"/>
      <c r="L48" s="3"/>
      <c r="M48" s="3"/>
      <c r="N48" s="3"/>
      <c r="O48" s="3"/>
      <c r="P48" s="3"/>
      <c r="Q48" s="3"/>
      <c r="R48" s="3"/>
      <c r="S48" s="3"/>
      <c r="T48" s="3"/>
      <c r="U48" s="3"/>
      <c r="V48" s="3"/>
      <c r="W48" s="3"/>
      <c r="X48" s="3"/>
      <c r="Y48" s="3"/>
      <c r="Z48" s="3"/>
    </row>
    <row r="49" spans="1:26" ht="14.25" customHeight="1">
      <c r="A49" s="494"/>
      <c r="B49" s="495"/>
      <c r="C49" s="495"/>
      <c r="D49" s="495"/>
      <c r="E49" s="496"/>
      <c r="F49" s="3"/>
      <c r="G49" s="3"/>
      <c r="H49" s="3"/>
      <c r="I49" s="3"/>
      <c r="J49" s="3"/>
      <c r="K49" s="3"/>
      <c r="L49" s="3"/>
      <c r="M49" s="3"/>
      <c r="N49" s="3"/>
      <c r="O49" s="3"/>
      <c r="P49" s="3"/>
      <c r="Q49" s="3"/>
      <c r="R49" s="3"/>
      <c r="S49" s="3"/>
      <c r="T49" s="3"/>
      <c r="U49" s="3"/>
      <c r="V49" s="3"/>
      <c r="W49" s="3"/>
      <c r="X49" s="3"/>
      <c r="Y49" s="3"/>
      <c r="Z49" s="3"/>
    </row>
    <row r="50" spans="1:26" ht="14.25" customHeight="1">
      <c r="A50" s="1"/>
      <c r="B50" s="1"/>
      <c r="C50" s="1"/>
      <c r="D50" s="1"/>
      <c r="E50" s="19"/>
      <c r="F50" s="3"/>
      <c r="G50" s="3"/>
      <c r="H50" s="3"/>
      <c r="I50" s="3"/>
      <c r="J50" s="3"/>
      <c r="K50" s="3"/>
      <c r="L50" s="3"/>
      <c r="M50" s="3"/>
      <c r="N50" s="3"/>
      <c r="O50" s="3"/>
      <c r="P50" s="3"/>
      <c r="Q50" s="3"/>
      <c r="R50" s="3"/>
      <c r="S50" s="3"/>
      <c r="T50" s="3"/>
      <c r="U50" s="3"/>
      <c r="V50" s="3"/>
      <c r="W50" s="3"/>
      <c r="X50" s="3"/>
      <c r="Y50" s="3"/>
      <c r="Z50" s="3"/>
    </row>
    <row r="51" spans="1:26" ht="14.25" customHeight="1">
      <c r="A51" s="1"/>
      <c r="B51" s="1"/>
      <c r="C51" s="1"/>
      <c r="D51" s="1"/>
      <c r="E51" s="19">
        <f>+E42*0.05</f>
        <v>0</v>
      </c>
      <c r="F51" s="3"/>
      <c r="G51" s="3"/>
      <c r="H51" s="3"/>
      <c r="I51" s="3"/>
      <c r="J51" s="3"/>
      <c r="K51" s="3"/>
      <c r="L51" s="3"/>
      <c r="M51" s="3"/>
      <c r="N51" s="3"/>
      <c r="O51" s="3"/>
      <c r="P51" s="3"/>
      <c r="Q51" s="3"/>
      <c r="R51" s="3"/>
      <c r="S51" s="3"/>
      <c r="T51" s="3"/>
      <c r="U51" s="3"/>
      <c r="V51" s="3"/>
      <c r="W51" s="3"/>
      <c r="X51" s="3"/>
      <c r="Y51" s="3"/>
      <c r="Z51" s="3"/>
    </row>
    <row r="52" spans="1:26" ht="14.25" customHeight="1">
      <c r="A52" s="1"/>
      <c r="B52" s="1"/>
      <c r="C52" s="1"/>
      <c r="D52" s="1"/>
      <c r="E52" s="19"/>
      <c r="F52" s="3"/>
      <c r="G52" s="3"/>
      <c r="H52" s="3"/>
      <c r="I52" s="3"/>
      <c r="J52" s="3"/>
      <c r="K52" s="3"/>
      <c r="L52" s="3"/>
      <c r="M52" s="3"/>
      <c r="N52" s="3"/>
      <c r="O52" s="3"/>
      <c r="P52" s="3"/>
      <c r="Q52" s="3"/>
      <c r="R52" s="3"/>
      <c r="S52" s="3"/>
      <c r="T52" s="3"/>
      <c r="U52" s="3"/>
      <c r="V52" s="3"/>
      <c r="W52" s="3"/>
      <c r="X52" s="3"/>
      <c r="Y52" s="3"/>
      <c r="Z52" s="3"/>
    </row>
    <row r="53" spans="1:26" ht="14.25" customHeight="1">
      <c r="A53" s="1"/>
      <c r="B53" s="1"/>
      <c r="C53" s="1"/>
      <c r="D53" s="1"/>
      <c r="E53" s="19"/>
      <c r="F53" s="3"/>
      <c r="G53" s="3"/>
      <c r="H53" s="3"/>
      <c r="I53" s="3"/>
      <c r="J53" s="3"/>
      <c r="K53" s="3"/>
      <c r="L53" s="3"/>
      <c r="M53" s="3"/>
      <c r="N53" s="3"/>
      <c r="O53" s="3"/>
      <c r="P53" s="3"/>
      <c r="Q53" s="3"/>
      <c r="R53" s="3"/>
      <c r="S53" s="3"/>
      <c r="T53" s="3"/>
      <c r="U53" s="3"/>
      <c r="V53" s="3"/>
      <c r="W53" s="3"/>
      <c r="X53" s="3"/>
      <c r="Y53" s="3"/>
      <c r="Z53" s="3"/>
    </row>
    <row r="54" spans="1:26" ht="14.25" customHeight="1">
      <c r="A54" s="1"/>
      <c r="B54" s="1"/>
      <c r="C54" s="1"/>
      <c r="D54" s="1"/>
      <c r="E54" s="19"/>
      <c r="F54" s="3"/>
      <c r="G54" s="3"/>
      <c r="H54" s="3"/>
      <c r="I54" s="3"/>
      <c r="J54" s="3"/>
      <c r="K54" s="3"/>
      <c r="L54" s="3"/>
      <c r="M54" s="3"/>
      <c r="N54" s="3"/>
      <c r="O54" s="3"/>
      <c r="P54" s="3"/>
      <c r="Q54" s="3"/>
      <c r="R54" s="3"/>
      <c r="S54" s="3"/>
      <c r="T54" s="3"/>
      <c r="U54" s="3"/>
      <c r="V54" s="3"/>
      <c r="W54" s="3"/>
      <c r="X54" s="3"/>
      <c r="Y54" s="3"/>
      <c r="Z54" s="3"/>
    </row>
    <row r="55" spans="1:26" ht="14.25" customHeight="1">
      <c r="A55" s="1"/>
      <c r="B55" s="1"/>
      <c r="C55" s="1"/>
      <c r="D55" s="1"/>
      <c r="E55" s="19"/>
      <c r="F55" s="3"/>
      <c r="G55" s="3"/>
      <c r="H55" s="3"/>
      <c r="I55" s="3"/>
      <c r="J55" s="3"/>
      <c r="K55" s="3"/>
      <c r="L55" s="3"/>
      <c r="M55" s="3"/>
      <c r="N55" s="3"/>
      <c r="O55" s="3"/>
      <c r="P55" s="3"/>
      <c r="Q55" s="3"/>
      <c r="R55" s="3"/>
      <c r="S55" s="3"/>
      <c r="T55" s="3"/>
      <c r="U55" s="3"/>
      <c r="V55" s="3"/>
      <c r="W55" s="3"/>
      <c r="X55" s="3"/>
      <c r="Y55" s="3"/>
      <c r="Z55" s="3"/>
    </row>
    <row r="56" spans="1:26" ht="14.25" customHeight="1">
      <c r="A56" s="1"/>
      <c r="B56" s="1"/>
      <c r="C56" s="1"/>
      <c r="D56" s="1"/>
      <c r="E56" s="19"/>
      <c r="F56" s="3"/>
      <c r="G56" s="3"/>
      <c r="H56" s="3"/>
      <c r="I56" s="3"/>
      <c r="J56" s="3"/>
      <c r="K56" s="3"/>
      <c r="L56" s="3"/>
      <c r="M56" s="3"/>
      <c r="N56" s="3"/>
      <c r="O56" s="3"/>
      <c r="P56" s="3"/>
      <c r="Q56" s="3"/>
      <c r="R56" s="3"/>
      <c r="S56" s="3"/>
      <c r="T56" s="3"/>
      <c r="U56" s="3"/>
      <c r="V56" s="3"/>
      <c r="W56" s="3"/>
      <c r="X56" s="3"/>
      <c r="Y56" s="3"/>
      <c r="Z56" s="3"/>
    </row>
    <row r="57" spans="1:26" ht="14.25" customHeight="1">
      <c r="A57" s="1"/>
      <c r="B57" s="1"/>
      <c r="C57" s="1"/>
      <c r="D57" s="1"/>
      <c r="E57" s="19"/>
      <c r="F57" s="3"/>
      <c r="G57" s="3"/>
      <c r="H57" s="3"/>
      <c r="I57" s="3"/>
      <c r="J57" s="3"/>
      <c r="K57" s="3"/>
      <c r="L57" s="3"/>
      <c r="M57" s="3"/>
      <c r="N57" s="3"/>
      <c r="O57" s="3"/>
      <c r="P57" s="3"/>
      <c r="Q57" s="3"/>
      <c r="R57" s="3"/>
      <c r="S57" s="3"/>
      <c r="T57" s="3"/>
      <c r="U57" s="3"/>
      <c r="V57" s="3"/>
      <c r="W57" s="3"/>
      <c r="X57" s="3"/>
      <c r="Y57" s="3"/>
      <c r="Z57" s="3"/>
    </row>
    <row r="58" spans="1:26" ht="14.25" customHeight="1">
      <c r="A58" s="1"/>
      <c r="B58" s="1"/>
      <c r="C58" s="1"/>
      <c r="D58" s="1"/>
      <c r="E58" s="19"/>
      <c r="F58" s="3"/>
      <c r="G58" s="3"/>
      <c r="H58" s="3"/>
      <c r="I58" s="3"/>
      <c r="J58" s="3"/>
      <c r="K58" s="3"/>
      <c r="L58" s="3"/>
      <c r="M58" s="3"/>
      <c r="N58" s="3"/>
      <c r="O58" s="3"/>
      <c r="P58" s="3"/>
      <c r="Q58" s="3"/>
      <c r="R58" s="3"/>
      <c r="S58" s="3"/>
      <c r="T58" s="3"/>
      <c r="U58" s="3"/>
      <c r="V58" s="3"/>
      <c r="W58" s="3"/>
      <c r="X58" s="3"/>
      <c r="Y58" s="3"/>
      <c r="Z58" s="3"/>
    </row>
    <row r="59" spans="1:26" ht="14.25" customHeight="1">
      <c r="A59" s="1"/>
      <c r="B59" s="1"/>
      <c r="C59" s="1"/>
      <c r="D59" s="1"/>
      <c r="E59" s="19"/>
      <c r="F59" s="3"/>
      <c r="G59" s="3"/>
      <c r="H59" s="3"/>
      <c r="I59" s="3"/>
      <c r="J59" s="3"/>
      <c r="K59" s="3"/>
      <c r="L59" s="3"/>
      <c r="M59" s="3"/>
      <c r="N59" s="3"/>
      <c r="O59" s="3"/>
      <c r="P59" s="3"/>
      <c r="Q59" s="3"/>
      <c r="R59" s="3"/>
      <c r="S59" s="3"/>
      <c r="T59" s="3"/>
      <c r="U59" s="3"/>
      <c r="V59" s="3"/>
      <c r="W59" s="3"/>
      <c r="X59" s="3"/>
      <c r="Y59" s="3"/>
      <c r="Z59" s="3"/>
    </row>
    <row r="60" spans="1:26" ht="14.25" customHeight="1">
      <c r="A60" s="1"/>
      <c r="B60" s="1"/>
      <c r="C60" s="1"/>
      <c r="D60" s="1"/>
      <c r="E60" s="19"/>
      <c r="F60" s="3"/>
      <c r="G60" s="3"/>
      <c r="H60" s="3"/>
      <c r="I60" s="3"/>
      <c r="J60" s="3"/>
      <c r="K60" s="3"/>
      <c r="L60" s="3"/>
      <c r="M60" s="3"/>
      <c r="N60" s="3"/>
      <c r="O60" s="3"/>
      <c r="P60" s="3"/>
      <c r="Q60" s="3"/>
      <c r="R60" s="3"/>
      <c r="S60" s="3"/>
      <c r="T60" s="3"/>
      <c r="U60" s="3"/>
      <c r="V60" s="3"/>
      <c r="W60" s="3"/>
      <c r="X60" s="3"/>
      <c r="Y60" s="3"/>
      <c r="Z60" s="3"/>
    </row>
    <row r="61" spans="1:26" ht="14.25" customHeight="1">
      <c r="A61" s="1"/>
      <c r="B61" s="1"/>
      <c r="C61" s="1"/>
      <c r="D61" s="1"/>
      <c r="E61" s="19"/>
      <c r="F61" s="3"/>
      <c r="G61" s="3"/>
      <c r="H61" s="3"/>
      <c r="I61" s="3"/>
      <c r="J61" s="3"/>
      <c r="K61" s="3"/>
      <c r="L61" s="3"/>
      <c r="M61" s="3"/>
      <c r="N61" s="3"/>
      <c r="O61" s="3"/>
      <c r="P61" s="3"/>
      <c r="Q61" s="3"/>
      <c r="R61" s="3"/>
      <c r="S61" s="3"/>
      <c r="T61" s="3"/>
      <c r="U61" s="3"/>
      <c r="V61" s="3"/>
      <c r="W61" s="3"/>
      <c r="X61" s="3"/>
      <c r="Y61" s="3"/>
      <c r="Z61" s="3"/>
    </row>
    <row r="62" spans="1:26" ht="14.25" customHeight="1">
      <c r="A62" s="1"/>
      <c r="B62" s="1"/>
      <c r="C62" s="1"/>
      <c r="D62" s="1"/>
      <c r="E62" s="19"/>
      <c r="F62" s="3"/>
      <c r="G62" s="3"/>
      <c r="H62" s="3"/>
      <c r="I62" s="3"/>
      <c r="J62" s="3"/>
      <c r="K62" s="3"/>
      <c r="L62" s="3"/>
      <c r="M62" s="3"/>
      <c r="N62" s="3"/>
      <c r="O62" s="3"/>
      <c r="P62" s="3"/>
      <c r="Q62" s="3"/>
      <c r="R62" s="3"/>
      <c r="S62" s="3"/>
      <c r="T62" s="3"/>
      <c r="U62" s="3"/>
      <c r="V62" s="3"/>
      <c r="W62" s="3"/>
      <c r="X62" s="3"/>
      <c r="Y62" s="3"/>
      <c r="Z62" s="3"/>
    </row>
    <row r="63" spans="1:26" ht="14.25" customHeight="1">
      <c r="A63" s="1"/>
      <c r="B63" s="1"/>
      <c r="C63" s="1"/>
      <c r="D63" s="1"/>
      <c r="E63" s="19"/>
      <c r="F63" s="3"/>
      <c r="G63" s="3"/>
      <c r="H63" s="3"/>
      <c r="I63" s="3"/>
      <c r="J63" s="3"/>
      <c r="K63" s="3"/>
      <c r="L63" s="3"/>
      <c r="M63" s="3"/>
      <c r="N63" s="3"/>
      <c r="O63" s="3"/>
      <c r="P63" s="3"/>
      <c r="Q63" s="3"/>
      <c r="R63" s="3"/>
      <c r="S63" s="3"/>
      <c r="T63" s="3"/>
      <c r="U63" s="3"/>
      <c r="V63" s="3"/>
      <c r="W63" s="3"/>
      <c r="X63" s="3"/>
      <c r="Y63" s="3"/>
      <c r="Z63" s="3"/>
    </row>
    <row r="64" spans="1:26" ht="14.25" customHeight="1">
      <c r="A64" s="1"/>
      <c r="B64" s="1"/>
      <c r="C64" s="1"/>
      <c r="D64" s="1"/>
      <c r="E64" s="19"/>
      <c r="F64" s="3"/>
      <c r="G64" s="3"/>
      <c r="H64" s="3"/>
      <c r="I64" s="3"/>
      <c r="J64" s="3"/>
      <c r="K64" s="3"/>
      <c r="L64" s="3"/>
      <c r="M64" s="3"/>
      <c r="N64" s="3"/>
      <c r="O64" s="3"/>
      <c r="P64" s="3"/>
      <c r="Q64" s="3"/>
      <c r="R64" s="3"/>
      <c r="S64" s="3"/>
      <c r="T64" s="3"/>
      <c r="U64" s="3"/>
      <c r="V64" s="3"/>
      <c r="W64" s="3"/>
      <c r="X64" s="3"/>
      <c r="Y64" s="3"/>
      <c r="Z64" s="3"/>
    </row>
    <row r="65" spans="1:26" ht="14.25" customHeight="1">
      <c r="A65" s="1"/>
      <c r="B65" s="1"/>
      <c r="C65" s="1"/>
      <c r="D65" s="1"/>
      <c r="E65" s="19"/>
      <c r="F65" s="3"/>
      <c r="G65" s="3"/>
      <c r="H65" s="3"/>
      <c r="I65" s="3"/>
      <c r="J65" s="3"/>
      <c r="K65" s="3"/>
      <c r="L65" s="3"/>
      <c r="M65" s="3"/>
      <c r="N65" s="3"/>
      <c r="O65" s="3"/>
      <c r="P65" s="3"/>
      <c r="Q65" s="3"/>
      <c r="R65" s="3"/>
      <c r="S65" s="3"/>
      <c r="T65" s="3"/>
      <c r="U65" s="3"/>
      <c r="V65" s="3"/>
      <c r="W65" s="3"/>
      <c r="X65" s="3"/>
      <c r="Y65" s="3"/>
      <c r="Z65" s="3"/>
    </row>
    <row r="66" spans="1:26" ht="14.25" customHeight="1">
      <c r="A66" s="1"/>
      <c r="B66" s="1"/>
      <c r="C66" s="1"/>
      <c r="D66" s="1"/>
      <c r="E66" s="19"/>
      <c r="F66" s="3"/>
      <c r="G66" s="3"/>
      <c r="H66" s="3"/>
      <c r="I66" s="3"/>
      <c r="J66" s="3"/>
      <c r="K66" s="3"/>
      <c r="L66" s="3"/>
      <c r="M66" s="3"/>
      <c r="N66" s="3"/>
      <c r="O66" s="3"/>
      <c r="P66" s="3"/>
      <c r="Q66" s="3"/>
      <c r="R66" s="3"/>
      <c r="S66" s="3"/>
      <c r="T66" s="3"/>
      <c r="U66" s="3"/>
      <c r="V66" s="3"/>
      <c r="W66" s="3"/>
      <c r="X66" s="3"/>
      <c r="Y66" s="3"/>
      <c r="Z66" s="3"/>
    </row>
    <row r="67" spans="1:26" ht="14.25" customHeight="1">
      <c r="A67" s="1"/>
      <c r="B67" s="1"/>
      <c r="C67" s="1"/>
      <c r="D67" s="1"/>
      <c r="E67" s="19"/>
      <c r="F67" s="3"/>
      <c r="G67" s="3"/>
      <c r="H67" s="3"/>
      <c r="I67" s="3"/>
      <c r="J67" s="3"/>
      <c r="K67" s="3"/>
      <c r="L67" s="3"/>
      <c r="M67" s="3"/>
      <c r="N67" s="3"/>
      <c r="O67" s="3"/>
      <c r="P67" s="3"/>
      <c r="Q67" s="3"/>
      <c r="R67" s="3"/>
      <c r="S67" s="3"/>
      <c r="T67" s="3"/>
      <c r="U67" s="3"/>
      <c r="V67" s="3"/>
      <c r="W67" s="3"/>
      <c r="X67" s="3"/>
      <c r="Y67" s="3"/>
      <c r="Z67" s="3"/>
    </row>
    <row r="68" spans="1:26" ht="14.25" customHeight="1">
      <c r="A68" s="1"/>
      <c r="B68" s="1"/>
      <c r="C68" s="1"/>
      <c r="D68" s="1"/>
      <c r="E68" s="19"/>
      <c r="F68" s="3"/>
      <c r="G68" s="3"/>
      <c r="H68" s="3"/>
      <c r="I68" s="3"/>
      <c r="J68" s="3"/>
      <c r="K68" s="3"/>
      <c r="L68" s="3"/>
      <c r="M68" s="3"/>
      <c r="N68" s="3"/>
      <c r="O68" s="3"/>
      <c r="P68" s="3"/>
      <c r="Q68" s="3"/>
      <c r="R68" s="3"/>
      <c r="S68" s="3"/>
      <c r="T68" s="3"/>
      <c r="U68" s="3"/>
      <c r="V68" s="3"/>
      <c r="W68" s="3"/>
      <c r="X68" s="3"/>
      <c r="Y68" s="3"/>
      <c r="Z68" s="3"/>
    </row>
    <row r="69" spans="1:26" ht="14.25" customHeight="1">
      <c r="A69" s="1"/>
      <c r="B69" s="1"/>
      <c r="C69" s="1"/>
      <c r="D69" s="1"/>
      <c r="E69" s="19"/>
      <c r="F69" s="3"/>
      <c r="G69" s="3"/>
      <c r="H69" s="3"/>
      <c r="I69" s="3"/>
      <c r="J69" s="3"/>
      <c r="K69" s="3"/>
      <c r="L69" s="3"/>
      <c r="M69" s="3"/>
      <c r="N69" s="3"/>
      <c r="O69" s="3"/>
      <c r="P69" s="3"/>
      <c r="Q69" s="3"/>
      <c r="R69" s="3"/>
      <c r="S69" s="3"/>
      <c r="T69" s="3"/>
      <c r="U69" s="3"/>
      <c r="V69" s="3"/>
      <c r="W69" s="3"/>
      <c r="X69" s="3"/>
      <c r="Y69" s="3"/>
      <c r="Z69" s="3"/>
    </row>
    <row r="70" spans="1:26" ht="14.25" customHeight="1">
      <c r="A70" s="1"/>
      <c r="B70" s="1"/>
      <c r="C70" s="1"/>
      <c r="D70" s="1"/>
      <c r="E70" s="19"/>
      <c r="F70" s="3"/>
      <c r="G70" s="3"/>
      <c r="H70" s="3"/>
      <c r="I70" s="3"/>
      <c r="J70" s="3"/>
      <c r="K70" s="3"/>
      <c r="L70" s="3"/>
      <c r="M70" s="3"/>
      <c r="N70" s="3"/>
      <c r="O70" s="3"/>
      <c r="P70" s="3"/>
      <c r="Q70" s="3"/>
      <c r="R70" s="3"/>
      <c r="S70" s="3"/>
      <c r="T70" s="3"/>
      <c r="U70" s="3"/>
      <c r="V70" s="3"/>
      <c r="W70" s="3"/>
      <c r="X70" s="3"/>
      <c r="Y70" s="3"/>
      <c r="Z70" s="3"/>
    </row>
    <row r="71" spans="1:26" ht="14.25" customHeight="1">
      <c r="A71" s="1"/>
      <c r="B71" s="1"/>
      <c r="C71" s="1"/>
      <c r="D71" s="1"/>
      <c r="E71" s="19"/>
      <c r="F71" s="3"/>
      <c r="G71" s="3"/>
      <c r="H71" s="3"/>
      <c r="I71" s="3"/>
      <c r="J71" s="3"/>
      <c r="K71" s="3"/>
      <c r="L71" s="3"/>
      <c r="M71" s="3"/>
      <c r="N71" s="3"/>
      <c r="O71" s="3"/>
      <c r="P71" s="3"/>
      <c r="Q71" s="3"/>
      <c r="R71" s="3"/>
      <c r="S71" s="3"/>
      <c r="T71" s="3"/>
      <c r="U71" s="3"/>
      <c r="V71" s="3"/>
      <c r="W71" s="3"/>
      <c r="X71" s="3"/>
      <c r="Y71" s="3"/>
      <c r="Z71" s="3"/>
    </row>
    <row r="72" spans="1:26" ht="14.25" customHeight="1">
      <c r="A72" s="1"/>
      <c r="B72" s="1"/>
      <c r="C72" s="1"/>
      <c r="D72" s="1"/>
      <c r="E72" s="19"/>
      <c r="F72" s="3"/>
      <c r="G72" s="3"/>
      <c r="H72" s="3"/>
      <c r="I72" s="3"/>
      <c r="J72" s="3"/>
      <c r="K72" s="3"/>
      <c r="L72" s="3"/>
      <c r="M72" s="3"/>
      <c r="N72" s="3"/>
      <c r="O72" s="3"/>
      <c r="P72" s="3"/>
      <c r="Q72" s="3"/>
      <c r="R72" s="3"/>
      <c r="S72" s="3"/>
      <c r="T72" s="3"/>
      <c r="U72" s="3"/>
      <c r="V72" s="3"/>
      <c r="W72" s="3"/>
      <c r="X72" s="3"/>
      <c r="Y72" s="3"/>
      <c r="Z72" s="3"/>
    </row>
    <row r="73" spans="1:26" ht="14.25" customHeight="1">
      <c r="A73" s="1"/>
      <c r="B73" s="1"/>
      <c r="C73" s="1"/>
      <c r="D73" s="1"/>
      <c r="E73" s="19"/>
      <c r="F73" s="3"/>
      <c r="G73" s="3"/>
      <c r="H73" s="3"/>
      <c r="I73" s="3"/>
      <c r="J73" s="3"/>
      <c r="K73" s="3"/>
      <c r="L73" s="3"/>
      <c r="M73" s="3"/>
      <c r="N73" s="3"/>
      <c r="O73" s="3"/>
      <c r="P73" s="3"/>
      <c r="Q73" s="3"/>
      <c r="R73" s="3"/>
      <c r="S73" s="3"/>
      <c r="T73" s="3"/>
      <c r="U73" s="3"/>
      <c r="V73" s="3"/>
      <c r="W73" s="3"/>
      <c r="X73" s="3"/>
      <c r="Y73" s="3"/>
      <c r="Z73" s="3"/>
    </row>
    <row r="74" spans="1:26" ht="14.25" customHeight="1">
      <c r="A74" s="1"/>
      <c r="B74" s="1"/>
      <c r="C74" s="1"/>
      <c r="D74" s="1"/>
      <c r="E74" s="19"/>
      <c r="F74" s="3"/>
      <c r="G74" s="3"/>
      <c r="H74" s="3"/>
      <c r="I74" s="3"/>
      <c r="J74" s="3"/>
      <c r="K74" s="3"/>
      <c r="L74" s="3"/>
      <c r="M74" s="3"/>
      <c r="N74" s="3"/>
      <c r="O74" s="3"/>
      <c r="P74" s="3"/>
      <c r="Q74" s="3"/>
      <c r="R74" s="3"/>
      <c r="S74" s="3"/>
      <c r="T74" s="3"/>
      <c r="U74" s="3"/>
      <c r="V74" s="3"/>
      <c r="W74" s="3"/>
      <c r="X74" s="3"/>
      <c r="Y74" s="3"/>
      <c r="Z74" s="3"/>
    </row>
    <row r="75" spans="1:26" ht="14.25" customHeight="1">
      <c r="A75" s="1"/>
      <c r="B75" s="1"/>
      <c r="C75" s="1"/>
      <c r="D75" s="1"/>
      <c r="E75" s="19"/>
      <c r="F75" s="3"/>
      <c r="G75" s="3"/>
      <c r="H75" s="3"/>
      <c r="I75" s="3"/>
      <c r="J75" s="3"/>
      <c r="K75" s="3"/>
      <c r="L75" s="3"/>
      <c r="M75" s="3"/>
      <c r="N75" s="3"/>
      <c r="O75" s="3"/>
      <c r="P75" s="3"/>
      <c r="Q75" s="3"/>
      <c r="R75" s="3"/>
      <c r="S75" s="3"/>
      <c r="T75" s="3"/>
      <c r="U75" s="3"/>
      <c r="V75" s="3"/>
      <c r="W75" s="3"/>
      <c r="X75" s="3"/>
      <c r="Y75" s="3"/>
      <c r="Z75" s="3"/>
    </row>
    <row r="76" spans="1:26" ht="14.25" customHeight="1">
      <c r="A76" s="1"/>
      <c r="B76" s="1"/>
      <c r="C76" s="1"/>
      <c r="D76" s="1"/>
      <c r="E76" s="19"/>
      <c r="F76" s="3"/>
      <c r="G76" s="3"/>
      <c r="H76" s="3"/>
      <c r="I76" s="3"/>
      <c r="J76" s="3"/>
      <c r="K76" s="3"/>
      <c r="L76" s="3"/>
      <c r="M76" s="3"/>
      <c r="N76" s="3"/>
      <c r="O76" s="3"/>
      <c r="P76" s="3"/>
      <c r="Q76" s="3"/>
      <c r="R76" s="3"/>
      <c r="S76" s="3"/>
      <c r="T76" s="3"/>
      <c r="U76" s="3"/>
      <c r="V76" s="3"/>
      <c r="W76" s="3"/>
      <c r="X76" s="3"/>
      <c r="Y76" s="3"/>
      <c r="Z76" s="3"/>
    </row>
    <row r="77" spans="1:26" ht="14.25" customHeight="1">
      <c r="A77" s="1"/>
      <c r="B77" s="1"/>
      <c r="C77" s="1"/>
      <c r="D77" s="1"/>
      <c r="E77" s="19"/>
      <c r="F77" s="3"/>
      <c r="G77" s="3"/>
      <c r="H77" s="3"/>
      <c r="I77" s="3"/>
      <c r="J77" s="3"/>
      <c r="K77" s="3"/>
      <c r="L77" s="3"/>
      <c r="M77" s="3"/>
      <c r="N77" s="3"/>
      <c r="O77" s="3"/>
      <c r="P77" s="3"/>
      <c r="Q77" s="3"/>
      <c r="R77" s="3"/>
      <c r="S77" s="3"/>
      <c r="T77" s="3"/>
      <c r="U77" s="3"/>
      <c r="V77" s="3"/>
      <c r="W77" s="3"/>
      <c r="X77" s="3"/>
      <c r="Y77" s="3"/>
      <c r="Z77" s="3"/>
    </row>
    <row r="78" spans="1:26" ht="14.25" customHeight="1">
      <c r="A78" s="1"/>
      <c r="B78" s="1"/>
      <c r="C78" s="1"/>
      <c r="D78" s="1"/>
      <c r="E78" s="19"/>
      <c r="F78" s="3"/>
      <c r="G78" s="3"/>
      <c r="H78" s="3"/>
      <c r="I78" s="3"/>
      <c r="J78" s="3"/>
      <c r="K78" s="3"/>
      <c r="L78" s="3"/>
      <c r="M78" s="3"/>
      <c r="N78" s="3"/>
      <c r="O78" s="3"/>
      <c r="P78" s="3"/>
      <c r="Q78" s="3"/>
      <c r="R78" s="3"/>
      <c r="S78" s="3"/>
      <c r="T78" s="3"/>
      <c r="U78" s="3"/>
      <c r="V78" s="3"/>
      <c r="W78" s="3"/>
      <c r="X78" s="3"/>
      <c r="Y78" s="3"/>
      <c r="Z78" s="3"/>
    </row>
    <row r="79" spans="1:26" ht="14.25" customHeight="1">
      <c r="A79" s="1"/>
      <c r="B79" s="1"/>
      <c r="C79" s="1"/>
      <c r="D79" s="1"/>
      <c r="E79" s="19"/>
      <c r="F79" s="3"/>
      <c r="G79" s="3"/>
      <c r="H79" s="3"/>
      <c r="I79" s="3"/>
      <c r="J79" s="3"/>
      <c r="K79" s="3"/>
      <c r="L79" s="3"/>
      <c r="M79" s="3"/>
      <c r="N79" s="3"/>
      <c r="O79" s="3"/>
      <c r="P79" s="3"/>
      <c r="Q79" s="3"/>
      <c r="R79" s="3"/>
      <c r="S79" s="3"/>
      <c r="T79" s="3"/>
      <c r="U79" s="3"/>
      <c r="V79" s="3"/>
      <c r="W79" s="3"/>
      <c r="X79" s="3"/>
      <c r="Y79" s="3"/>
      <c r="Z79" s="3"/>
    </row>
    <row r="80" spans="1:26" ht="14.25" customHeight="1">
      <c r="A80" s="1"/>
      <c r="B80" s="1"/>
      <c r="C80" s="1"/>
      <c r="D80" s="1"/>
      <c r="E80" s="19"/>
      <c r="F80" s="3"/>
      <c r="G80" s="3"/>
      <c r="H80" s="3"/>
      <c r="I80" s="3"/>
      <c r="J80" s="3"/>
      <c r="K80" s="3"/>
      <c r="L80" s="3"/>
      <c r="M80" s="3"/>
      <c r="N80" s="3"/>
      <c r="O80" s="3"/>
      <c r="P80" s="3"/>
      <c r="Q80" s="3"/>
      <c r="R80" s="3"/>
      <c r="S80" s="3"/>
      <c r="T80" s="3"/>
      <c r="U80" s="3"/>
      <c r="V80" s="3"/>
      <c r="W80" s="3"/>
      <c r="X80" s="3"/>
      <c r="Y80" s="3"/>
      <c r="Z80" s="3"/>
    </row>
    <row r="81" spans="1:26" ht="14.25" customHeight="1">
      <c r="A81" s="1"/>
      <c r="B81" s="1"/>
      <c r="C81" s="1"/>
      <c r="D81" s="1"/>
      <c r="E81" s="19"/>
      <c r="F81" s="3"/>
      <c r="G81" s="3"/>
      <c r="H81" s="3"/>
      <c r="I81" s="3"/>
      <c r="J81" s="3"/>
      <c r="K81" s="3"/>
      <c r="L81" s="3"/>
      <c r="M81" s="3"/>
      <c r="N81" s="3"/>
      <c r="O81" s="3"/>
      <c r="P81" s="3"/>
      <c r="Q81" s="3"/>
      <c r="R81" s="3"/>
      <c r="S81" s="3"/>
      <c r="T81" s="3"/>
      <c r="U81" s="3"/>
      <c r="V81" s="3"/>
      <c r="W81" s="3"/>
      <c r="X81" s="3"/>
      <c r="Y81" s="3"/>
      <c r="Z81" s="3"/>
    </row>
    <row r="82" spans="1:26" ht="14.25" customHeight="1">
      <c r="A82" s="1"/>
      <c r="B82" s="1"/>
      <c r="C82" s="1"/>
      <c r="D82" s="1"/>
      <c r="E82" s="19"/>
      <c r="F82" s="3"/>
      <c r="G82" s="3"/>
      <c r="H82" s="3"/>
      <c r="I82" s="3"/>
      <c r="J82" s="3"/>
      <c r="K82" s="3"/>
      <c r="L82" s="3"/>
      <c r="M82" s="3"/>
      <c r="N82" s="3"/>
      <c r="O82" s="3"/>
      <c r="P82" s="3"/>
      <c r="Q82" s="3"/>
      <c r="R82" s="3"/>
      <c r="S82" s="3"/>
      <c r="T82" s="3"/>
      <c r="U82" s="3"/>
      <c r="V82" s="3"/>
      <c r="W82" s="3"/>
      <c r="X82" s="3"/>
      <c r="Y82" s="3"/>
      <c r="Z82" s="3"/>
    </row>
    <row r="83" spans="1:26" ht="14.25" customHeight="1">
      <c r="A83" s="1"/>
      <c r="B83" s="1"/>
      <c r="C83" s="1"/>
      <c r="D83" s="1"/>
      <c r="E83" s="19"/>
      <c r="F83" s="3"/>
      <c r="G83" s="3"/>
      <c r="H83" s="3"/>
      <c r="I83" s="3"/>
      <c r="J83" s="3"/>
      <c r="K83" s="3"/>
      <c r="L83" s="3"/>
      <c r="M83" s="3"/>
      <c r="N83" s="3"/>
      <c r="O83" s="3"/>
      <c r="P83" s="3"/>
      <c r="Q83" s="3"/>
      <c r="R83" s="3"/>
      <c r="S83" s="3"/>
      <c r="T83" s="3"/>
      <c r="U83" s="3"/>
      <c r="V83" s="3"/>
      <c r="W83" s="3"/>
      <c r="X83" s="3"/>
      <c r="Y83" s="3"/>
      <c r="Z83" s="3"/>
    </row>
    <row r="84" spans="1:26" ht="14.25" customHeight="1">
      <c r="A84" s="1"/>
      <c r="B84" s="1"/>
      <c r="C84" s="1"/>
      <c r="D84" s="1"/>
      <c r="E84" s="19"/>
      <c r="F84" s="3"/>
      <c r="G84" s="3"/>
      <c r="H84" s="3"/>
      <c r="I84" s="3"/>
      <c r="J84" s="3"/>
      <c r="K84" s="3"/>
      <c r="L84" s="3"/>
      <c r="M84" s="3"/>
      <c r="N84" s="3"/>
      <c r="O84" s="3"/>
      <c r="P84" s="3"/>
      <c r="Q84" s="3"/>
      <c r="R84" s="3"/>
      <c r="S84" s="3"/>
      <c r="T84" s="3"/>
      <c r="U84" s="3"/>
      <c r="V84" s="3"/>
      <c r="W84" s="3"/>
      <c r="X84" s="3"/>
      <c r="Y84" s="3"/>
      <c r="Z84" s="3"/>
    </row>
    <row r="85" spans="1:26" ht="14.25" customHeight="1">
      <c r="A85" s="1"/>
      <c r="B85" s="1"/>
      <c r="C85" s="1"/>
      <c r="D85" s="1"/>
      <c r="E85" s="19"/>
      <c r="F85" s="3"/>
      <c r="G85" s="3"/>
      <c r="H85" s="3"/>
      <c r="I85" s="3"/>
      <c r="J85" s="3"/>
      <c r="K85" s="3"/>
      <c r="L85" s="3"/>
      <c r="M85" s="3"/>
      <c r="N85" s="3"/>
      <c r="O85" s="3"/>
      <c r="P85" s="3"/>
      <c r="Q85" s="3"/>
      <c r="R85" s="3"/>
      <c r="S85" s="3"/>
      <c r="T85" s="3"/>
      <c r="U85" s="3"/>
      <c r="V85" s="3"/>
      <c r="W85" s="3"/>
      <c r="X85" s="3"/>
      <c r="Y85" s="3"/>
      <c r="Z85" s="3"/>
    </row>
    <row r="86" spans="1:26" ht="14.25" customHeight="1">
      <c r="A86" s="1"/>
      <c r="B86" s="1"/>
      <c r="C86" s="1"/>
      <c r="D86" s="1"/>
      <c r="E86" s="19"/>
      <c r="F86" s="3"/>
      <c r="G86" s="3"/>
      <c r="H86" s="3"/>
      <c r="I86" s="3"/>
      <c r="J86" s="3"/>
      <c r="K86" s="3"/>
      <c r="L86" s="3"/>
      <c r="M86" s="3"/>
      <c r="N86" s="3"/>
      <c r="O86" s="3"/>
      <c r="P86" s="3"/>
      <c r="Q86" s="3"/>
      <c r="R86" s="3"/>
      <c r="S86" s="3"/>
      <c r="T86" s="3"/>
      <c r="U86" s="3"/>
      <c r="V86" s="3"/>
      <c r="W86" s="3"/>
      <c r="X86" s="3"/>
      <c r="Y86" s="3"/>
      <c r="Z86" s="3"/>
    </row>
    <row r="87" spans="1:26" ht="14.25" customHeight="1">
      <c r="A87" s="1"/>
      <c r="B87" s="1"/>
      <c r="C87" s="1"/>
      <c r="D87" s="1"/>
      <c r="E87" s="19"/>
      <c r="F87" s="3"/>
      <c r="G87" s="3"/>
      <c r="H87" s="3"/>
      <c r="I87" s="3"/>
      <c r="J87" s="3"/>
      <c r="K87" s="3"/>
      <c r="L87" s="3"/>
      <c r="M87" s="3"/>
      <c r="N87" s="3"/>
      <c r="O87" s="3"/>
      <c r="P87" s="3"/>
      <c r="Q87" s="3"/>
      <c r="R87" s="3"/>
      <c r="S87" s="3"/>
      <c r="T87" s="3"/>
      <c r="U87" s="3"/>
      <c r="V87" s="3"/>
      <c r="W87" s="3"/>
      <c r="X87" s="3"/>
      <c r="Y87" s="3"/>
      <c r="Z87" s="3"/>
    </row>
    <row r="88" spans="1:26" ht="14.25" customHeight="1">
      <c r="A88" s="1"/>
      <c r="B88" s="1"/>
      <c r="C88" s="1"/>
      <c r="D88" s="1"/>
      <c r="E88" s="19"/>
      <c r="F88" s="3"/>
      <c r="G88" s="3"/>
      <c r="H88" s="3"/>
      <c r="I88" s="3"/>
      <c r="J88" s="3"/>
      <c r="K88" s="3"/>
      <c r="L88" s="3"/>
      <c r="M88" s="3"/>
      <c r="N88" s="3"/>
      <c r="O88" s="3"/>
      <c r="P88" s="3"/>
      <c r="Q88" s="3"/>
      <c r="R88" s="3"/>
      <c r="S88" s="3"/>
      <c r="T88" s="3"/>
      <c r="U88" s="3"/>
      <c r="V88" s="3"/>
      <c r="W88" s="3"/>
      <c r="X88" s="3"/>
      <c r="Y88" s="3"/>
      <c r="Z88" s="3"/>
    </row>
    <row r="89" spans="1:26" ht="14.25" customHeight="1">
      <c r="A89" s="1"/>
      <c r="B89" s="1"/>
      <c r="C89" s="1"/>
      <c r="D89" s="1"/>
      <c r="E89" s="19"/>
      <c r="F89" s="3"/>
      <c r="G89" s="3"/>
      <c r="H89" s="3"/>
      <c r="I89" s="3"/>
      <c r="J89" s="3"/>
      <c r="K89" s="3"/>
      <c r="L89" s="3"/>
      <c r="M89" s="3"/>
      <c r="N89" s="3"/>
      <c r="O89" s="3"/>
      <c r="P89" s="3"/>
      <c r="Q89" s="3"/>
      <c r="R89" s="3"/>
      <c r="S89" s="3"/>
      <c r="T89" s="3"/>
      <c r="U89" s="3"/>
      <c r="V89" s="3"/>
      <c r="W89" s="3"/>
      <c r="X89" s="3"/>
      <c r="Y89" s="3"/>
      <c r="Z89" s="3"/>
    </row>
    <row r="90" spans="1:26" ht="14.25" customHeight="1">
      <c r="A90" s="1"/>
      <c r="B90" s="1"/>
      <c r="C90" s="1"/>
      <c r="D90" s="1"/>
      <c r="E90" s="19"/>
      <c r="F90" s="3"/>
      <c r="G90" s="3"/>
      <c r="H90" s="3"/>
      <c r="I90" s="3"/>
      <c r="J90" s="3"/>
      <c r="K90" s="3"/>
      <c r="L90" s="3"/>
      <c r="M90" s="3"/>
      <c r="N90" s="3"/>
      <c r="O90" s="3"/>
      <c r="P90" s="3"/>
      <c r="Q90" s="3"/>
      <c r="R90" s="3"/>
      <c r="S90" s="3"/>
      <c r="T90" s="3"/>
      <c r="U90" s="3"/>
      <c r="V90" s="3"/>
      <c r="W90" s="3"/>
      <c r="X90" s="3"/>
      <c r="Y90" s="3"/>
      <c r="Z90" s="3"/>
    </row>
    <row r="91" spans="1:26" ht="14.25" customHeight="1">
      <c r="A91" s="1"/>
      <c r="B91" s="1"/>
      <c r="C91" s="1"/>
      <c r="D91" s="1"/>
      <c r="E91" s="19"/>
      <c r="F91" s="3"/>
      <c r="G91" s="3"/>
      <c r="H91" s="3"/>
      <c r="I91" s="3"/>
      <c r="J91" s="3"/>
      <c r="K91" s="3"/>
      <c r="L91" s="3"/>
      <c r="M91" s="3"/>
      <c r="N91" s="3"/>
      <c r="O91" s="3"/>
      <c r="P91" s="3"/>
      <c r="Q91" s="3"/>
      <c r="R91" s="3"/>
      <c r="S91" s="3"/>
      <c r="T91" s="3"/>
      <c r="U91" s="3"/>
      <c r="V91" s="3"/>
      <c r="W91" s="3"/>
      <c r="X91" s="3"/>
      <c r="Y91" s="3"/>
      <c r="Z91" s="3"/>
    </row>
    <row r="92" spans="1:26" ht="14.25" customHeight="1">
      <c r="A92" s="1"/>
      <c r="B92" s="1"/>
      <c r="C92" s="1"/>
      <c r="D92" s="1"/>
      <c r="E92" s="19"/>
      <c r="F92" s="3"/>
      <c r="G92" s="3"/>
      <c r="H92" s="3"/>
      <c r="I92" s="3"/>
      <c r="J92" s="3"/>
      <c r="K92" s="3"/>
      <c r="L92" s="3"/>
      <c r="M92" s="3"/>
      <c r="N92" s="3"/>
      <c r="O92" s="3"/>
      <c r="P92" s="3"/>
      <c r="Q92" s="3"/>
      <c r="R92" s="3"/>
      <c r="S92" s="3"/>
      <c r="T92" s="3"/>
      <c r="U92" s="3"/>
      <c r="V92" s="3"/>
      <c r="W92" s="3"/>
      <c r="X92" s="3"/>
      <c r="Y92" s="3"/>
      <c r="Z92" s="3"/>
    </row>
    <row r="93" spans="1:26" ht="14.25" customHeight="1">
      <c r="A93" s="1"/>
      <c r="B93" s="1"/>
      <c r="C93" s="1"/>
      <c r="D93" s="1"/>
      <c r="E93" s="19"/>
      <c r="F93" s="3"/>
      <c r="G93" s="3"/>
      <c r="H93" s="3"/>
      <c r="I93" s="3"/>
      <c r="J93" s="3"/>
      <c r="K93" s="3"/>
      <c r="L93" s="3"/>
      <c r="M93" s="3"/>
      <c r="N93" s="3"/>
      <c r="O93" s="3"/>
      <c r="P93" s="3"/>
      <c r="Q93" s="3"/>
      <c r="R93" s="3"/>
      <c r="S93" s="3"/>
      <c r="T93" s="3"/>
      <c r="U93" s="3"/>
      <c r="V93" s="3"/>
      <c r="W93" s="3"/>
      <c r="X93" s="3"/>
      <c r="Y93" s="3"/>
      <c r="Z93" s="3"/>
    </row>
    <row r="94" spans="1:26" ht="14.25" customHeight="1">
      <c r="A94" s="1"/>
      <c r="B94" s="1"/>
      <c r="C94" s="1"/>
      <c r="D94" s="1"/>
      <c r="E94" s="19"/>
      <c r="F94" s="3"/>
      <c r="G94" s="3"/>
      <c r="H94" s="3"/>
      <c r="I94" s="3"/>
      <c r="J94" s="3"/>
      <c r="K94" s="3"/>
      <c r="L94" s="3"/>
      <c r="M94" s="3"/>
      <c r="N94" s="3"/>
      <c r="O94" s="3"/>
      <c r="P94" s="3"/>
      <c r="Q94" s="3"/>
      <c r="R94" s="3"/>
      <c r="S94" s="3"/>
      <c r="T94" s="3"/>
      <c r="U94" s="3"/>
      <c r="V94" s="3"/>
      <c r="W94" s="3"/>
      <c r="X94" s="3"/>
      <c r="Y94" s="3"/>
      <c r="Z94" s="3"/>
    </row>
    <row r="95" spans="1:26" ht="14.25" customHeight="1">
      <c r="A95" s="1"/>
      <c r="B95" s="1"/>
      <c r="C95" s="1"/>
      <c r="D95" s="1"/>
      <c r="E95" s="19"/>
      <c r="F95" s="3"/>
      <c r="G95" s="3"/>
      <c r="H95" s="3"/>
      <c r="I95" s="3"/>
      <c r="J95" s="3"/>
      <c r="K95" s="3"/>
      <c r="L95" s="3"/>
      <c r="M95" s="3"/>
      <c r="N95" s="3"/>
      <c r="O95" s="3"/>
      <c r="P95" s="3"/>
      <c r="Q95" s="3"/>
      <c r="R95" s="3"/>
      <c r="S95" s="3"/>
      <c r="T95" s="3"/>
      <c r="U95" s="3"/>
      <c r="V95" s="3"/>
      <c r="W95" s="3"/>
      <c r="X95" s="3"/>
      <c r="Y95" s="3"/>
      <c r="Z95" s="3"/>
    </row>
    <row r="96" spans="1:26" ht="14.25" customHeight="1">
      <c r="A96" s="1"/>
      <c r="B96" s="1"/>
      <c r="C96" s="1"/>
      <c r="D96" s="1"/>
      <c r="E96" s="19"/>
      <c r="F96" s="3"/>
      <c r="G96" s="3"/>
      <c r="H96" s="3"/>
      <c r="I96" s="3"/>
      <c r="J96" s="3"/>
      <c r="K96" s="3"/>
      <c r="L96" s="3"/>
      <c r="M96" s="3"/>
      <c r="N96" s="3"/>
      <c r="O96" s="3"/>
      <c r="P96" s="3"/>
      <c r="Q96" s="3"/>
      <c r="R96" s="3"/>
      <c r="S96" s="3"/>
      <c r="T96" s="3"/>
      <c r="U96" s="3"/>
      <c r="V96" s="3"/>
      <c r="W96" s="3"/>
      <c r="X96" s="3"/>
      <c r="Y96" s="3"/>
      <c r="Z96" s="3"/>
    </row>
    <row r="97" spans="1:26" ht="14.25" customHeight="1">
      <c r="A97" s="1"/>
      <c r="B97" s="1"/>
      <c r="C97" s="1"/>
      <c r="D97" s="1"/>
      <c r="E97" s="19"/>
      <c r="F97" s="3"/>
      <c r="G97" s="3"/>
      <c r="H97" s="3"/>
      <c r="I97" s="3"/>
      <c r="J97" s="3"/>
      <c r="K97" s="3"/>
      <c r="L97" s="3"/>
      <c r="M97" s="3"/>
      <c r="N97" s="3"/>
      <c r="O97" s="3"/>
      <c r="P97" s="3"/>
      <c r="Q97" s="3"/>
      <c r="R97" s="3"/>
      <c r="S97" s="3"/>
      <c r="T97" s="3"/>
      <c r="U97" s="3"/>
      <c r="V97" s="3"/>
      <c r="W97" s="3"/>
      <c r="X97" s="3"/>
      <c r="Y97" s="3"/>
      <c r="Z97" s="3"/>
    </row>
    <row r="98" spans="1:26" ht="14.25" customHeight="1">
      <c r="A98" s="1"/>
      <c r="B98" s="1"/>
      <c r="C98" s="1"/>
      <c r="D98" s="1"/>
      <c r="E98" s="19"/>
      <c r="F98" s="3"/>
      <c r="G98" s="3"/>
      <c r="H98" s="3"/>
      <c r="I98" s="3"/>
      <c r="J98" s="3"/>
      <c r="K98" s="3"/>
      <c r="L98" s="3"/>
      <c r="M98" s="3"/>
      <c r="N98" s="3"/>
      <c r="O98" s="3"/>
      <c r="P98" s="3"/>
      <c r="Q98" s="3"/>
      <c r="R98" s="3"/>
      <c r="S98" s="3"/>
      <c r="T98" s="3"/>
      <c r="U98" s="3"/>
      <c r="V98" s="3"/>
      <c r="W98" s="3"/>
      <c r="X98" s="3"/>
      <c r="Y98" s="3"/>
      <c r="Z98" s="3"/>
    </row>
    <row r="99" spans="1:26" ht="14.25" customHeight="1">
      <c r="A99" s="1"/>
      <c r="B99" s="1"/>
      <c r="C99" s="1"/>
      <c r="D99" s="1"/>
      <c r="E99" s="19"/>
      <c r="F99" s="3"/>
      <c r="G99" s="3"/>
      <c r="H99" s="3"/>
      <c r="I99" s="3"/>
      <c r="J99" s="3"/>
      <c r="K99" s="3"/>
      <c r="L99" s="3"/>
      <c r="M99" s="3"/>
      <c r="N99" s="3"/>
      <c r="O99" s="3"/>
      <c r="P99" s="3"/>
      <c r="Q99" s="3"/>
      <c r="R99" s="3"/>
      <c r="S99" s="3"/>
      <c r="T99" s="3"/>
      <c r="U99" s="3"/>
      <c r="V99" s="3"/>
      <c r="W99" s="3"/>
      <c r="X99" s="3"/>
      <c r="Y99" s="3"/>
      <c r="Z99" s="3"/>
    </row>
    <row r="100" spans="1:26" ht="14.25" customHeight="1">
      <c r="A100" s="1"/>
      <c r="B100" s="1"/>
      <c r="C100" s="1"/>
      <c r="D100" s="1"/>
      <c r="E100" s="19"/>
      <c r="F100" s="3"/>
      <c r="G100" s="3"/>
      <c r="H100" s="3"/>
      <c r="I100" s="3"/>
      <c r="J100" s="3"/>
      <c r="K100" s="3"/>
      <c r="L100" s="3"/>
      <c r="M100" s="3"/>
      <c r="N100" s="3"/>
      <c r="O100" s="3"/>
      <c r="P100" s="3"/>
      <c r="Q100" s="3"/>
      <c r="R100" s="3"/>
      <c r="S100" s="3"/>
      <c r="T100" s="3"/>
      <c r="U100" s="3"/>
      <c r="V100" s="3"/>
      <c r="W100" s="3"/>
      <c r="X100" s="3"/>
      <c r="Y100" s="3"/>
      <c r="Z100" s="3"/>
    </row>
    <row r="101" spans="1:26" ht="14.25" customHeight="1">
      <c r="A101" s="1"/>
      <c r="B101" s="1"/>
      <c r="C101" s="1"/>
      <c r="D101" s="1"/>
      <c r="E101" s="19"/>
      <c r="F101" s="3"/>
      <c r="G101" s="3"/>
      <c r="H101" s="3"/>
      <c r="I101" s="3"/>
      <c r="J101" s="3"/>
      <c r="K101" s="3"/>
      <c r="L101" s="3"/>
      <c r="M101" s="3"/>
      <c r="N101" s="3"/>
      <c r="O101" s="3"/>
      <c r="P101" s="3"/>
      <c r="Q101" s="3"/>
      <c r="R101" s="3"/>
      <c r="S101" s="3"/>
      <c r="T101" s="3"/>
      <c r="U101" s="3"/>
      <c r="V101" s="3"/>
      <c r="W101" s="3"/>
      <c r="X101" s="3"/>
      <c r="Y101" s="3"/>
      <c r="Z101" s="3"/>
    </row>
    <row r="102" spans="1:26" ht="14.25" customHeight="1">
      <c r="A102" s="1"/>
      <c r="B102" s="1"/>
      <c r="C102" s="1"/>
      <c r="D102" s="1"/>
      <c r="E102" s="19"/>
      <c r="F102" s="3"/>
      <c r="G102" s="3"/>
      <c r="H102" s="3"/>
      <c r="I102" s="3"/>
      <c r="J102" s="3"/>
      <c r="K102" s="3"/>
      <c r="L102" s="3"/>
      <c r="M102" s="3"/>
      <c r="N102" s="3"/>
      <c r="O102" s="3"/>
      <c r="P102" s="3"/>
      <c r="Q102" s="3"/>
      <c r="R102" s="3"/>
      <c r="S102" s="3"/>
      <c r="T102" s="3"/>
      <c r="U102" s="3"/>
      <c r="V102" s="3"/>
      <c r="W102" s="3"/>
      <c r="X102" s="3"/>
      <c r="Y102" s="3"/>
      <c r="Z102" s="3"/>
    </row>
    <row r="103" spans="1:26" ht="14.25" customHeight="1">
      <c r="A103" s="1"/>
      <c r="B103" s="1"/>
      <c r="C103" s="1"/>
      <c r="D103" s="1"/>
      <c r="E103" s="19"/>
      <c r="F103" s="3"/>
      <c r="G103" s="3"/>
      <c r="H103" s="3"/>
      <c r="I103" s="3"/>
      <c r="J103" s="3"/>
      <c r="K103" s="3"/>
      <c r="L103" s="3"/>
      <c r="M103" s="3"/>
      <c r="N103" s="3"/>
      <c r="O103" s="3"/>
      <c r="P103" s="3"/>
      <c r="Q103" s="3"/>
      <c r="R103" s="3"/>
      <c r="S103" s="3"/>
      <c r="T103" s="3"/>
      <c r="U103" s="3"/>
      <c r="V103" s="3"/>
      <c r="W103" s="3"/>
      <c r="X103" s="3"/>
      <c r="Y103" s="3"/>
      <c r="Z103" s="3"/>
    </row>
    <row r="104" spans="1:26" ht="14.25" customHeight="1">
      <c r="A104" s="1"/>
      <c r="B104" s="1"/>
      <c r="C104" s="1"/>
      <c r="D104" s="1"/>
      <c r="E104" s="19"/>
      <c r="F104" s="3"/>
      <c r="G104" s="3"/>
      <c r="H104" s="3"/>
      <c r="I104" s="3"/>
      <c r="J104" s="3"/>
      <c r="K104" s="3"/>
      <c r="L104" s="3"/>
      <c r="M104" s="3"/>
      <c r="N104" s="3"/>
      <c r="O104" s="3"/>
      <c r="P104" s="3"/>
      <c r="Q104" s="3"/>
      <c r="R104" s="3"/>
      <c r="S104" s="3"/>
      <c r="T104" s="3"/>
      <c r="U104" s="3"/>
      <c r="V104" s="3"/>
      <c r="W104" s="3"/>
      <c r="X104" s="3"/>
      <c r="Y104" s="3"/>
      <c r="Z104" s="3"/>
    </row>
    <row r="105" spans="1:26" ht="14.25" customHeight="1">
      <c r="A105" s="1"/>
      <c r="B105" s="1"/>
      <c r="C105" s="1"/>
      <c r="D105" s="1"/>
      <c r="E105" s="19"/>
      <c r="F105" s="3"/>
      <c r="G105" s="3"/>
      <c r="H105" s="3"/>
      <c r="I105" s="3"/>
      <c r="J105" s="3"/>
      <c r="K105" s="3"/>
      <c r="L105" s="3"/>
      <c r="M105" s="3"/>
      <c r="N105" s="3"/>
      <c r="O105" s="3"/>
      <c r="P105" s="3"/>
      <c r="Q105" s="3"/>
      <c r="R105" s="3"/>
      <c r="S105" s="3"/>
      <c r="T105" s="3"/>
      <c r="U105" s="3"/>
      <c r="V105" s="3"/>
      <c r="W105" s="3"/>
      <c r="X105" s="3"/>
      <c r="Y105" s="3"/>
      <c r="Z105" s="3"/>
    </row>
    <row r="106" spans="1:26" ht="14.25" customHeight="1">
      <c r="A106" s="1"/>
      <c r="B106" s="1"/>
      <c r="C106" s="1"/>
      <c r="D106" s="1"/>
      <c r="E106" s="19"/>
      <c r="F106" s="3"/>
      <c r="G106" s="3"/>
      <c r="H106" s="3"/>
      <c r="I106" s="3"/>
      <c r="J106" s="3"/>
      <c r="K106" s="3"/>
      <c r="L106" s="3"/>
      <c r="M106" s="3"/>
      <c r="N106" s="3"/>
      <c r="O106" s="3"/>
      <c r="P106" s="3"/>
      <c r="Q106" s="3"/>
      <c r="R106" s="3"/>
      <c r="S106" s="3"/>
      <c r="T106" s="3"/>
      <c r="U106" s="3"/>
      <c r="V106" s="3"/>
      <c r="W106" s="3"/>
      <c r="X106" s="3"/>
      <c r="Y106" s="3"/>
      <c r="Z106" s="3"/>
    </row>
    <row r="107" spans="1:26" ht="14.25" customHeight="1">
      <c r="A107" s="1"/>
      <c r="B107" s="1"/>
      <c r="C107" s="1"/>
      <c r="D107" s="1"/>
      <c r="E107" s="19"/>
      <c r="F107" s="3"/>
      <c r="G107" s="3"/>
      <c r="H107" s="3"/>
      <c r="I107" s="3"/>
      <c r="J107" s="3"/>
      <c r="K107" s="3"/>
      <c r="L107" s="3"/>
      <c r="M107" s="3"/>
      <c r="N107" s="3"/>
      <c r="O107" s="3"/>
      <c r="P107" s="3"/>
      <c r="Q107" s="3"/>
      <c r="R107" s="3"/>
      <c r="S107" s="3"/>
      <c r="T107" s="3"/>
      <c r="U107" s="3"/>
      <c r="V107" s="3"/>
      <c r="W107" s="3"/>
      <c r="X107" s="3"/>
      <c r="Y107" s="3"/>
      <c r="Z107" s="3"/>
    </row>
    <row r="108" spans="1:26" ht="14.25" customHeight="1">
      <c r="A108" s="1"/>
      <c r="B108" s="1"/>
      <c r="C108" s="1"/>
      <c r="D108" s="1"/>
      <c r="E108" s="19"/>
      <c r="F108" s="3"/>
      <c r="G108" s="3"/>
      <c r="H108" s="3"/>
      <c r="I108" s="3"/>
      <c r="J108" s="3"/>
      <c r="K108" s="3"/>
      <c r="L108" s="3"/>
      <c r="M108" s="3"/>
      <c r="N108" s="3"/>
      <c r="O108" s="3"/>
      <c r="P108" s="3"/>
      <c r="Q108" s="3"/>
      <c r="R108" s="3"/>
      <c r="S108" s="3"/>
      <c r="T108" s="3"/>
      <c r="U108" s="3"/>
      <c r="V108" s="3"/>
      <c r="W108" s="3"/>
      <c r="X108" s="3"/>
      <c r="Y108" s="3"/>
      <c r="Z108" s="3"/>
    </row>
    <row r="109" spans="1:26" ht="14.25" customHeight="1">
      <c r="A109" s="1"/>
      <c r="B109" s="1"/>
      <c r="C109" s="1"/>
      <c r="D109" s="1"/>
      <c r="E109" s="19"/>
      <c r="F109" s="3"/>
      <c r="G109" s="3"/>
      <c r="H109" s="3"/>
      <c r="I109" s="3"/>
      <c r="J109" s="3"/>
      <c r="K109" s="3"/>
      <c r="L109" s="3"/>
      <c r="M109" s="3"/>
      <c r="N109" s="3"/>
      <c r="O109" s="3"/>
      <c r="P109" s="3"/>
      <c r="Q109" s="3"/>
      <c r="R109" s="3"/>
      <c r="S109" s="3"/>
      <c r="T109" s="3"/>
      <c r="U109" s="3"/>
      <c r="V109" s="3"/>
      <c r="W109" s="3"/>
      <c r="X109" s="3"/>
      <c r="Y109" s="3"/>
      <c r="Z109" s="3"/>
    </row>
    <row r="110" spans="1:26" ht="14.25" customHeight="1">
      <c r="A110" s="1"/>
      <c r="B110" s="1"/>
      <c r="C110" s="1"/>
      <c r="D110" s="1"/>
      <c r="E110" s="19"/>
      <c r="F110" s="3"/>
      <c r="G110" s="3"/>
      <c r="H110" s="3"/>
      <c r="I110" s="3"/>
      <c r="J110" s="3"/>
      <c r="K110" s="3"/>
      <c r="L110" s="3"/>
      <c r="M110" s="3"/>
      <c r="N110" s="3"/>
      <c r="O110" s="3"/>
      <c r="P110" s="3"/>
      <c r="Q110" s="3"/>
      <c r="R110" s="3"/>
      <c r="S110" s="3"/>
      <c r="T110" s="3"/>
      <c r="U110" s="3"/>
      <c r="V110" s="3"/>
      <c r="W110" s="3"/>
      <c r="X110" s="3"/>
      <c r="Y110" s="3"/>
      <c r="Z110" s="3"/>
    </row>
    <row r="111" spans="1:26" ht="14.25" customHeight="1">
      <c r="A111" s="1"/>
      <c r="B111" s="1"/>
      <c r="C111" s="1"/>
      <c r="D111" s="1"/>
      <c r="E111" s="19"/>
      <c r="F111" s="3"/>
      <c r="G111" s="3"/>
      <c r="H111" s="3"/>
      <c r="I111" s="3"/>
      <c r="J111" s="3"/>
      <c r="K111" s="3"/>
      <c r="L111" s="3"/>
      <c r="M111" s="3"/>
      <c r="N111" s="3"/>
      <c r="O111" s="3"/>
      <c r="P111" s="3"/>
      <c r="Q111" s="3"/>
      <c r="R111" s="3"/>
      <c r="S111" s="3"/>
      <c r="T111" s="3"/>
      <c r="U111" s="3"/>
      <c r="V111" s="3"/>
      <c r="W111" s="3"/>
      <c r="X111" s="3"/>
      <c r="Y111" s="3"/>
      <c r="Z111" s="3"/>
    </row>
    <row r="112" spans="1:26" ht="14.25" customHeight="1">
      <c r="A112" s="1"/>
      <c r="B112" s="1"/>
      <c r="C112" s="1"/>
      <c r="D112" s="1"/>
      <c r="E112" s="19"/>
      <c r="F112" s="3"/>
      <c r="G112" s="3"/>
      <c r="H112" s="3"/>
      <c r="I112" s="3"/>
      <c r="J112" s="3"/>
      <c r="K112" s="3"/>
      <c r="L112" s="3"/>
      <c r="M112" s="3"/>
      <c r="N112" s="3"/>
      <c r="O112" s="3"/>
      <c r="P112" s="3"/>
      <c r="Q112" s="3"/>
      <c r="R112" s="3"/>
      <c r="S112" s="3"/>
      <c r="T112" s="3"/>
      <c r="U112" s="3"/>
      <c r="V112" s="3"/>
      <c r="W112" s="3"/>
      <c r="X112" s="3"/>
      <c r="Y112" s="3"/>
      <c r="Z112" s="3"/>
    </row>
    <row r="113" spans="1:26" ht="14.25" customHeight="1">
      <c r="A113" s="1"/>
      <c r="B113" s="1"/>
      <c r="C113" s="1"/>
      <c r="D113" s="1"/>
      <c r="E113" s="19"/>
      <c r="F113" s="3"/>
      <c r="G113" s="3"/>
      <c r="H113" s="3"/>
      <c r="I113" s="3"/>
      <c r="J113" s="3"/>
      <c r="K113" s="3"/>
      <c r="L113" s="3"/>
      <c r="M113" s="3"/>
      <c r="N113" s="3"/>
      <c r="O113" s="3"/>
      <c r="P113" s="3"/>
      <c r="Q113" s="3"/>
      <c r="R113" s="3"/>
      <c r="S113" s="3"/>
      <c r="T113" s="3"/>
      <c r="U113" s="3"/>
      <c r="V113" s="3"/>
      <c r="W113" s="3"/>
      <c r="X113" s="3"/>
      <c r="Y113" s="3"/>
      <c r="Z113" s="3"/>
    </row>
    <row r="114" spans="1:26" ht="14.25" customHeight="1">
      <c r="A114" s="1"/>
      <c r="B114" s="1"/>
      <c r="C114" s="1"/>
      <c r="D114" s="1"/>
      <c r="E114" s="19"/>
      <c r="F114" s="3"/>
      <c r="G114" s="3"/>
      <c r="H114" s="3"/>
      <c r="I114" s="3"/>
      <c r="J114" s="3"/>
      <c r="K114" s="3"/>
      <c r="L114" s="3"/>
      <c r="M114" s="3"/>
      <c r="N114" s="3"/>
      <c r="O114" s="3"/>
      <c r="P114" s="3"/>
      <c r="Q114" s="3"/>
      <c r="R114" s="3"/>
      <c r="S114" s="3"/>
      <c r="T114" s="3"/>
      <c r="U114" s="3"/>
      <c r="V114" s="3"/>
      <c r="W114" s="3"/>
      <c r="X114" s="3"/>
      <c r="Y114" s="3"/>
      <c r="Z114" s="3"/>
    </row>
    <row r="115" spans="1:26" ht="14.25" customHeight="1">
      <c r="A115" s="1"/>
      <c r="B115" s="1"/>
      <c r="C115" s="1"/>
      <c r="D115" s="1"/>
      <c r="E115" s="19"/>
      <c r="F115" s="3"/>
      <c r="G115" s="3"/>
      <c r="H115" s="3"/>
      <c r="I115" s="3"/>
      <c r="J115" s="3"/>
      <c r="K115" s="3"/>
      <c r="L115" s="3"/>
      <c r="M115" s="3"/>
      <c r="N115" s="3"/>
      <c r="O115" s="3"/>
      <c r="P115" s="3"/>
      <c r="Q115" s="3"/>
      <c r="R115" s="3"/>
      <c r="S115" s="3"/>
      <c r="T115" s="3"/>
      <c r="U115" s="3"/>
      <c r="V115" s="3"/>
      <c r="W115" s="3"/>
      <c r="X115" s="3"/>
      <c r="Y115" s="3"/>
      <c r="Z115" s="3"/>
    </row>
    <row r="116" spans="1:26" ht="14.25" customHeight="1">
      <c r="A116" s="1"/>
      <c r="B116" s="1"/>
      <c r="C116" s="1"/>
      <c r="D116" s="1"/>
      <c r="E116" s="19"/>
      <c r="F116" s="3"/>
      <c r="G116" s="3"/>
      <c r="H116" s="3"/>
      <c r="I116" s="3"/>
      <c r="J116" s="3"/>
      <c r="K116" s="3"/>
      <c r="L116" s="3"/>
      <c r="M116" s="3"/>
      <c r="N116" s="3"/>
      <c r="O116" s="3"/>
      <c r="P116" s="3"/>
      <c r="Q116" s="3"/>
      <c r="R116" s="3"/>
      <c r="S116" s="3"/>
      <c r="T116" s="3"/>
      <c r="U116" s="3"/>
      <c r="V116" s="3"/>
      <c r="W116" s="3"/>
      <c r="X116" s="3"/>
      <c r="Y116" s="3"/>
      <c r="Z116" s="3"/>
    </row>
    <row r="117" spans="1:26" ht="14.25" customHeight="1">
      <c r="A117" s="1"/>
      <c r="B117" s="1"/>
      <c r="C117" s="1"/>
      <c r="D117" s="1"/>
      <c r="E117" s="19"/>
      <c r="F117" s="3"/>
      <c r="G117" s="3"/>
      <c r="H117" s="3"/>
      <c r="I117" s="3"/>
      <c r="J117" s="3"/>
      <c r="K117" s="3"/>
      <c r="L117" s="3"/>
      <c r="M117" s="3"/>
      <c r="N117" s="3"/>
      <c r="O117" s="3"/>
      <c r="P117" s="3"/>
      <c r="Q117" s="3"/>
      <c r="R117" s="3"/>
      <c r="S117" s="3"/>
      <c r="T117" s="3"/>
      <c r="U117" s="3"/>
      <c r="V117" s="3"/>
      <c r="W117" s="3"/>
      <c r="X117" s="3"/>
      <c r="Y117" s="3"/>
      <c r="Z117" s="3"/>
    </row>
    <row r="118" spans="1:26" ht="14.25" customHeight="1">
      <c r="A118" s="1"/>
      <c r="B118" s="1"/>
      <c r="C118" s="1"/>
      <c r="D118" s="1"/>
      <c r="E118" s="19"/>
      <c r="F118" s="3"/>
      <c r="G118" s="3"/>
      <c r="H118" s="3"/>
      <c r="I118" s="3"/>
      <c r="J118" s="3"/>
      <c r="K118" s="3"/>
      <c r="L118" s="3"/>
      <c r="M118" s="3"/>
      <c r="N118" s="3"/>
      <c r="O118" s="3"/>
      <c r="P118" s="3"/>
      <c r="Q118" s="3"/>
      <c r="R118" s="3"/>
      <c r="S118" s="3"/>
      <c r="T118" s="3"/>
      <c r="U118" s="3"/>
      <c r="V118" s="3"/>
      <c r="W118" s="3"/>
      <c r="X118" s="3"/>
      <c r="Y118" s="3"/>
      <c r="Z118" s="3"/>
    </row>
    <row r="119" spans="1:26" ht="14.25" customHeight="1">
      <c r="A119" s="1"/>
      <c r="B119" s="1"/>
      <c r="C119" s="1"/>
      <c r="D119" s="1"/>
      <c r="E119" s="19"/>
      <c r="F119" s="3"/>
      <c r="G119" s="3"/>
      <c r="H119" s="3"/>
      <c r="I119" s="3"/>
      <c r="J119" s="3"/>
      <c r="K119" s="3"/>
      <c r="L119" s="3"/>
      <c r="M119" s="3"/>
      <c r="N119" s="3"/>
      <c r="O119" s="3"/>
      <c r="P119" s="3"/>
      <c r="Q119" s="3"/>
      <c r="R119" s="3"/>
      <c r="S119" s="3"/>
      <c r="T119" s="3"/>
      <c r="U119" s="3"/>
      <c r="V119" s="3"/>
      <c r="W119" s="3"/>
      <c r="X119" s="3"/>
      <c r="Y119" s="3"/>
      <c r="Z119" s="3"/>
    </row>
    <row r="120" spans="1:26" ht="14.25" customHeight="1">
      <c r="A120" s="1"/>
      <c r="B120" s="1"/>
      <c r="C120" s="1"/>
      <c r="D120" s="1"/>
      <c r="E120" s="19"/>
      <c r="F120" s="3"/>
      <c r="G120" s="3"/>
      <c r="H120" s="3"/>
      <c r="I120" s="3"/>
      <c r="J120" s="3"/>
      <c r="K120" s="3"/>
      <c r="L120" s="3"/>
      <c r="M120" s="3"/>
      <c r="N120" s="3"/>
      <c r="O120" s="3"/>
      <c r="P120" s="3"/>
      <c r="Q120" s="3"/>
      <c r="R120" s="3"/>
      <c r="S120" s="3"/>
      <c r="T120" s="3"/>
      <c r="U120" s="3"/>
      <c r="V120" s="3"/>
      <c r="W120" s="3"/>
      <c r="X120" s="3"/>
      <c r="Y120" s="3"/>
      <c r="Z120" s="3"/>
    </row>
    <row r="121" spans="1:26" ht="14.25" customHeight="1">
      <c r="A121" s="1"/>
      <c r="B121" s="1"/>
      <c r="C121" s="1"/>
      <c r="D121" s="1"/>
      <c r="E121" s="19"/>
      <c r="F121" s="3"/>
      <c r="G121" s="3"/>
      <c r="H121" s="3"/>
      <c r="I121" s="3"/>
      <c r="J121" s="3"/>
      <c r="K121" s="3"/>
      <c r="L121" s="3"/>
      <c r="M121" s="3"/>
      <c r="N121" s="3"/>
      <c r="O121" s="3"/>
      <c r="P121" s="3"/>
      <c r="Q121" s="3"/>
      <c r="R121" s="3"/>
      <c r="S121" s="3"/>
      <c r="T121" s="3"/>
      <c r="U121" s="3"/>
      <c r="V121" s="3"/>
      <c r="W121" s="3"/>
      <c r="X121" s="3"/>
      <c r="Y121" s="3"/>
      <c r="Z121" s="3"/>
    </row>
    <row r="122" spans="1:26" ht="14.25" customHeight="1">
      <c r="A122" s="1"/>
      <c r="B122" s="1"/>
      <c r="C122" s="1"/>
      <c r="D122" s="1"/>
      <c r="E122" s="19"/>
      <c r="F122" s="3"/>
      <c r="G122" s="3"/>
      <c r="H122" s="3"/>
      <c r="I122" s="3"/>
      <c r="J122" s="3"/>
      <c r="K122" s="3"/>
      <c r="L122" s="3"/>
      <c r="M122" s="3"/>
      <c r="N122" s="3"/>
      <c r="O122" s="3"/>
      <c r="P122" s="3"/>
      <c r="Q122" s="3"/>
      <c r="R122" s="3"/>
      <c r="S122" s="3"/>
      <c r="T122" s="3"/>
      <c r="U122" s="3"/>
      <c r="V122" s="3"/>
      <c r="W122" s="3"/>
      <c r="X122" s="3"/>
      <c r="Y122" s="3"/>
      <c r="Z122" s="3"/>
    </row>
    <row r="123" spans="1:26" ht="14.25" customHeight="1">
      <c r="A123" s="1"/>
      <c r="B123" s="1"/>
      <c r="C123" s="1"/>
      <c r="D123" s="1"/>
      <c r="E123" s="19"/>
      <c r="F123" s="3"/>
      <c r="G123" s="3"/>
      <c r="H123" s="3"/>
      <c r="I123" s="3"/>
      <c r="J123" s="3"/>
      <c r="K123" s="3"/>
      <c r="L123" s="3"/>
      <c r="M123" s="3"/>
      <c r="N123" s="3"/>
      <c r="O123" s="3"/>
      <c r="P123" s="3"/>
      <c r="Q123" s="3"/>
      <c r="R123" s="3"/>
      <c r="S123" s="3"/>
      <c r="T123" s="3"/>
      <c r="U123" s="3"/>
      <c r="V123" s="3"/>
      <c r="W123" s="3"/>
      <c r="X123" s="3"/>
      <c r="Y123" s="3"/>
      <c r="Z123" s="3"/>
    </row>
    <row r="124" spans="1:26" ht="14.25" customHeight="1">
      <c r="A124" s="1"/>
      <c r="B124" s="1"/>
      <c r="C124" s="1"/>
      <c r="D124" s="1"/>
      <c r="E124" s="19"/>
      <c r="F124" s="3"/>
      <c r="G124" s="3"/>
      <c r="H124" s="3"/>
      <c r="I124" s="3"/>
      <c r="J124" s="3"/>
      <c r="K124" s="3"/>
      <c r="L124" s="3"/>
      <c r="M124" s="3"/>
      <c r="N124" s="3"/>
      <c r="O124" s="3"/>
      <c r="P124" s="3"/>
      <c r="Q124" s="3"/>
      <c r="R124" s="3"/>
      <c r="S124" s="3"/>
      <c r="T124" s="3"/>
      <c r="U124" s="3"/>
      <c r="V124" s="3"/>
      <c r="W124" s="3"/>
      <c r="X124" s="3"/>
      <c r="Y124" s="3"/>
      <c r="Z124" s="3"/>
    </row>
    <row r="125" spans="1:26" ht="14.25" customHeight="1">
      <c r="A125" s="1"/>
      <c r="B125" s="1"/>
      <c r="C125" s="1"/>
      <c r="D125" s="1"/>
      <c r="E125" s="19"/>
      <c r="F125" s="3"/>
      <c r="G125" s="3"/>
      <c r="H125" s="3"/>
      <c r="I125" s="3"/>
      <c r="J125" s="3"/>
      <c r="K125" s="3"/>
      <c r="L125" s="3"/>
      <c r="M125" s="3"/>
      <c r="N125" s="3"/>
      <c r="O125" s="3"/>
      <c r="P125" s="3"/>
      <c r="Q125" s="3"/>
      <c r="R125" s="3"/>
      <c r="S125" s="3"/>
      <c r="T125" s="3"/>
      <c r="U125" s="3"/>
      <c r="V125" s="3"/>
      <c r="W125" s="3"/>
      <c r="X125" s="3"/>
      <c r="Y125" s="3"/>
      <c r="Z125" s="3"/>
    </row>
    <row r="126" spans="1:26" ht="14.25" customHeight="1">
      <c r="A126" s="1"/>
      <c r="B126" s="1"/>
      <c r="C126" s="1"/>
      <c r="D126" s="1"/>
      <c r="E126" s="19"/>
      <c r="F126" s="3"/>
      <c r="G126" s="3"/>
      <c r="H126" s="3"/>
      <c r="I126" s="3"/>
      <c r="J126" s="3"/>
      <c r="K126" s="3"/>
      <c r="L126" s="3"/>
      <c r="M126" s="3"/>
      <c r="N126" s="3"/>
      <c r="O126" s="3"/>
      <c r="P126" s="3"/>
      <c r="Q126" s="3"/>
      <c r="R126" s="3"/>
      <c r="S126" s="3"/>
      <c r="T126" s="3"/>
      <c r="U126" s="3"/>
      <c r="V126" s="3"/>
      <c r="W126" s="3"/>
      <c r="X126" s="3"/>
      <c r="Y126" s="3"/>
      <c r="Z126" s="3"/>
    </row>
    <row r="127" spans="1:26" ht="14.25" customHeight="1">
      <c r="A127" s="1"/>
      <c r="B127" s="1"/>
      <c r="C127" s="1"/>
      <c r="D127" s="1"/>
      <c r="E127" s="19"/>
      <c r="F127" s="3"/>
      <c r="G127" s="3"/>
      <c r="H127" s="3"/>
      <c r="I127" s="3"/>
      <c r="J127" s="3"/>
      <c r="K127" s="3"/>
      <c r="L127" s="3"/>
      <c r="M127" s="3"/>
      <c r="N127" s="3"/>
      <c r="O127" s="3"/>
      <c r="P127" s="3"/>
      <c r="Q127" s="3"/>
      <c r="R127" s="3"/>
      <c r="S127" s="3"/>
      <c r="T127" s="3"/>
      <c r="U127" s="3"/>
      <c r="V127" s="3"/>
      <c r="W127" s="3"/>
      <c r="X127" s="3"/>
      <c r="Y127" s="3"/>
      <c r="Z127" s="3"/>
    </row>
    <row r="128" spans="1:26" ht="14.25" customHeight="1">
      <c r="A128" s="1"/>
      <c r="B128" s="1"/>
      <c r="C128" s="1"/>
      <c r="D128" s="1"/>
      <c r="E128" s="19"/>
      <c r="F128" s="3"/>
      <c r="G128" s="3"/>
      <c r="H128" s="3"/>
      <c r="I128" s="3"/>
      <c r="J128" s="3"/>
      <c r="K128" s="3"/>
      <c r="L128" s="3"/>
      <c r="M128" s="3"/>
      <c r="N128" s="3"/>
      <c r="O128" s="3"/>
      <c r="P128" s="3"/>
      <c r="Q128" s="3"/>
      <c r="R128" s="3"/>
      <c r="S128" s="3"/>
      <c r="T128" s="3"/>
      <c r="U128" s="3"/>
      <c r="V128" s="3"/>
      <c r="W128" s="3"/>
      <c r="X128" s="3"/>
      <c r="Y128" s="3"/>
      <c r="Z128" s="3"/>
    </row>
    <row r="129" spans="1:26" ht="14.25" customHeight="1">
      <c r="A129" s="1"/>
      <c r="B129" s="1"/>
      <c r="C129" s="1"/>
      <c r="D129" s="1"/>
      <c r="E129" s="19"/>
      <c r="F129" s="3"/>
      <c r="G129" s="3"/>
      <c r="H129" s="3"/>
      <c r="I129" s="3"/>
      <c r="J129" s="3"/>
      <c r="K129" s="3"/>
      <c r="L129" s="3"/>
      <c r="M129" s="3"/>
      <c r="N129" s="3"/>
      <c r="O129" s="3"/>
      <c r="P129" s="3"/>
      <c r="Q129" s="3"/>
      <c r="R129" s="3"/>
      <c r="S129" s="3"/>
      <c r="T129" s="3"/>
      <c r="U129" s="3"/>
      <c r="V129" s="3"/>
      <c r="W129" s="3"/>
      <c r="X129" s="3"/>
      <c r="Y129" s="3"/>
      <c r="Z129" s="3"/>
    </row>
    <row r="130" spans="1:26" ht="14.25" customHeight="1">
      <c r="A130" s="1"/>
      <c r="B130" s="1"/>
      <c r="C130" s="1"/>
      <c r="D130" s="1"/>
      <c r="E130" s="19"/>
      <c r="F130" s="3"/>
      <c r="G130" s="3"/>
      <c r="H130" s="3"/>
      <c r="I130" s="3"/>
      <c r="J130" s="3"/>
      <c r="K130" s="3"/>
      <c r="L130" s="3"/>
      <c r="M130" s="3"/>
      <c r="N130" s="3"/>
      <c r="O130" s="3"/>
      <c r="P130" s="3"/>
      <c r="Q130" s="3"/>
      <c r="R130" s="3"/>
      <c r="S130" s="3"/>
      <c r="T130" s="3"/>
      <c r="U130" s="3"/>
      <c r="V130" s="3"/>
      <c r="W130" s="3"/>
      <c r="X130" s="3"/>
      <c r="Y130" s="3"/>
      <c r="Z130" s="3"/>
    </row>
    <row r="131" spans="1:26" ht="14.25" customHeight="1">
      <c r="A131" s="1"/>
      <c r="B131" s="1"/>
      <c r="C131" s="1"/>
      <c r="D131" s="1"/>
      <c r="E131" s="19"/>
      <c r="F131" s="3"/>
      <c r="G131" s="3"/>
      <c r="H131" s="3"/>
      <c r="I131" s="3"/>
      <c r="J131" s="3"/>
      <c r="K131" s="3"/>
      <c r="L131" s="3"/>
      <c r="M131" s="3"/>
      <c r="N131" s="3"/>
      <c r="O131" s="3"/>
      <c r="P131" s="3"/>
      <c r="Q131" s="3"/>
      <c r="R131" s="3"/>
      <c r="S131" s="3"/>
      <c r="T131" s="3"/>
      <c r="U131" s="3"/>
      <c r="V131" s="3"/>
      <c r="W131" s="3"/>
      <c r="X131" s="3"/>
      <c r="Y131" s="3"/>
      <c r="Z131" s="3"/>
    </row>
    <row r="132" spans="1:26" ht="14.25" customHeight="1">
      <c r="A132" s="1"/>
      <c r="B132" s="1"/>
      <c r="C132" s="1"/>
      <c r="D132" s="1"/>
      <c r="E132" s="19"/>
      <c r="F132" s="3"/>
      <c r="G132" s="3"/>
      <c r="H132" s="3"/>
      <c r="I132" s="3"/>
      <c r="J132" s="3"/>
      <c r="K132" s="3"/>
      <c r="L132" s="3"/>
      <c r="M132" s="3"/>
      <c r="N132" s="3"/>
      <c r="O132" s="3"/>
      <c r="P132" s="3"/>
      <c r="Q132" s="3"/>
      <c r="R132" s="3"/>
      <c r="S132" s="3"/>
      <c r="T132" s="3"/>
      <c r="U132" s="3"/>
      <c r="V132" s="3"/>
      <c r="W132" s="3"/>
      <c r="X132" s="3"/>
      <c r="Y132" s="3"/>
      <c r="Z132" s="3"/>
    </row>
    <row r="133" spans="1:26" ht="14.25" customHeight="1">
      <c r="A133" s="1"/>
      <c r="B133" s="1"/>
      <c r="C133" s="1"/>
      <c r="D133" s="1"/>
      <c r="E133" s="19"/>
      <c r="F133" s="3"/>
      <c r="G133" s="3"/>
      <c r="H133" s="3"/>
      <c r="I133" s="3"/>
      <c r="J133" s="3"/>
      <c r="K133" s="3"/>
      <c r="L133" s="3"/>
      <c r="M133" s="3"/>
      <c r="N133" s="3"/>
      <c r="O133" s="3"/>
      <c r="P133" s="3"/>
      <c r="Q133" s="3"/>
      <c r="R133" s="3"/>
      <c r="S133" s="3"/>
      <c r="T133" s="3"/>
      <c r="U133" s="3"/>
      <c r="V133" s="3"/>
      <c r="W133" s="3"/>
      <c r="X133" s="3"/>
      <c r="Y133" s="3"/>
      <c r="Z133" s="3"/>
    </row>
    <row r="134" spans="1:26" ht="14.25" customHeight="1">
      <c r="A134" s="1"/>
      <c r="B134" s="1"/>
      <c r="C134" s="1"/>
      <c r="D134" s="1"/>
      <c r="E134" s="19"/>
      <c r="F134" s="3"/>
      <c r="G134" s="3"/>
      <c r="H134" s="3"/>
      <c r="I134" s="3"/>
      <c r="J134" s="3"/>
      <c r="K134" s="3"/>
      <c r="L134" s="3"/>
      <c r="M134" s="3"/>
      <c r="N134" s="3"/>
      <c r="O134" s="3"/>
      <c r="P134" s="3"/>
      <c r="Q134" s="3"/>
      <c r="R134" s="3"/>
      <c r="S134" s="3"/>
      <c r="T134" s="3"/>
      <c r="U134" s="3"/>
      <c r="V134" s="3"/>
      <c r="W134" s="3"/>
      <c r="X134" s="3"/>
      <c r="Y134" s="3"/>
      <c r="Z134" s="3"/>
    </row>
    <row r="135" spans="1:26" ht="14.25" customHeight="1">
      <c r="A135" s="1"/>
      <c r="B135" s="1"/>
      <c r="C135" s="1"/>
      <c r="D135" s="1"/>
      <c r="E135" s="19"/>
      <c r="F135" s="3"/>
      <c r="G135" s="3"/>
      <c r="H135" s="3"/>
      <c r="I135" s="3"/>
      <c r="J135" s="3"/>
      <c r="K135" s="3"/>
      <c r="L135" s="3"/>
      <c r="M135" s="3"/>
      <c r="N135" s="3"/>
      <c r="O135" s="3"/>
      <c r="P135" s="3"/>
      <c r="Q135" s="3"/>
      <c r="R135" s="3"/>
      <c r="S135" s="3"/>
      <c r="T135" s="3"/>
      <c r="U135" s="3"/>
      <c r="V135" s="3"/>
      <c r="W135" s="3"/>
      <c r="X135" s="3"/>
      <c r="Y135" s="3"/>
      <c r="Z135" s="3"/>
    </row>
    <row r="136" spans="1:26" ht="14.25" customHeight="1">
      <c r="A136" s="1"/>
      <c r="B136" s="1"/>
      <c r="C136" s="1"/>
      <c r="D136" s="1"/>
      <c r="E136" s="19"/>
      <c r="F136" s="3"/>
      <c r="G136" s="3"/>
      <c r="H136" s="3"/>
      <c r="I136" s="3"/>
      <c r="J136" s="3"/>
      <c r="K136" s="3"/>
      <c r="L136" s="3"/>
      <c r="M136" s="3"/>
      <c r="N136" s="3"/>
      <c r="O136" s="3"/>
      <c r="P136" s="3"/>
      <c r="Q136" s="3"/>
      <c r="R136" s="3"/>
      <c r="S136" s="3"/>
      <c r="T136" s="3"/>
      <c r="U136" s="3"/>
      <c r="V136" s="3"/>
      <c r="W136" s="3"/>
      <c r="X136" s="3"/>
      <c r="Y136" s="3"/>
      <c r="Z136" s="3"/>
    </row>
    <row r="137" spans="1:26" ht="14.25" customHeight="1">
      <c r="A137" s="1"/>
      <c r="B137" s="1"/>
      <c r="C137" s="1"/>
      <c r="D137" s="1"/>
      <c r="E137" s="19"/>
      <c r="F137" s="3"/>
      <c r="G137" s="3"/>
      <c r="H137" s="3"/>
      <c r="I137" s="3"/>
      <c r="J137" s="3"/>
      <c r="K137" s="3"/>
      <c r="L137" s="3"/>
      <c r="M137" s="3"/>
      <c r="N137" s="3"/>
      <c r="O137" s="3"/>
      <c r="P137" s="3"/>
      <c r="Q137" s="3"/>
      <c r="R137" s="3"/>
      <c r="S137" s="3"/>
      <c r="T137" s="3"/>
      <c r="U137" s="3"/>
      <c r="V137" s="3"/>
      <c r="W137" s="3"/>
      <c r="X137" s="3"/>
      <c r="Y137" s="3"/>
      <c r="Z137" s="3"/>
    </row>
    <row r="138" spans="1:26" ht="14.25" customHeight="1">
      <c r="A138" s="1"/>
      <c r="B138" s="1"/>
      <c r="C138" s="1"/>
      <c r="D138" s="1"/>
      <c r="E138" s="19"/>
      <c r="F138" s="3"/>
      <c r="G138" s="3"/>
      <c r="H138" s="3"/>
      <c r="I138" s="3"/>
      <c r="J138" s="3"/>
      <c r="K138" s="3"/>
      <c r="L138" s="3"/>
      <c r="M138" s="3"/>
      <c r="N138" s="3"/>
      <c r="O138" s="3"/>
      <c r="P138" s="3"/>
      <c r="Q138" s="3"/>
      <c r="R138" s="3"/>
      <c r="S138" s="3"/>
      <c r="T138" s="3"/>
      <c r="U138" s="3"/>
      <c r="V138" s="3"/>
      <c r="W138" s="3"/>
      <c r="X138" s="3"/>
      <c r="Y138" s="3"/>
      <c r="Z138" s="3"/>
    </row>
    <row r="139" spans="1:26" ht="14.25" customHeight="1">
      <c r="A139" s="1"/>
      <c r="B139" s="1"/>
      <c r="C139" s="1"/>
      <c r="D139" s="1"/>
      <c r="E139" s="19"/>
      <c r="F139" s="3"/>
      <c r="G139" s="3"/>
      <c r="H139" s="3"/>
      <c r="I139" s="3"/>
      <c r="J139" s="3"/>
      <c r="K139" s="3"/>
      <c r="L139" s="3"/>
      <c r="M139" s="3"/>
      <c r="N139" s="3"/>
      <c r="O139" s="3"/>
      <c r="P139" s="3"/>
      <c r="Q139" s="3"/>
      <c r="R139" s="3"/>
      <c r="S139" s="3"/>
      <c r="T139" s="3"/>
      <c r="U139" s="3"/>
      <c r="V139" s="3"/>
      <c r="W139" s="3"/>
      <c r="X139" s="3"/>
      <c r="Y139" s="3"/>
      <c r="Z139" s="3"/>
    </row>
    <row r="140" spans="1:26" ht="14.25" customHeight="1">
      <c r="A140" s="1"/>
      <c r="B140" s="1"/>
      <c r="C140" s="1"/>
      <c r="D140" s="1"/>
      <c r="E140" s="19"/>
      <c r="F140" s="3"/>
      <c r="G140" s="3"/>
      <c r="H140" s="3"/>
      <c r="I140" s="3"/>
      <c r="J140" s="3"/>
      <c r="K140" s="3"/>
      <c r="L140" s="3"/>
      <c r="M140" s="3"/>
      <c r="N140" s="3"/>
      <c r="O140" s="3"/>
      <c r="P140" s="3"/>
      <c r="Q140" s="3"/>
      <c r="R140" s="3"/>
      <c r="S140" s="3"/>
      <c r="T140" s="3"/>
      <c r="U140" s="3"/>
      <c r="V140" s="3"/>
      <c r="W140" s="3"/>
      <c r="X140" s="3"/>
      <c r="Y140" s="3"/>
      <c r="Z140" s="3"/>
    </row>
    <row r="141" spans="1:26" ht="14.25" customHeight="1">
      <c r="A141" s="1"/>
      <c r="B141" s="1"/>
      <c r="C141" s="1"/>
      <c r="D141" s="1"/>
      <c r="E141" s="19"/>
      <c r="F141" s="3"/>
      <c r="G141" s="3"/>
      <c r="H141" s="3"/>
      <c r="I141" s="3"/>
      <c r="J141" s="3"/>
      <c r="K141" s="3"/>
      <c r="L141" s="3"/>
      <c r="M141" s="3"/>
      <c r="N141" s="3"/>
      <c r="O141" s="3"/>
      <c r="P141" s="3"/>
      <c r="Q141" s="3"/>
      <c r="R141" s="3"/>
      <c r="S141" s="3"/>
      <c r="T141" s="3"/>
      <c r="U141" s="3"/>
      <c r="V141" s="3"/>
      <c r="W141" s="3"/>
      <c r="X141" s="3"/>
      <c r="Y141" s="3"/>
      <c r="Z141" s="3"/>
    </row>
    <row r="142" spans="1:26" ht="14.25" customHeight="1">
      <c r="A142" s="1"/>
      <c r="B142" s="1"/>
      <c r="C142" s="1"/>
      <c r="D142" s="1"/>
      <c r="E142" s="19"/>
      <c r="F142" s="3"/>
      <c r="G142" s="3"/>
      <c r="H142" s="3"/>
      <c r="I142" s="3"/>
      <c r="J142" s="3"/>
      <c r="K142" s="3"/>
      <c r="L142" s="3"/>
      <c r="M142" s="3"/>
      <c r="N142" s="3"/>
      <c r="O142" s="3"/>
      <c r="P142" s="3"/>
      <c r="Q142" s="3"/>
      <c r="R142" s="3"/>
      <c r="S142" s="3"/>
      <c r="T142" s="3"/>
      <c r="U142" s="3"/>
      <c r="V142" s="3"/>
      <c r="W142" s="3"/>
      <c r="X142" s="3"/>
      <c r="Y142" s="3"/>
      <c r="Z142" s="3"/>
    </row>
    <row r="143" spans="1:26" ht="14.25" customHeight="1">
      <c r="A143" s="1"/>
      <c r="B143" s="1"/>
      <c r="C143" s="1"/>
      <c r="D143" s="1"/>
      <c r="E143" s="19"/>
      <c r="F143" s="3"/>
      <c r="G143" s="3"/>
      <c r="H143" s="3"/>
      <c r="I143" s="3"/>
      <c r="J143" s="3"/>
      <c r="K143" s="3"/>
      <c r="L143" s="3"/>
      <c r="M143" s="3"/>
      <c r="N143" s="3"/>
      <c r="O143" s="3"/>
      <c r="P143" s="3"/>
      <c r="Q143" s="3"/>
      <c r="R143" s="3"/>
      <c r="S143" s="3"/>
      <c r="T143" s="3"/>
      <c r="U143" s="3"/>
      <c r="V143" s="3"/>
      <c r="W143" s="3"/>
      <c r="X143" s="3"/>
      <c r="Y143" s="3"/>
      <c r="Z143" s="3"/>
    </row>
    <row r="144" spans="1:26" ht="14.25" customHeight="1">
      <c r="A144" s="1"/>
      <c r="B144" s="1"/>
      <c r="C144" s="1"/>
      <c r="D144" s="1"/>
      <c r="E144" s="19"/>
      <c r="F144" s="3"/>
      <c r="G144" s="3"/>
      <c r="H144" s="3"/>
      <c r="I144" s="3"/>
      <c r="J144" s="3"/>
      <c r="K144" s="3"/>
      <c r="L144" s="3"/>
      <c r="M144" s="3"/>
      <c r="N144" s="3"/>
      <c r="O144" s="3"/>
      <c r="P144" s="3"/>
      <c r="Q144" s="3"/>
      <c r="R144" s="3"/>
      <c r="S144" s="3"/>
      <c r="T144" s="3"/>
      <c r="U144" s="3"/>
      <c r="V144" s="3"/>
      <c r="W144" s="3"/>
      <c r="X144" s="3"/>
      <c r="Y144" s="3"/>
      <c r="Z144" s="3"/>
    </row>
    <row r="145" spans="1:26" ht="14.25" customHeight="1">
      <c r="A145" s="1"/>
      <c r="B145" s="1"/>
      <c r="C145" s="1"/>
      <c r="D145" s="1"/>
      <c r="E145" s="19"/>
      <c r="F145" s="3"/>
      <c r="G145" s="3"/>
      <c r="H145" s="3"/>
      <c r="I145" s="3"/>
      <c r="J145" s="3"/>
      <c r="K145" s="3"/>
      <c r="L145" s="3"/>
      <c r="M145" s="3"/>
      <c r="N145" s="3"/>
      <c r="O145" s="3"/>
      <c r="P145" s="3"/>
      <c r="Q145" s="3"/>
      <c r="R145" s="3"/>
      <c r="S145" s="3"/>
      <c r="T145" s="3"/>
      <c r="U145" s="3"/>
      <c r="V145" s="3"/>
      <c r="W145" s="3"/>
      <c r="X145" s="3"/>
      <c r="Y145" s="3"/>
      <c r="Z145" s="3"/>
    </row>
    <row r="146" spans="1:26" ht="14.25" customHeight="1">
      <c r="A146" s="1"/>
      <c r="B146" s="1"/>
      <c r="C146" s="1"/>
      <c r="D146" s="1"/>
      <c r="E146" s="19"/>
      <c r="F146" s="3"/>
      <c r="G146" s="3"/>
      <c r="H146" s="3"/>
      <c r="I146" s="3"/>
      <c r="J146" s="3"/>
      <c r="K146" s="3"/>
      <c r="L146" s="3"/>
      <c r="M146" s="3"/>
      <c r="N146" s="3"/>
      <c r="O146" s="3"/>
      <c r="P146" s="3"/>
      <c r="Q146" s="3"/>
      <c r="R146" s="3"/>
      <c r="S146" s="3"/>
      <c r="T146" s="3"/>
      <c r="U146" s="3"/>
      <c r="V146" s="3"/>
      <c r="W146" s="3"/>
      <c r="X146" s="3"/>
      <c r="Y146" s="3"/>
      <c r="Z146" s="3"/>
    </row>
    <row r="147" spans="1:26" ht="14.25" customHeight="1">
      <c r="A147" s="1"/>
      <c r="B147" s="1"/>
      <c r="C147" s="1"/>
      <c r="D147" s="1"/>
      <c r="E147" s="19"/>
      <c r="F147" s="3"/>
      <c r="G147" s="3"/>
      <c r="H147" s="3"/>
      <c r="I147" s="3"/>
      <c r="J147" s="3"/>
      <c r="K147" s="3"/>
      <c r="L147" s="3"/>
      <c r="M147" s="3"/>
      <c r="N147" s="3"/>
      <c r="O147" s="3"/>
      <c r="P147" s="3"/>
      <c r="Q147" s="3"/>
      <c r="R147" s="3"/>
      <c r="S147" s="3"/>
      <c r="T147" s="3"/>
      <c r="U147" s="3"/>
      <c r="V147" s="3"/>
      <c r="W147" s="3"/>
      <c r="X147" s="3"/>
      <c r="Y147" s="3"/>
      <c r="Z147" s="3"/>
    </row>
    <row r="148" spans="1:26" ht="14.25" customHeight="1">
      <c r="A148" s="1"/>
      <c r="B148" s="1"/>
      <c r="C148" s="1"/>
      <c r="D148" s="1"/>
      <c r="E148" s="19"/>
      <c r="F148" s="3"/>
      <c r="G148" s="3"/>
      <c r="H148" s="3"/>
      <c r="I148" s="3"/>
      <c r="J148" s="3"/>
      <c r="K148" s="3"/>
      <c r="L148" s="3"/>
      <c r="M148" s="3"/>
      <c r="N148" s="3"/>
      <c r="O148" s="3"/>
      <c r="P148" s="3"/>
      <c r="Q148" s="3"/>
      <c r="R148" s="3"/>
      <c r="S148" s="3"/>
      <c r="T148" s="3"/>
      <c r="U148" s="3"/>
      <c r="V148" s="3"/>
      <c r="W148" s="3"/>
      <c r="X148" s="3"/>
      <c r="Y148" s="3"/>
      <c r="Z148" s="3"/>
    </row>
    <row r="149" spans="1:26" ht="14.25" customHeight="1">
      <c r="A149" s="1"/>
      <c r="B149" s="1"/>
      <c r="C149" s="1"/>
      <c r="D149" s="1"/>
      <c r="E149" s="19"/>
      <c r="F149" s="3"/>
      <c r="G149" s="3"/>
      <c r="H149" s="3"/>
      <c r="I149" s="3"/>
      <c r="J149" s="3"/>
      <c r="K149" s="3"/>
      <c r="L149" s="3"/>
      <c r="M149" s="3"/>
      <c r="N149" s="3"/>
      <c r="O149" s="3"/>
      <c r="P149" s="3"/>
      <c r="Q149" s="3"/>
      <c r="R149" s="3"/>
      <c r="S149" s="3"/>
      <c r="T149" s="3"/>
      <c r="U149" s="3"/>
      <c r="V149" s="3"/>
      <c r="W149" s="3"/>
      <c r="X149" s="3"/>
      <c r="Y149" s="3"/>
      <c r="Z149" s="3"/>
    </row>
    <row r="150" spans="1:26" ht="14.25" customHeight="1">
      <c r="A150" s="1"/>
      <c r="B150" s="1"/>
      <c r="C150" s="1"/>
      <c r="D150" s="1"/>
      <c r="E150" s="19"/>
      <c r="F150" s="3"/>
      <c r="G150" s="3"/>
      <c r="H150" s="3"/>
      <c r="I150" s="3"/>
      <c r="J150" s="3"/>
      <c r="K150" s="3"/>
      <c r="L150" s="3"/>
      <c r="M150" s="3"/>
      <c r="N150" s="3"/>
      <c r="O150" s="3"/>
      <c r="P150" s="3"/>
      <c r="Q150" s="3"/>
      <c r="R150" s="3"/>
      <c r="S150" s="3"/>
      <c r="T150" s="3"/>
      <c r="U150" s="3"/>
      <c r="V150" s="3"/>
      <c r="W150" s="3"/>
      <c r="X150" s="3"/>
      <c r="Y150" s="3"/>
      <c r="Z150" s="3"/>
    </row>
    <row r="151" spans="1:26" ht="14.25" customHeight="1">
      <c r="A151" s="1"/>
      <c r="B151" s="1"/>
      <c r="C151" s="1"/>
      <c r="D151" s="1"/>
      <c r="E151" s="19"/>
      <c r="F151" s="3"/>
      <c r="G151" s="3"/>
      <c r="H151" s="3"/>
      <c r="I151" s="3"/>
      <c r="J151" s="3"/>
      <c r="K151" s="3"/>
      <c r="L151" s="3"/>
      <c r="M151" s="3"/>
      <c r="N151" s="3"/>
      <c r="O151" s="3"/>
      <c r="P151" s="3"/>
      <c r="Q151" s="3"/>
      <c r="R151" s="3"/>
      <c r="S151" s="3"/>
      <c r="T151" s="3"/>
      <c r="U151" s="3"/>
      <c r="V151" s="3"/>
      <c r="W151" s="3"/>
      <c r="X151" s="3"/>
      <c r="Y151" s="3"/>
      <c r="Z151" s="3"/>
    </row>
    <row r="152" spans="1:26" ht="14.25" customHeight="1">
      <c r="A152" s="1"/>
      <c r="B152" s="1"/>
      <c r="C152" s="1"/>
      <c r="D152" s="1"/>
      <c r="E152" s="19"/>
      <c r="F152" s="3"/>
      <c r="G152" s="3"/>
      <c r="H152" s="3"/>
      <c r="I152" s="3"/>
      <c r="J152" s="3"/>
      <c r="K152" s="3"/>
      <c r="L152" s="3"/>
      <c r="M152" s="3"/>
      <c r="N152" s="3"/>
      <c r="O152" s="3"/>
      <c r="P152" s="3"/>
      <c r="Q152" s="3"/>
      <c r="R152" s="3"/>
      <c r="S152" s="3"/>
      <c r="T152" s="3"/>
      <c r="U152" s="3"/>
      <c r="V152" s="3"/>
      <c r="W152" s="3"/>
      <c r="X152" s="3"/>
      <c r="Y152" s="3"/>
      <c r="Z152" s="3"/>
    </row>
    <row r="153" spans="1:26" ht="14.25" customHeight="1">
      <c r="A153" s="1"/>
      <c r="B153" s="1"/>
      <c r="C153" s="1"/>
      <c r="D153" s="1"/>
      <c r="E153" s="19"/>
      <c r="F153" s="3"/>
      <c r="G153" s="3"/>
      <c r="H153" s="3"/>
      <c r="I153" s="3"/>
      <c r="J153" s="3"/>
      <c r="K153" s="3"/>
      <c r="L153" s="3"/>
      <c r="M153" s="3"/>
      <c r="N153" s="3"/>
      <c r="O153" s="3"/>
      <c r="P153" s="3"/>
      <c r="Q153" s="3"/>
      <c r="R153" s="3"/>
      <c r="S153" s="3"/>
      <c r="T153" s="3"/>
      <c r="U153" s="3"/>
      <c r="V153" s="3"/>
      <c r="W153" s="3"/>
      <c r="X153" s="3"/>
      <c r="Y153" s="3"/>
      <c r="Z153" s="3"/>
    </row>
    <row r="154" spans="1:26" ht="14.25" customHeight="1">
      <c r="A154" s="1"/>
      <c r="B154" s="1"/>
      <c r="C154" s="1"/>
      <c r="D154" s="1"/>
      <c r="E154" s="19"/>
      <c r="F154" s="3"/>
      <c r="G154" s="3"/>
      <c r="H154" s="3"/>
      <c r="I154" s="3"/>
      <c r="J154" s="3"/>
      <c r="K154" s="3"/>
      <c r="L154" s="3"/>
      <c r="M154" s="3"/>
      <c r="N154" s="3"/>
      <c r="O154" s="3"/>
      <c r="P154" s="3"/>
      <c r="Q154" s="3"/>
      <c r="R154" s="3"/>
      <c r="S154" s="3"/>
      <c r="T154" s="3"/>
      <c r="U154" s="3"/>
      <c r="V154" s="3"/>
      <c r="W154" s="3"/>
      <c r="X154" s="3"/>
      <c r="Y154" s="3"/>
      <c r="Z154" s="3"/>
    </row>
    <row r="155" spans="1:26" ht="14.25" customHeight="1">
      <c r="A155" s="1"/>
      <c r="B155" s="1"/>
      <c r="C155" s="1"/>
      <c r="D155" s="1"/>
      <c r="E155" s="19"/>
      <c r="F155" s="3"/>
      <c r="G155" s="3"/>
      <c r="H155" s="3"/>
      <c r="I155" s="3"/>
      <c r="J155" s="3"/>
      <c r="K155" s="3"/>
      <c r="L155" s="3"/>
      <c r="M155" s="3"/>
      <c r="N155" s="3"/>
      <c r="O155" s="3"/>
      <c r="P155" s="3"/>
      <c r="Q155" s="3"/>
      <c r="R155" s="3"/>
      <c r="S155" s="3"/>
      <c r="T155" s="3"/>
      <c r="U155" s="3"/>
      <c r="V155" s="3"/>
      <c r="W155" s="3"/>
      <c r="X155" s="3"/>
      <c r="Y155" s="3"/>
      <c r="Z155" s="3"/>
    </row>
    <row r="156" spans="1:26" ht="14.25" customHeight="1">
      <c r="A156" s="1"/>
      <c r="B156" s="1"/>
      <c r="C156" s="1"/>
      <c r="D156" s="1"/>
      <c r="E156" s="19"/>
      <c r="F156" s="3"/>
      <c r="G156" s="3"/>
      <c r="H156" s="3"/>
      <c r="I156" s="3"/>
      <c r="J156" s="3"/>
      <c r="K156" s="3"/>
      <c r="L156" s="3"/>
      <c r="M156" s="3"/>
      <c r="N156" s="3"/>
      <c r="O156" s="3"/>
      <c r="P156" s="3"/>
      <c r="Q156" s="3"/>
      <c r="R156" s="3"/>
      <c r="S156" s="3"/>
      <c r="T156" s="3"/>
      <c r="U156" s="3"/>
      <c r="V156" s="3"/>
      <c r="W156" s="3"/>
      <c r="X156" s="3"/>
      <c r="Y156" s="3"/>
      <c r="Z156" s="3"/>
    </row>
    <row r="157" spans="1:26" ht="14.25" customHeight="1">
      <c r="A157" s="1"/>
      <c r="B157" s="1"/>
      <c r="C157" s="1"/>
      <c r="D157" s="1"/>
      <c r="E157" s="19"/>
      <c r="F157" s="3"/>
      <c r="G157" s="3"/>
      <c r="H157" s="3"/>
      <c r="I157" s="3"/>
      <c r="J157" s="3"/>
      <c r="K157" s="3"/>
      <c r="L157" s="3"/>
      <c r="M157" s="3"/>
      <c r="N157" s="3"/>
      <c r="O157" s="3"/>
      <c r="P157" s="3"/>
      <c r="Q157" s="3"/>
      <c r="R157" s="3"/>
      <c r="S157" s="3"/>
      <c r="T157" s="3"/>
      <c r="U157" s="3"/>
      <c r="V157" s="3"/>
      <c r="W157" s="3"/>
      <c r="X157" s="3"/>
      <c r="Y157" s="3"/>
      <c r="Z157" s="3"/>
    </row>
    <row r="158" spans="1:26" ht="14.25" customHeight="1">
      <c r="A158" s="1"/>
      <c r="B158" s="1"/>
      <c r="C158" s="1"/>
      <c r="D158" s="1"/>
      <c r="E158" s="19"/>
      <c r="F158" s="3"/>
      <c r="G158" s="3"/>
      <c r="H158" s="3"/>
      <c r="I158" s="3"/>
      <c r="J158" s="3"/>
      <c r="K158" s="3"/>
      <c r="L158" s="3"/>
      <c r="M158" s="3"/>
      <c r="N158" s="3"/>
      <c r="O158" s="3"/>
      <c r="P158" s="3"/>
      <c r="Q158" s="3"/>
      <c r="R158" s="3"/>
      <c r="S158" s="3"/>
      <c r="T158" s="3"/>
      <c r="U158" s="3"/>
      <c r="V158" s="3"/>
      <c r="W158" s="3"/>
      <c r="X158" s="3"/>
      <c r="Y158" s="3"/>
      <c r="Z158" s="3"/>
    </row>
    <row r="159" spans="1:26" ht="14.25" customHeight="1">
      <c r="A159" s="1"/>
      <c r="B159" s="1"/>
      <c r="C159" s="1"/>
      <c r="D159" s="1"/>
      <c r="E159" s="19"/>
      <c r="F159" s="3"/>
      <c r="G159" s="3"/>
      <c r="H159" s="3"/>
      <c r="I159" s="3"/>
      <c r="J159" s="3"/>
      <c r="K159" s="3"/>
      <c r="L159" s="3"/>
      <c r="M159" s="3"/>
      <c r="N159" s="3"/>
      <c r="O159" s="3"/>
      <c r="P159" s="3"/>
      <c r="Q159" s="3"/>
      <c r="R159" s="3"/>
      <c r="S159" s="3"/>
      <c r="T159" s="3"/>
      <c r="U159" s="3"/>
      <c r="V159" s="3"/>
      <c r="W159" s="3"/>
      <c r="X159" s="3"/>
      <c r="Y159" s="3"/>
      <c r="Z159" s="3"/>
    </row>
    <row r="160" spans="1:26" ht="14.25" customHeight="1">
      <c r="A160" s="1"/>
      <c r="B160" s="1"/>
      <c r="C160" s="1"/>
      <c r="D160" s="1"/>
      <c r="E160" s="19"/>
      <c r="F160" s="3"/>
      <c r="G160" s="3"/>
      <c r="H160" s="3"/>
      <c r="I160" s="3"/>
      <c r="J160" s="3"/>
      <c r="K160" s="3"/>
      <c r="L160" s="3"/>
      <c r="M160" s="3"/>
      <c r="N160" s="3"/>
      <c r="O160" s="3"/>
      <c r="P160" s="3"/>
      <c r="Q160" s="3"/>
      <c r="R160" s="3"/>
      <c r="S160" s="3"/>
      <c r="T160" s="3"/>
      <c r="U160" s="3"/>
      <c r="V160" s="3"/>
      <c r="W160" s="3"/>
      <c r="X160" s="3"/>
      <c r="Y160" s="3"/>
      <c r="Z160" s="3"/>
    </row>
    <row r="161" spans="1:26" ht="14.25" customHeight="1">
      <c r="A161" s="1"/>
      <c r="B161" s="1"/>
      <c r="C161" s="1"/>
      <c r="D161" s="1"/>
      <c r="E161" s="19"/>
      <c r="F161" s="3"/>
      <c r="G161" s="3"/>
      <c r="H161" s="3"/>
      <c r="I161" s="3"/>
      <c r="J161" s="3"/>
      <c r="K161" s="3"/>
      <c r="L161" s="3"/>
      <c r="M161" s="3"/>
      <c r="N161" s="3"/>
      <c r="O161" s="3"/>
      <c r="P161" s="3"/>
      <c r="Q161" s="3"/>
      <c r="R161" s="3"/>
      <c r="S161" s="3"/>
      <c r="T161" s="3"/>
      <c r="U161" s="3"/>
      <c r="V161" s="3"/>
      <c r="W161" s="3"/>
      <c r="X161" s="3"/>
      <c r="Y161" s="3"/>
      <c r="Z161" s="3"/>
    </row>
    <row r="162" spans="1:26" ht="14.25" customHeight="1">
      <c r="A162" s="1"/>
      <c r="B162" s="1"/>
      <c r="C162" s="1"/>
      <c r="D162" s="1"/>
      <c r="E162" s="19"/>
      <c r="F162" s="3"/>
      <c r="G162" s="3"/>
      <c r="H162" s="3"/>
      <c r="I162" s="3"/>
      <c r="J162" s="3"/>
      <c r="K162" s="3"/>
      <c r="L162" s="3"/>
      <c r="M162" s="3"/>
      <c r="N162" s="3"/>
      <c r="O162" s="3"/>
      <c r="P162" s="3"/>
      <c r="Q162" s="3"/>
      <c r="R162" s="3"/>
      <c r="S162" s="3"/>
      <c r="T162" s="3"/>
      <c r="U162" s="3"/>
      <c r="V162" s="3"/>
      <c r="W162" s="3"/>
      <c r="X162" s="3"/>
      <c r="Y162" s="3"/>
      <c r="Z162" s="3"/>
    </row>
    <row r="163" spans="1:26" ht="14.25" customHeight="1">
      <c r="A163" s="1"/>
      <c r="B163" s="1"/>
      <c r="C163" s="1"/>
      <c r="D163" s="1"/>
      <c r="E163" s="19"/>
      <c r="F163" s="3"/>
      <c r="G163" s="3"/>
      <c r="H163" s="3"/>
      <c r="I163" s="3"/>
      <c r="J163" s="3"/>
      <c r="K163" s="3"/>
      <c r="L163" s="3"/>
      <c r="M163" s="3"/>
      <c r="N163" s="3"/>
      <c r="O163" s="3"/>
      <c r="P163" s="3"/>
      <c r="Q163" s="3"/>
      <c r="R163" s="3"/>
      <c r="S163" s="3"/>
      <c r="T163" s="3"/>
      <c r="U163" s="3"/>
      <c r="V163" s="3"/>
      <c r="W163" s="3"/>
      <c r="X163" s="3"/>
      <c r="Y163" s="3"/>
      <c r="Z163" s="3"/>
    </row>
    <row r="164" spans="1:26" ht="14.25" customHeight="1">
      <c r="A164" s="1"/>
      <c r="B164" s="1"/>
      <c r="C164" s="1"/>
      <c r="D164" s="1"/>
      <c r="E164" s="19"/>
      <c r="F164" s="3"/>
      <c r="G164" s="3"/>
      <c r="H164" s="3"/>
      <c r="I164" s="3"/>
      <c r="J164" s="3"/>
      <c r="K164" s="3"/>
      <c r="L164" s="3"/>
      <c r="M164" s="3"/>
      <c r="N164" s="3"/>
      <c r="O164" s="3"/>
      <c r="P164" s="3"/>
      <c r="Q164" s="3"/>
      <c r="R164" s="3"/>
      <c r="S164" s="3"/>
      <c r="T164" s="3"/>
      <c r="U164" s="3"/>
      <c r="V164" s="3"/>
      <c r="W164" s="3"/>
      <c r="X164" s="3"/>
      <c r="Y164" s="3"/>
      <c r="Z164" s="3"/>
    </row>
    <row r="165" spans="1:26" ht="14.25" customHeight="1">
      <c r="A165" s="1"/>
      <c r="B165" s="1"/>
      <c r="C165" s="1"/>
      <c r="D165" s="1"/>
      <c r="E165" s="19"/>
      <c r="F165" s="3"/>
      <c r="G165" s="3"/>
      <c r="H165" s="3"/>
      <c r="I165" s="3"/>
      <c r="J165" s="3"/>
      <c r="K165" s="3"/>
      <c r="L165" s="3"/>
      <c r="M165" s="3"/>
      <c r="N165" s="3"/>
      <c r="O165" s="3"/>
      <c r="P165" s="3"/>
      <c r="Q165" s="3"/>
      <c r="R165" s="3"/>
      <c r="S165" s="3"/>
      <c r="T165" s="3"/>
      <c r="U165" s="3"/>
      <c r="V165" s="3"/>
      <c r="W165" s="3"/>
      <c r="X165" s="3"/>
      <c r="Y165" s="3"/>
      <c r="Z165" s="3"/>
    </row>
    <row r="166" spans="1:26" ht="14.25" customHeight="1">
      <c r="A166" s="1"/>
      <c r="B166" s="1"/>
      <c r="C166" s="1"/>
      <c r="D166" s="1"/>
      <c r="E166" s="19"/>
      <c r="F166" s="3"/>
      <c r="G166" s="3"/>
      <c r="H166" s="3"/>
      <c r="I166" s="3"/>
      <c r="J166" s="3"/>
      <c r="K166" s="3"/>
      <c r="L166" s="3"/>
      <c r="M166" s="3"/>
      <c r="N166" s="3"/>
      <c r="O166" s="3"/>
      <c r="P166" s="3"/>
      <c r="Q166" s="3"/>
      <c r="R166" s="3"/>
      <c r="S166" s="3"/>
      <c r="T166" s="3"/>
      <c r="U166" s="3"/>
      <c r="V166" s="3"/>
      <c r="W166" s="3"/>
      <c r="X166" s="3"/>
      <c r="Y166" s="3"/>
      <c r="Z166" s="3"/>
    </row>
    <row r="167" spans="1:26" ht="14.25" customHeight="1">
      <c r="A167" s="1"/>
      <c r="B167" s="1"/>
      <c r="C167" s="1"/>
      <c r="D167" s="1"/>
      <c r="E167" s="19"/>
      <c r="F167" s="3"/>
      <c r="G167" s="3"/>
      <c r="H167" s="3"/>
      <c r="I167" s="3"/>
      <c r="J167" s="3"/>
      <c r="K167" s="3"/>
      <c r="L167" s="3"/>
      <c r="M167" s="3"/>
      <c r="N167" s="3"/>
      <c r="O167" s="3"/>
      <c r="P167" s="3"/>
      <c r="Q167" s="3"/>
      <c r="R167" s="3"/>
      <c r="S167" s="3"/>
      <c r="T167" s="3"/>
      <c r="U167" s="3"/>
      <c r="V167" s="3"/>
      <c r="W167" s="3"/>
      <c r="X167" s="3"/>
      <c r="Y167" s="3"/>
      <c r="Z167" s="3"/>
    </row>
    <row r="168" spans="1:26" ht="14.25" customHeight="1">
      <c r="A168" s="1"/>
      <c r="B168" s="1"/>
      <c r="C168" s="1"/>
      <c r="D168" s="1"/>
      <c r="E168" s="19"/>
      <c r="F168" s="3"/>
      <c r="G168" s="3"/>
      <c r="H168" s="3"/>
      <c r="I168" s="3"/>
      <c r="J168" s="3"/>
      <c r="K168" s="3"/>
      <c r="L168" s="3"/>
      <c r="M168" s="3"/>
      <c r="N168" s="3"/>
      <c r="O168" s="3"/>
      <c r="P168" s="3"/>
      <c r="Q168" s="3"/>
      <c r="R168" s="3"/>
      <c r="S168" s="3"/>
      <c r="T168" s="3"/>
      <c r="U168" s="3"/>
      <c r="V168" s="3"/>
      <c r="W168" s="3"/>
      <c r="X168" s="3"/>
      <c r="Y168" s="3"/>
      <c r="Z168" s="3"/>
    </row>
    <row r="169" spans="1:26" ht="14.25" customHeight="1">
      <c r="A169" s="1"/>
      <c r="B169" s="1"/>
      <c r="C169" s="1"/>
      <c r="D169" s="1"/>
      <c r="E169" s="19"/>
      <c r="F169" s="3"/>
      <c r="G169" s="3"/>
      <c r="H169" s="3"/>
      <c r="I169" s="3"/>
      <c r="J169" s="3"/>
      <c r="K169" s="3"/>
      <c r="L169" s="3"/>
      <c r="M169" s="3"/>
      <c r="N169" s="3"/>
      <c r="O169" s="3"/>
      <c r="P169" s="3"/>
      <c r="Q169" s="3"/>
      <c r="R169" s="3"/>
      <c r="S169" s="3"/>
      <c r="T169" s="3"/>
      <c r="U169" s="3"/>
      <c r="V169" s="3"/>
      <c r="W169" s="3"/>
      <c r="X169" s="3"/>
      <c r="Y169" s="3"/>
      <c r="Z169" s="3"/>
    </row>
    <row r="170" spans="1:26" ht="14.25" customHeight="1">
      <c r="A170" s="1"/>
      <c r="B170" s="1"/>
      <c r="C170" s="1"/>
      <c r="D170" s="1"/>
      <c r="E170" s="19"/>
      <c r="F170" s="3"/>
      <c r="G170" s="3"/>
      <c r="H170" s="3"/>
      <c r="I170" s="3"/>
      <c r="J170" s="3"/>
      <c r="K170" s="3"/>
      <c r="L170" s="3"/>
      <c r="M170" s="3"/>
      <c r="N170" s="3"/>
      <c r="O170" s="3"/>
      <c r="P170" s="3"/>
      <c r="Q170" s="3"/>
      <c r="R170" s="3"/>
      <c r="S170" s="3"/>
      <c r="T170" s="3"/>
      <c r="U170" s="3"/>
      <c r="V170" s="3"/>
      <c r="W170" s="3"/>
      <c r="X170" s="3"/>
      <c r="Y170" s="3"/>
      <c r="Z170" s="3"/>
    </row>
    <row r="171" spans="1:26" ht="14.25" customHeight="1">
      <c r="A171" s="1"/>
      <c r="B171" s="1"/>
      <c r="C171" s="1"/>
      <c r="D171" s="1"/>
      <c r="E171" s="19"/>
      <c r="F171" s="3"/>
      <c r="G171" s="3"/>
      <c r="H171" s="3"/>
      <c r="I171" s="3"/>
      <c r="J171" s="3"/>
      <c r="K171" s="3"/>
      <c r="L171" s="3"/>
      <c r="M171" s="3"/>
      <c r="N171" s="3"/>
      <c r="O171" s="3"/>
      <c r="P171" s="3"/>
      <c r="Q171" s="3"/>
      <c r="R171" s="3"/>
      <c r="S171" s="3"/>
      <c r="T171" s="3"/>
      <c r="U171" s="3"/>
      <c r="V171" s="3"/>
      <c r="W171" s="3"/>
      <c r="X171" s="3"/>
      <c r="Y171" s="3"/>
      <c r="Z171" s="3"/>
    </row>
    <row r="172" spans="1:26" ht="14.25" customHeight="1">
      <c r="A172" s="1"/>
      <c r="B172" s="1"/>
      <c r="C172" s="1"/>
      <c r="D172" s="1"/>
      <c r="E172" s="19"/>
      <c r="F172" s="3"/>
      <c r="G172" s="3"/>
      <c r="H172" s="3"/>
      <c r="I172" s="3"/>
      <c r="J172" s="3"/>
      <c r="K172" s="3"/>
      <c r="L172" s="3"/>
      <c r="M172" s="3"/>
      <c r="N172" s="3"/>
      <c r="O172" s="3"/>
      <c r="P172" s="3"/>
      <c r="Q172" s="3"/>
      <c r="R172" s="3"/>
      <c r="S172" s="3"/>
      <c r="T172" s="3"/>
      <c r="U172" s="3"/>
      <c r="V172" s="3"/>
      <c r="W172" s="3"/>
      <c r="X172" s="3"/>
      <c r="Y172" s="3"/>
      <c r="Z172" s="3"/>
    </row>
    <row r="173" spans="1:26" ht="14.25" customHeight="1">
      <c r="A173" s="1"/>
      <c r="B173" s="1"/>
      <c r="C173" s="1"/>
      <c r="D173" s="1"/>
      <c r="E173" s="19"/>
      <c r="F173" s="3"/>
      <c r="G173" s="3"/>
      <c r="H173" s="3"/>
      <c r="I173" s="3"/>
      <c r="J173" s="3"/>
      <c r="K173" s="3"/>
      <c r="L173" s="3"/>
      <c r="M173" s="3"/>
      <c r="N173" s="3"/>
      <c r="O173" s="3"/>
      <c r="P173" s="3"/>
      <c r="Q173" s="3"/>
      <c r="R173" s="3"/>
      <c r="S173" s="3"/>
      <c r="T173" s="3"/>
      <c r="U173" s="3"/>
      <c r="V173" s="3"/>
      <c r="W173" s="3"/>
      <c r="X173" s="3"/>
      <c r="Y173" s="3"/>
      <c r="Z173" s="3"/>
    </row>
    <row r="174" spans="1:26" ht="14.25" customHeight="1">
      <c r="A174" s="1"/>
      <c r="B174" s="1"/>
      <c r="C174" s="1"/>
      <c r="D174" s="1"/>
      <c r="E174" s="19"/>
      <c r="F174" s="3"/>
      <c r="G174" s="3"/>
      <c r="H174" s="3"/>
      <c r="I174" s="3"/>
      <c r="J174" s="3"/>
      <c r="K174" s="3"/>
      <c r="L174" s="3"/>
      <c r="M174" s="3"/>
      <c r="N174" s="3"/>
      <c r="O174" s="3"/>
      <c r="P174" s="3"/>
      <c r="Q174" s="3"/>
      <c r="R174" s="3"/>
      <c r="S174" s="3"/>
      <c r="T174" s="3"/>
      <c r="U174" s="3"/>
      <c r="V174" s="3"/>
      <c r="W174" s="3"/>
      <c r="X174" s="3"/>
      <c r="Y174" s="3"/>
      <c r="Z174" s="3"/>
    </row>
    <row r="175" spans="1:26" ht="14.25" customHeight="1">
      <c r="A175" s="1"/>
      <c r="B175" s="1"/>
      <c r="C175" s="1"/>
      <c r="D175" s="1"/>
      <c r="E175" s="19"/>
      <c r="F175" s="3"/>
      <c r="G175" s="3"/>
      <c r="H175" s="3"/>
      <c r="I175" s="3"/>
      <c r="J175" s="3"/>
      <c r="K175" s="3"/>
      <c r="L175" s="3"/>
      <c r="M175" s="3"/>
      <c r="N175" s="3"/>
      <c r="O175" s="3"/>
      <c r="P175" s="3"/>
      <c r="Q175" s="3"/>
      <c r="R175" s="3"/>
      <c r="S175" s="3"/>
      <c r="T175" s="3"/>
      <c r="U175" s="3"/>
      <c r="V175" s="3"/>
      <c r="W175" s="3"/>
      <c r="X175" s="3"/>
      <c r="Y175" s="3"/>
      <c r="Z175" s="3"/>
    </row>
    <row r="176" spans="1:26" ht="14.25" customHeight="1">
      <c r="A176" s="1"/>
      <c r="B176" s="1"/>
      <c r="C176" s="1"/>
      <c r="D176" s="1"/>
      <c r="E176" s="19"/>
      <c r="F176" s="3"/>
      <c r="G176" s="3"/>
      <c r="H176" s="3"/>
      <c r="I176" s="3"/>
      <c r="J176" s="3"/>
      <c r="K176" s="3"/>
      <c r="L176" s="3"/>
      <c r="M176" s="3"/>
      <c r="N176" s="3"/>
      <c r="O176" s="3"/>
      <c r="P176" s="3"/>
      <c r="Q176" s="3"/>
      <c r="R176" s="3"/>
      <c r="S176" s="3"/>
      <c r="T176" s="3"/>
      <c r="U176" s="3"/>
      <c r="V176" s="3"/>
      <c r="W176" s="3"/>
      <c r="X176" s="3"/>
      <c r="Y176" s="3"/>
      <c r="Z176" s="3"/>
    </row>
    <row r="177" spans="1:26" ht="14.25" customHeight="1">
      <c r="A177" s="1"/>
      <c r="B177" s="1"/>
      <c r="C177" s="1"/>
      <c r="D177" s="1"/>
      <c r="E177" s="19"/>
      <c r="F177" s="3"/>
      <c r="G177" s="3"/>
      <c r="H177" s="3"/>
      <c r="I177" s="3"/>
      <c r="J177" s="3"/>
      <c r="K177" s="3"/>
      <c r="L177" s="3"/>
      <c r="M177" s="3"/>
      <c r="N177" s="3"/>
      <c r="O177" s="3"/>
      <c r="P177" s="3"/>
      <c r="Q177" s="3"/>
      <c r="R177" s="3"/>
      <c r="S177" s="3"/>
      <c r="T177" s="3"/>
      <c r="U177" s="3"/>
      <c r="V177" s="3"/>
      <c r="W177" s="3"/>
      <c r="X177" s="3"/>
      <c r="Y177" s="3"/>
      <c r="Z177" s="3"/>
    </row>
    <row r="178" spans="1:26" ht="14.25" customHeight="1">
      <c r="A178" s="1"/>
      <c r="B178" s="1"/>
      <c r="C178" s="1"/>
      <c r="D178" s="1"/>
      <c r="E178" s="19"/>
      <c r="F178" s="3"/>
      <c r="G178" s="3"/>
      <c r="H178" s="3"/>
      <c r="I178" s="3"/>
      <c r="J178" s="3"/>
      <c r="K178" s="3"/>
      <c r="L178" s="3"/>
      <c r="M178" s="3"/>
      <c r="N178" s="3"/>
      <c r="O178" s="3"/>
      <c r="P178" s="3"/>
      <c r="Q178" s="3"/>
      <c r="R178" s="3"/>
      <c r="S178" s="3"/>
      <c r="T178" s="3"/>
      <c r="U178" s="3"/>
      <c r="V178" s="3"/>
      <c r="W178" s="3"/>
      <c r="X178" s="3"/>
      <c r="Y178" s="3"/>
      <c r="Z178" s="3"/>
    </row>
    <row r="179" spans="1:26" ht="14.25" customHeight="1">
      <c r="A179" s="1"/>
      <c r="B179" s="1"/>
      <c r="C179" s="1"/>
      <c r="D179" s="1"/>
      <c r="E179" s="19"/>
      <c r="F179" s="3"/>
      <c r="G179" s="3"/>
      <c r="H179" s="3"/>
      <c r="I179" s="3"/>
      <c r="J179" s="3"/>
      <c r="K179" s="3"/>
      <c r="L179" s="3"/>
      <c r="M179" s="3"/>
      <c r="N179" s="3"/>
      <c r="O179" s="3"/>
      <c r="P179" s="3"/>
      <c r="Q179" s="3"/>
      <c r="R179" s="3"/>
      <c r="S179" s="3"/>
      <c r="T179" s="3"/>
      <c r="U179" s="3"/>
      <c r="V179" s="3"/>
      <c r="W179" s="3"/>
      <c r="X179" s="3"/>
      <c r="Y179" s="3"/>
      <c r="Z179" s="3"/>
    </row>
    <row r="180" spans="1:26" ht="14.25" customHeight="1">
      <c r="A180" s="1"/>
      <c r="B180" s="1"/>
      <c r="C180" s="1"/>
      <c r="D180" s="1"/>
      <c r="E180" s="19"/>
      <c r="F180" s="3"/>
      <c r="G180" s="3"/>
      <c r="H180" s="3"/>
      <c r="I180" s="3"/>
      <c r="J180" s="3"/>
      <c r="K180" s="3"/>
      <c r="L180" s="3"/>
      <c r="M180" s="3"/>
      <c r="N180" s="3"/>
      <c r="O180" s="3"/>
      <c r="P180" s="3"/>
      <c r="Q180" s="3"/>
      <c r="R180" s="3"/>
      <c r="S180" s="3"/>
      <c r="T180" s="3"/>
      <c r="U180" s="3"/>
      <c r="V180" s="3"/>
      <c r="W180" s="3"/>
      <c r="X180" s="3"/>
      <c r="Y180" s="3"/>
      <c r="Z180" s="3"/>
    </row>
    <row r="181" spans="1:26" ht="14.25" customHeight="1">
      <c r="A181" s="1"/>
      <c r="B181" s="1"/>
      <c r="C181" s="1"/>
      <c r="D181" s="1"/>
      <c r="E181" s="19"/>
      <c r="F181" s="3"/>
      <c r="G181" s="3"/>
      <c r="H181" s="3"/>
      <c r="I181" s="3"/>
      <c r="J181" s="3"/>
      <c r="K181" s="3"/>
      <c r="L181" s="3"/>
      <c r="M181" s="3"/>
      <c r="N181" s="3"/>
      <c r="O181" s="3"/>
      <c r="P181" s="3"/>
      <c r="Q181" s="3"/>
      <c r="R181" s="3"/>
      <c r="S181" s="3"/>
      <c r="T181" s="3"/>
      <c r="U181" s="3"/>
      <c r="V181" s="3"/>
      <c r="W181" s="3"/>
      <c r="X181" s="3"/>
      <c r="Y181" s="3"/>
      <c r="Z181" s="3"/>
    </row>
    <row r="182" spans="1:26" ht="14.25" customHeight="1">
      <c r="A182" s="1"/>
      <c r="B182" s="1"/>
      <c r="C182" s="1"/>
      <c r="D182" s="1"/>
      <c r="E182" s="19"/>
      <c r="F182" s="3"/>
      <c r="G182" s="3"/>
      <c r="H182" s="3"/>
      <c r="I182" s="3"/>
      <c r="J182" s="3"/>
      <c r="K182" s="3"/>
      <c r="L182" s="3"/>
      <c r="M182" s="3"/>
      <c r="N182" s="3"/>
      <c r="O182" s="3"/>
      <c r="P182" s="3"/>
      <c r="Q182" s="3"/>
      <c r="R182" s="3"/>
      <c r="S182" s="3"/>
      <c r="T182" s="3"/>
      <c r="U182" s="3"/>
      <c r="V182" s="3"/>
      <c r="W182" s="3"/>
      <c r="X182" s="3"/>
      <c r="Y182" s="3"/>
      <c r="Z182" s="3"/>
    </row>
    <row r="183" spans="1:26" ht="14.25" customHeight="1">
      <c r="A183" s="1"/>
      <c r="B183" s="1"/>
      <c r="C183" s="1"/>
      <c r="D183" s="1"/>
      <c r="E183" s="19"/>
      <c r="F183" s="3"/>
      <c r="G183" s="3"/>
      <c r="H183" s="3"/>
      <c r="I183" s="3"/>
      <c r="J183" s="3"/>
      <c r="K183" s="3"/>
      <c r="L183" s="3"/>
      <c r="M183" s="3"/>
      <c r="N183" s="3"/>
      <c r="O183" s="3"/>
      <c r="P183" s="3"/>
      <c r="Q183" s="3"/>
      <c r="R183" s="3"/>
      <c r="S183" s="3"/>
      <c r="T183" s="3"/>
      <c r="U183" s="3"/>
      <c r="V183" s="3"/>
      <c r="W183" s="3"/>
      <c r="X183" s="3"/>
      <c r="Y183" s="3"/>
      <c r="Z183" s="3"/>
    </row>
    <row r="184" spans="1:26" ht="14.25" customHeight="1">
      <c r="A184" s="1"/>
      <c r="B184" s="1"/>
      <c r="C184" s="1"/>
      <c r="D184" s="1"/>
      <c r="E184" s="19"/>
      <c r="F184" s="3"/>
      <c r="G184" s="3"/>
      <c r="H184" s="3"/>
      <c r="I184" s="3"/>
      <c r="J184" s="3"/>
      <c r="K184" s="3"/>
      <c r="L184" s="3"/>
      <c r="M184" s="3"/>
      <c r="N184" s="3"/>
      <c r="O184" s="3"/>
      <c r="P184" s="3"/>
      <c r="Q184" s="3"/>
      <c r="R184" s="3"/>
      <c r="S184" s="3"/>
      <c r="T184" s="3"/>
      <c r="U184" s="3"/>
      <c r="V184" s="3"/>
      <c r="W184" s="3"/>
      <c r="X184" s="3"/>
      <c r="Y184" s="3"/>
      <c r="Z184" s="3"/>
    </row>
    <row r="185" spans="1:26" ht="14.25" customHeight="1">
      <c r="A185" s="1"/>
      <c r="B185" s="1"/>
      <c r="C185" s="1"/>
      <c r="D185" s="1"/>
      <c r="E185" s="19"/>
      <c r="F185" s="3"/>
      <c r="G185" s="3"/>
      <c r="H185" s="3"/>
      <c r="I185" s="3"/>
      <c r="J185" s="3"/>
      <c r="K185" s="3"/>
      <c r="L185" s="3"/>
      <c r="M185" s="3"/>
      <c r="N185" s="3"/>
      <c r="O185" s="3"/>
      <c r="P185" s="3"/>
      <c r="Q185" s="3"/>
      <c r="R185" s="3"/>
      <c r="S185" s="3"/>
      <c r="T185" s="3"/>
      <c r="U185" s="3"/>
      <c r="V185" s="3"/>
      <c r="W185" s="3"/>
      <c r="X185" s="3"/>
      <c r="Y185" s="3"/>
      <c r="Z185" s="3"/>
    </row>
    <row r="186" spans="1:26" ht="14.25" customHeight="1">
      <c r="A186" s="1"/>
      <c r="B186" s="1"/>
      <c r="C186" s="1"/>
      <c r="D186" s="1"/>
      <c r="E186" s="19"/>
      <c r="F186" s="3"/>
      <c r="G186" s="3"/>
      <c r="H186" s="3"/>
      <c r="I186" s="3"/>
      <c r="J186" s="3"/>
      <c r="K186" s="3"/>
      <c r="L186" s="3"/>
      <c r="M186" s="3"/>
      <c r="N186" s="3"/>
      <c r="O186" s="3"/>
      <c r="P186" s="3"/>
      <c r="Q186" s="3"/>
      <c r="R186" s="3"/>
      <c r="S186" s="3"/>
      <c r="T186" s="3"/>
      <c r="U186" s="3"/>
      <c r="V186" s="3"/>
      <c r="W186" s="3"/>
      <c r="X186" s="3"/>
      <c r="Y186" s="3"/>
      <c r="Z186" s="3"/>
    </row>
    <row r="187" spans="1:26" ht="14.25" customHeight="1">
      <c r="A187" s="1"/>
      <c r="B187" s="1"/>
      <c r="C187" s="1"/>
      <c r="D187" s="1"/>
      <c r="E187" s="19"/>
      <c r="F187" s="3"/>
      <c r="G187" s="3"/>
      <c r="H187" s="3"/>
      <c r="I187" s="3"/>
      <c r="J187" s="3"/>
      <c r="K187" s="3"/>
      <c r="L187" s="3"/>
      <c r="M187" s="3"/>
      <c r="N187" s="3"/>
      <c r="O187" s="3"/>
      <c r="P187" s="3"/>
      <c r="Q187" s="3"/>
      <c r="R187" s="3"/>
      <c r="S187" s="3"/>
      <c r="T187" s="3"/>
      <c r="U187" s="3"/>
      <c r="V187" s="3"/>
      <c r="W187" s="3"/>
      <c r="X187" s="3"/>
      <c r="Y187" s="3"/>
      <c r="Z187" s="3"/>
    </row>
    <row r="188" spans="1:26" ht="14.25" customHeight="1">
      <c r="A188" s="1"/>
      <c r="B188" s="1"/>
      <c r="C188" s="1"/>
      <c r="D188" s="1"/>
      <c r="E188" s="19"/>
      <c r="F188" s="3"/>
      <c r="G188" s="3"/>
      <c r="H188" s="3"/>
      <c r="I188" s="3"/>
      <c r="J188" s="3"/>
      <c r="K188" s="3"/>
      <c r="L188" s="3"/>
      <c r="M188" s="3"/>
      <c r="N188" s="3"/>
      <c r="O188" s="3"/>
      <c r="P188" s="3"/>
      <c r="Q188" s="3"/>
      <c r="R188" s="3"/>
      <c r="S188" s="3"/>
      <c r="T188" s="3"/>
      <c r="U188" s="3"/>
      <c r="V188" s="3"/>
      <c r="W188" s="3"/>
      <c r="X188" s="3"/>
      <c r="Y188" s="3"/>
      <c r="Z188" s="3"/>
    </row>
    <row r="189" spans="1:26" ht="14.25" customHeight="1">
      <c r="A189" s="1"/>
      <c r="B189" s="1"/>
      <c r="C189" s="1"/>
      <c r="D189" s="1"/>
      <c r="E189" s="19"/>
      <c r="F189" s="3"/>
      <c r="G189" s="3"/>
      <c r="H189" s="3"/>
      <c r="I189" s="3"/>
      <c r="J189" s="3"/>
      <c r="K189" s="3"/>
      <c r="L189" s="3"/>
      <c r="M189" s="3"/>
      <c r="N189" s="3"/>
      <c r="O189" s="3"/>
      <c r="P189" s="3"/>
      <c r="Q189" s="3"/>
      <c r="R189" s="3"/>
      <c r="S189" s="3"/>
      <c r="T189" s="3"/>
      <c r="U189" s="3"/>
      <c r="V189" s="3"/>
      <c r="W189" s="3"/>
      <c r="X189" s="3"/>
      <c r="Y189" s="3"/>
      <c r="Z189" s="3"/>
    </row>
    <row r="190" spans="1:26" ht="14.25" customHeight="1">
      <c r="A190" s="1"/>
      <c r="B190" s="1"/>
      <c r="C190" s="1"/>
      <c r="D190" s="1"/>
      <c r="E190" s="19"/>
      <c r="F190" s="3"/>
      <c r="G190" s="3"/>
      <c r="H190" s="3"/>
      <c r="I190" s="3"/>
      <c r="J190" s="3"/>
      <c r="K190" s="3"/>
      <c r="L190" s="3"/>
      <c r="M190" s="3"/>
      <c r="N190" s="3"/>
      <c r="O190" s="3"/>
      <c r="P190" s="3"/>
      <c r="Q190" s="3"/>
      <c r="R190" s="3"/>
      <c r="S190" s="3"/>
      <c r="T190" s="3"/>
      <c r="U190" s="3"/>
      <c r="V190" s="3"/>
      <c r="W190" s="3"/>
      <c r="X190" s="3"/>
      <c r="Y190" s="3"/>
      <c r="Z190" s="3"/>
    </row>
    <row r="191" spans="1:26" ht="14.25" customHeight="1">
      <c r="A191" s="1"/>
      <c r="B191" s="1"/>
      <c r="C191" s="1"/>
      <c r="D191" s="1"/>
      <c r="E191" s="19"/>
      <c r="F191" s="3"/>
      <c r="G191" s="3"/>
      <c r="H191" s="3"/>
      <c r="I191" s="3"/>
      <c r="J191" s="3"/>
      <c r="K191" s="3"/>
      <c r="L191" s="3"/>
      <c r="M191" s="3"/>
      <c r="N191" s="3"/>
      <c r="O191" s="3"/>
      <c r="P191" s="3"/>
      <c r="Q191" s="3"/>
      <c r="R191" s="3"/>
      <c r="S191" s="3"/>
      <c r="T191" s="3"/>
      <c r="U191" s="3"/>
      <c r="V191" s="3"/>
      <c r="W191" s="3"/>
      <c r="X191" s="3"/>
      <c r="Y191" s="3"/>
      <c r="Z191" s="3"/>
    </row>
    <row r="192" spans="1:26" ht="14.25" customHeight="1">
      <c r="A192" s="1"/>
      <c r="B192" s="1"/>
      <c r="C192" s="1"/>
      <c r="D192" s="1"/>
      <c r="E192" s="19"/>
      <c r="F192" s="3"/>
      <c r="G192" s="3"/>
      <c r="H192" s="3"/>
      <c r="I192" s="3"/>
      <c r="J192" s="3"/>
      <c r="K192" s="3"/>
      <c r="L192" s="3"/>
      <c r="M192" s="3"/>
      <c r="N192" s="3"/>
      <c r="O192" s="3"/>
      <c r="P192" s="3"/>
      <c r="Q192" s="3"/>
      <c r="R192" s="3"/>
      <c r="S192" s="3"/>
      <c r="T192" s="3"/>
      <c r="U192" s="3"/>
      <c r="V192" s="3"/>
      <c r="W192" s="3"/>
      <c r="X192" s="3"/>
      <c r="Y192" s="3"/>
      <c r="Z192" s="3"/>
    </row>
    <row r="193" spans="1:26" ht="14.25" customHeight="1">
      <c r="A193" s="1"/>
      <c r="B193" s="1"/>
      <c r="C193" s="1"/>
      <c r="D193" s="1"/>
      <c r="E193" s="19"/>
      <c r="F193" s="3"/>
      <c r="G193" s="3"/>
      <c r="H193" s="3"/>
      <c r="I193" s="3"/>
      <c r="J193" s="3"/>
      <c r="K193" s="3"/>
      <c r="L193" s="3"/>
      <c r="M193" s="3"/>
      <c r="N193" s="3"/>
      <c r="O193" s="3"/>
      <c r="P193" s="3"/>
      <c r="Q193" s="3"/>
      <c r="R193" s="3"/>
      <c r="S193" s="3"/>
      <c r="T193" s="3"/>
      <c r="U193" s="3"/>
      <c r="V193" s="3"/>
      <c r="W193" s="3"/>
      <c r="X193" s="3"/>
      <c r="Y193" s="3"/>
      <c r="Z193" s="3"/>
    </row>
    <row r="194" spans="1:26" ht="14.25" customHeight="1">
      <c r="A194" s="1"/>
      <c r="B194" s="1"/>
      <c r="C194" s="1"/>
      <c r="D194" s="1"/>
      <c r="E194" s="19"/>
      <c r="F194" s="3"/>
      <c r="G194" s="3"/>
      <c r="H194" s="3"/>
      <c r="I194" s="3"/>
      <c r="J194" s="3"/>
      <c r="K194" s="3"/>
      <c r="L194" s="3"/>
      <c r="M194" s="3"/>
      <c r="N194" s="3"/>
      <c r="O194" s="3"/>
      <c r="P194" s="3"/>
      <c r="Q194" s="3"/>
      <c r="R194" s="3"/>
      <c r="S194" s="3"/>
      <c r="T194" s="3"/>
      <c r="U194" s="3"/>
      <c r="V194" s="3"/>
      <c r="W194" s="3"/>
      <c r="X194" s="3"/>
      <c r="Y194" s="3"/>
      <c r="Z194" s="3"/>
    </row>
    <row r="195" spans="1:26" ht="14.25" customHeight="1">
      <c r="A195" s="1"/>
      <c r="B195" s="1"/>
      <c r="C195" s="1"/>
      <c r="D195" s="1"/>
      <c r="E195" s="19"/>
      <c r="F195" s="3"/>
      <c r="G195" s="3"/>
      <c r="H195" s="3"/>
      <c r="I195" s="3"/>
      <c r="J195" s="3"/>
      <c r="K195" s="3"/>
      <c r="L195" s="3"/>
      <c r="M195" s="3"/>
      <c r="N195" s="3"/>
      <c r="O195" s="3"/>
      <c r="P195" s="3"/>
      <c r="Q195" s="3"/>
      <c r="R195" s="3"/>
      <c r="S195" s="3"/>
      <c r="T195" s="3"/>
      <c r="U195" s="3"/>
      <c r="V195" s="3"/>
      <c r="W195" s="3"/>
      <c r="X195" s="3"/>
      <c r="Y195" s="3"/>
      <c r="Z195" s="3"/>
    </row>
    <row r="196" spans="1:26" ht="14.25" customHeight="1">
      <c r="A196" s="1"/>
      <c r="B196" s="1"/>
      <c r="C196" s="1"/>
      <c r="D196" s="1"/>
      <c r="E196" s="19"/>
      <c r="F196" s="3"/>
      <c r="G196" s="3"/>
      <c r="H196" s="3"/>
      <c r="I196" s="3"/>
      <c r="J196" s="3"/>
      <c r="K196" s="3"/>
      <c r="L196" s="3"/>
      <c r="M196" s="3"/>
      <c r="N196" s="3"/>
      <c r="O196" s="3"/>
      <c r="P196" s="3"/>
      <c r="Q196" s="3"/>
      <c r="R196" s="3"/>
      <c r="S196" s="3"/>
      <c r="T196" s="3"/>
      <c r="U196" s="3"/>
      <c r="V196" s="3"/>
      <c r="W196" s="3"/>
      <c r="X196" s="3"/>
      <c r="Y196" s="3"/>
      <c r="Z196" s="3"/>
    </row>
    <row r="197" spans="1:26" ht="14.25" customHeight="1">
      <c r="A197" s="1"/>
      <c r="B197" s="1"/>
      <c r="C197" s="1"/>
      <c r="D197" s="1"/>
      <c r="E197" s="19"/>
      <c r="F197" s="3"/>
      <c r="G197" s="3"/>
      <c r="H197" s="3"/>
      <c r="I197" s="3"/>
      <c r="J197" s="3"/>
      <c r="K197" s="3"/>
      <c r="L197" s="3"/>
      <c r="M197" s="3"/>
      <c r="N197" s="3"/>
      <c r="O197" s="3"/>
      <c r="P197" s="3"/>
      <c r="Q197" s="3"/>
      <c r="R197" s="3"/>
      <c r="S197" s="3"/>
      <c r="T197" s="3"/>
      <c r="U197" s="3"/>
      <c r="V197" s="3"/>
      <c r="W197" s="3"/>
      <c r="X197" s="3"/>
      <c r="Y197" s="3"/>
      <c r="Z197" s="3"/>
    </row>
    <row r="198" spans="1:26" ht="14.25" customHeight="1">
      <c r="A198" s="1"/>
      <c r="B198" s="1"/>
      <c r="C198" s="1"/>
      <c r="D198" s="1"/>
      <c r="E198" s="19"/>
      <c r="F198" s="3"/>
      <c r="G198" s="3"/>
      <c r="H198" s="3"/>
      <c r="I198" s="3"/>
      <c r="J198" s="3"/>
      <c r="K198" s="3"/>
      <c r="L198" s="3"/>
      <c r="M198" s="3"/>
      <c r="N198" s="3"/>
      <c r="O198" s="3"/>
      <c r="P198" s="3"/>
      <c r="Q198" s="3"/>
      <c r="R198" s="3"/>
      <c r="S198" s="3"/>
      <c r="T198" s="3"/>
      <c r="U198" s="3"/>
      <c r="V198" s="3"/>
      <c r="W198" s="3"/>
      <c r="X198" s="3"/>
      <c r="Y198" s="3"/>
      <c r="Z198" s="3"/>
    </row>
    <row r="199" spans="1:26" ht="14.25" customHeight="1">
      <c r="A199" s="1"/>
      <c r="B199" s="1"/>
      <c r="C199" s="1"/>
      <c r="D199" s="1"/>
      <c r="E199" s="19"/>
      <c r="F199" s="3"/>
      <c r="G199" s="3"/>
      <c r="H199" s="3"/>
      <c r="I199" s="3"/>
      <c r="J199" s="3"/>
      <c r="K199" s="3"/>
      <c r="L199" s="3"/>
      <c r="M199" s="3"/>
      <c r="N199" s="3"/>
      <c r="O199" s="3"/>
      <c r="P199" s="3"/>
      <c r="Q199" s="3"/>
      <c r="R199" s="3"/>
      <c r="S199" s="3"/>
      <c r="T199" s="3"/>
      <c r="U199" s="3"/>
      <c r="V199" s="3"/>
      <c r="W199" s="3"/>
      <c r="X199" s="3"/>
      <c r="Y199" s="3"/>
      <c r="Z199" s="3"/>
    </row>
    <row r="200" spans="1:26" ht="14.25" customHeight="1">
      <c r="A200" s="1"/>
      <c r="B200" s="1"/>
      <c r="C200" s="1"/>
      <c r="D200" s="1"/>
      <c r="E200" s="19"/>
      <c r="F200" s="3"/>
      <c r="G200" s="3"/>
      <c r="H200" s="3"/>
      <c r="I200" s="3"/>
      <c r="J200" s="3"/>
      <c r="K200" s="3"/>
      <c r="L200" s="3"/>
      <c r="M200" s="3"/>
      <c r="N200" s="3"/>
      <c r="O200" s="3"/>
      <c r="P200" s="3"/>
      <c r="Q200" s="3"/>
      <c r="R200" s="3"/>
      <c r="S200" s="3"/>
      <c r="T200" s="3"/>
      <c r="U200" s="3"/>
      <c r="V200" s="3"/>
      <c r="W200" s="3"/>
      <c r="X200" s="3"/>
      <c r="Y200" s="3"/>
      <c r="Z200" s="3"/>
    </row>
    <row r="201" spans="1:26" ht="14.25" customHeight="1">
      <c r="A201" s="1"/>
      <c r="B201" s="1"/>
      <c r="C201" s="1"/>
      <c r="D201" s="1"/>
      <c r="E201" s="19"/>
      <c r="F201" s="3"/>
      <c r="G201" s="3"/>
      <c r="H201" s="3"/>
      <c r="I201" s="3"/>
      <c r="J201" s="3"/>
      <c r="K201" s="3"/>
      <c r="L201" s="3"/>
      <c r="M201" s="3"/>
      <c r="N201" s="3"/>
      <c r="O201" s="3"/>
      <c r="P201" s="3"/>
      <c r="Q201" s="3"/>
      <c r="R201" s="3"/>
      <c r="S201" s="3"/>
      <c r="T201" s="3"/>
      <c r="U201" s="3"/>
      <c r="V201" s="3"/>
      <c r="W201" s="3"/>
      <c r="X201" s="3"/>
      <c r="Y201" s="3"/>
      <c r="Z201" s="3"/>
    </row>
    <row r="202" spans="1:26" ht="14.25" customHeight="1">
      <c r="A202" s="1"/>
      <c r="B202" s="1"/>
      <c r="C202" s="1"/>
      <c r="D202" s="1"/>
      <c r="E202" s="19"/>
      <c r="F202" s="3"/>
      <c r="G202" s="3"/>
      <c r="H202" s="3"/>
      <c r="I202" s="3"/>
      <c r="J202" s="3"/>
      <c r="K202" s="3"/>
      <c r="L202" s="3"/>
      <c r="M202" s="3"/>
      <c r="N202" s="3"/>
      <c r="O202" s="3"/>
      <c r="P202" s="3"/>
      <c r="Q202" s="3"/>
      <c r="R202" s="3"/>
      <c r="S202" s="3"/>
      <c r="T202" s="3"/>
      <c r="U202" s="3"/>
      <c r="V202" s="3"/>
      <c r="W202" s="3"/>
      <c r="X202" s="3"/>
      <c r="Y202" s="3"/>
      <c r="Z202" s="3"/>
    </row>
    <row r="203" spans="1:26" ht="14.25" customHeight="1">
      <c r="A203" s="1"/>
      <c r="B203" s="1"/>
      <c r="C203" s="1"/>
      <c r="D203" s="1"/>
      <c r="E203" s="19"/>
      <c r="F203" s="3"/>
      <c r="G203" s="3"/>
      <c r="H203" s="3"/>
      <c r="I203" s="3"/>
      <c r="J203" s="3"/>
      <c r="K203" s="3"/>
      <c r="L203" s="3"/>
      <c r="M203" s="3"/>
      <c r="N203" s="3"/>
      <c r="O203" s="3"/>
      <c r="P203" s="3"/>
      <c r="Q203" s="3"/>
      <c r="R203" s="3"/>
      <c r="S203" s="3"/>
      <c r="T203" s="3"/>
      <c r="U203" s="3"/>
      <c r="V203" s="3"/>
      <c r="W203" s="3"/>
      <c r="X203" s="3"/>
      <c r="Y203" s="3"/>
      <c r="Z203" s="3"/>
    </row>
    <row r="204" spans="1:26" ht="14.25" customHeight="1">
      <c r="A204" s="1"/>
      <c r="B204" s="1"/>
      <c r="C204" s="1"/>
      <c r="D204" s="1"/>
      <c r="E204" s="19"/>
      <c r="F204" s="3"/>
      <c r="G204" s="3"/>
      <c r="H204" s="3"/>
      <c r="I204" s="3"/>
      <c r="J204" s="3"/>
      <c r="K204" s="3"/>
      <c r="L204" s="3"/>
      <c r="M204" s="3"/>
      <c r="N204" s="3"/>
      <c r="O204" s="3"/>
      <c r="P204" s="3"/>
      <c r="Q204" s="3"/>
      <c r="R204" s="3"/>
      <c r="S204" s="3"/>
      <c r="T204" s="3"/>
      <c r="U204" s="3"/>
      <c r="V204" s="3"/>
      <c r="W204" s="3"/>
      <c r="X204" s="3"/>
      <c r="Y204" s="3"/>
      <c r="Z204" s="3"/>
    </row>
    <row r="205" spans="1:26" ht="14.25" customHeight="1">
      <c r="A205" s="1"/>
      <c r="B205" s="1"/>
      <c r="C205" s="1"/>
      <c r="D205" s="1"/>
      <c r="E205" s="19"/>
      <c r="F205" s="3"/>
      <c r="G205" s="3"/>
      <c r="H205" s="3"/>
      <c r="I205" s="3"/>
      <c r="J205" s="3"/>
      <c r="K205" s="3"/>
      <c r="L205" s="3"/>
      <c r="M205" s="3"/>
      <c r="N205" s="3"/>
      <c r="O205" s="3"/>
      <c r="P205" s="3"/>
      <c r="Q205" s="3"/>
      <c r="R205" s="3"/>
      <c r="S205" s="3"/>
      <c r="T205" s="3"/>
      <c r="U205" s="3"/>
      <c r="V205" s="3"/>
      <c r="W205" s="3"/>
      <c r="X205" s="3"/>
      <c r="Y205" s="3"/>
      <c r="Z205" s="3"/>
    </row>
    <row r="206" spans="1:26" ht="14.25" customHeight="1">
      <c r="A206" s="1"/>
      <c r="B206" s="1"/>
      <c r="C206" s="1"/>
      <c r="D206" s="1"/>
      <c r="E206" s="19"/>
      <c r="F206" s="3"/>
      <c r="G206" s="3"/>
      <c r="H206" s="3"/>
      <c r="I206" s="3"/>
      <c r="J206" s="3"/>
      <c r="K206" s="3"/>
      <c r="L206" s="3"/>
      <c r="M206" s="3"/>
      <c r="N206" s="3"/>
      <c r="O206" s="3"/>
      <c r="P206" s="3"/>
      <c r="Q206" s="3"/>
      <c r="R206" s="3"/>
      <c r="S206" s="3"/>
      <c r="T206" s="3"/>
      <c r="U206" s="3"/>
      <c r="V206" s="3"/>
      <c r="W206" s="3"/>
      <c r="X206" s="3"/>
      <c r="Y206" s="3"/>
      <c r="Z206" s="3"/>
    </row>
    <row r="207" spans="1:26" ht="14.25" customHeight="1">
      <c r="A207" s="1"/>
      <c r="B207" s="1"/>
      <c r="C207" s="1"/>
      <c r="D207" s="1"/>
      <c r="E207" s="19"/>
      <c r="F207" s="3"/>
      <c r="G207" s="3"/>
      <c r="H207" s="3"/>
      <c r="I207" s="3"/>
      <c r="J207" s="3"/>
      <c r="K207" s="3"/>
      <c r="L207" s="3"/>
      <c r="M207" s="3"/>
      <c r="N207" s="3"/>
      <c r="O207" s="3"/>
      <c r="P207" s="3"/>
      <c r="Q207" s="3"/>
      <c r="R207" s="3"/>
      <c r="S207" s="3"/>
      <c r="T207" s="3"/>
      <c r="U207" s="3"/>
      <c r="V207" s="3"/>
      <c r="W207" s="3"/>
      <c r="X207" s="3"/>
      <c r="Y207" s="3"/>
      <c r="Z207" s="3"/>
    </row>
    <row r="208" spans="1:26" ht="14.25" customHeight="1">
      <c r="A208" s="1"/>
      <c r="B208" s="1"/>
      <c r="C208" s="1"/>
      <c r="D208" s="1"/>
      <c r="E208" s="19"/>
      <c r="F208" s="3"/>
      <c r="G208" s="3"/>
      <c r="H208" s="3"/>
      <c r="I208" s="3"/>
      <c r="J208" s="3"/>
      <c r="K208" s="3"/>
      <c r="L208" s="3"/>
      <c r="M208" s="3"/>
      <c r="N208" s="3"/>
      <c r="O208" s="3"/>
      <c r="P208" s="3"/>
      <c r="Q208" s="3"/>
      <c r="R208" s="3"/>
      <c r="S208" s="3"/>
      <c r="T208" s="3"/>
      <c r="U208" s="3"/>
      <c r="V208" s="3"/>
      <c r="W208" s="3"/>
      <c r="X208" s="3"/>
      <c r="Y208" s="3"/>
      <c r="Z208" s="3"/>
    </row>
    <row r="209" spans="1:26" ht="14.25" customHeight="1">
      <c r="A209" s="1"/>
      <c r="B209" s="1"/>
      <c r="C209" s="1"/>
      <c r="D209" s="1"/>
      <c r="E209" s="19"/>
      <c r="F209" s="3"/>
      <c r="G209" s="3"/>
      <c r="H209" s="3"/>
      <c r="I209" s="3"/>
      <c r="J209" s="3"/>
      <c r="K209" s="3"/>
      <c r="L209" s="3"/>
      <c r="M209" s="3"/>
      <c r="N209" s="3"/>
      <c r="O209" s="3"/>
      <c r="P209" s="3"/>
      <c r="Q209" s="3"/>
      <c r="R209" s="3"/>
      <c r="S209" s="3"/>
      <c r="T209" s="3"/>
      <c r="U209" s="3"/>
      <c r="V209" s="3"/>
      <c r="W209" s="3"/>
      <c r="X209" s="3"/>
      <c r="Y209" s="3"/>
      <c r="Z209" s="3"/>
    </row>
    <row r="210" spans="1:26" ht="14.25" customHeight="1">
      <c r="A210" s="1"/>
      <c r="B210" s="1"/>
      <c r="C210" s="1"/>
      <c r="D210" s="1"/>
      <c r="E210" s="19"/>
      <c r="F210" s="3"/>
      <c r="G210" s="3"/>
      <c r="H210" s="3"/>
      <c r="I210" s="3"/>
      <c r="J210" s="3"/>
      <c r="K210" s="3"/>
      <c r="L210" s="3"/>
      <c r="M210" s="3"/>
      <c r="N210" s="3"/>
      <c r="O210" s="3"/>
      <c r="P210" s="3"/>
      <c r="Q210" s="3"/>
      <c r="R210" s="3"/>
      <c r="S210" s="3"/>
      <c r="T210" s="3"/>
      <c r="U210" s="3"/>
      <c r="V210" s="3"/>
      <c r="W210" s="3"/>
      <c r="X210" s="3"/>
      <c r="Y210" s="3"/>
      <c r="Z210" s="3"/>
    </row>
    <row r="211" spans="1:26" ht="14.25" customHeight="1">
      <c r="A211" s="1"/>
      <c r="B211" s="1"/>
      <c r="C211" s="1"/>
      <c r="D211" s="1"/>
      <c r="E211" s="19"/>
      <c r="F211" s="3"/>
      <c r="G211" s="3"/>
      <c r="H211" s="3"/>
      <c r="I211" s="3"/>
      <c r="J211" s="3"/>
      <c r="K211" s="3"/>
      <c r="L211" s="3"/>
      <c r="M211" s="3"/>
      <c r="N211" s="3"/>
      <c r="O211" s="3"/>
      <c r="P211" s="3"/>
      <c r="Q211" s="3"/>
      <c r="R211" s="3"/>
      <c r="S211" s="3"/>
      <c r="T211" s="3"/>
      <c r="U211" s="3"/>
      <c r="V211" s="3"/>
      <c r="W211" s="3"/>
      <c r="X211" s="3"/>
      <c r="Y211" s="3"/>
      <c r="Z211" s="3"/>
    </row>
    <row r="212" spans="1:26" ht="14.25" customHeight="1">
      <c r="A212" s="1"/>
      <c r="B212" s="1"/>
      <c r="C212" s="1"/>
      <c r="D212" s="1"/>
      <c r="E212" s="19"/>
      <c r="F212" s="3"/>
      <c r="G212" s="3"/>
      <c r="H212" s="3"/>
      <c r="I212" s="3"/>
      <c r="J212" s="3"/>
      <c r="K212" s="3"/>
      <c r="L212" s="3"/>
      <c r="M212" s="3"/>
      <c r="N212" s="3"/>
      <c r="O212" s="3"/>
      <c r="P212" s="3"/>
      <c r="Q212" s="3"/>
      <c r="R212" s="3"/>
      <c r="S212" s="3"/>
      <c r="T212" s="3"/>
      <c r="U212" s="3"/>
      <c r="V212" s="3"/>
      <c r="W212" s="3"/>
      <c r="X212" s="3"/>
      <c r="Y212" s="3"/>
      <c r="Z212" s="3"/>
    </row>
    <row r="213" spans="1:26" ht="14.25" customHeight="1">
      <c r="A213" s="1"/>
      <c r="B213" s="1"/>
      <c r="C213" s="1"/>
      <c r="D213" s="1"/>
      <c r="E213" s="19"/>
      <c r="F213" s="3"/>
      <c r="G213" s="3"/>
      <c r="H213" s="3"/>
      <c r="I213" s="3"/>
      <c r="J213" s="3"/>
      <c r="K213" s="3"/>
      <c r="L213" s="3"/>
      <c r="M213" s="3"/>
      <c r="N213" s="3"/>
      <c r="O213" s="3"/>
      <c r="P213" s="3"/>
      <c r="Q213" s="3"/>
      <c r="R213" s="3"/>
      <c r="S213" s="3"/>
      <c r="T213" s="3"/>
      <c r="U213" s="3"/>
      <c r="V213" s="3"/>
      <c r="W213" s="3"/>
      <c r="X213" s="3"/>
      <c r="Y213" s="3"/>
      <c r="Z213" s="3"/>
    </row>
    <row r="214" spans="1:26" ht="14.25" customHeight="1">
      <c r="A214" s="1"/>
      <c r="B214" s="1"/>
      <c r="C214" s="1"/>
      <c r="D214" s="1"/>
      <c r="E214" s="19"/>
      <c r="F214" s="3"/>
      <c r="G214" s="3"/>
      <c r="H214" s="3"/>
      <c r="I214" s="3"/>
      <c r="J214" s="3"/>
      <c r="K214" s="3"/>
      <c r="L214" s="3"/>
      <c r="M214" s="3"/>
      <c r="N214" s="3"/>
      <c r="O214" s="3"/>
      <c r="P214" s="3"/>
      <c r="Q214" s="3"/>
      <c r="R214" s="3"/>
      <c r="S214" s="3"/>
      <c r="T214" s="3"/>
      <c r="U214" s="3"/>
      <c r="V214" s="3"/>
      <c r="W214" s="3"/>
      <c r="X214" s="3"/>
      <c r="Y214" s="3"/>
      <c r="Z214" s="3"/>
    </row>
    <row r="215" spans="1:26" ht="14.25" customHeight="1">
      <c r="A215" s="1"/>
      <c r="B215" s="1"/>
      <c r="C215" s="1"/>
      <c r="D215" s="1"/>
      <c r="E215" s="19"/>
      <c r="F215" s="3"/>
      <c r="G215" s="3"/>
      <c r="H215" s="3"/>
      <c r="I215" s="3"/>
      <c r="J215" s="3"/>
      <c r="K215" s="3"/>
      <c r="L215" s="3"/>
      <c r="M215" s="3"/>
      <c r="N215" s="3"/>
      <c r="O215" s="3"/>
      <c r="P215" s="3"/>
      <c r="Q215" s="3"/>
      <c r="R215" s="3"/>
      <c r="S215" s="3"/>
      <c r="T215" s="3"/>
      <c r="U215" s="3"/>
      <c r="V215" s="3"/>
      <c r="W215" s="3"/>
      <c r="X215" s="3"/>
      <c r="Y215" s="3"/>
      <c r="Z215" s="3"/>
    </row>
    <row r="216" spans="1:26" ht="14.25" customHeight="1">
      <c r="A216" s="1"/>
      <c r="B216" s="1"/>
      <c r="C216" s="1"/>
      <c r="D216" s="1"/>
      <c r="E216" s="19"/>
      <c r="F216" s="3"/>
      <c r="G216" s="3"/>
      <c r="H216" s="3"/>
      <c r="I216" s="3"/>
      <c r="J216" s="3"/>
      <c r="K216" s="3"/>
      <c r="L216" s="3"/>
      <c r="M216" s="3"/>
      <c r="N216" s="3"/>
      <c r="O216" s="3"/>
      <c r="P216" s="3"/>
      <c r="Q216" s="3"/>
      <c r="R216" s="3"/>
      <c r="S216" s="3"/>
      <c r="T216" s="3"/>
      <c r="U216" s="3"/>
      <c r="V216" s="3"/>
      <c r="W216" s="3"/>
      <c r="X216" s="3"/>
      <c r="Y216" s="3"/>
      <c r="Z216" s="3"/>
    </row>
    <row r="217" spans="1:26" ht="14.25" customHeight="1">
      <c r="A217" s="1"/>
      <c r="B217" s="1"/>
      <c r="C217" s="1"/>
      <c r="D217" s="1"/>
      <c r="E217" s="19"/>
      <c r="F217" s="3"/>
      <c r="G217" s="3"/>
      <c r="H217" s="3"/>
      <c r="I217" s="3"/>
      <c r="J217" s="3"/>
      <c r="K217" s="3"/>
      <c r="L217" s="3"/>
      <c r="M217" s="3"/>
      <c r="N217" s="3"/>
      <c r="O217" s="3"/>
      <c r="P217" s="3"/>
      <c r="Q217" s="3"/>
      <c r="R217" s="3"/>
      <c r="S217" s="3"/>
      <c r="T217" s="3"/>
      <c r="U217" s="3"/>
      <c r="V217" s="3"/>
      <c r="W217" s="3"/>
      <c r="X217" s="3"/>
      <c r="Y217" s="3"/>
      <c r="Z217" s="3"/>
    </row>
    <row r="218" spans="1:26" ht="14.25" customHeight="1">
      <c r="A218" s="1"/>
      <c r="B218" s="1"/>
      <c r="C218" s="1"/>
      <c r="D218" s="1"/>
      <c r="E218" s="19"/>
      <c r="F218" s="3"/>
      <c r="G218" s="3"/>
      <c r="H218" s="3"/>
      <c r="I218" s="3"/>
      <c r="J218" s="3"/>
      <c r="K218" s="3"/>
      <c r="L218" s="3"/>
      <c r="M218" s="3"/>
      <c r="N218" s="3"/>
      <c r="O218" s="3"/>
      <c r="P218" s="3"/>
      <c r="Q218" s="3"/>
      <c r="R218" s="3"/>
      <c r="S218" s="3"/>
      <c r="T218" s="3"/>
      <c r="U218" s="3"/>
      <c r="V218" s="3"/>
      <c r="W218" s="3"/>
      <c r="X218" s="3"/>
      <c r="Y218" s="3"/>
      <c r="Z218" s="3"/>
    </row>
    <row r="219" spans="1:26" ht="14.25" customHeight="1">
      <c r="A219" s="1"/>
      <c r="B219" s="1"/>
      <c r="C219" s="1"/>
      <c r="D219" s="1"/>
      <c r="E219" s="19"/>
      <c r="F219" s="3"/>
      <c r="G219" s="3"/>
      <c r="H219" s="3"/>
      <c r="I219" s="3"/>
      <c r="J219" s="3"/>
      <c r="K219" s="3"/>
      <c r="L219" s="3"/>
      <c r="M219" s="3"/>
      <c r="N219" s="3"/>
      <c r="O219" s="3"/>
      <c r="P219" s="3"/>
      <c r="Q219" s="3"/>
      <c r="R219" s="3"/>
      <c r="S219" s="3"/>
      <c r="T219" s="3"/>
      <c r="U219" s="3"/>
      <c r="V219" s="3"/>
      <c r="W219" s="3"/>
      <c r="X219" s="3"/>
      <c r="Y219" s="3"/>
      <c r="Z219" s="3"/>
    </row>
    <row r="220" spans="1:26" ht="14.25" customHeight="1">
      <c r="A220" s="1"/>
      <c r="B220" s="1"/>
      <c r="C220" s="1"/>
      <c r="D220" s="1"/>
      <c r="E220" s="19"/>
      <c r="F220" s="3"/>
      <c r="G220" s="3"/>
      <c r="H220" s="3"/>
      <c r="I220" s="3"/>
      <c r="J220" s="3"/>
      <c r="K220" s="3"/>
      <c r="L220" s="3"/>
      <c r="M220" s="3"/>
      <c r="N220" s="3"/>
      <c r="O220" s="3"/>
      <c r="P220" s="3"/>
      <c r="Q220" s="3"/>
      <c r="R220" s="3"/>
      <c r="S220" s="3"/>
      <c r="T220" s="3"/>
      <c r="U220" s="3"/>
      <c r="V220" s="3"/>
      <c r="W220" s="3"/>
      <c r="X220" s="3"/>
      <c r="Y220" s="3"/>
      <c r="Z220" s="3"/>
    </row>
    <row r="221" spans="1:26" ht="14.25" customHeight="1">
      <c r="A221" s="1"/>
      <c r="B221" s="1"/>
      <c r="C221" s="1"/>
      <c r="D221" s="1"/>
      <c r="E221" s="19"/>
      <c r="F221" s="3"/>
      <c r="G221" s="3"/>
      <c r="H221" s="3"/>
      <c r="I221" s="3"/>
      <c r="J221" s="3"/>
      <c r="K221" s="3"/>
      <c r="L221" s="3"/>
      <c r="M221" s="3"/>
      <c r="N221" s="3"/>
      <c r="O221" s="3"/>
      <c r="P221" s="3"/>
      <c r="Q221" s="3"/>
      <c r="R221" s="3"/>
      <c r="S221" s="3"/>
      <c r="T221" s="3"/>
      <c r="U221" s="3"/>
      <c r="V221" s="3"/>
      <c r="W221" s="3"/>
      <c r="X221" s="3"/>
      <c r="Y221" s="3"/>
      <c r="Z221" s="3"/>
    </row>
    <row r="222" spans="1:26" ht="14.25" customHeight="1">
      <c r="A222" s="1"/>
      <c r="B222" s="1"/>
      <c r="C222" s="1"/>
      <c r="D222" s="1"/>
      <c r="E222" s="19"/>
      <c r="F222" s="3"/>
      <c r="G222" s="3"/>
      <c r="H222" s="3"/>
      <c r="I222" s="3"/>
      <c r="J222" s="3"/>
      <c r="K222" s="3"/>
      <c r="L222" s="3"/>
      <c r="M222" s="3"/>
      <c r="N222" s="3"/>
      <c r="O222" s="3"/>
      <c r="P222" s="3"/>
      <c r="Q222" s="3"/>
      <c r="R222" s="3"/>
      <c r="S222" s="3"/>
      <c r="T222" s="3"/>
      <c r="U222" s="3"/>
      <c r="V222" s="3"/>
      <c r="W222" s="3"/>
      <c r="X222" s="3"/>
      <c r="Y222" s="3"/>
      <c r="Z222" s="3"/>
    </row>
    <row r="223" spans="1:26" ht="14.25" customHeight="1">
      <c r="A223" s="1"/>
      <c r="B223" s="1"/>
      <c r="C223" s="1"/>
      <c r="D223" s="1"/>
      <c r="E223" s="19"/>
      <c r="F223" s="3"/>
      <c r="G223" s="3"/>
      <c r="H223" s="3"/>
      <c r="I223" s="3"/>
      <c r="J223" s="3"/>
      <c r="K223" s="3"/>
      <c r="L223" s="3"/>
      <c r="M223" s="3"/>
      <c r="N223" s="3"/>
      <c r="O223" s="3"/>
      <c r="P223" s="3"/>
      <c r="Q223" s="3"/>
      <c r="R223" s="3"/>
      <c r="S223" s="3"/>
      <c r="T223" s="3"/>
      <c r="U223" s="3"/>
      <c r="V223" s="3"/>
      <c r="W223" s="3"/>
      <c r="X223" s="3"/>
      <c r="Y223" s="3"/>
      <c r="Z223" s="3"/>
    </row>
    <row r="224" spans="1:26" ht="14.25" customHeight="1">
      <c r="A224" s="1"/>
      <c r="B224" s="1"/>
      <c r="C224" s="1"/>
      <c r="D224" s="1"/>
      <c r="E224" s="19"/>
      <c r="F224" s="3"/>
      <c r="G224" s="3"/>
      <c r="H224" s="3"/>
      <c r="I224" s="3"/>
      <c r="J224" s="3"/>
      <c r="K224" s="3"/>
      <c r="L224" s="3"/>
      <c r="M224" s="3"/>
      <c r="N224" s="3"/>
      <c r="O224" s="3"/>
      <c r="P224" s="3"/>
      <c r="Q224" s="3"/>
      <c r="R224" s="3"/>
      <c r="S224" s="3"/>
      <c r="T224" s="3"/>
      <c r="U224" s="3"/>
      <c r="V224" s="3"/>
      <c r="W224" s="3"/>
      <c r="X224" s="3"/>
      <c r="Y224" s="3"/>
      <c r="Z224" s="3"/>
    </row>
    <row r="225" spans="1:26" ht="14.25" customHeight="1">
      <c r="A225" s="1"/>
      <c r="B225" s="1"/>
      <c r="C225" s="1"/>
      <c r="D225" s="1"/>
      <c r="E225" s="19"/>
      <c r="F225" s="3"/>
      <c r="G225" s="3"/>
      <c r="H225" s="3"/>
      <c r="I225" s="3"/>
      <c r="J225" s="3"/>
      <c r="K225" s="3"/>
      <c r="L225" s="3"/>
      <c r="M225" s="3"/>
      <c r="N225" s="3"/>
      <c r="O225" s="3"/>
      <c r="P225" s="3"/>
      <c r="Q225" s="3"/>
      <c r="R225" s="3"/>
      <c r="S225" s="3"/>
      <c r="T225" s="3"/>
      <c r="U225" s="3"/>
      <c r="V225" s="3"/>
      <c r="W225" s="3"/>
      <c r="X225" s="3"/>
      <c r="Y225" s="3"/>
      <c r="Z225" s="3"/>
    </row>
    <row r="226" spans="1:26" ht="14.25" customHeight="1">
      <c r="A226" s="1"/>
      <c r="B226" s="1"/>
      <c r="C226" s="1"/>
      <c r="D226" s="1"/>
      <c r="E226" s="19"/>
      <c r="F226" s="3"/>
      <c r="G226" s="3"/>
      <c r="H226" s="3"/>
      <c r="I226" s="3"/>
      <c r="J226" s="3"/>
      <c r="K226" s="3"/>
      <c r="L226" s="3"/>
      <c r="M226" s="3"/>
      <c r="N226" s="3"/>
      <c r="O226" s="3"/>
      <c r="P226" s="3"/>
      <c r="Q226" s="3"/>
      <c r="R226" s="3"/>
      <c r="S226" s="3"/>
      <c r="T226" s="3"/>
      <c r="U226" s="3"/>
      <c r="V226" s="3"/>
      <c r="W226" s="3"/>
      <c r="X226" s="3"/>
      <c r="Y226" s="3"/>
      <c r="Z226" s="3"/>
    </row>
    <row r="227" spans="1:26" ht="14.25" customHeight="1">
      <c r="A227" s="1"/>
      <c r="B227" s="1"/>
      <c r="C227" s="1"/>
      <c r="D227" s="1"/>
      <c r="E227" s="19"/>
      <c r="F227" s="3"/>
      <c r="G227" s="3"/>
      <c r="H227" s="3"/>
      <c r="I227" s="3"/>
      <c r="J227" s="3"/>
      <c r="K227" s="3"/>
      <c r="L227" s="3"/>
      <c r="M227" s="3"/>
      <c r="N227" s="3"/>
      <c r="O227" s="3"/>
      <c r="P227" s="3"/>
      <c r="Q227" s="3"/>
      <c r="R227" s="3"/>
      <c r="S227" s="3"/>
      <c r="T227" s="3"/>
      <c r="U227" s="3"/>
      <c r="V227" s="3"/>
      <c r="W227" s="3"/>
      <c r="X227" s="3"/>
      <c r="Y227" s="3"/>
      <c r="Z227" s="3"/>
    </row>
    <row r="228" spans="1:26" ht="14.25" customHeight="1">
      <c r="A228" s="1"/>
      <c r="B228" s="1"/>
      <c r="C228" s="1"/>
      <c r="D228" s="1"/>
      <c r="E228" s="19"/>
      <c r="F228" s="3"/>
      <c r="G228" s="3"/>
      <c r="H228" s="3"/>
      <c r="I228" s="3"/>
      <c r="J228" s="3"/>
      <c r="K228" s="3"/>
      <c r="L228" s="3"/>
      <c r="M228" s="3"/>
      <c r="N228" s="3"/>
      <c r="O228" s="3"/>
      <c r="P228" s="3"/>
      <c r="Q228" s="3"/>
      <c r="R228" s="3"/>
      <c r="S228" s="3"/>
      <c r="T228" s="3"/>
      <c r="U228" s="3"/>
      <c r="V228" s="3"/>
      <c r="W228" s="3"/>
      <c r="X228" s="3"/>
      <c r="Y228" s="3"/>
      <c r="Z228" s="3"/>
    </row>
    <row r="229" spans="1:26" ht="14.25" customHeight="1">
      <c r="A229" s="1"/>
      <c r="B229" s="1"/>
      <c r="C229" s="1"/>
      <c r="D229" s="1"/>
      <c r="E229" s="19"/>
      <c r="F229" s="3"/>
      <c r="G229" s="3"/>
      <c r="H229" s="3"/>
      <c r="I229" s="3"/>
      <c r="J229" s="3"/>
      <c r="K229" s="3"/>
      <c r="L229" s="3"/>
      <c r="M229" s="3"/>
      <c r="N229" s="3"/>
      <c r="O229" s="3"/>
      <c r="P229" s="3"/>
      <c r="Q229" s="3"/>
      <c r="R229" s="3"/>
      <c r="S229" s="3"/>
      <c r="T229" s="3"/>
      <c r="U229" s="3"/>
      <c r="V229" s="3"/>
      <c r="W229" s="3"/>
      <c r="X229" s="3"/>
      <c r="Y229" s="3"/>
      <c r="Z229" s="3"/>
    </row>
    <row r="230" spans="1:26" ht="14.25" customHeight="1">
      <c r="A230" s="1"/>
      <c r="B230" s="1"/>
      <c r="C230" s="1"/>
      <c r="D230" s="1"/>
      <c r="E230" s="19"/>
      <c r="F230" s="3"/>
      <c r="G230" s="3"/>
      <c r="H230" s="3"/>
      <c r="I230" s="3"/>
      <c r="J230" s="3"/>
      <c r="K230" s="3"/>
      <c r="L230" s="3"/>
      <c r="M230" s="3"/>
      <c r="N230" s="3"/>
      <c r="O230" s="3"/>
      <c r="P230" s="3"/>
      <c r="Q230" s="3"/>
      <c r="R230" s="3"/>
      <c r="S230" s="3"/>
      <c r="T230" s="3"/>
      <c r="U230" s="3"/>
      <c r="V230" s="3"/>
      <c r="W230" s="3"/>
      <c r="X230" s="3"/>
      <c r="Y230" s="3"/>
      <c r="Z230" s="3"/>
    </row>
    <row r="231" spans="1:26" ht="14.25" customHeight="1">
      <c r="A231" s="1"/>
      <c r="B231" s="1"/>
      <c r="C231" s="1"/>
      <c r="D231" s="1"/>
      <c r="E231" s="19"/>
      <c r="F231" s="3"/>
      <c r="G231" s="3"/>
      <c r="H231" s="3"/>
      <c r="I231" s="3"/>
      <c r="J231" s="3"/>
      <c r="K231" s="3"/>
      <c r="L231" s="3"/>
      <c r="M231" s="3"/>
      <c r="N231" s="3"/>
      <c r="O231" s="3"/>
      <c r="P231" s="3"/>
      <c r="Q231" s="3"/>
      <c r="R231" s="3"/>
      <c r="S231" s="3"/>
      <c r="T231" s="3"/>
      <c r="U231" s="3"/>
      <c r="V231" s="3"/>
      <c r="W231" s="3"/>
      <c r="X231" s="3"/>
      <c r="Y231" s="3"/>
      <c r="Z231" s="3"/>
    </row>
    <row r="232" spans="1:26" ht="14.25" customHeight="1">
      <c r="A232" s="1"/>
      <c r="B232" s="1"/>
      <c r="C232" s="1"/>
      <c r="D232" s="1"/>
      <c r="E232" s="19"/>
      <c r="F232" s="3"/>
      <c r="G232" s="3"/>
      <c r="H232" s="3"/>
      <c r="I232" s="3"/>
      <c r="J232" s="3"/>
      <c r="K232" s="3"/>
      <c r="L232" s="3"/>
      <c r="M232" s="3"/>
      <c r="N232" s="3"/>
      <c r="O232" s="3"/>
      <c r="P232" s="3"/>
      <c r="Q232" s="3"/>
      <c r="R232" s="3"/>
      <c r="S232" s="3"/>
      <c r="T232" s="3"/>
      <c r="U232" s="3"/>
      <c r="V232" s="3"/>
      <c r="W232" s="3"/>
      <c r="X232" s="3"/>
      <c r="Y232" s="3"/>
      <c r="Z232" s="3"/>
    </row>
    <row r="233" spans="1:26" ht="14.25" customHeight="1">
      <c r="A233" s="1"/>
      <c r="B233" s="1"/>
      <c r="C233" s="1"/>
      <c r="D233" s="1"/>
      <c r="E233" s="19"/>
      <c r="F233" s="3"/>
      <c r="G233" s="3"/>
      <c r="H233" s="3"/>
      <c r="I233" s="3"/>
      <c r="J233" s="3"/>
      <c r="K233" s="3"/>
      <c r="L233" s="3"/>
      <c r="M233" s="3"/>
      <c r="N233" s="3"/>
      <c r="O233" s="3"/>
      <c r="P233" s="3"/>
      <c r="Q233" s="3"/>
      <c r="R233" s="3"/>
      <c r="S233" s="3"/>
      <c r="T233" s="3"/>
      <c r="U233" s="3"/>
      <c r="V233" s="3"/>
      <c r="W233" s="3"/>
      <c r="X233" s="3"/>
      <c r="Y233" s="3"/>
      <c r="Z233" s="3"/>
    </row>
    <row r="234" spans="1:26" ht="14.25" customHeight="1">
      <c r="A234" s="1"/>
      <c r="B234" s="1"/>
      <c r="C234" s="1"/>
      <c r="D234" s="1"/>
      <c r="E234" s="19"/>
      <c r="F234" s="3"/>
      <c r="G234" s="3"/>
      <c r="H234" s="3"/>
      <c r="I234" s="3"/>
      <c r="J234" s="3"/>
      <c r="K234" s="3"/>
      <c r="L234" s="3"/>
      <c r="M234" s="3"/>
      <c r="N234" s="3"/>
      <c r="O234" s="3"/>
      <c r="P234" s="3"/>
      <c r="Q234" s="3"/>
      <c r="R234" s="3"/>
      <c r="S234" s="3"/>
      <c r="T234" s="3"/>
      <c r="U234" s="3"/>
      <c r="V234" s="3"/>
      <c r="W234" s="3"/>
      <c r="X234" s="3"/>
      <c r="Y234" s="3"/>
      <c r="Z234" s="3"/>
    </row>
    <row r="235" spans="1:26" ht="14.25" customHeight="1">
      <c r="A235" s="1"/>
      <c r="B235" s="1"/>
      <c r="C235" s="1"/>
      <c r="D235" s="1"/>
      <c r="E235" s="19"/>
      <c r="F235" s="3"/>
      <c r="G235" s="3"/>
      <c r="H235" s="3"/>
      <c r="I235" s="3"/>
      <c r="J235" s="3"/>
      <c r="K235" s="3"/>
      <c r="L235" s="3"/>
      <c r="M235" s="3"/>
      <c r="N235" s="3"/>
      <c r="O235" s="3"/>
      <c r="P235" s="3"/>
      <c r="Q235" s="3"/>
      <c r="R235" s="3"/>
      <c r="S235" s="3"/>
      <c r="T235" s="3"/>
      <c r="U235" s="3"/>
      <c r="V235" s="3"/>
      <c r="W235" s="3"/>
      <c r="X235" s="3"/>
      <c r="Y235" s="3"/>
      <c r="Z235" s="3"/>
    </row>
    <row r="236" spans="1:26" ht="14.25" customHeight="1">
      <c r="A236" s="1"/>
      <c r="B236" s="1"/>
      <c r="C236" s="1"/>
      <c r="D236" s="1"/>
      <c r="E236" s="19"/>
      <c r="F236" s="3"/>
      <c r="G236" s="3"/>
      <c r="H236" s="3"/>
      <c r="I236" s="3"/>
      <c r="J236" s="3"/>
      <c r="K236" s="3"/>
      <c r="L236" s="3"/>
      <c r="M236" s="3"/>
      <c r="N236" s="3"/>
      <c r="O236" s="3"/>
      <c r="P236" s="3"/>
      <c r="Q236" s="3"/>
      <c r="R236" s="3"/>
      <c r="S236" s="3"/>
      <c r="T236" s="3"/>
      <c r="U236" s="3"/>
      <c r="V236" s="3"/>
      <c r="W236" s="3"/>
      <c r="X236" s="3"/>
      <c r="Y236" s="3"/>
      <c r="Z236" s="3"/>
    </row>
    <row r="237" spans="1:26" ht="14.25" customHeight="1">
      <c r="A237" s="1"/>
      <c r="B237" s="1"/>
      <c r="C237" s="1"/>
      <c r="D237" s="1"/>
      <c r="E237" s="19"/>
      <c r="F237" s="3"/>
      <c r="G237" s="3"/>
      <c r="H237" s="3"/>
      <c r="I237" s="3"/>
      <c r="J237" s="3"/>
      <c r="K237" s="3"/>
      <c r="L237" s="3"/>
      <c r="M237" s="3"/>
      <c r="N237" s="3"/>
      <c r="O237" s="3"/>
      <c r="P237" s="3"/>
      <c r="Q237" s="3"/>
      <c r="R237" s="3"/>
      <c r="S237" s="3"/>
      <c r="T237" s="3"/>
      <c r="U237" s="3"/>
      <c r="V237" s="3"/>
      <c r="W237" s="3"/>
      <c r="X237" s="3"/>
      <c r="Y237" s="3"/>
      <c r="Z237" s="3"/>
    </row>
    <row r="238" spans="1:26" ht="14.25" customHeight="1">
      <c r="A238" s="1"/>
      <c r="B238" s="1"/>
      <c r="C238" s="1"/>
      <c r="D238" s="1"/>
      <c r="E238" s="19"/>
      <c r="F238" s="3"/>
      <c r="G238" s="3"/>
      <c r="H238" s="3"/>
      <c r="I238" s="3"/>
      <c r="J238" s="3"/>
      <c r="K238" s="3"/>
      <c r="L238" s="3"/>
      <c r="M238" s="3"/>
      <c r="N238" s="3"/>
      <c r="O238" s="3"/>
      <c r="P238" s="3"/>
      <c r="Q238" s="3"/>
      <c r="R238" s="3"/>
      <c r="S238" s="3"/>
      <c r="T238" s="3"/>
      <c r="U238" s="3"/>
      <c r="V238" s="3"/>
      <c r="W238" s="3"/>
      <c r="X238" s="3"/>
      <c r="Y238" s="3"/>
      <c r="Z238" s="3"/>
    </row>
    <row r="239" spans="1:26" ht="14.25" customHeight="1">
      <c r="A239" s="1"/>
      <c r="B239" s="1"/>
      <c r="C239" s="1"/>
      <c r="D239" s="1"/>
      <c r="E239" s="19"/>
      <c r="F239" s="3"/>
      <c r="G239" s="3"/>
      <c r="H239" s="3"/>
      <c r="I239" s="3"/>
      <c r="J239" s="3"/>
      <c r="K239" s="3"/>
      <c r="L239" s="3"/>
      <c r="M239" s="3"/>
      <c r="N239" s="3"/>
      <c r="O239" s="3"/>
      <c r="P239" s="3"/>
      <c r="Q239" s="3"/>
      <c r="R239" s="3"/>
      <c r="S239" s="3"/>
      <c r="T239" s="3"/>
      <c r="U239" s="3"/>
      <c r="V239" s="3"/>
      <c r="W239" s="3"/>
      <c r="X239" s="3"/>
      <c r="Y239" s="3"/>
      <c r="Z239" s="3"/>
    </row>
    <row r="240" spans="1:26" ht="14.25" customHeight="1">
      <c r="A240" s="1"/>
      <c r="B240" s="1"/>
      <c r="C240" s="1"/>
      <c r="D240" s="1"/>
      <c r="E240" s="19"/>
      <c r="F240" s="3"/>
      <c r="G240" s="3"/>
      <c r="H240" s="3"/>
      <c r="I240" s="3"/>
      <c r="J240" s="3"/>
      <c r="K240" s="3"/>
      <c r="L240" s="3"/>
      <c r="M240" s="3"/>
      <c r="N240" s="3"/>
      <c r="O240" s="3"/>
      <c r="P240" s="3"/>
      <c r="Q240" s="3"/>
      <c r="R240" s="3"/>
      <c r="S240" s="3"/>
      <c r="T240" s="3"/>
      <c r="U240" s="3"/>
      <c r="V240" s="3"/>
      <c r="W240" s="3"/>
      <c r="X240" s="3"/>
      <c r="Y240" s="3"/>
      <c r="Z240" s="3"/>
    </row>
    <row r="241" spans="1:26" ht="14.25" customHeight="1">
      <c r="A241" s="1"/>
      <c r="B241" s="1"/>
      <c r="C241" s="1"/>
      <c r="D241" s="1"/>
      <c r="E241" s="19"/>
      <c r="F241" s="3"/>
      <c r="G241" s="3"/>
      <c r="H241" s="3"/>
      <c r="I241" s="3"/>
      <c r="J241" s="3"/>
      <c r="K241" s="3"/>
      <c r="L241" s="3"/>
      <c r="M241" s="3"/>
      <c r="N241" s="3"/>
      <c r="O241" s="3"/>
      <c r="P241" s="3"/>
      <c r="Q241" s="3"/>
      <c r="R241" s="3"/>
      <c r="S241" s="3"/>
      <c r="T241" s="3"/>
      <c r="U241" s="3"/>
      <c r="V241" s="3"/>
      <c r="W241" s="3"/>
      <c r="X241" s="3"/>
      <c r="Y241" s="3"/>
      <c r="Z241" s="3"/>
    </row>
    <row r="242" spans="1:26" ht="14.25" customHeight="1">
      <c r="A242" s="1"/>
      <c r="B242" s="1"/>
      <c r="C242" s="1"/>
      <c r="D242" s="1"/>
      <c r="E242" s="19"/>
      <c r="F242" s="3"/>
      <c r="G242" s="3"/>
      <c r="H242" s="3"/>
      <c r="I242" s="3"/>
      <c r="J242" s="3"/>
      <c r="K242" s="3"/>
      <c r="L242" s="3"/>
      <c r="M242" s="3"/>
      <c r="N242" s="3"/>
      <c r="O242" s="3"/>
      <c r="P242" s="3"/>
      <c r="Q242" s="3"/>
      <c r="R242" s="3"/>
      <c r="S242" s="3"/>
      <c r="T242" s="3"/>
      <c r="U242" s="3"/>
      <c r="V242" s="3"/>
      <c r="W242" s="3"/>
      <c r="X242" s="3"/>
      <c r="Y242" s="3"/>
      <c r="Z242" s="3"/>
    </row>
    <row r="243" spans="1:26" ht="14.25" customHeight="1">
      <c r="A243" s="1"/>
      <c r="B243" s="1"/>
      <c r="C243" s="1"/>
      <c r="D243" s="1"/>
      <c r="E243" s="19"/>
      <c r="F243" s="3"/>
      <c r="G243" s="3"/>
      <c r="H243" s="3"/>
      <c r="I243" s="3"/>
      <c r="J243" s="3"/>
      <c r="K243" s="3"/>
      <c r="L243" s="3"/>
      <c r="M243" s="3"/>
      <c r="N243" s="3"/>
      <c r="O243" s="3"/>
      <c r="P243" s="3"/>
      <c r="Q243" s="3"/>
      <c r="R243" s="3"/>
      <c r="S243" s="3"/>
      <c r="T243" s="3"/>
      <c r="U243" s="3"/>
      <c r="V243" s="3"/>
      <c r="W243" s="3"/>
      <c r="X243" s="3"/>
      <c r="Y243" s="3"/>
      <c r="Z243" s="3"/>
    </row>
    <row r="244" spans="1:26" ht="14.25" customHeight="1">
      <c r="A244" s="1"/>
      <c r="B244" s="1"/>
      <c r="C244" s="1"/>
      <c r="D244" s="1"/>
      <c r="E244" s="19"/>
      <c r="F244" s="3"/>
      <c r="G244" s="3"/>
      <c r="H244" s="3"/>
      <c r="I244" s="3"/>
      <c r="J244" s="3"/>
      <c r="K244" s="3"/>
      <c r="L244" s="3"/>
      <c r="M244" s="3"/>
      <c r="N244" s="3"/>
      <c r="O244" s="3"/>
      <c r="P244" s="3"/>
      <c r="Q244" s="3"/>
      <c r="R244" s="3"/>
      <c r="S244" s="3"/>
      <c r="T244" s="3"/>
      <c r="U244" s="3"/>
      <c r="V244" s="3"/>
      <c r="W244" s="3"/>
      <c r="X244" s="3"/>
      <c r="Y244" s="3"/>
      <c r="Z244" s="3"/>
    </row>
    <row r="245" spans="1:26" ht="14.25" customHeight="1">
      <c r="A245" s="1"/>
      <c r="B245" s="1"/>
      <c r="C245" s="1"/>
      <c r="D245" s="1"/>
      <c r="E245" s="19"/>
      <c r="F245" s="3"/>
      <c r="G245" s="3"/>
      <c r="H245" s="3"/>
      <c r="I245" s="3"/>
      <c r="J245" s="3"/>
      <c r="K245" s="3"/>
      <c r="L245" s="3"/>
      <c r="M245" s="3"/>
      <c r="N245" s="3"/>
      <c r="O245" s="3"/>
      <c r="P245" s="3"/>
      <c r="Q245" s="3"/>
      <c r="R245" s="3"/>
      <c r="S245" s="3"/>
      <c r="T245" s="3"/>
      <c r="U245" s="3"/>
      <c r="V245" s="3"/>
      <c r="W245" s="3"/>
      <c r="X245" s="3"/>
      <c r="Y245" s="3"/>
      <c r="Z245" s="3"/>
    </row>
    <row r="246" spans="1:26" ht="14.25" customHeight="1">
      <c r="A246" s="1"/>
      <c r="B246" s="1"/>
      <c r="C246" s="1"/>
      <c r="D246" s="1"/>
      <c r="E246" s="19"/>
      <c r="F246" s="3"/>
      <c r="G246" s="3"/>
      <c r="H246" s="3"/>
      <c r="I246" s="3"/>
      <c r="J246" s="3"/>
      <c r="K246" s="3"/>
      <c r="L246" s="3"/>
      <c r="M246" s="3"/>
      <c r="N246" s="3"/>
      <c r="O246" s="3"/>
      <c r="P246" s="3"/>
      <c r="Q246" s="3"/>
      <c r="R246" s="3"/>
      <c r="S246" s="3"/>
      <c r="T246" s="3"/>
      <c r="U246" s="3"/>
      <c r="V246" s="3"/>
      <c r="W246" s="3"/>
      <c r="X246" s="3"/>
      <c r="Y246" s="3"/>
      <c r="Z246" s="3"/>
    </row>
    <row r="247" spans="1:26" ht="14.25" customHeight="1">
      <c r="A247" s="1"/>
      <c r="B247" s="1"/>
      <c r="C247" s="1"/>
      <c r="D247" s="1"/>
      <c r="E247" s="19"/>
      <c r="F247" s="3"/>
      <c r="G247" s="3"/>
      <c r="H247" s="3"/>
      <c r="I247" s="3"/>
      <c r="J247" s="3"/>
      <c r="K247" s="3"/>
      <c r="L247" s="3"/>
      <c r="M247" s="3"/>
      <c r="N247" s="3"/>
      <c r="O247" s="3"/>
      <c r="P247" s="3"/>
      <c r="Q247" s="3"/>
      <c r="R247" s="3"/>
      <c r="S247" s="3"/>
      <c r="T247" s="3"/>
      <c r="U247" s="3"/>
      <c r="V247" s="3"/>
      <c r="W247" s="3"/>
      <c r="X247" s="3"/>
      <c r="Y247" s="3"/>
      <c r="Z247" s="3"/>
    </row>
    <row r="248" spans="1:26" ht="14.25" customHeight="1">
      <c r="A248" s="1"/>
      <c r="B248" s="1"/>
      <c r="C248" s="1"/>
      <c r="D248" s="1"/>
      <c r="E248" s="19"/>
      <c r="F248" s="3"/>
      <c r="G248" s="3"/>
      <c r="H248" s="3"/>
      <c r="I248" s="3"/>
      <c r="J248" s="3"/>
      <c r="K248" s="3"/>
      <c r="L248" s="3"/>
      <c r="M248" s="3"/>
      <c r="N248" s="3"/>
      <c r="O248" s="3"/>
      <c r="P248" s="3"/>
      <c r="Q248" s="3"/>
      <c r="R248" s="3"/>
      <c r="S248" s="3"/>
      <c r="T248" s="3"/>
      <c r="U248" s="3"/>
      <c r="V248" s="3"/>
      <c r="W248" s="3"/>
      <c r="X248" s="3"/>
      <c r="Y248" s="3"/>
      <c r="Z248" s="3"/>
    </row>
    <row r="249" spans="1:26" ht="14.25" customHeight="1">
      <c r="A249" s="1"/>
      <c r="B249" s="1"/>
      <c r="C249" s="1"/>
      <c r="D249" s="1"/>
      <c r="E249" s="19"/>
      <c r="F249" s="3"/>
      <c r="G249" s="3"/>
      <c r="H249" s="3"/>
      <c r="I249" s="3"/>
      <c r="J249" s="3"/>
      <c r="K249" s="3"/>
      <c r="L249" s="3"/>
      <c r="M249" s="3"/>
      <c r="N249" s="3"/>
      <c r="O249" s="3"/>
      <c r="P249" s="3"/>
      <c r="Q249" s="3"/>
      <c r="R249" s="3"/>
      <c r="S249" s="3"/>
      <c r="T249" s="3"/>
      <c r="U249" s="3"/>
      <c r="V249" s="3"/>
      <c r="W249" s="3"/>
      <c r="X249" s="3"/>
      <c r="Y249" s="3"/>
      <c r="Z249" s="3"/>
    </row>
    <row r="250" spans="1:26" ht="14.25" customHeight="1">
      <c r="A250" s="1"/>
      <c r="B250" s="1"/>
      <c r="C250" s="1"/>
      <c r="D250" s="1"/>
      <c r="E250" s="19"/>
      <c r="F250" s="3"/>
      <c r="G250" s="3"/>
      <c r="H250" s="3"/>
      <c r="I250" s="3"/>
      <c r="J250" s="3"/>
      <c r="K250" s="3"/>
      <c r="L250" s="3"/>
      <c r="M250" s="3"/>
      <c r="N250" s="3"/>
      <c r="O250" s="3"/>
      <c r="P250" s="3"/>
      <c r="Q250" s="3"/>
      <c r="R250" s="3"/>
      <c r="S250" s="3"/>
      <c r="T250" s="3"/>
      <c r="U250" s="3"/>
      <c r="V250" s="3"/>
      <c r="W250" s="3"/>
      <c r="X250" s="3"/>
      <c r="Y250" s="3"/>
      <c r="Z250" s="3"/>
    </row>
    <row r="251" spans="1:26" ht="14.25" customHeight="1">
      <c r="A251" s="1"/>
      <c r="B251" s="1"/>
      <c r="C251" s="1"/>
      <c r="D251" s="1"/>
      <c r="E251" s="19"/>
      <c r="F251" s="3"/>
      <c r="G251" s="3"/>
      <c r="H251" s="3"/>
      <c r="I251" s="3"/>
      <c r="J251" s="3"/>
      <c r="K251" s="3"/>
      <c r="L251" s="3"/>
      <c r="M251" s="3"/>
      <c r="N251" s="3"/>
      <c r="O251" s="3"/>
      <c r="P251" s="3"/>
      <c r="Q251" s="3"/>
      <c r="R251" s="3"/>
      <c r="S251" s="3"/>
      <c r="T251" s="3"/>
      <c r="U251" s="3"/>
      <c r="V251" s="3"/>
      <c r="W251" s="3"/>
      <c r="X251" s="3"/>
      <c r="Y251" s="3"/>
      <c r="Z251" s="3"/>
    </row>
    <row r="252" spans="1:26" ht="14.25" customHeight="1">
      <c r="A252" s="1"/>
      <c r="B252" s="1"/>
      <c r="C252" s="1"/>
      <c r="D252" s="1"/>
      <c r="E252" s="19"/>
      <c r="F252" s="3"/>
      <c r="G252" s="3"/>
      <c r="H252" s="3"/>
      <c r="I252" s="3"/>
      <c r="J252" s="3"/>
      <c r="K252" s="3"/>
      <c r="L252" s="3"/>
      <c r="M252" s="3"/>
      <c r="N252" s="3"/>
      <c r="O252" s="3"/>
      <c r="P252" s="3"/>
      <c r="Q252" s="3"/>
      <c r="R252" s="3"/>
      <c r="S252" s="3"/>
      <c r="T252" s="3"/>
      <c r="U252" s="3"/>
      <c r="V252" s="3"/>
      <c r="W252" s="3"/>
      <c r="X252" s="3"/>
      <c r="Y252" s="3"/>
      <c r="Z252" s="3"/>
    </row>
    <row r="253" spans="1:26" ht="14.25" customHeight="1">
      <c r="A253" s="1"/>
      <c r="B253" s="1"/>
      <c r="C253" s="1"/>
      <c r="D253" s="1"/>
      <c r="E253" s="19"/>
      <c r="F253" s="3"/>
      <c r="G253" s="3"/>
      <c r="H253" s="3"/>
      <c r="I253" s="3"/>
      <c r="J253" s="3"/>
      <c r="K253" s="3"/>
      <c r="L253" s="3"/>
      <c r="M253" s="3"/>
      <c r="N253" s="3"/>
      <c r="O253" s="3"/>
      <c r="P253" s="3"/>
      <c r="Q253" s="3"/>
      <c r="R253" s="3"/>
      <c r="S253" s="3"/>
      <c r="T253" s="3"/>
      <c r="U253" s="3"/>
      <c r="V253" s="3"/>
      <c r="W253" s="3"/>
      <c r="X253" s="3"/>
      <c r="Y253" s="3"/>
      <c r="Z253" s="3"/>
    </row>
    <row r="254" spans="1:26" ht="14.25" customHeight="1">
      <c r="A254" s="1"/>
      <c r="B254" s="1"/>
      <c r="C254" s="1"/>
      <c r="D254" s="1"/>
      <c r="E254" s="19"/>
      <c r="F254" s="3"/>
      <c r="G254" s="3"/>
      <c r="H254" s="3"/>
      <c r="I254" s="3"/>
      <c r="J254" s="3"/>
      <c r="K254" s="3"/>
      <c r="L254" s="3"/>
      <c r="M254" s="3"/>
      <c r="N254" s="3"/>
      <c r="O254" s="3"/>
      <c r="P254" s="3"/>
      <c r="Q254" s="3"/>
      <c r="R254" s="3"/>
      <c r="S254" s="3"/>
      <c r="T254" s="3"/>
      <c r="U254" s="3"/>
      <c r="V254" s="3"/>
      <c r="W254" s="3"/>
      <c r="X254" s="3"/>
      <c r="Y254" s="3"/>
      <c r="Z254" s="3"/>
    </row>
    <row r="255" spans="1:26" ht="14.25" customHeight="1">
      <c r="A255" s="1"/>
      <c r="B255" s="1"/>
      <c r="C255" s="1"/>
      <c r="D255" s="1"/>
      <c r="E255" s="19"/>
      <c r="F255" s="3"/>
      <c r="G255" s="3"/>
      <c r="H255" s="3"/>
      <c r="I255" s="3"/>
      <c r="J255" s="3"/>
      <c r="K255" s="3"/>
      <c r="L255" s="3"/>
      <c r="M255" s="3"/>
      <c r="N255" s="3"/>
      <c r="O255" s="3"/>
      <c r="P255" s="3"/>
      <c r="Q255" s="3"/>
      <c r="R255" s="3"/>
      <c r="S255" s="3"/>
      <c r="T255" s="3"/>
      <c r="U255" s="3"/>
      <c r="V255" s="3"/>
      <c r="W255" s="3"/>
      <c r="X255" s="3"/>
      <c r="Y255" s="3"/>
      <c r="Z255" s="3"/>
    </row>
    <row r="256" spans="1:26" ht="14.25" customHeight="1">
      <c r="A256" s="1"/>
      <c r="B256" s="1"/>
      <c r="C256" s="1"/>
      <c r="D256" s="1"/>
      <c r="E256" s="19"/>
      <c r="F256" s="3"/>
      <c r="G256" s="3"/>
      <c r="H256" s="3"/>
      <c r="I256" s="3"/>
      <c r="J256" s="3"/>
      <c r="K256" s="3"/>
      <c r="L256" s="3"/>
      <c r="M256" s="3"/>
      <c r="N256" s="3"/>
      <c r="O256" s="3"/>
      <c r="P256" s="3"/>
      <c r="Q256" s="3"/>
      <c r="R256" s="3"/>
      <c r="S256" s="3"/>
      <c r="T256" s="3"/>
      <c r="U256" s="3"/>
      <c r="V256" s="3"/>
      <c r="W256" s="3"/>
      <c r="X256" s="3"/>
      <c r="Y256" s="3"/>
      <c r="Z256" s="3"/>
    </row>
    <row r="257" spans="1:26" ht="14.25" customHeight="1">
      <c r="A257" s="1"/>
      <c r="B257" s="1"/>
      <c r="C257" s="1"/>
      <c r="D257" s="1"/>
      <c r="E257" s="19"/>
      <c r="F257" s="3"/>
      <c r="G257" s="3"/>
      <c r="H257" s="3"/>
      <c r="I257" s="3"/>
      <c r="J257" s="3"/>
      <c r="K257" s="3"/>
      <c r="L257" s="3"/>
      <c r="M257" s="3"/>
      <c r="N257" s="3"/>
      <c r="O257" s="3"/>
      <c r="P257" s="3"/>
      <c r="Q257" s="3"/>
      <c r="R257" s="3"/>
      <c r="S257" s="3"/>
      <c r="T257" s="3"/>
      <c r="U257" s="3"/>
      <c r="V257" s="3"/>
      <c r="W257" s="3"/>
      <c r="X257" s="3"/>
      <c r="Y257" s="3"/>
      <c r="Z257" s="3"/>
    </row>
    <row r="258" spans="1:26" ht="14.25" customHeight="1">
      <c r="A258" s="1"/>
      <c r="B258" s="1"/>
      <c r="C258" s="1"/>
      <c r="D258" s="1"/>
      <c r="E258" s="19"/>
      <c r="F258" s="3"/>
      <c r="G258" s="3"/>
      <c r="H258" s="3"/>
      <c r="I258" s="3"/>
      <c r="J258" s="3"/>
      <c r="K258" s="3"/>
      <c r="L258" s="3"/>
      <c r="M258" s="3"/>
      <c r="N258" s="3"/>
      <c r="O258" s="3"/>
      <c r="P258" s="3"/>
      <c r="Q258" s="3"/>
      <c r="R258" s="3"/>
      <c r="S258" s="3"/>
      <c r="T258" s="3"/>
      <c r="U258" s="3"/>
      <c r="V258" s="3"/>
      <c r="W258" s="3"/>
      <c r="X258" s="3"/>
      <c r="Y258" s="3"/>
      <c r="Z258" s="3"/>
    </row>
    <row r="259" spans="1:26" ht="14.25" customHeight="1">
      <c r="A259" s="1"/>
      <c r="B259" s="1"/>
      <c r="C259" s="1"/>
      <c r="D259" s="1"/>
      <c r="E259" s="19"/>
      <c r="F259" s="3"/>
      <c r="G259" s="3"/>
      <c r="H259" s="3"/>
      <c r="I259" s="3"/>
      <c r="J259" s="3"/>
      <c r="K259" s="3"/>
      <c r="L259" s="3"/>
      <c r="M259" s="3"/>
      <c r="N259" s="3"/>
      <c r="O259" s="3"/>
      <c r="P259" s="3"/>
      <c r="Q259" s="3"/>
      <c r="R259" s="3"/>
      <c r="S259" s="3"/>
      <c r="T259" s="3"/>
      <c r="U259" s="3"/>
      <c r="V259" s="3"/>
      <c r="W259" s="3"/>
      <c r="X259" s="3"/>
      <c r="Y259" s="3"/>
      <c r="Z259" s="3"/>
    </row>
    <row r="260" spans="1:26" ht="14.25" customHeight="1">
      <c r="A260" s="1"/>
      <c r="B260" s="1"/>
      <c r="C260" s="1"/>
      <c r="D260" s="1"/>
      <c r="E260" s="19"/>
      <c r="F260" s="3"/>
      <c r="G260" s="3"/>
      <c r="H260" s="3"/>
      <c r="I260" s="3"/>
      <c r="J260" s="3"/>
      <c r="K260" s="3"/>
      <c r="L260" s="3"/>
      <c r="M260" s="3"/>
      <c r="N260" s="3"/>
      <c r="O260" s="3"/>
      <c r="P260" s="3"/>
      <c r="Q260" s="3"/>
      <c r="R260" s="3"/>
      <c r="S260" s="3"/>
      <c r="T260" s="3"/>
      <c r="U260" s="3"/>
      <c r="V260" s="3"/>
      <c r="W260" s="3"/>
      <c r="X260" s="3"/>
      <c r="Y260" s="3"/>
      <c r="Z260" s="3"/>
    </row>
    <row r="261" spans="1:26" ht="14.25" customHeight="1">
      <c r="A261" s="1"/>
      <c r="B261" s="1"/>
      <c r="C261" s="1"/>
      <c r="D261" s="1"/>
      <c r="E261" s="19"/>
      <c r="F261" s="3"/>
      <c r="G261" s="3"/>
      <c r="H261" s="3"/>
      <c r="I261" s="3"/>
      <c r="J261" s="3"/>
      <c r="K261" s="3"/>
      <c r="L261" s="3"/>
      <c r="M261" s="3"/>
      <c r="N261" s="3"/>
      <c r="O261" s="3"/>
      <c r="P261" s="3"/>
      <c r="Q261" s="3"/>
      <c r="R261" s="3"/>
      <c r="S261" s="3"/>
      <c r="T261" s="3"/>
      <c r="U261" s="3"/>
      <c r="V261" s="3"/>
      <c r="W261" s="3"/>
      <c r="X261" s="3"/>
      <c r="Y261" s="3"/>
      <c r="Z261" s="3"/>
    </row>
    <row r="262" spans="1:26" ht="14.25" customHeight="1">
      <c r="A262" s="1"/>
      <c r="B262" s="1"/>
      <c r="C262" s="1"/>
      <c r="D262" s="1"/>
      <c r="E262" s="19"/>
      <c r="F262" s="3"/>
      <c r="G262" s="3"/>
      <c r="H262" s="3"/>
      <c r="I262" s="3"/>
      <c r="J262" s="3"/>
      <c r="K262" s="3"/>
      <c r="L262" s="3"/>
      <c r="M262" s="3"/>
      <c r="N262" s="3"/>
      <c r="O262" s="3"/>
      <c r="P262" s="3"/>
      <c r="Q262" s="3"/>
      <c r="R262" s="3"/>
      <c r="S262" s="3"/>
      <c r="T262" s="3"/>
      <c r="U262" s="3"/>
      <c r="V262" s="3"/>
      <c r="W262" s="3"/>
      <c r="X262" s="3"/>
      <c r="Y262" s="3"/>
      <c r="Z262" s="3"/>
    </row>
    <row r="263" spans="1:26" ht="14.25" customHeight="1">
      <c r="A263" s="1"/>
      <c r="B263" s="1"/>
      <c r="C263" s="1"/>
      <c r="D263" s="1"/>
      <c r="E263" s="19"/>
      <c r="F263" s="3"/>
      <c r="G263" s="3"/>
      <c r="H263" s="3"/>
      <c r="I263" s="3"/>
      <c r="J263" s="3"/>
      <c r="K263" s="3"/>
      <c r="L263" s="3"/>
      <c r="M263" s="3"/>
      <c r="N263" s="3"/>
      <c r="O263" s="3"/>
      <c r="P263" s="3"/>
      <c r="Q263" s="3"/>
      <c r="R263" s="3"/>
      <c r="S263" s="3"/>
      <c r="T263" s="3"/>
      <c r="U263" s="3"/>
      <c r="V263" s="3"/>
      <c r="W263" s="3"/>
      <c r="X263" s="3"/>
      <c r="Y263" s="3"/>
      <c r="Z263" s="3"/>
    </row>
    <row r="264" spans="1:26" ht="14.25" customHeight="1">
      <c r="A264" s="1"/>
      <c r="B264" s="1"/>
      <c r="C264" s="1"/>
      <c r="D264" s="1"/>
      <c r="E264" s="19"/>
      <c r="F264" s="3"/>
      <c r="G264" s="3"/>
      <c r="H264" s="3"/>
      <c r="I264" s="3"/>
      <c r="J264" s="3"/>
      <c r="K264" s="3"/>
      <c r="L264" s="3"/>
      <c r="M264" s="3"/>
      <c r="N264" s="3"/>
      <c r="O264" s="3"/>
      <c r="P264" s="3"/>
      <c r="Q264" s="3"/>
      <c r="R264" s="3"/>
      <c r="S264" s="3"/>
      <c r="T264" s="3"/>
      <c r="U264" s="3"/>
      <c r="V264" s="3"/>
      <c r="W264" s="3"/>
      <c r="X264" s="3"/>
      <c r="Y264" s="3"/>
      <c r="Z264" s="3"/>
    </row>
    <row r="265" spans="1:26" ht="14.25" customHeight="1">
      <c r="A265" s="1"/>
      <c r="B265" s="1"/>
      <c r="C265" s="1"/>
      <c r="D265" s="1"/>
      <c r="E265" s="19"/>
      <c r="F265" s="3"/>
      <c r="G265" s="3"/>
      <c r="H265" s="3"/>
      <c r="I265" s="3"/>
      <c r="J265" s="3"/>
      <c r="K265" s="3"/>
      <c r="L265" s="3"/>
      <c r="M265" s="3"/>
      <c r="N265" s="3"/>
      <c r="O265" s="3"/>
      <c r="P265" s="3"/>
      <c r="Q265" s="3"/>
      <c r="R265" s="3"/>
      <c r="S265" s="3"/>
      <c r="T265" s="3"/>
      <c r="U265" s="3"/>
      <c r="V265" s="3"/>
      <c r="W265" s="3"/>
      <c r="X265" s="3"/>
      <c r="Y265" s="3"/>
      <c r="Z265" s="3"/>
    </row>
    <row r="266" spans="1:26" ht="14.25" customHeight="1">
      <c r="A266" s="1"/>
      <c r="B266" s="1"/>
      <c r="C266" s="1"/>
      <c r="D266" s="1"/>
      <c r="E266" s="19"/>
      <c r="F266" s="3"/>
      <c r="G266" s="3"/>
      <c r="H266" s="3"/>
      <c r="I266" s="3"/>
      <c r="J266" s="3"/>
      <c r="K266" s="3"/>
      <c r="L266" s="3"/>
      <c r="M266" s="3"/>
      <c r="N266" s="3"/>
      <c r="O266" s="3"/>
      <c r="P266" s="3"/>
      <c r="Q266" s="3"/>
      <c r="R266" s="3"/>
      <c r="S266" s="3"/>
      <c r="T266" s="3"/>
      <c r="U266" s="3"/>
      <c r="V266" s="3"/>
      <c r="W266" s="3"/>
      <c r="X266" s="3"/>
      <c r="Y266" s="3"/>
      <c r="Z266" s="3"/>
    </row>
    <row r="267" spans="1:26" ht="14.25" customHeight="1">
      <c r="A267" s="1"/>
      <c r="B267" s="1"/>
      <c r="C267" s="1"/>
      <c r="D267" s="1"/>
      <c r="E267" s="19"/>
      <c r="F267" s="3"/>
      <c r="G267" s="3"/>
      <c r="H267" s="3"/>
      <c r="I267" s="3"/>
      <c r="J267" s="3"/>
      <c r="K267" s="3"/>
      <c r="L267" s="3"/>
      <c r="M267" s="3"/>
      <c r="N267" s="3"/>
      <c r="O267" s="3"/>
      <c r="P267" s="3"/>
      <c r="Q267" s="3"/>
      <c r="R267" s="3"/>
      <c r="S267" s="3"/>
      <c r="T267" s="3"/>
      <c r="U267" s="3"/>
      <c r="V267" s="3"/>
      <c r="W267" s="3"/>
      <c r="X267" s="3"/>
      <c r="Y267" s="3"/>
      <c r="Z267" s="3"/>
    </row>
    <row r="268" spans="1:26" ht="14.25" customHeight="1">
      <c r="A268" s="1"/>
      <c r="B268" s="1"/>
      <c r="C268" s="1"/>
      <c r="D268" s="1"/>
      <c r="E268" s="19"/>
      <c r="F268" s="3"/>
      <c r="G268" s="3"/>
      <c r="H268" s="3"/>
      <c r="I268" s="3"/>
      <c r="J268" s="3"/>
      <c r="K268" s="3"/>
      <c r="L268" s="3"/>
      <c r="M268" s="3"/>
      <c r="N268" s="3"/>
      <c r="O268" s="3"/>
      <c r="P268" s="3"/>
      <c r="Q268" s="3"/>
      <c r="R268" s="3"/>
      <c r="S268" s="3"/>
      <c r="T268" s="3"/>
      <c r="U268" s="3"/>
      <c r="V268" s="3"/>
      <c r="W268" s="3"/>
      <c r="X268" s="3"/>
      <c r="Y268" s="3"/>
      <c r="Z268" s="3"/>
    </row>
    <row r="269" spans="1:26" ht="14.25" customHeight="1">
      <c r="A269" s="1"/>
      <c r="B269" s="1"/>
      <c r="C269" s="1"/>
      <c r="D269" s="1"/>
      <c r="E269" s="19"/>
      <c r="F269" s="3"/>
      <c r="G269" s="3"/>
      <c r="H269" s="3"/>
      <c r="I269" s="3"/>
      <c r="J269" s="3"/>
      <c r="K269" s="3"/>
      <c r="L269" s="3"/>
      <c r="M269" s="3"/>
      <c r="N269" s="3"/>
      <c r="O269" s="3"/>
      <c r="P269" s="3"/>
      <c r="Q269" s="3"/>
      <c r="R269" s="3"/>
      <c r="S269" s="3"/>
      <c r="T269" s="3"/>
      <c r="U269" s="3"/>
      <c r="V269" s="3"/>
      <c r="W269" s="3"/>
      <c r="X269" s="3"/>
      <c r="Y269" s="3"/>
      <c r="Z269" s="3"/>
    </row>
    <row r="270" spans="1:26" ht="14.25" customHeight="1">
      <c r="A270" s="1"/>
      <c r="B270" s="1"/>
      <c r="C270" s="1"/>
      <c r="D270" s="1"/>
      <c r="E270" s="19"/>
      <c r="F270" s="3"/>
      <c r="G270" s="3"/>
      <c r="H270" s="3"/>
      <c r="I270" s="3"/>
      <c r="J270" s="3"/>
      <c r="K270" s="3"/>
      <c r="L270" s="3"/>
      <c r="M270" s="3"/>
      <c r="N270" s="3"/>
      <c r="O270" s="3"/>
      <c r="P270" s="3"/>
      <c r="Q270" s="3"/>
      <c r="R270" s="3"/>
      <c r="S270" s="3"/>
      <c r="T270" s="3"/>
      <c r="U270" s="3"/>
      <c r="V270" s="3"/>
      <c r="W270" s="3"/>
      <c r="X270" s="3"/>
      <c r="Y270" s="3"/>
      <c r="Z270" s="3"/>
    </row>
    <row r="271" spans="1:26" ht="14.25" customHeight="1">
      <c r="A271" s="1"/>
      <c r="B271" s="1"/>
      <c r="C271" s="1"/>
      <c r="D271" s="1"/>
      <c r="E271" s="19"/>
      <c r="F271" s="3"/>
      <c r="G271" s="3"/>
      <c r="H271" s="3"/>
      <c r="I271" s="3"/>
      <c r="J271" s="3"/>
      <c r="K271" s="3"/>
      <c r="L271" s="3"/>
      <c r="M271" s="3"/>
      <c r="N271" s="3"/>
      <c r="O271" s="3"/>
      <c r="P271" s="3"/>
      <c r="Q271" s="3"/>
      <c r="R271" s="3"/>
      <c r="S271" s="3"/>
      <c r="T271" s="3"/>
      <c r="U271" s="3"/>
      <c r="V271" s="3"/>
      <c r="W271" s="3"/>
      <c r="X271" s="3"/>
      <c r="Y271" s="3"/>
      <c r="Z271" s="3"/>
    </row>
    <row r="272" spans="1:26" ht="14.25" customHeight="1">
      <c r="A272" s="1"/>
      <c r="B272" s="1"/>
      <c r="C272" s="1"/>
      <c r="D272" s="1"/>
      <c r="E272" s="19"/>
      <c r="F272" s="3"/>
      <c r="G272" s="3"/>
      <c r="H272" s="3"/>
      <c r="I272" s="3"/>
      <c r="J272" s="3"/>
      <c r="K272" s="3"/>
      <c r="L272" s="3"/>
      <c r="M272" s="3"/>
      <c r="N272" s="3"/>
      <c r="O272" s="3"/>
      <c r="P272" s="3"/>
      <c r="Q272" s="3"/>
      <c r="R272" s="3"/>
      <c r="S272" s="3"/>
      <c r="T272" s="3"/>
      <c r="U272" s="3"/>
      <c r="V272" s="3"/>
      <c r="W272" s="3"/>
      <c r="X272" s="3"/>
      <c r="Y272" s="3"/>
      <c r="Z272" s="3"/>
    </row>
    <row r="273" spans="1:26" ht="14.25" customHeight="1">
      <c r="A273" s="1"/>
      <c r="B273" s="1"/>
      <c r="C273" s="1"/>
      <c r="D273" s="1"/>
      <c r="E273" s="19"/>
      <c r="F273" s="3"/>
      <c r="G273" s="3"/>
      <c r="H273" s="3"/>
      <c r="I273" s="3"/>
      <c r="J273" s="3"/>
      <c r="K273" s="3"/>
      <c r="L273" s="3"/>
      <c r="M273" s="3"/>
      <c r="N273" s="3"/>
      <c r="O273" s="3"/>
      <c r="P273" s="3"/>
      <c r="Q273" s="3"/>
      <c r="R273" s="3"/>
      <c r="S273" s="3"/>
      <c r="T273" s="3"/>
      <c r="U273" s="3"/>
      <c r="V273" s="3"/>
      <c r="W273" s="3"/>
      <c r="X273" s="3"/>
      <c r="Y273" s="3"/>
      <c r="Z273" s="3"/>
    </row>
    <row r="274" spans="1:26" ht="14.25" customHeight="1">
      <c r="A274" s="1"/>
      <c r="B274" s="1"/>
      <c r="C274" s="1"/>
      <c r="D274" s="1"/>
      <c r="E274" s="19"/>
      <c r="F274" s="3"/>
      <c r="G274" s="3"/>
      <c r="H274" s="3"/>
      <c r="I274" s="3"/>
      <c r="J274" s="3"/>
      <c r="K274" s="3"/>
      <c r="L274" s="3"/>
      <c r="M274" s="3"/>
      <c r="N274" s="3"/>
      <c r="O274" s="3"/>
      <c r="P274" s="3"/>
      <c r="Q274" s="3"/>
      <c r="R274" s="3"/>
      <c r="S274" s="3"/>
      <c r="T274" s="3"/>
      <c r="U274" s="3"/>
      <c r="V274" s="3"/>
      <c r="W274" s="3"/>
      <c r="X274" s="3"/>
      <c r="Y274" s="3"/>
      <c r="Z274" s="3"/>
    </row>
    <row r="275" spans="1:26" ht="14.25" customHeight="1">
      <c r="A275" s="1"/>
      <c r="B275" s="1"/>
      <c r="C275" s="1"/>
      <c r="D275" s="1"/>
      <c r="E275" s="19"/>
      <c r="F275" s="3"/>
      <c r="G275" s="3"/>
      <c r="H275" s="3"/>
      <c r="I275" s="3"/>
      <c r="J275" s="3"/>
      <c r="K275" s="3"/>
      <c r="L275" s="3"/>
      <c r="M275" s="3"/>
      <c r="N275" s="3"/>
      <c r="O275" s="3"/>
      <c r="P275" s="3"/>
      <c r="Q275" s="3"/>
      <c r="R275" s="3"/>
      <c r="S275" s="3"/>
      <c r="T275" s="3"/>
      <c r="U275" s="3"/>
      <c r="V275" s="3"/>
      <c r="W275" s="3"/>
      <c r="X275" s="3"/>
      <c r="Y275" s="3"/>
      <c r="Z275" s="3"/>
    </row>
    <row r="276" spans="1:26" ht="14.25" customHeight="1">
      <c r="A276" s="1"/>
      <c r="B276" s="1"/>
      <c r="C276" s="1"/>
      <c r="D276" s="1"/>
      <c r="E276" s="19"/>
      <c r="F276" s="3"/>
      <c r="G276" s="3"/>
      <c r="H276" s="3"/>
      <c r="I276" s="3"/>
      <c r="J276" s="3"/>
      <c r="K276" s="3"/>
      <c r="L276" s="3"/>
      <c r="M276" s="3"/>
      <c r="N276" s="3"/>
      <c r="O276" s="3"/>
      <c r="P276" s="3"/>
      <c r="Q276" s="3"/>
      <c r="R276" s="3"/>
      <c r="S276" s="3"/>
      <c r="T276" s="3"/>
      <c r="U276" s="3"/>
      <c r="V276" s="3"/>
      <c r="W276" s="3"/>
      <c r="X276" s="3"/>
      <c r="Y276" s="3"/>
      <c r="Z276" s="3"/>
    </row>
    <row r="277" spans="1:26" ht="14.25" customHeight="1">
      <c r="A277" s="1"/>
      <c r="B277" s="1"/>
      <c r="C277" s="1"/>
      <c r="D277" s="1"/>
      <c r="E277" s="19"/>
      <c r="F277" s="3"/>
      <c r="G277" s="3"/>
      <c r="H277" s="3"/>
      <c r="I277" s="3"/>
      <c r="J277" s="3"/>
      <c r="K277" s="3"/>
      <c r="L277" s="3"/>
      <c r="M277" s="3"/>
      <c r="N277" s="3"/>
      <c r="O277" s="3"/>
      <c r="P277" s="3"/>
      <c r="Q277" s="3"/>
      <c r="R277" s="3"/>
      <c r="S277" s="3"/>
      <c r="T277" s="3"/>
      <c r="U277" s="3"/>
      <c r="V277" s="3"/>
      <c r="W277" s="3"/>
      <c r="X277" s="3"/>
      <c r="Y277" s="3"/>
      <c r="Z277" s="3"/>
    </row>
    <row r="278" spans="1:26" ht="14.25" customHeight="1">
      <c r="A278" s="1"/>
      <c r="B278" s="1"/>
      <c r="C278" s="1"/>
      <c r="D278" s="1"/>
      <c r="E278" s="19"/>
      <c r="F278" s="3"/>
      <c r="G278" s="3"/>
      <c r="H278" s="3"/>
      <c r="I278" s="3"/>
      <c r="J278" s="3"/>
      <c r="K278" s="3"/>
      <c r="L278" s="3"/>
      <c r="M278" s="3"/>
      <c r="N278" s="3"/>
      <c r="O278" s="3"/>
      <c r="P278" s="3"/>
      <c r="Q278" s="3"/>
      <c r="R278" s="3"/>
      <c r="S278" s="3"/>
      <c r="T278" s="3"/>
      <c r="U278" s="3"/>
      <c r="V278" s="3"/>
      <c r="W278" s="3"/>
      <c r="X278" s="3"/>
      <c r="Y278" s="3"/>
      <c r="Z278" s="3"/>
    </row>
    <row r="279" spans="1:26" ht="14.25" customHeight="1">
      <c r="A279" s="1"/>
      <c r="B279" s="1"/>
      <c r="C279" s="1"/>
      <c r="D279" s="1"/>
      <c r="E279" s="19"/>
      <c r="F279" s="3"/>
      <c r="G279" s="3"/>
      <c r="H279" s="3"/>
      <c r="I279" s="3"/>
      <c r="J279" s="3"/>
      <c r="K279" s="3"/>
      <c r="L279" s="3"/>
      <c r="M279" s="3"/>
      <c r="N279" s="3"/>
      <c r="O279" s="3"/>
      <c r="P279" s="3"/>
      <c r="Q279" s="3"/>
      <c r="R279" s="3"/>
      <c r="S279" s="3"/>
      <c r="T279" s="3"/>
      <c r="U279" s="3"/>
      <c r="V279" s="3"/>
      <c r="W279" s="3"/>
      <c r="X279" s="3"/>
      <c r="Y279" s="3"/>
      <c r="Z279" s="3"/>
    </row>
    <row r="280" spans="1:26" ht="14.25" customHeight="1">
      <c r="A280" s="1"/>
      <c r="B280" s="1"/>
      <c r="C280" s="1"/>
      <c r="D280" s="1"/>
      <c r="E280" s="19"/>
      <c r="F280" s="3"/>
      <c r="G280" s="3"/>
      <c r="H280" s="3"/>
      <c r="I280" s="3"/>
      <c r="J280" s="3"/>
      <c r="K280" s="3"/>
      <c r="L280" s="3"/>
      <c r="M280" s="3"/>
      <c r="N280" s="3"/>
      <c r="O280" s="3"/>
      <c r="P280" s="3"/>
      <c r="Q280" s="3"/>
      <c r="R280" s="3"/>
      <c r="S280" s="3"/>
      <c r="T280" s="3"/>
      <c r="U280" s="3"/>
      <c r="V280" s="3"/>
      <c r="W280" s="3"/>
      <c r="X280" s="3"/>
      <c r="Y280" s="3"/>
      <c r="Z280" s="3"/>
    </row>
    <row r="281" spans="1:26" ht="14.25" customHeight="1">
      <c r="A281" s="1"/>
      <c r="B281" s="1"/>
      <c r="C281" s="1"/>
      <c r="D281" s="1"/>
      <c r="E281" s="19"/>
      <c r="F281" s="3"/>
      <c r="G281" s="3"/>
      <c r="H281" s="3"/>
      <c r="I281" s="3"/>
      <c r="J281" s="3"/>
      <c r="K281" s="3"/>
      <c r="L281" s="3"/>
      <c r="M281" s="3"/>
      <c r="N281" s="3"/>
      <c r="O281" s="3"/>
      <c r="P281" s="3"/>
      <c r="Q281" s="3"/>
      <c r="R281" s="3"/>
      <c r="S281" s="3"/>
      <c r="T281" s="3"/>
      <c r="U281" s="3"/>
      <c r="V281" s="3"/>
      <c r="W281" s="3"/>
      <c r="X281" s="3"/>
      <c r="Y281" s="3"/>
      <c r="Z281" s="3"/>
    </row>
    <row r="282" spans="1:26" ht="14.25" customHeight="1">
      <c r="A282" s="1"/>
      <c r="B282" s="1"/>
      <c r="C282" s="1"/>
      <c r="D282" s="1"/>
      <c r="E282" s="19"/>
      <c r="F282" s="3"/>
      <c r="G282" s="3"/>
      <c r="H282" s="3"/>
      <c r="I282" s="3"/>
      <c r="J282" s="3"/>
      <c r="K282" s="3"/>
      <c r="L282" s="3"/>
      <c r="M282" s="3"/>
      <c r="N282" s="3"/>
      <c r="O282" s="3"/>
      <c r="P282" s="3"/>
      <c r="Q282" s="3"/>
      <c r="R282" s="3"/>
      <c r="S282" s="3"/>
      <c r="T282" s="3"/>
      <c r="U282" s="3"/>
      <c r="V282" s="3"/>
      <c r="W282" s="3"/>
      <c r="X282" s="3"/>
      <c r="Y282" s="3"/>
      <c r="Z282" s="3"/>
    </row>
    <row r="283" spans="1:26" ht="14.25" customHeight="1">
      <c r="A283" s="1"/>
      <c r="B283" s="1"/>
      <c r="C283" s="1"/>
      <c r="D283" s="1"/>
      <c r="E283" s="19"/>
      <c r="F283" s="3"/>
      <c r="G283" s="3"/>
      <c r="H283" s="3"/>
      <c r="I283" s="3"/>
      <c r="J283" s="3"/>
      <c r="K283" s="3"/>
      <c r="L283" s="3"/>
      <c r="M283" s="3"/>
      <c r="N283" s="3"/>
      <c r="O283" s="3"/>
      <c r="P283" s="3"/>
      <c r="Q283" s="3"/>
      <c r="R283" s="3"/>
      <c r="S283" s="3"/>
      <c r="T283" s="3"/>
      <c r="U283" s="3"/>
      <c r="V283" s="3"/>
      <c r="W283" s="3"/>
      <c r="X283" s="3"/>
      <c r="Y283" s="3"/>
      <c r="Z283" s="3"/>
    </row>
    <row r="284" spans="1:26" ht="14.25" customHeight="1">
      <c r="A284" s="1"/>
      <c r="B284" s="1"/>
      <c r="C284" s="1"/>
      <c r="D284" s="1"/>
      <c r="E284" s="19"/>
      <c r="F284" s="3"/>
      <c r="G284" s="3"/>
      <c r="H284" s="3"/>
      <c r="I284" s="3"/>
      <c r="J284" s="3"/>
      <c r="K284" s="3"/>
      <c r="L284" s="3"/>
      <c r="M284" s="3"/>
      <c r="N284" s="3"/>
      <c r="O284" s="3"/>
      <c r="P284" s="3"/>
      <c r="Q284" s="3"/>
      <c r="R284" s="3"/>
      <c r="S284" s="3"/>
      <c r="T284" s="3"/>
      <c r="U284" s="3"/>
      <c r="V284" s="3"/>
      <c r="W284" s="3"/>
      <c r="X284" s="3"/>
      <c r="Y284" s="3"/>
      <c r="Z284" s="3"/>
    </row>
    <row r="285" spans="1:26" ht="14.25" customHeight="1">
      <c r="A285" s="1"/>
      <c r="B285" s="1"/>
      <c r="C285" s="1"/>
      <c r="D285" s="1"/>
      <c r="E285" s="19"/>
      <c r="F285" s="3"/>
      <c r="G285" s="3"/>
      <c r="H285" s="3"/>
      <c r="I285" s="3"/>
      <c r="J285" s="3"/>
      <c r="K285" s="3"/>
      <c r="L285" s="3"/>
      <c r="M285" s="3"/>
      <c r="N285" s="3"/>
      <c r="O285" s="3"/>
      <c r="P285" s="3"/>
      <c r="Q285" s="3"/>
      <c r="R285" s="3"/>
      <c r="S285" s="3"/>
      <c r="T285" s="3"/>
      <c r="U285" s="3"/>
      <c r="V285" s="3"/>
      <c r="W285" s="3"/>
      <c r="X285" s="3"/>
      <c r="Y285" s="3"/>
      <c r="Z285" s="3"/>
    </row>
    <row r="286" spans="1:26" ht="14.25" customHeight="1">
      <c r="A286" s="1"/>
      <c r="B286" s="1"/>
      <c r="C286" s="1"/>
      <c r="D286" s="1"/>
      <c r="E286" s="19"/>
      <c r="F286" s="3"/>
      <c r="G286" s="3"/>
      <c r="H286" s="3"/>
      <c r="I286" s="3"/>
      <c r="J286" s="3"/>
      <c r="K286" s="3"/>
      <c r="L286" s="3"/>
      <c r="M286" s="3"/>
      <c r="N286" s="3"/>
      <c r="O286" s="3"/>
      <c r="P286" s="3"/>
      <c r="Q286" s="3"/>
      <c r="R286" s="3"/>
      <c r="S286" s="3"/>
      <c r="T286" s="3"/>
      <c r="U286" s="3"/>
      <c r="V286" s="3"/>
      <c r="W286" s="3"/>
      <c r="X286" s="3"/>
      <c r="Y286" s="3"/>
      <c r="Z286" s="3"/>
    </row>
    <row r="287" spans="1:26" ht="14.25" customHeight="1">
      <c r="A287" s="1"/>
      <c r="B287" s="1"/>
      <c r="C287" s="1"/>
      <c r="D287" s="1"/>
      <c r="E287" s="19"/>
      <c r="F287" s="3"/>
      <c r="G287" s="3"/>
      <c r="H287" s="3"/>
      <c r="I287" s="3"/>
      <c r="J287" s="3"/>
      <c r="K287" s="3"/>
      <c r="L287" s="3"/>
      <c r="M287" s="3"/>
      <c r="N287" s="3"/>
      <c r="O287" s="3"/>
      <c r="P287" s="3"/>
      <c r="Q287" s="3"/>
      <c r="R287" s="3"/>
      <c r="S287" s="3"/>
      <c r="T287" s="3"/>
      <c r="U287" s="3"/>
      <c r="V287" s="3"/>
      <c r="W287" s="3"/>
      <c r="X287" s="3"/>
      <c r="Y287" s="3"/>
      <c r="Z287" s="3"/>
    </row>
    <row r="288" spans="1:26" ht="14.25" customHeight="1">
      <c r="A288" s="1"/>
      <c r="B288" s="1"/>
      <c r="C288" s="1"/>
      <c r="D288" s="1"/>
      <c r="E288" s="19"/>
      <c r="F288" s="3"/>
      <c r="G288" s="3"/>
      <c r="H288" s="3"/>
      <c r="I288" s="3"/>
      <c r="J288" s="3"/>
      <c r="K288" s="3"/>
      <c r="L288" s="3"/>
      <c r="M288" s="3"/>
      <c r="N288" s="3"/>
      <c r="O288" s="3"/>
      <c r="P288" s="3"/>
      <c r="Q288" s="3"/>
      <c r="R288" s="3"/>
      <c r="S288" s="3"/>
      <c r="T288" s="3"/>
      <c r="U288" s="3"/>
      <c r="V288" s="3"/>
      <c r="W288" s="3"/>
      <c r="X288" s="3"/>
      <c r="Y288" s="3"/>
      <c r="Z288" s="3"/>
    </row>
    <row r="289" spans="1:26" ht="14.25" customHeight="1">
      <c r="A289" s="1"/>
      <c r="B289" s="1"/>
      <c r="C289" s="1"/>
      <c r="D289" s="1"/>
      <c r="E289" s="19"/>
      <c r="F289" s="3"/>
      <c r="G289" s="3"/>
      <c r="H289" s="3"/>
      <c r="I289" s="3"/>
      <c r="J289" s="3"/>
      <c r="K289" s="3"/>
      <c r="L289" s="3"/>
      <c r="M289" s="3"/>
      <c r="N289" s="3"/>
      <c r="O289" s="3"/>
      <c r="P289" s="3"/>
      <c r="Q289" s="3"/>
      <c r="R289" s="3"/>
      <c r="S289" s="3"/>
      <c r="T289" s="3"/>
      <c r="U289" s="3"/>
      <c r="V289" s="3"/>
      <c r="W289" s="3"/>
      <c r="X289" s="3"/>
      <c r="Y289" s="3"/>
      <c r="Z289" s="3"/>
    </row>
    <row r="290" spans="1:26" ht="14.25" customHeight="1">
      <c r="A290" s="1"/>
      <c r="B290" s="1"/>
      <c r="C290" s="1"/>
      <c r="D290" s="1"/>
      <c r="E290" s="19"/>
      <c r="F290" s="3"/>
      <c r="G290" s="3"/>
      <c r="H290" s="3"/>
      <c r="I290" s="3"/>
      <c r="J290" s="3"/>
      <c r="K290" s="3"/>
      <c r="L290" s="3"/>
      <c r="M290" s="3"/>
      <c r="N290" s="3"/>
      <c r="O290" s="3"/>
      <c r="P290" s="3"/>
      <c r="Q290" s="3"/>
      <c r="R290" s="3"/>
      <c r="S290" s="3"/>
      <c r="T290" s="3"/>
      <c r="U290" s="3"/>
      <c r="V290" s="3"/>
      <c r="W290" s="3"/>
      <c r="X290" s="3"/>
      <c r="Y290" s="3"/>
      <c r="Z290" s="3"/>
    </row>
    <row r="291" spans="1:26" ht="14.25" customHeight="1">
      <c r="A291" s="1"/>
      <c r="B291" s="1"/>
      <c r="C291" s="1"/>
      <c r="D291" s="1"/>
      <c r="E291" s="19"/>
      <c r="F291" s="3"/>
      <c r="G291" s="3"/>
      <c r="H291" s="3"/>
      <c r="I291" s="3"/>
      <c r="J291" s="3"/>
      <c r="K291" s="3"/>
      <c r="L291" s="3"/>
      <c r="M291" s="3"/>
      <c r="N291" s="3"/>
      <c r="O291" s="3"/>
      <c r="P291" s="3"/>
      <c r="Q291" s="3"/>
      <c r="R291" s="3"/>
      <c r="S291" s="3"/>
      <c r="T291" s="3"/>
      <c r="U291" s="3"/>
      <c r="V291" s="3"/>
      <c r="W291" s="3"/>
      <c r="X291" s="3"/>
      <c r="Y291" s="3"/>
      <c r="Z291" s="3"/>
    </row>
    <row r="292" spans="1:26" ht="14.25" customHeight="1">
      <c r="A292" s="1"/>
      <c r="B292" s="1"/>
      <c r="C292" s="1"/>
      <c r="D292" s="1"/>
      <c r="E292" s="19"/>
      <c r="F292" s="3"/>
      <c r="G292" s="3"/>
      <c r="H292" s="3"/>
      <c r="I292" s="3"/>
      <c r="J292" s="3"/>
      <c r="K292" s="3"/>
      <c r="L292" s="3"/>
      <c r="M292" s="3"/>
      <c r="N292" s="3"/>
      <c r="O292" s="3"/>
      <c r="P292" s="3"/>
      <c r="Q292" s="3"/>
      <c r="R292" s="3"/>
      <c r="S292" s="3"/>
      <c r="T292" s="3"/>
      <c r="U292" s="3"/>
      <c r="V292" s="3"/>
      <c r="W292" s="3"/>
      <c r="X292" s="3"/>
      <c r="Y292" s="3"/>
      <c r="Z292" s="3"/>
    </row>
    <row r="293" spans="1:26" ht="14.25" customHeight="1">
      <c r="A293" s="1"/>
      <c r="B293" s="1"/>
      <c r="C293" s="1"/>
      <c r="D293" s="1"/>
      <c r="E293" s="19"/>
      <c r="F293" s="3"/>
      <c r="G293" s="3"/>
      <c r="H293" s="3"/>
      <c r="I293" s="3"/>
      <c r="J293" s="3"/>
      <c r="K293" s="3"/>
      <c r="L293" s="3"/>
      <c r="M293" s="3"/>
      <c r="N293" s="3"/>
      <c r="O293" s="3"/>
      <c r="P293" s="3"/>
      <c r="Q293" s="3"/>
      <c r="R293" s="3"/>
      <c r="S293" s="3"/>
      <c r="T293" s="3"/>
      <c r="U293" s="3"/>
      <c r="V293" s="3"/>
      <c r="W293" s="3"/>
      <c r="X293" s="3"/>
      <c r="Y293" s="3"/>
      <c r="Z293" s="3"/>
    </row>
    <row r="294" spans="1:26" ht="14.25" customHeight="1">
      <c r="A294" s="1"/>
      <c r="B294" s="1"/>
      <c r="C294" s="1"/>
      <c r="D294" s="1"/>
      <c r="E294" s="19"/>
      <c r="F294" s="3"/>
      <c r="G294" s="3"/>
      <c r="H294" s="3"/>
      <c r="I294" s="3"/>
      <c r="J294" s="3"/>
      <c r="K294" s="3"/>
      <c r="L294" s="3"/>
      <c r="M294" s="3"/>
      <c r="N294" s="3"/>
      <c r="O294" s="3"/>
      <c r="P294" s="3"/>
      <c r="Q294" s="3"/>
      <c r="R294" s="3"/>
      <c r="S294" s="3"/>
      <c r="T294" s="3"/>
      <c r="U294" s="3"/>
      <c r="V294" s="3"/>
      <c r="W294" s="3"/>
      <c r="X294" s="3"/>
      <c r="Y294" s="3"/>
      <c r="Z294" s="3"/>
    </row>
    <row r="295" spans="1:26" ht="14.25" customHeight="1">
      <c r="A295" s="1"/>
      <c r="B295" s="1"/>
      <c r="C295" s="1"/>
      <c r="D295" s="1"/>
      <c r="E295" s="19"/>
      <c r="F295" s="3"/>
      <c r="G295" s="3"/>
      <c r="H295" s="3"/>
      <c r="I295" s="3"/>
      <c r="J295" s="3"/>
      <c r="K295" s="3"/>
      <c r="L295" s="3"/>
      <c r="M295" s="3"/>
      <c r="N295" s="3"/>
      <c r="O295" s="3"/>
      <c r="P295" s="3"/>
      <c r="Q295" s="3"/>
      <c r="R295" s="3"/>
      <c r="S295" s="3"/>
      <c r="T295" s="3"/>
      <c r="U295" s="3"/>
      <c r="V295" s="3"/>
      <c r="W295" s="3"/>
      <c r="X295" s="3"/>
      <c r="Y295" s="3"/>
      <c r="Z295" s="3"/>
    </row>
    <row r="296" spans="1:26" ht="14.25" customHeight="1">
      <c r="A296" s="1"/>
      <c r="B296" s="1"/>
      <c r="C296" s="1"/>
      <c r="D296" s="1"/>
      <c r="E296" s="19"/>
      <c r="F296" s="3"/>
      <c r="G296" s="3"/>
      <c r="H296" s="3"/>
      <c r="I296" s="3"/>
      <c r="J296" s="3"/>
      <c r="K296" s="3"/>
      <c r="L296" s="3"/>
      <c r="M296" s="3"/>
      <c r="N296" s="3"/>
      <c r="O296" s="3"/>
      <c r="P296" s="3"/>
      <c r="Q296" s="3"/>
      <c r="R296" s="3"/>
      <c r="S296" s="3"/>
      <c r="T296" s="3"/>
      <c r="U296" s="3"/>
      <c r="V296" s="3"/>
      <c r="W296" s="3"/>
      <c r="X296" s="3"/>
      <c r="Y296" s="3"/>
      <c r="Z296" s="3"/>
    </row>
    <row r="297" spans="1:26" ht="14.25" customHeight="1">
      <c r="A297" s="1"/>
      <c r="B297" s="1"/>
      <c r="C297" s="1"/>
      <c r="D297" s="1"/>
      <c r="E297" s="19"/>
      <c r="F297" s="3"/>
      <c r="G297" s="3"/>
      <c r="H297" s="3"/>
      <c r="I297" s="3"/>
      <c r="J297" s="3"/>
      <c r="K297" s="3"/>
      <c r="L297" s="3"/>
      <c r="M297" s="3"/>
      <c r="N297" s="3"/>
      <c r="O297" s="3"/>
      <c r="P297" s="3"/>
      <c r="Q297" s="3"/>
      <c r="R297" s="3"/>
      <c r="S297" s="3"/>
      <c r="T297" s="3"/>
      <c r="U297" s="3"/>
      <c r="V297" s="3"/>
      <c r="W297" s="3"/>
      <c r="X297" s="3"/>
      <c r="Y297" s="3"/>
      <c r="Z297" s="3"/>
    </row>
    <row r="298" spans="1:26" ht="14.25" customHeight="1">
      <c r="A298" s="1"/>
      <c r="B298" s="1"/>
      <c r="C298" s="1"/>
      <c r="D298" s="1"/>
      <c r="E298" s="19"/>
      <c r="F298" s="3"/>
      <c r="G298" s="3"/>
      <c r="H298" s="3"/>
      <c r="I298" s="3"/>
      <c r="J298" s="3"/>
      <c r="K298" s="3"/>
      <c r="L298" s="3"/>
      <c r="M298" s="3"/>
      <c r="N298" s="3"/>
      <c r="O298" s="3"/>
      <c r="P298" s="3"/>
      <c r="Q298" s="3"/>
      <c r="R298" s="3"/>
      <c r="S298" s="3"/>
      <c r="T298" s="3"/>
      <c r="U298" s="3"/>
      <c r="V298" s="3"/>
      <c r="W298" s="3"/>
      <c r="X298" s="3"/>
      <c r="Y298" s="3"/>
      <c r="Z298" s="3"/>
    </row>
    <row r="299" spans="1:26" ht="14.25" customHeight="1">
      <c r="A299" s="1"/>
      <c r="B299" s="1"/>
      <c r="C299" s="1"/>
      <c r="D299" s="1"/>
      <c r="E299" s="19"/>
      <c r="F299" s="3"/>
      <c r="G299" s="3"/>
      <c r="H299" s="3"/>
      <c r="I299" s="3"/>
      <c r="J299" s="3"/>
      <c r="K299" s="3"/>
      <c r="L299" s="3"/>
      <c r="M299" s="3"/>
      <c r="N299" s="3"/>
      <c r="O299" s="3"/>
      <c r="P299" s="3"/>
      <c r="Q299" s="3"/>
      <c r="R299" s="3"/>
      <c r="S299" s="3"/>
      <c r="T299" s="3"/>
      <c r="U299" s="3"/>
      <c r="V299" s="3"/>
      <c r="W299" s="3"/>
      <c r="X299" s="3"/>
      <c r="Y299" s="3"/>
      <c r="Z299" s="3"/>
    </row>
    <row r="300" spans="1:26" ht="14.25" customHeight="1">
      <c r="A300" s="1"/>
      <c r="B300" s="1"/>
      <c r="C300" s="1"/>
      <c r="D300" s="1"/>
      <c r="E300" s="19"/>
      <c r="F300" s="3"/>
      <c r="G300" s="3"/>
      <c r="H300" s="3"/>
      <c r="I300" s="3"/>
      <c r="J300" s="3"/>
      <c r="K300" s="3"/>
      <c r="L300" s="3"/>
      <c r="M300" s="3"/>
      <c r="N300" s="3"/>
      <c r="O300" s="3"/>
      <c r="P300" s="3"/>
      <c r="Q300" s="3"/>
      <c r="R300" s="3"/>
      <c r="S300" s="3"/>
      <c r="T300" s="3"/>
      <c r="U300" s="3"/>
      <c r="V300" s="3"/>
      <c r="W300" s="3"/>
      <c r="X300" s="3"/>
      <c r="Y300" s="3"/>
      <c r="Z300" s="3"/>
    </row>
    <row r="301" spans="1:26" ht="14.25" customHeight="1">
      <c r="A301" s="1"/>
      <c r="B301" s="1"/>
      <c r="C301" s="1"/>
      <c r="D301" s="1"/>
      <c r="E301" s="19"/>
      <c r="F301" s="3"/>
      <c r="G301" s="3"/>
      <c r="H301" s="3"/>
      <c r="I301" s="3"/>
      <c r="J301" s="3"/>
      <c r="K301" s="3"/>
      <c r="L301" s="3"/>
      <c r="M301" s="3"/>
      <c r="N301" s="3"/>
      <c r="O301" s="3"/>
      <c r="P301" s="3"/>
      <c r="Q301" s="3"/>
      <c r="R301" s="3"/>
      <c r="S301" s="3"/>
      <c r="T301" s="3"/>
      <c r="U301" s="3"/>
      <c r="V301" s="3"/>
      <c r="W301" s="3"/>
      <c r="X301" s="3"/>
      <c r="Y301" s="3"/>
      <c r="Z301" s="3"/>
    </row>
    <row r="302" spans="1:26" ht="14.25" customHeight="1">
      <c r="A302" s="1"/>
      <c r="B302" s="1"/>
      <c r="C302" s="1"/>
      <c r="D302" s="1"/>
      <c r="E302" s="19"/>
      <c r="F302" s="3"/>
      <c r="G302" s="3"/>
      <c r="H302" s="3"/>
      <c r="I302" s="3"/>
      <c r="J302" s="3"/>
      <c r="K302" s="3"/>
      <c r="L302" s="3"/>
      <c r="M302" s="3"/>
      <c r="N302" s="3"/>
      <c r="O302" s="3"/>
      <c r="P302" s="3"/>
      <c r="Q302" s="3"/>
      <c r="R302" s="3"/>
      <c r="S302" s="3"/>
      <c r="T302" s="3"/>
      <c r="U302" s="3"/>
      <c r="V302" s="3"/>
      <c r="W302" s="3"/>
      <c r="X302" s="3"/>
      <c r="Y302" s="3"/>
      <c r="Z302" s="3"/>
    </row>
    <row r="303" spans="1:26" ht="14.25" customHeight="1">
      <c r="A303" s="1"/>
      <c r="B303" s="1"/>
      <c r="C303" s="1"/>
      <c r="D303" s="1"/>
      <c r="E303" s="19"/>
      <c r="F303" s="3"/>
      <c r="G303" s="3"/>
      <c r="H303" s="3"/>
      <c r="I303" s="3"/>
      <c r="J303" s="3"/>
      <c r="K303" s="3"/>
      <c r="L303" s="3"/>
      <c r="M303" s="3"/>
      <c r="N303" s="3"/>
      <c r="O303" s="3"/>
      <c r="P303" s="3"/>
      <c r="Q303" s="3"/>
      <c r="R303" s="3"/>
      <c r="S303" s="3"/>
      <c r="T303" s="3"/>
      <c r="U303" s="3"/>
      <c r="V303" s="3"/>
      <c r="W303" s="3"/>
      <c r="X303" s="3"/>
      <c r="Y303" s="3"/>
      <c r="Z303" s="3"/>
    </row>
    <row r="304" spans="1:26" ht="14.25" customHeight="1">
      <c r="A304" s="1"/>
      <c r="B304" s="1"/>
      <c r="C304" s="1"/>
      <c r="D304" s="1"/>
      <c r="E304" s="19"/>
      <c r="F304" s="3"/>
      <c r="G304" s="3"/>
      <c r="H304" s="3"/>
      <c r="I304" s="3"/>
      <c r="J304" s="3"/>
      <c r="K304" s="3"/>
      <c r="L304" s="3"/>
      <c r="M304" s="3"/>
      <c r="N304" s="3"/>
      <c r="O304" s="3"/>
      <c r="P304" s="3"/>
      <c r="Q304" s="3"/>
      <c r="R304" s="3"/>
      <c r="S304" s="3"/>
      <c r="T304" s="3"/>
      <c r="U304" s="3"/>
      <c r="V304" s="3"/>
      <c r="W304" s="3"/>
      <c r="X304" s="3"/>
      <c r="Y304" s="3"/>
      <c r="Z304" s="3"/>
    </row>
    <row r="305" spans="1:26" ht="14.25" customHeight="1">
      <c r="A305" s="1"/>
      <c r="B305" s="1"/>
      <c r="C305" s="1"/>
      <c r="D305" s="1"/>
      <c r="E305" s="19"/>
      <c r="F305" s="3"/>
      <c r="G305" s="3"/>
      <c r="H305" s="3"/>
      <c r="I305" s="3"/>
      <c r="J305" s="3"/>
      <c r="K305" s="3"/>
      <c r="L305" s="3"/>
      <c r="M305" s="3"/>
      <c r="N305" s="3"/>
      <c r="O305" s="3"/>
      <c r="P305" s="3"/>
      <c r="Q305" s="3"/>
      <c r="R305" s="3"/>
      <c r="S305" s="3"/>
      <c r="T305" s="3"/>
      <c r="U305" s="3"/>
      <c r="V305" s="3"/>
      <c r="W305" s="3"/>
      <c r="X305" s="3"/>
      <c r="Y305" s="3"/>
      <c r="Z305" s="3"/>
    </row>
    <row r="306" spans="1:26" ht="14.25" customHeight="1">
      <c r="A306" s="1"/>
      <c r="B306" s="1"/>
      <c r="C306" s="1"/>
      <c r="D306" s="1"/>
      <c r="E306" s="19"/>
      <c r="F306" s="3"/>
      <c r="G306" s="3"/>
      <c r="H306" s="3"/>
      <c r="I306" s="3"/>
      <c r="J306" s="3"/>
      <c r="K306" s="3"/>
      <c r="L306" s="3"/>
      <c r="M306" s="3"/>
      <c r="N306" s="3"/>
      <c r="O306" s="3"/>
      <c r="P306" s="3"/>
      <c r="Q306" s="3"/>
      <c r="R306" s="3"/>
      <c r="S306" s="3"/>
      <c r="T306" s="3"/>
      <c r="U306" s="3"/>
      <c r="V306" s="3"/>
      <c r="W306" s="3"/>
      <c r="X306" s="3"/>
      <c r="Y306" s="3"/>
      <c r="Z306" s="3"/>
    </row>
    <row r="307" spans="1:26" ht="14.25" customHeight="1">
      <c r="A307" s="1"/>
      <c r="B307" s="1"/>
      <c r="C307" s="1"/>
      <c r="D307" s="1"/>
      <c r="E307" s="19"/>
      <c r="F307" s="3"/>
      <c r="G307" s="3"/>
      <c r="H307" s="3"/>
      <c r="I307" s="3"/>
      <c r="J307" s="3"/>
      <c r="K307" s="3"/>
      <c r="L307" s="3"/>
      <c r="M307" s="3"/>
      <c r="N307" s="3"/>
      <c r="O307" s="3"/>
      <c r="P307" s="3"/>
      <c r="Q307" s="3"/>
      <c r="R307" s="3"/>
      <c r="S307" s="3"/>
      <c r="T307" s="3"/>
      <c r="U307" s="3"/>
      <c r="V307" s="3"/>
      <c r="W307" s="3"/>
      <c r="X307" s="3"/>
      <c r="Y307" s="3"/>
      <c r="Z307" s="3"/>
    </row>
    <row r="308" spans="1:26" ht="14.25" customHeight="1">
      <c r="A308" s="1"/>
      <c r="B308" s="1"/>
      <c r="C308" s="1"/>
      <c r="D308" s="1"/>
      <c r="E308" s="19"/>
      <c r="F308" s="3"/>
      <c r="G308" s="3"/>
      <c r="H308" s="3"/>
      <c r="I308" s="3"/>
      <c r="J308" s="3"/>
      <c r="K308" s="3"/>
      <c r="L308" s="3"/>
      <c r="M308" s="3"/>
      <c r="N308" s="3"/>
      <c r="O308" s="3"/>
      <c r="P308" s="3"/>
      <c r="Q308" s="3"/>
      <c r="R308" s="3"/>
      <c r="S308" s="3"/>
      <c r="T308" s="3"/>
      <c r="U308" s="3"/>
      <c r="V308" s="3"/>
      <c r="W308" s="3"/>
      <c r="X308" s="3"/>
      <c r="Y308" s="3"/>
      <c r="Z308" s="3"/>
    </row>
    <row r="309" spans="1:26" ht="14.25" customHeight="1">
      <c r="A309" s="1"/>
      <c r="B309" s="1"/>
      <c r="C309" s="1"/>
      <c r="D309" s="1"/>
      <c r="E309" s="19"/>
      <c r="F309" s="3"/>
      <c r="G309" s="3"/>
      <c r="H309" s="3"/>
      <c r="I309" s="3"/>
      <c r="J309" s="3"/>
      <c r="K309" s="3"/>
      <c r="L309" s="3"/>
      <c r="M309" s="3"/>
      <c r="N309" s="3"/>
      <c r="O309" s="3"/>
      <c r="P309" s="3"/>
      <c r="Q309" s="3"/>
      <c r="R309" s="3"/>
      <c r="S309" s="3"/>
      <c r="T309" s="3"/>
      <c r="U309" s="3"/>
      <c r="V309" s="3"/>
      <c r="W309" s="3"/>
      <c r="X309" s="3"/>
      <c r="Y309" s="3"/>
      <c r="Z309" s="3"/>
    </row>
    <row r="310" spans="1:26" ht="14.25" customHeight="1">
      <c r="A310" s="1"/>
      <c r="B310" s="1"/>
      <c r="C310" s="1"/>
      <c r="D310" s="1"/>
      <c r="E310" s="19"/>
      <c r="F310" s="3"/>
      <c r="G310" s="3"/>
      <c r="H310" s="3"/>
      <c r="I310" s="3"/>
      <c r="J310" s="3"/>
      <c r="K310" s="3"/>
      <c r="L310" s="3"/>
      <c r="M310" s="3"/>
      <c r="N310" s="3"/>
      <c r="O310" s="3"/>
      <c r="P310" s="3"/>
      <c r="Q310" s="3"/>
      <c r="R310" s="3"/>
      <c r="S310" s="3"/>
      <c r="T310" s="3"/>
      <c r="U310" s="3"/>
      <c r="V310" s="3"/>
      <c r="W310" s="3"/>
      <c r="X310" s="3"/>
      <c r="Y310" s="3"/>
      <c r="Z310" s="3"/>
    </row>
    <row r="311" spans="1:26" ht="14.25" customHeight="1">
      <c r="A311" s="1"/>
      <c r="B311" s="1"/>
      <c r="C311" s="1"/>
      <c r="D311" s="1"/>
      <c r="E311" s="19"/>
      <c r="F311" s="3"/>
      <c r="G311" s="3"/>
      <c r="H311" s="3"/>
      <c r="I311" s="3"/>
      <c r="J311" s="3"/>
      <c r="K311" s="3"/>
      <c r="L311" s="3"/>
      <c r="M311" s="3"/>
      <c r="N311" s="3"/>
      <c r="O311" s="3"/>
      <c r="P311" s="3"/>
      <c r="Q311" s="3"/>
      <c r="R311" s="3"/>
      <c r="S311" s="3"/>
      <c r="T311" s="3"/>
      <c r="U311" s="3"/>
      <c r="V311" s="3"/>
      <c r="W311" s="3"/>
      <c r="X311" s="3"/>
      <c r="Y311" s="3"/>
      <c r="Z311" s="3"/>
    </row>
    <row r="312" spans="1:26" ht="14.25" customHeight="1">
      <c r="A312" s="1"/>
      <c r="B312" s="1"/>
      <c r="C312" s="1"/>
      <c r="D312" s="1"/>
      <c r="E312" s="19"/>
      <c r="F312" s="3"/>
      <c r="G312" s="3"/>
      <c r="H312" s="3"/>
      <c r="I312" s="3"/>
      <c r="J312" s="3"/>
      <c r="K312" s="3"/>
      <c r="L312" s="3"/>
      <c r="M312" s="3"/>
      <c r="N312" s="3"/>
      <c r="O312" s="3"/>
      <c r="P312" s="3"/>
      <c r="Q312" s="3"/>
      <c r="R312" s="3"/>
      <c r="S312" s="3"/>
      <c r="T312" s="3"/>
      <c r="U312" s="3"/>
      <c r="V312" s="3"/>
      <c r="W312" s="3"/>
      <c r="X312" s="3"/>
      <c r="Y312" s="3"/>
      <c r="Z312" s="3"/>
    </row>
    <row r="313" spans="1:26" ht="14.25" customHeight="1">
      <c r="A313" s="1"/>
      <c r="B313" s="1"/>
      <c r="C313" s="1"/>
      <c r="D313" s="1"/>
      <c r="E313" s="19"/>
      <c r="F313" s="3"/>
      <c r="G313" s="3"/>
      <c r="H313" s="3"/>
      <c r="I313" s="3"/>
      <c r="J313" s="3"/>
      <c r="K313" s="3"/>
      <c r="L313" s="3"/>
      <c r="M313" s="3"/>
      <c r="N313" s="3"/>
      <c r="O313" s="3"/>
      <c r="P313" s="3"/>
      <c r="Q313" s="3"/>
      <c r="R313" s="3"/>
      <c r="S313" s="3"/>
      <c r="T313" s="3"/>
      <c r="U313" s="3"/>
      <c r="V313" s="3"/>
      <c r="W313" s="3"/>
      <c r="X313" s="3"/>
      <c r="Y313" s="3"/>
      <c r="Z313" s="3"/>
    </row>
    <row r="314" spans="1:26" ht="14.25" customHeight="1">
      <c r="A314" s="1"/>
      <c r="B314" s="1"/>
      <c r="C314" s="1"/>
      <c r="D314" s="1"/>
      <c r="E314" s="19"/>
      <c r="F314" s="3"/>
      <c r="G314" s="3"/>
      <c r="H314" s="3"/>
      <c r="I314" s="3"/>
      <c r="J314" s="3"/>
      <c r="K314" s="3"/>
      <c r="L314" s="3"/>
      <c r="M314" s="3"/>
      <c r="N314" s="3"/>
      <c r="O314" s="3"/>
      <c r="P314" s="3"/>
      <c r="Q314" s="3"/>
      <c r="R314" s="3"/>
      <c r="S314" s="3"/>
      <c r="T314" s="3"/>
      <c r="U314" s="3"/>
      <c r="V314" s="3"/>
      <c r="W314" s="3"/>
      <c r="X314" s="3"/>
      <c r="Y314" s="3"/>
      <c r="Z314" s="3"/>
    </row>
    <row r="315" spans="1:26" ht="14.25" customHeight="1">
      <c r="A315" s="1"/>
      <c r="B315" s="1"/>
      <c r="C315" s="1"/>
      <c r="D315" s="1"/>
      <c r="E315" s="19"/>
      <c r="F315" s="3"/>
      <c r="G315" s="3"/>
      <c r="H315" s="3"/>
      <c r="I315" s="3"/>
      <c r="J315" s="3"/>
      <c r="K315" s="3"/>
      <c r="L315" s="3"/>
      <c r="M315" s="3"/>
      <c r="N315" s="3"/>
      <c r="O315" s="3"/>
      <c r="P315" s="3"/>
      <c r="Q315" s="3"/>
      <c r="R315" s="3"/>
      <c r="S315" s="3"/>
      <c r="T315" s="3"/>
      <c r="U315" s="3"/>
      <c r="V315" s="3"/>
      <c r="W315" s="3"/>
      <c r="X315" s="3"/>
      <c r="Y315" s="3"/>
      <c r="Z315" s="3"/>
    </row>
    <row r="316" spans="1:26" ht="14.25" customHeight="1">
      <c r="A316" s="1"/>
      <c r="B316" s="1"/>
      <c r="C316" s="1"/>
      <c r="D316" s="1"/>
      <c r="E316" s="19"/>
      <c r="F316" s="3"/>
      <c r="G316" s="3"/>
      <c r="H316" s="3"/>
      <c r="I316" s="3"/>
      <c r="J316" s="3"/>
      <c r="K316" s="3"/>
      <c r="L316" s="3"/>
      <c r="M316" s="3"/>
      <c r="N316" s="3"/>
      <c r="O316" s="3"/>
      <c r="P316" s="3"/>
      <c r="Q316" s="3"/>
      <c r="R316" s="3"/>
      <c r="S316" s="3"/>
      <c r="T316" s="3"/>
      <c r="U316" s="3"/>
      <c r="V316" s="3"/>
      <c r="W316" s="3"/>
      <c r="X316" s="3"/>
      <c r="Y316" s="3"/>
      <c r="Z316" s="3"/>
    </row>
    <row r="317" spans="1:26" ht="14.25" customHeight="1">
      <c r="A317" s="1"/>
      <c r="B317" s="1"/>
      <c r="C317" s="1"/>
      <c r="D317" s="1"/>
      <c r="E317" s="19"/>
      <c r="F317" s="3"/>
      <c r="G317" s="3"/>
      <c r="H317" s="3"/>
      <c r="I317" s="3"/>
      <c r="J317" s="3"/>
      <c r="K317" s="3"/>
      <c r="L317" s="3"/>
      <c r="M317" s="3"/>
      <c r="N317" s="3"/>
      <c r="O317" s="3"/>
      <c r="P317" s="3"/>
      <c r="Q317" s="3"/>
      <c r="R317" s="3"/>
      <c r="S317" s="3"/>
      <c r="T317" s="3"/>
      <c r="U317" s="3"/>
      <c r="V317" s="3"/>
      <c r="W317" s="3"/>
      <c r="X317" s="3"/>
      <c r="Y317" s="3"/>
      <c r="Z317" s="3"/>
    </row>
    <row r="318" spans="1:26" ht="14.25" customHeight="1">
      <c r="A318" s="1"/>
      <c r="B318" s="1"/>
      <c r="C318" s="1"/>
      <c r="D318" s="1"/>
      <c r="E318" s="19"/>
      <c r="F318" s="3"/>
      <c r="G318" s="3"/>
      <c r="H318" s="3"/>
      <c r="I318" s="3"/>
      <c r="J318" s="3"/>
      <c r="K318" s="3"/>
      <c r="L318" s="3"/>
      <c r="M318" s="3"/>
      <c r="N318" s="3"/>
      <c r="O318" s="3"/>
      <c r="P318" s="3"/>
      <c r="Q318" s="3"/>
      <c r="R318" s="3"/>
      <c r="S318" s="3"/>
      <c r="T318" s="3"/>
      <c r="U318" s="3"/>
      <c r="V318" s="3"/>
      <c r="W318" s="3"/>
      <c r="X318" s="3"/>
      <c r="Y318" s="3"/>
      <c r="Z318" s="3"/>
    </row>
    <row r="319" spans="1:26" ht="14.25" customHeight="1">
      <c r="A319" s="1"/>
      <c r="B319" s="1"/>
      <c r="C319" s="1"/>
      <c r="D319" s="1"/>
      <c r="E319" s="19"/>
      <c r="F319" s="3"/>
      <c r="G319" s="3"/>
      <c r="H319" s="3"/>
      <c r="I319" s="3"/>
      <c r="J319" s="3"/>
      <c r="K319" s="3"/>
      <c r="L319" s="3"/>
      <c r="M319" s="3"/>
      <c r="N319" s="3"/>
      <c r="O319" s="3"/>
      <c r="P319" s="3"/>
      <c r="Q319" s="3"/>
      <c r="R319" s="3"/>
      <c r="S319" s="3"/>
      <c r="T319" s="3"/>
      <c r="U319" s="3"/>
      <c r="V319" s="3"/>
      <c r="W319" s="3"/>
      <c r="X319" s="3"/>
      <c r="Y319" s="3"/>
      <c r="Z319" s="3"/>
    </row>
    <row r="320" spans="1:26" ht="14.25" customHeight="1">
      <c r="A320" s="1"/>
      <c r="B320" s="1"/>
      <c r="C320" s="1"/>
      <c r="D320" s="1"/>
      <c r="E320" s="19"/>
      <c r="F320" s="3"/>
      <c r="G320" s="3"/>
      <c r="H320" s="3"/>
      <c r="I320" s="3"/>
      <c r="J320" s="3"/>
      <c r="K320" s="3"/>
      <c r="L320" s="3"/>
      <c r="M320" s="3"/>
      <c r="N320" s="3"/>
      <c r="O320" s="3"/>
      <c r="P320" s="3"/>
      <c r="Q320" s="3"/>
      <c r="R320" s="3"/>
      <c r="S320" s="3"/>
      <c r="T320" s="3"/>
      <c r="U320" s="3"/>
      <c r="V320" s="3"/>
      <c r="W320" s="3"/>
      <c r="X320" s="3"/>
      <c r="Y320" s="3"/>
      <c r="Z320" s="3"/>
    </row>
    <row r="321" spans="1:26" ht="14.25" customHeight="1">
      <c r="A321" s="1"/>
      <c r="B321" s="1"/>
      <c r="C321" s="1"/>
      <c r="D321" s="1"/>
      <c r="E321" s="19"/>
      <c r="F321" s="3"/>
      <c r="G321" s="3"/>
      <c r="H321" s="3"/>
      <c r="I321" s="3"/>
      <c r="J321" s="3"/>
      <c r="K321" s="3"/>
      <c r="L321" s="3"/>
      <c r="M321" s="3"/>
      <c r="N321" s="3"/>
      <c r="O321" s="3"/>
      <c r="P321" s="3"/>
      <c r="Q321" s="3"/>
      <c r="R321" s="3"/>
      <c r="S321" s="3"/>
      <c r="T321" s="3"/>
      <c r="U321" s="3"/>
      <c r="V321" s="3"/>
      <c r="W321" s="3"/>
      <c r="X321" s="3"/>
      <c r="Y321" s="3"/>
      <c r="Z321" s="3"/>
    </row>
    <row r="322" spans="1:26" ht="14.25" customHeight="1">
      <c r="A322" s="1"/>
      <c r="B322" s="1"/>
      <c r="C322" s="1"/>
      <c r="D322" s="1"/>
      <c r="E322" s="19"/>
      <c r="F322" s="3"/>
      <c r="G322" s="3"/>
      <c r="H322" s="3"/>
      <c r="I322" s="3"/>
      <c r="J322" s="3"/>
      <c r="K322" s="3"/>
      <c r="L322" s="3"/>
      <c r="M322" s="3"/>
      <c r="N322" s="3"/>
      <c r="O322" s="3"/>
      <c r="P322" s="3"/>
      <c r="Q322" s="3"/>
      <c r="R322" s="3"/>
      <c r="S322" s="3"/>
      <c r="T322" s="3"/>
      <c r="U322" s="3"/>
      <c r="V322" s="3"/>
      <c r="W322" s="3"/>
      <c r="X322" s="3"/>
      <c r="Y322" s="3"/>
      <c r="Z322" s="3"/>
    </row>
    <row r="323" spans="1:26" ht="14.25" customHeight="1">
      <c r="A323" s="1"/>
      <c r="B323" s="1"/>
      <c r="C323" s="1"/>
      <c r="D323" s="1"/>
      <c r="E323" s="19"/>
      <c r="F323" s="3"/>
      <c r="G323" s="3"/>
      <c r="H323" s="3"/>
      <c r="I323" s="3"/>
      <c r="J323" s="3"/>
      <c r="K323" s="3"/>
      <c r="L323" s="3"/>
      <c r="M323" s="3"/>
      <c r="N323" s="3"/>
      <c r="O323" s="3"/>
      <c r="P323" s="3"/>
      <c r="Q323" s="3"/>
      <c r="R323" s="3"/>
      <c r="S323" s="3"/>
      <c r="T323" s="3"/>
      <c r="U323" s="3"/>
      <c r="V323" s="3"/>
      <c r="W323" s="3"/>
      <c r="X323" s="3"/>
      <c r="Y323" s="3"/>
      <c r="Z323" s="3"/>
    </row>
    <row r="324" spans="1:26" ht="14.25" customHeight="1">
      <c r="A324" s="1"/>
      <c r="B324" s="1"/>
      <c r="C324" s="1"/>
      <c r="D324" s="1"/>
      <c r="E324" s="19"/>
      <c r="F324" s="3"/>
      <c r="G324" s="3"/>
      <c r="H324" s="3"/>
      <c r="I324" s="3"/>
      <c r="J324" s="3"/>
      <c r="K324" s="3"/>
      <c r="L324" s="3"/>
      <c r="M324" s="3"/>
      <c r="N324" s="3"/>
      <c r="O324" s="3"/>
      <c r="P324" s="3"/>
      <c r="Q324" s="3"/>
      <c r="R324" s="3"/>
      <c r="S324" s="3"/>
      <c r="T324" s="3"/>
      <c r="U324" s="3"/>
      <c r="V324" s="3"/>
      <c r="W324" s="3"/>
      <c r="X324" s="3"/>
      <c r="Y324" s="3"/>
      <c r="Z324" s="3"/>
    </row>
    <row r="325" spans="1:26" ht="14.25" customHeight="1">
      <c r="A325" s="1"/>
      <c r="B325" s="1"/>
      <c r="C325" s="1"/>
      <c r="D325" s="1"/>
      <c r="E325" s="19"/>
      <c r="F325" s="3"/>
      <c r="G325" s="3"/>
      <c r="H325" s="3"/>
      <c r="I325" s="3"/>
      <c r="J325" s="3"/>
      <c r="K325" s="3"/>
      <c r="L325" s="3"/>
      <c r="M325" s="3"/>
      <c r="N325" s="3"/>
      <c r="O325" s="3"/>
      <c r="P325" s="3"/>
      <c r="Q325" s="3"/>
      <c r="R325" s="3"/>
      <c r="S325" s="3"/>
      <c r="T325" s="3"/>
      <c r="U325" s="3"/>
      <c r="V325" s="3"/>
      <c r="W325" s="3"/>
      <c r="X325" s="3"/>
      <c r="Y325" s="3"/>
      <c r="Z325" s="3"/>
    </row>
    <row r="326" spans="1:26" ht="14.25" customHeight="1">
      <c r="A326" s="1"/>
      <c r="B326" s="1"/>
      <c r="C326" s="1"/>
      <c r="D326" s="1"/>
      <c r="E326" s="19"/>
      <c r="F326" s="3"/>
      <c r="G326" s="3"/>
      <c r="H326" s="3"/>
      <c r="I326" s="3"/>
      <c r="J326" s="3"/>
      <c r="K326" s="3"/>
      <c r="L326" s="3"/>
      <c r="M326" s="3"/>
      <c r="N326" s="3"/>
      <c r="O326" s="3"/>
      <c r="P326" s="3"/>
      <c r="Q326" s="3"/>
      <c r="R326" s="3"/>
      <c r="S326" s="3"/>
      <c r="T326" s="3"/>
      <c r="U326" s="3"/>
      <c r="V326" s="3"/>
      <c r="W326" s="3"/>
      <c r="X326" s="3"/>
      <c r="Y326" s="3"/>
      <c r="Z326" s="3"/>
    </row>
    <row r="327" spans="1:26" ht="14.25" customHeight="1">
      <c r="A327" s="1"/>
      <c r="B327" s="1"/>
      <c r="C327" s="1"/>
      <c r="D327" s="1"/>
      <c r="E327" s="19"/>
      <c r="F327" s="3"/>
      <c r="G327" s="3"/>
      <c r="H327" s="3"/>
      <c r="I327" s="3"/>
      <c r="J327" s="3"/>
      <c r="K327" s="3"/>
      <c r="L327" s="3"/>
      <c r="M327" s="3"/>
      <c r="N327" s="3"/>
      <c r="O327" s="3"/>
      <c r="P327" s="3"/>
      <c r="Q327" s="3"/>
      <c r="R327" s="3"/>
      <c r="S327" s="3"/>
      <c r="T327" s="3"/>
      <c r="U327" s="3"/>
      <c r="V327" s="3"/>
      <c r="W327" s="3"/>
      <c r="X327" s="3"/>
      <c r="Y327" s="3"/>
      <c r="Z327" s="3"/>
    </row>
    <row r="328" spans="1:26" ht="14.25" customHeight="1">
      <c r="A328" s="1"/>
      <c r="B328" s="1"/>
      <c r="C328" s="1"/>
      <c r="D328" s="1"/>
      <c r="E328" s="19"/>
      <c r="F328" s="3"/>
      <c r="G328" s="3"/>
      <c r="H328" s="3"/>
      <c r="I328" s="3"/>
      <c r="J328" s="3"/>
      <c r="K328" s="3"/>
      <c r="L328" s="3"/>
      <c r="M328" s="3"/>
      <c r="N328" s="3"/>
      <c r="O328" s="3"/>
      <c r="P328" s="3"/>
      <c r="Q328" s="3"/>
      <c r="R328" s="3"/>
      <c r="S328" s="3"/>
      <c r="T328" s="3"/>
      <c r="U328" s="3"/>
      <c r="V328" s="3"/>
      <c r="W328" s="3"/>
      <c r="X328" s="3"/>
      <c r="Y328" s="3"/>
      <c r="Z328" s="3"/>
    </row>
    <row r="329" spans="1:26" ht="14.25" customHeight="1">
      <c r="A329" s="1"/>
      <c r="B329" s="1"/>
      <c r="C329" s="1"/>
      <c r="D329" s="1"/>
      <c r="E329" s="19"/>
      <c r="F329" s="3"/>
      <c r="G329" s="3"/>
      <c r="H329" s="3"/>
      <c r="I329" s="3"/>
      <c r="J329" s="3"/>
      <c r="K329" s="3"/>
      <c r="L329" s="3"/>
      <c r="M329" s="3"/>
      <c r="N329" s="3"/>
      <c r="O329" s="3"/>
      <c r="P329" s="3"/>
      <c r="Q329" s="3"/>
      <c r="R329" s="3"/>
      <c r="S329" s="3"/>
      <c r="T329" s="3"/>
      <c r="U329" s="3"/>
      <c r="V329" s="3"/>
      <c r="W329" s="3"/>
      <c r="X329" s="3"/>
      <c r="Y329" s="3"/>
      <c r="Z329" s="3"/>
    </row>
    <row r="330" spans="1:26" ht="14.25" customHeight="1">
      <c r="A330" s="1"/>
      <c r="B330" s="1"/>
      <c r="C330" s="1"/>
      <c r="D330" s="1"/>
      <c r="E330" s="19"/>
      <c r="F330" s="3"/>
      <c r="G330" s="3"/>
      <c r="H330" s="3"/>
      <c r="I330" s="3"/>
      <c r="J330" s="3"/>
      <c r="K330" s="3"/>
      <c r="L330" s="3"/>
      <c r="M330" s="3"/>
      <c r="N330" s="3"/>
      <c r="O330" s="3"/>
      <c r="P330" s="3"/>
      <c r="Q330" s="3"/>
      <c r="R330" s="3"/>
      <c r="S330" s="3"/>
      <c r="T330" s="3"/>
      <c r="U330" s="3"/>
      <c r="V330" s="3"/>
      <c r="W330" s="3"/>
      <c r="X330" s="3"/>
      <c r="Y330" s="3"/>
      <c r="Z330" s="3"/>
    </row>
    <row r="331" spans="1:26" ht="14.25" customHeight="1">
      <c r="A331" s="1"/>
      <c r="B331" s="1"/>
      <c r="C331" s="1"/>
      <c r="D331" s="1"/>
      <c r="E331" s="19"/>
      <c r="F331" s="3"/>
      <c r="G331" s="3"/>
      <c r="H331" s="3"/>
      <c r="I331" s="3"/>
      <c r="J331" s="3"/>
      <c r="K331" s="3"/>
      <c r="L331" s="3"/>
      <c r="M331" s="3"/>
      <c r="N331" s="3"/>
      <c r="O331" s="3"/>
      <c r="P331" s="3"/>
      <c r="Q331" s="3"/>
      <c r="R331" s="3"/>
      <c r="S331" s="3"/>
      <c r="T331" s="3"/>
      <c r="U331" s="3"/>
      <c r="V331" s="3"/>
      <c r="W331" s="3"/>
      <c r="X331" s="3"/>
      <c r="Y331" s="3"/>
      <c r="Z331" s="3"/>
    </row>
    <row r="332" spans="1:26" ht="14.25" customHeight="1">
      <c r="A332" s="1"/>
      <c r="B332" s="1"/>
      <c r="C332" s="1"/>
      <c r="D332" s="1"/>
      <c r="E332" s="19"/>
      <c r="F332" s="3"/>
      <c r="G332" s="3"/>
      <c r="H332" s="3"/>
      <c r="I332" s="3"/>
      <c r="J332" s="3"/>
      <c r="K332" s="3"/>
      <c r="L332" s="3"/>
      <c r="M332" s="3"/>
      <c r="N332" s="3"/>
      <c r="O332" s="3"/>
      <c r="P332" s="3"/>
      <c r="Q332" s="3"/>
      <c r="R332" s="3"/>
      <c r="S332" s="3"/>
      <c r="T332" s="3"/>
      <c r="U332" s="3"/>
      <c r="V332" s="3"/>
      <c r="W332" s="3"/>
      <c r="X332" s="3"/>
      <c r="Y332" s="3"/>
      <c r="Z332" s="3"/>
    </row>
    <row r="333" spans="1:26" ht="14.25" customHeight="1">
      <c r="A333" s="1"/>
      <c r="B333" s="1"/>
      <c r="C333" s="1"/>
      <c r="D333" s="1"/>
      <c r="E333" s="19"/>
      <c r="F333" s="3"/>
      <c r="G333" s="3"/>
      <c r="H333" s="3"/>
      <c r="I333" s="3"/>
      <c r="J333" s="3"/>
      <c r="K333" s="3"/>
      <c r="L333" s="3"/>
      <c r="M333" s="3"/>
      <c r="N333" s="3"/>
      <c r="O333" s="3"/>
      <c r="P333" s="3"/>
      <c r="Q333" s="3"/>
      <c r="R333" s="3"/>
      <c r="S333" s="3"/>
      <c r="T333" s="3"/>
      <c r="U333" s="3"/>
      <c r="V333" s="3"/>
      <c r="W333" s="3"/>
      <c r="X333" s="3"/>
      <c r="Y333" s="3"/>
      <c r="Z333" s="3"/>
    </row>
    <row r="334" spans="1:26" ht="14.25" customHeight="1">
      <c r="A334" s="1"/>
      <c r="B334" s="1"/>
      <c r="C334" s="1"/>
      <c r="D334" s="1"/>
      <c r="E334" s="19"/>
      <c r="F334" s="3"/>
      <c r="G334" s="3"/>
      <c r="H334" s="3"/>
      <c r="I334" s="3"/>
      <c r="J334" s="3"/>
      <c r="K334" s="3"/>
      <c r="L334" s="3"/>
      <c r="M334" s="3"/>
      <c r="N334" s="3"/>
      <c r="O334" s="3"/>
      <c r="P334" s="3"/>
      <c r="Q334" s="3"/>
      <c r="R334" s="3"/>
      <c r="S334" s="3"/>
      <c r="T334" s="3"/>
      <c r="U334" s="3"/>
      <c r="V334" s="3"/>
      <c r="W334" s="3"/>
      <c r="X334" s="3"/>
      <c r="Y334" s="3"/>
      <c r="Z334" s="3"/>
    </row>
    <row r="335" spans="1:26" ht="14.25" customHeight="1">
      <c r="A335" s="1"/>
      <c r="B335" s="1"/>
      <c r="C335" s="1"/>
      <c r="D335" s="1"/>
      <c r="E335" s="19"/>
      <c r="F335" s="3"/>
      <c r="G335" s="3"/>
      <c r="H335" s="3"/>
      <c r="I335" s="3"/>
      <c r="J335" s="3"/>
      <c r="K335" s="3"/>
      <c r="L335" s="3"/>
      <c r="M335" s="3"/>
      <c r="N335" s="3"/>
      <c r="O335" s="3"/>
      <c r="P335" s="3"/>
      <c r="Q335" s="3"/>
      <c r="R335" s="3"/>
      <c r="S335" s="3"/>
      <c r="T335" s="3"/>
      <c r="U335" s="3"/>
      <c r="V335" s="3"/>
      <c r="W335" s="3"/>
      <c r="X335" s="3"/>
      <c r="Y335" s="3"/>
      <c r="Z335" s="3"/>
    </row>
    <row r="336" spans="1:26" ht="14.25" customHeight="1">
      <c r="A336" s="1"/>
      <c r="B336" s="1"/>
      <c r="C336" s="1"/>
      <c r="D336" s="1"/>
      <c r="E336" s="19"/>
      <c r="F336" s="3"/>
      <c r="G336" s="3"/>
      <c r="H336" s="3"/>
      <c r="I336" s="3"/>
      <c r="J336" s="3"/>
      <c r="K336" s="3"/>
      <c r="L336" s="3"/>
      <c r="M336" s="3"/>
      <c r="N336" s="3"/>
      <c r="O336" s="3"/>
      <c r="P336" s="3"/>
      <c r="Q336" s="3"/>
      <c r="R336" s="3"/>
      <c r="S336" s="3"/>
      <c r="T336" s="3"/>
      <c r="U336" s="3"/>
      <c r="V336" s="3"/>
      <c r="W336" s="3"/>
      <c r="X336" s="3"/>
      <c r="Y336" s="3"/>
      <c r="Z336" s="3"/>
    </row>
    <row r="337" spans="1:26" ht="14.25" customHeight="1">
      <c r="A337" s="1"/>
      <c r="B337" s="1"/>
      <c r="C337" s="1"/>
      <c r="D337" s="1"/>
      <c r="E337" s="19"/>
      <c r="F337" s="3"/>
      <c r="G337" s="3"/>
      <c r="H337" s="3"/>
      <c r="I337" s="3"/>
      <c r="J337" s="3"/>
      <c r="K337" s="3"/>
      <c r="L337" s="3"/>
      <c r="M337" s="3"/>
      <c r="N337" s="3"/>
      <c r="O337" s="3"/>
      <c r="P337" s="3"/>
      <c r="Q337" s="3"/>
      <c r="R337" s="3"/>
      <c r="S337" s="3"/>
      <c r="T337" s="3"/>
      <c r="U337" s="3"/>
      <c r="V337" s="3"/>
      <c r="W337" s="3"/>
      <c r="X337" s="3"/>
      <c r="Y337" s="3"/>
      <c r="Z337" s="3"/>
    </row>
    <row r="338" spans="1:26" ht="14.25" customHeight="1">
      <c r="A338" s="1"/>
      <c r="B338" s="1"/>
      <c r="C338" s="1"/>
      <c r="D338" s="1"/>
      <c r="E338" s="19"/>
      <c r="F338" s="3"/>
      <c r="G338" s="3"/>
      <c r="H338" s="3"/>
      <c r="I338" s="3"/>
      <c r="J338" s="3"/>
      <c r="K338" s="3"/>
      <c r="L338" s="3"/>
      <c r="M338" s="3"/>
      <c r="N338" s="3"/>
      <c r="O338" s="3"/>
      <c r="P338" s="3"/>
      <c r="Q338" s="3"/>
      <c r="R338" s="3"/>
      <c r="S338" s="3"/>
      <c r="T338" s="3"/>
      <c r="U338" s="3"/>
      <c r="V338" s="3"/>
      <c r="W338" s="3"/>
      <c r="X338" s="3"/>
      <c r="Y338" s="3"/>
      <c r="Z338" s="3"/>
    </row>
    <row r="339" spans="1:26" ht="14.25" customHeight="1">
      <c r="A339" s="1"/>
      <c r="B339" s="1"/>
      <c r="C339" s="1"/>
      <c r="D339" s="1"/>
      <c r="E339" s="19"/>
      <c r="F339" s="3"/>
      <c r="G339" s="3"/>
      <c r="H339" s="3"/>
      <c r="I339" s="3"/>
      <c r="J339" s="3"/>
      <c r="K339" s="3"/>
      <c r="L339" s="3"/>
      <c r="M339" s="3"/>
      <c r="N339" s="3"/>
      <c r="O339" s="3"/>
      <c r="P339" s="3"/>
      <c r="Q339" s="3"/>
      <c r="R339" s="3"/>
      <c r="S339" s="3"/>
      <c r="T339" s="3"/>
      <c r="U339" s="3"/>
      <c r="V339" s="3"/>
      <c r="W339" s="3"/>
      <c r="X339" s="3"/>
      <c r="Y339" s="3"/>
      <c r="Z339" s="3"/>
    </row>
    <row r="340" spans="1:26" ht="14.25" customHeight="1">
      <c r="A340" s="1"/>
      <c r="B340" s="1"/>
      <c r="C340" s="1"/>
      <c r="D340" s="1"/>
      <c r="E340" s="19"/>
      <c r="F340" s="3"/>
      <c r="G340" s="3"/>
      <c r="H340" s="3"/>
      <c r="I340" s="3"/>
      <c r="J340" s="3"/>
      <c r="K340" s="3"/>
      <c r="L340" s="3"/>
      <c r="M340" s="3"/>
      <c r="N340" s="3"/>
      <c r="O340" s="3"/>
      <c r="P340" s="3"/>
      <c r="Q340" s="3"/>
      <c r="R340" s="3"/>
      <c r="S340" s="3"/>
      <c r="T340" s="3"/>
      <c r="U340" s="3"/>
      <c r="V340" s="3"/>
      <c r="W340" s="3"/>
      <c r="X340" s="3"/>
      <c r="Y340" s="3"/>
      <c r="Z340" s="3"/>
    </row>
    <row r="341" spans="1:26" ht="14.25" customHeight="1">
      <c r="A341" s="1"/>
      <c r="B341" s="1"/>
      <c r="C341" s="1"/>
      <c r="D341" s="1"/>
      <c r="E341" s="19"/>
      <c r="F341" s="3"/>
      <c r="G341" s="3"/>
      <c r="H341" s="3"/>
      <c r="I341" s="3"/>
      <c r="J341" s="3"/>
      <c r="K341" s="3"/>
      <c r="L341" s="3"/>
      <c r="M341" s="3"/>
      <c r="N341" s="3"/>
      <c r="O341" s="3"/>
      <c r="P341" s="3"/>
      <c r="Q341" s="3"/>
      <c r="R341" s="3"/>
      <c r="S341" s="3"/>
      <c r="T341" s="3"/>
      <c r="U341" s="3"/>
      <c r="V341" s="3"/>
      <c r="W341" s="3"/>
      <c r="X341" s="3"/>
      <c r="Y341" s="3"/>
      <c r="Z341" s="3"/>
    </row>
    <row r="342" spans="1:26" ht="14.25" customHeight="1">
      <c r="A342" s="1"/>
      <c r="B342" s="1"/>
      <c r="C342" s="1"/>
      <c r="D342" s="1"/>
      <c r="E342" s="19"/>
      <c r="F342" s="3"/>
      <c r="G342" s="3"/>
      <c r="H342" s="3"/>
      <c r="I342" s="3"/>
      <c r="J342" s="3"/>
      <c r="K342" s="3"/>
      <c r="L342" s="3"/>
      <c r="M342" s="3"/>
      <c r="N342" s="3"/>
      <c r="O342" s="3"/>
      <c r="P342" s="3"/>
      <c r="Q342" s="3"/>
      <c r="R342" s="3"/>
      <c r="S342" s="3"/>
      <c r="T342" s="3"/>
      <c r="U342" s="3"/>
      <c r="V342" s="3"/>
      <c r="W342" s="3"/>
      <c r="X342" s="3"/>
      <c r="Y342" s="3"/>
      <c r="Z342" s="3"/>
    </row>
    <row r="343" spans="1:26" ht="14.25" customHeight="1">
      <c r="A343" s="1"/>
      <c r="B343" s="1"/>
      <c r="C343" s="1"/>
      <c r="D343" s="1"/>
      <c r="E343" s="19"/>
      <c r="F343" s="3"/>
      <c r="G343" s="3"/>
      <c r="H343" s="3"/>
      <c r="I343" s="3"/>
      <c r="J343" s="3"/>
      <c r="K343" s="3"/>
      <c r="L343" s="3"/>
      <c r="M343" s="3"/>
      <c r="N343" s="3"/>
      <c r="O343" s="3"/>
      <c r="P343" s="3"/>
      <c r="Q343" s="3"/>
      <c r="R343" s="3"/>
      <c r="S343" s="3"/>
      <c r="T343" s="3"/>
      <c r="U343" s="3"/>
      <c r="V343" s="3"/>
      <c r="W343" s="3"/>
      <c r="X343" s="3"/>
      <c r="Y343" s="3"/>
      <c r="Z343" s="3"/>
    </row>
    <row r="344" spans="1:26" ht="14.25" customHeight="1">
      <c r="A344" s="1"/>
      <c r="B344" s="1"/>
      <c r="C344" s="1"/>
      <c r="D344" s="1"/>
      <c r="E344" s="19"/>
      <c r="F344" s="3"/>
      <c r="G344" s="3"/>
      <c r="H344" s="3"/>
      <c r="I344" s="3"/>
      <c r="J344" s="3"/>
      <c r="K344" s="3"/>
      <c r="L344" s="3"/>
      <c r="M344" s="3"/>
      <c r="N344" s="3"/>
      <c r="O344" s="3"/>
      <c r="P344" s="3"/>
      <c r="Q344" s="3"/>
      <c r="R344" s="3"/>
      <c r="S344" s="3"/>
      <c r="T344" s="3"/>
      <c r="U344" s="3"/>
      <c r="V344" s="3"/>
      <c r="W344" s="3"/>
      <c r="X344" s="3"/>
      <c r="Y344" s="3"/>
      <c r="Z344" s="3"/>
    </row>
    <row r="345" spans="1:26" ht="14.25" customHeight="1">
      <c r="A345" s="1"/>
      <c r="B345" s="1"/>
      <c r="C345" s="1"/>
      <c r="D345" s="1"/>
      <c r="E345" s="19"/>
      <c r="F345" s="3"/>
      <c r="G345" s="3"/>
      <c r="H345" s="3"/>
      <c r="I345" s="3"/>
      <c r="J345" s="3"/>
      <c r="K345" s="3"/>
      <c r="L345" s="3"/>
      <c r="M345" s="3"/>
      <c r="N345" s="3"/>
      <c r="O345" s="3"/>
      <c r="P345" s="3"/>
      <c r="Q345" s="3"/>
      <c r="R345" s="3"/>
      <c r="S345" s="3"/>
      <c r="T345" s="3"/>
      <c r="U345" s="3"/>
      <c r="V345" s="3"/>
      <c r="W345" s="3"/>
      <c r="X345" s="3"/>
      <c r="Y345" s="3"/>
      <c r="Z345" s="3"/>
    </row>
    <row r="346" spans="1:26" ht="14.25" customHeight="1">
      <c r="A346" s="1"/>
      <c r="B346" s="1"/>
      <c r="C346" s="1"/>
      <c r="D346" s="1"/>
      <c r="E346" s="19"/>
      <c r="F346" s="3"/>
      <c r="G346" s="3"/>
      <c r="H346" s="3"/>
      <c r="I346" s="3"/>
      <c r="J346" s="3"/>
      <c r="K346" s="3"/>
      <c r="L346" s="3"/>
      <c r="M346" s="3"/>
      <c r="N346" s="3"/>
      <c r="O346" s="3"/>
      <c r="P346" s="3"/>
      <c r="Q346" s="3"/>
      <c r="R346" s="3"/>
      <c r="S346" s="3"/>
      <c r="T346" s="3"/>
      <c r="U346" s="3"/>
      <c r="V346" s="3"/>
      <c r="W346" s="3"/>
      <c r="X346" s="3"/>
      <c r="Y346" s="3"/>
      <c r="Z346" s="3"/>
    </row>
    <row r="347" spans="1:26" ht="14.25" customHeight="1">
      <c r="A347" s="1"/>
      <c r="B347" s="1"/>
      <c r="C347" s="1"/>
      <c r="D347" s="1"/>
      <c r="E347" s="19"/>
      <c r="F347" s="3"/>
      <c r="G347" s="3"/>
      <c r="H347" s="3"/>
      <c r="I347" s="3"/>
      <c r="J347" s="3"/>
      <c r="K347" s="3"/>
      <c r="L347" s="3"/>
      <c r="M347" s="3"/>
      <c r="N347" s="3"/>
      <c r="O347" s="3"/>
      <c r="P347" s="3"/>
      <c r="Q347" s="3"/>
      <c r="R347" s="3"/>
      <c r="S347" s="3"/>
      <c r="T347" s="3"/>
      <c r="U347" s="3"/>
      <c r="V347" s="3"/>
      <c r="W347" s="3"/>
      <c r="X347" s="3"/>
      <c r="Y347" s="3"/>
      <c r="Z347" s="3"/>
    </row>
    <row r="348" spans="1:26" ht="14.25" customHeight="1">
      <c r="A348" s="1"/>
      <c r="B348" s="1"/>
      <c r="C348" s="1"/>
      <c r="D348" s="1"/>
      <c r="E348" s="19"/>
      <c r="F348" s="3"/>
      <c r="G348" s="3"/>
      <c r="H348" s="3"/>
      <c r="I348" s="3"/>
      <c r="J348" s="3"/>
      <c r="K348" s="3"/>
      <c r="L348" s="3"/>
      <c r="M348" s="3"/>
      <c r="N348" s="3"/>
      <c r="O348" s="3"/>
      <c r="P348" s="3"/>
      <c r="Q348" s="3"/>
      <c r="R348" s="3"/>
      <c r="S348" s="3"/>
      <c r="T348" s="3"/>
      <c r="U348" s="3"/>
      <c r="V348" s="3"/>
      <c r="W348" s="3"/>
      <c r="X348" s="3"/>
      <c r="Y348" s="3"/>
      <c r="Z348" s="3"/>
    </row>
    <row r="349" spans="1:26" ht="14.25" customHeight="1">
      <c r="A349" s="1"/>
      <c r="B349" s="1"/>
      <c r="C349" s="1"/>
      <c r="D349" s="1"/>
      <c r="E349" s="19"/>
      <c r="F349" s="3"/>
      <c r="G349" s="3"/>
      <c r="H349" s="3"/>
      <c r="I349" s="3"/>
      <c r="J349" s="3"/>
      <c r="K349" s="3"/>
      <c r="L349" s="3"/>
      <c r="M349" s="3"/>
      <c r="N349" s="3"/>
      <c r="O349" s="3"/>
      <c r="P349" s="3"/>
      <c r="Q349" s="3"/>
      <c r="R349" s="3"/>
      <c r="S349" s="3"/>
      <c r="T349" s="3"/>
      <c r="U349" s="3"/>
      <c r="V349" s="3"/>
      <c r="W349" s="3"/>
      <c r="X349" s="3"/>
      <c r="Y349" s="3"/>
      <c r="Z349" s="3"/>
    </row>
    <row r="350" spans="1:26" ht="14.25" customHeight="1">
      <c r="A350" s="1"/>
      <c r="B350" s="1"/>
      <c r="C350" s="1"/>
      <c r="D350" s="1"/>
      <c r="E350" s="19"/>
      <c r="F350" s="3"/>
      <c r="G350" s="3"/>
      <c r="H350" s="3"/>
      <c r="I350" s="3"/>
      <c r="J350" s="3"/>
      <c r="K350" s="3"/>
      <c r="L350" s="3"/>
      <c r="M350" s="3"/>
      <c r="N350" s="3"/>
      <c r="O350" s="3"/>
      <c r="P350" s="3"/>
      <c r="Q350" s="3"/>
      <c r="R350" s="3"/>
      <c r="S350" s="3"/>
      <c r="T350" s="3"/>
      <c r="U350" s="3"/>
      <c r="V350" s="3"/>
      <c r="W350" s="3"/>
      <c r="X350" s="3"/>
      <c r="Y350" s="3"/>
      <c r="Z350" s="3"/>
    </row>
    <row r="351" spans="1:26" ht="14.25" customHeight="1">
      <c r="A351" s="1"/>
      <c r="B351" s="1"/>
      <c r="C351" s="1"/>
      <c r="D351" s="1"/>
      <c r="E351" s="19"/>
      <c r="F351" s="3"/>
      <c r="G351" s="3"/>
      <c r="H351" s="3"/>
      <c r="I351" s="3"/>
      <c r="J351" s="3"/>
      <c r="K351" s="3"/>
      <c r="L351" s="3"/>
      <c r="M351" s="3"/>
      <c r="N351" s="3"/>
      <c r="O351" s="3"/>
      <c r="P351" s="3"/>
      <c r="Q351" s="3"/>
      <c r="R351" s="3"/>
      <c r="S351" s="3"/>
      <c r="T351" s="3"/>
      <c r="U351" s="3"/>
      <c r="V351" s="3"/>
      <c r="W351" s="3"/>
      <c r="X351" s="3"/>
      <c r="Y351" s="3"/>
      <c r="Z351" s="3"/>
    </row>
    <row r="352" spans="1:26" ht="14.25" customHeight="1">
      <c r="A352" s="1"/>
      <c r="B352" s="1"/>
      <c r="C352" s="1"/>
      <c r="D352" s="1"/>
      <c r="E352" s="19"/>
      <c r="F352" s="3"/>
      <c r="G352" s="3"/>
      <c r="H352" s="3"/>
      <c r="I352" s="3"/>
      <c r="J352" s="3"/>
      <c r="K352" s="3"/>
      <c r="L352" s="3"/>
      <c r="M352" s="3"/>
      <c r="N352" s="3"/>
      <c r="O352" s="3"/>
      <c r="P352" s="3"/>
      <c r="Q352" s="3"/>
      <c r="R352" s="3"/>
      <c r="S352" s="3"/>
      <c r="T352" s="3"/>
      <c r="U352" s="3"/>
      <c r="V352" s="3"/>
      <c r="W352" s="3"/>
      <c r="X352" s="3"/>
      <c r="Y352" s="3"/>
      <c r="Z352" s="3"/>
    </row>
    <row r="353" spans="1:26" ht="14.25" customHeight="1">
      <c r="A353" s="1"/>
      <c r="B353" s="1"/>
      <c r="C353" s="1"/>
      <c r="D353" s="1"/>
      <c r="E353" s="19"/>
      <c r="F353" s="3"/>
      <c r="G353" s="3"/>
      <c r="H353" s="3"/>
      <c r="I353" s="3"/>
      <c r="J353" s="3"/>
      <c r="K353" s="3"/>
      <c r="L353" s="3"/>
      <c r="M353" s="3"/>
      <c r="N353" s="3"/>
      <c r="O353" s="3"/>
      <c r="P353" s="3"/>
      <c r="Q353" s="3"/>
      <c r="R353" s="3"/>
      <c r="S353" s="3"/>
      <c r="T353" s="3"/>
      <c r="U353" s="3"/>
      <c r="V353" s="3"/>
      <c r="W353" s="3"/>
      <c r="X353" s="3"/>
      <c r="Y353" s="3"/>
      <c r="Z353" s="3"/>
    </row>
    <row r="354" spans="1:26" ht="14.25" customHeight="1">
      <c r="A354" s="1"/>
      <c r="B354" s="1"/>
      <c r="C354" s="1"/>
      <c r="D354" s="1"/>
      <c r="E354" s="19"/>
      <c r="F354" s="3"/>
      <c r="G354" s="3"/>
      <c r="H354" s="3"/>
      <c r="I354" s="3"/>
      <c r="J354" s="3"/>
      <c r="K354" s="3"/>
      <c r="L354" s="3"/>
      <c r="M354" s="3"/>
      <c r="N354" s="3"/>
      <c r="O354" s="3"/>
      <c r="P354" s="3"/>
      <c r="Q354" s="3"/>
      <c r="R354" s="3"/>
      <c r="S354" s="3"/>
      <c r="T354" s="3"/>
      <c r="U354" s="3"/>
      <c r="V354" s="3"/>
      <c r="W354" s="3"/>
      <c r="X354" s="3"/>
      <c r="Y354" s="3"/>
      <c r="Z354" s="3"/>
    </row>
    <row r="355" spans="1:26" ht="14.25" customHeight="1">
      <c r="A355" s="1"/>
      <c r="B355" s="1"/>
      <c r="C355" s="1"/>
      <c r="D355" s="1"/>
      <c r="E355" s="19"/>
      <c r="F355" s="3"/>
      <c r="G355" s="3"/>
      <c r="H355" s="3"/>
      <c r="I355" s="3"/>
      <c r="J355" s="3"/>
      <c r="K355" s="3"/>
      <c r="L355" s="3"/>
      <c r="M355" s="3"/>
      <c r="N355" s="3"/>
      <c r="O355" s="3"/>
      <c r="P355" s="3"/>
      <c r="Q355" s="3"/>
      <c r="R355" s="3"/>
      <c r="S355" s="3"/>
      <c r="T355" s="3"/>
      <c r="U355" s="3"/>
      <c r="V355" s="3"/>
      <c r="W355" s="3"/>
      <c r="X355" s="3"/>
      <c r="Y355" s="3"/>
      <c r="Z355" s="3"/>
    </row>
    <row r="356" spans="1:26" ht="14.25" customHeight="1">
      <c r="A356" s="1"/>
      <c r="B356" s="1"/>
      <c r="C356" s="1"/>
      <c r="D356" s="1"/>
      <c r="E356" s="19"/>
      <c r="F356" s="3"/>
      <c r="G356" s="3"/>
      <c r="H356" s="3"/>
      <c r="I356" s="3"/>
      <c r="J356" s="3"/>
      <c r="K356" s="3"/>
      <c r="L356" s="3"/>
      <c r="M356" s="3"/>
      <c r="N356" s="3"/>
      <c r="O356" s="3"/>
      <c r="P356" s="3"/>
      <c r="Q356" s="3"/>
      <c r="R356" s="3"/>
      <c r="S356" s="3"/>
      <c r="T356" s="3"/>
      <c r="U356" s="3"/>
      <c r="V356" s="3"/>
      <c r="W356" s="3"/>
      <c r="X356" s="3"/>
      <c r="Y356" s="3"/>
      <c r="Z356" s="3"/>
    </row>
    <row r="357" spans="1:26" ht="14.25" customHeight="1">
      <c r="A357" s="1"/>
      <c r="B357" s="1"/>
      <c r="C357" s="1"/>
      <c r="D357" s="1"/>
      <c r="E357" s="19"/>
      <c r="F357" s="3"/>
      <c r="G357" s="3"/>
      <c r="H357" s="3"/>
      <c r="I357" s="3"/>
      <c r="J357" s="3"/>
      <c r="K357" s="3"/>
      <c r="L357" s="3"/>
      <c r="M357" s="3"/>
      <c r="N357" s="3"/>
      <c r="O357" s="3"/>
      <c r="P357" s="3"/>
      <c r="Q357" s="3"/>
      <c r="R357" s="3"/>
      <c r="S357" s="3"/>
      <c r="T357" s="3"/>
      <c r="U357" s="3"/>
      <c r="V357" s="3"/>
      <c r="W357" s="3"/>
      <c r="X357" s="3"/>
      <c r="Y357" s="3"/>
      <c r="Z357" s="3"/>
    </row>
    <row r="358" spans="1:26" ht="14.25" customHeight="1">
      <c r="A358" s="1"/>
      <c r="B358" s="1"/>
      <c r="C358" s="1"/>
      <c r="D358" s="1"/>
      <c r="E358" s="19"/>
      <c r="F358" s="3"/>
      <c r="G358" s="3"/>
      <c r="H358" s="3"/>
      <c r="I358" s="3"/>
      <c r="J358" s="3"/>
      <c r="K358" s="3"/>
      <c r="L358" s="3"/>
      <c r="M358" s="3"/>
      <c r="N358" s="3"/>
      <c r="O358" s="3"/>
      <c r="P358" s="3"/>
      <c r="Q358" s="3"/>
      <c r="R358" s="3"/>
      <c r="S358" s="3"/>
      <c r="T358" s="3"/>
      <c r="U358" s="3"/>
      <c r="V358" s="3"/>
      <c r="W358" s="3"/>
      <c r="X358" s="3"/>
      <c r="Y358" s="3"/>
      <c r="Z358" s="3"/>
    </row>
    <row r="359" spans="1:26" ht="14.25" customHeight="1">
      <c r="A359" s="1"/>
      <c r="B359" s="1"/>
      <c r="C359" s="1"/>
      <c r="D359" s="1"/>
      <c r="E359" s="19"/>
      <c r="F359" s="3"/>
      <c r="G359" s="3"/>
      <c r="H359" s="3"/>
      <c r="I359" s="3"/>
      <c r="J359" s="3"/>
      <c r="K359" s="3"/>
      <c r="L359" s="3"/>
      <c r="M359" s="3"/>
      <c r="N359" s="3"/>
      <c r="O359" s="3"/>
      <c r="P359" s="3"/>
      <c r="Q359" s="3"/>
      <c r="R359" s="3"/>
      <c r="S359" s="3"/>
      <c r="T359" s="3"/>
      <c r="U359" s="3"/>
      <c r="V359" s="3"/>
      <c r="W359" s="3"/>
      <c r="X359" s="3"/>
      <c r="Y359" s="3"/>
      <c r="Z359" s="3"/>
    </row>
    <row r="360" spans="1:26" ht="14.25" customHeight="1">
      <c r="A360" s="1"/>
      <c r="B360" s="1"/>
      <c r="C360" s="1"/>
      <c r="D360" s="1"/>
      <c r="E360" s="19"/>
      <c r="F360" s="3"/>
      <c r="G360" s="3"/>
      <c r="H360" s="3"/>
      <c r="I360" s="3"/>
      <c r="J360" s="3"/>
      <c r="K360" s="3"/>
      <c r="L360" s="3"/>
      <c r="M360" s="3"/>
      <c r="N360" s="3"/>
      <c r="O360" s="3"/>
      <c r="P360" s="3"/>
      <c r="Q360" s="3"/>
      <c r="R360" s="3"/>
      <c r="S360" s="3"/>
      <c r="T360" s="3"/>
      <c r="U360" s="3"/>
      <c r="V360" s="3"/>
      <c r="W360" s="3"/>
      <c r="X360" s="3"/>
      <c r="Y360" s="3"/>
      <c r="Z360" s="3"/>
    </row>
    <row r="361" spans="1:26" ht="14.25" customHeight="1">
      <c r="A361" s="1"/>
      <c r="B361" s="1"/>
      <c r="C361" s="1"/>
      <c r="D361" s="1"/>
      <c r="E361" s="19"/>
      <c r="F361" s="3"/>
      <c r="G361" s="3"/>
      <c r="H361" s="3"/>
      <c r="I361" s="3"/>
      <c r="J361" s="3"/>
      <c r="K361" s="3"/>
      <c r="L361" s="3"/>
      <c r="M361" s="3"/>
      <c r="N361" s="3"/>
      <c r="O361" s="3"/>
      <c r="P361" s="3"/>
      <c r="Q361" s="3"/>
      <c r="R361" s="3"/>
      <c r="S361" s="3"/>
      <c r="T361" s="3"/>
      <c r="U361" s="3"/>
      <c r="V361" s="3"/>
      <c r="W361" s="3"/>
      <c r="X361" s="3"/>
      <c r="Y361" s="3"/>
      <c r="Z361" s="3"/>
    </row>
    <row r="362" spans="1:26" ht="14.25" customHeight="1">
      <c r="A362" s="1"/>
      <c r="B362" s="1"/>
      <c r="C362" s="1"/>
      <c r="D362" s="1"/>
      <c r="E362" s="19"/>
      <c r="F362" s="3"/>
      <c r="G362" s="3"/>
      <c r="H362" s="3"/>
      <c r="I362" s="3"/>
      <c r="J362" s="3"/>
      <c r="K362" s="3"/>
      <c r="L362" s="3"/>
      <c r="M362" s="3"/>
      <c r="N362" s="3"/>
      <c r="O362" s="3"/>
      <c r="P362" s="3"/>
      <c r="Q362" s="3"/>
      <c r="R362" s="3"/>
      <c r="S362" s="3"/>
      <c r="T362" s="3"/>
      <c r="U362" s="3"/>
      <c r="V362" s="3"/>
      <c r="W362" s="3"/>
      <c r="X362" s="3"/>
      <c r="Y362" s="3"/>
      <c r="Z362" s="3"/>
    </row>
    <row r="363" spans="1:26" ht="14.25" customHeight="1">
      <c r="A363" s="1"/>
      <c r="B363" s="1"/>
      <c r="C363" s="1"/>
      <c r="D363" s="1"/>
      <c r="E363" s="19"/>
      <c r="F363" s="3"/>
      <c r="G363" s="3"/>
      <c r="H363" s="3"/>
      <c r="I363" s="3"/>
      <c r="J363" s="3"/>
      <c r="K363" s="3"/>
      <c r="L363" s="3"/>
      <c r="M363" s="3"/>
      <c r="N363" s="3"/>
      <c r="O363" s="3"/>
      <c r="P363" s="3"/>
      <c r="Q363" s="3"/>
      <c r="R363" s="3"/>
      <c r="S363" s="3"/>
      <c r="T363" s="3"/>
      <c r="U363" s="3"/>
      <c r="V363" s="3"/>
      <c r="W363" s="3"/>
      <c r="X363" s="3"/>
      <c r="Y363" s="3"/>
      <c r="Z363" s="3"/>
    </row>
    <row r="364" spans="1:26" ht="14.25" customHeight="1">
      <c r="A364" s="1"/>
      <c r="B364" s="1"/>
      <c r="C364" s="1"/>
      <c r="D364" s="1"/>
      <c r="E364" s="19"/>
      <c r="F364" s="3"/>
      <c r="G364" s="3"/>
      <c r="H364" s="3"/>
      <c r="I364" s="3"/>
      <c r="J364" s="3"/>
      <c r="K364" s="3"/>
      <c r="L364" s="3"/>
      <c r="M364" s="3"/>
      <c r="N364" s="3"/>
      <c r="O364" s="3"/>
      <c r="P364" s="3"/>
      <c r="Q364" s="3"/>
      <c r="R364" s="3"/>
      <c r="S364" s="3"/>
      <c r="T364" s="3"/>
      <c r="U364" s="3"/>
      <c r="V364" s="3"/>
      <c r="W364" s="3"/>
      <c r="X364" s="3"/>
      <c r="Y364" s="3"/>
      <c r="Z364" s="3"/>
    </row>
    <row r="365" spans="1:26" ht="14.25" customHeight="1">
      <c r="A365" s="1"/>
      <c r="B365" s="1"/>
      <c r="C365" s="1"/>
      <c r="D365" s="1"/>
      <c r="E365" s="19"/>
      <c r="F365" s="3"/>
      <c r="G365" s="3"/>
      <c r="H365" s="3"/>
      <c r="I365" s="3"/>
      <c r="J365" s="3"/>
      <c r="K365" s="3"/>
      <c r="L365" s="3"/>
      <c r="M365" s="3"/>
      <c r="N365" s="3"/>
      <c r="O365" s="3"/>
      <c r="P365" s="3"/>
      <c r="Q365" s="3"/>
      <c r="R365" s="3"/>
      <c r="S365" s="3"/>
      <c r="T365" s="3"/>
      <c r="U365" s="3"/>
      <c r="V365" s="3"/>
      <c r="W365" s="3"/>
      <c r="X365" s="3"/>
      <c r="Y365" s="3"/>
      <c r="Z365" s="3"/>
    </row>
    <row r="366" spans="1:26" ht="14.25" customHeight="1">
      <c r="A366" s="1"/>
      <c r="B366" s="1"/>
      <c r="C366" s="1"/>
      <c r="D366" s="1"/>
      <c r="E366" s="19"/>
      <c r="F366" s="3"/>
      <c r="G366" s="3"/>
      <c r="H366" s="3"/>
      <c r="I366" s="3"/>
      <c r="J366" s="3"/>
      <c r="K366" s="3"/>
      <c r="L366" s="3"/>
      <c r="M366" s="3"/>
      <c r="N366" s="3"/>
      <c r="O366" s="3"/>
      <c r="P366" s="3"/>
      <c r="Q366" s="3"/>
      <c r="R366" s="3"/>
      <c r="S366" s="3"/>
      <c r="T366" s="3"/>
      <c r="U366" s="3"/>
      <c r="V366" s="3"/>
      <c r="W366" s="3"/>
      <c r="X366" s="3"/>
      <c r="Y366" s="3"/>
      <c r="Z366" s="3"/>
    </row>
    <row r="367" spans="1:26" ht="14.25" customHeight="1">
      <c r="A367" s="1"/>
      <c r="B367" s="1"/>
      <c r="C367" s="1"/>
      <c r="D367" s="1"/>
      <c r="E367" s="19"/>
      <c r="F367" s="3"/>
      <c r="G367" s="3"/>
      <c r="H367" s="3"/>
      <c r="I367" s="3"/>
      <c r="J367" s="3"/>
      <c r="K367" s="3"/>
      <c r="L367" s="3"/>
      <c r="M367" s="3"/>
      <c r="N367" s="3"/>
      <c r="O367" s="3"/>
      <c r="P367" s="3"/>
      <c r="Q367" s="3"/>
      <c r="R367" s="3"/>
      <c r="S367" s="3"/>
      <c r="T367" s="3"/>
      <c r="U367" s="3"/>
      <c r="V367" s="3"/>
      <c r="W367" s="3"/>
      <c r="X367" s="3"/>
      <c r="Y367" s="3"/>
      <c r="Z367" s="3"/>
    </row>
    <row r="368" spans="1:26" ht="14.25" customHeight="1">
      <c r="A368" s="1"/>
      <c r="B368" s="1"/>
      <c r="C368" s="1"/>
      <c r="D368" s="1"/>
      <c r="E368" s="19"/>
      <c r="F368" s="3"/>
      <c r="G368" s="3"/>
      <c r="H368" s="3"/>
      <c r="I368" s="3"/>
      <c r="J368" s="3"/>
      <c r="K368" s="3"/>
      <c r="L368" s="3"/>
      <c r="M368" s="3"/>
      <c r="N368" s="3"/>
      <c r="O368" s="3"/>
      <c r="P368" s="3"/>
      <c r="Q368" s="3"/>
      <c r="R368" s="3"/>
      <c r="S368" s="3"/>
      <c r="T368" s="3"/>
      <c r="U368" s="3"/>
      <c r="V368" s="3"/>
      <c r="W368" s="3"/>
      <c r="X368" s="3"/>
      <c r="Y368" s="3"/>
      <c r="Z368" s="3"/>
    </row>
    <row r="369" spans="1:26" ht="14.25" customHeight="1">
      <c r="A369" s="1"/>
      <c r="B369" s="1"/>
      <c r="C369" s="1"/>
      <c r="D369" s="1"/>
      <c r="E369" s="19"/>
      <c r="F369" s="3"/>
      <c r="G369" s="3"/>
      <c r="H369" s="3"/>
      <c r="I369" s="3"/>
      <c r="J369" s="3"/>
      <c r="K369" s="3"/>
      <c r="L369" s="3"/>
      <c r="M369" s="3"/>
      <c r="N369" s="3"/>
      <c r="O369" s="3"/>
      <c r="P369" s="3"/>
      <c r="Q369" s="3"/>
      <c r="R369" s="3"/>
      <c r="S369" s="3"/>
      <c r="T369" s="3"/>
      <c r="U369" s="3"/>
      <c r="V369" s="3"/>
      <c r="W369" s="3"/>
      <c r="X369" s="3"/>
      <c r="Y369" s="3"/>
      <c r="Z369" s="3"/>
    </row>
    <row r="370" spans="1:26" ht="14.25" customHeight="1">
      <c r="A370" s="1"/>
      <c r="B370" s="1"/>
      <c r="C370" s="1"/>
      <c r="D370" s="1"/>
      <c r="E370" s="19"/>
      <c r="F370" s="3"/>
      <c r="G370" s="3"/>
      <c r="H370" s="3"/>
      <c r="I370" s="3"/>
      <c r="J370" s="3"/>
      <c r="K370" s="3"/>
      <c r="L370" s="3"/>
      <c r="M370" s="3"/>
      <c r="N370" s="3"/>
      <c r="O370" s="3"/>
      <c r="P370" s="3"/>
      <c r="Q370" s="3"/>
      <c r="R370" s="3"/>
      <c r="S370" s="3"/>
      <c r="T370" s="3"/>
      <c r="U370" s="3"/>
      <c r="V370" s="3"/>
      <c r="W370" s="3"/>
      <c r="X370" s="3"/>
      <c r="Y370" s="3"/>
      <c r="Z370" s="3"/>
    </row>
    <row r="371" spans="1:26" ht="14.25" customHeight="1">
      <c r="A371" s="1"/>
      <c r="B371" s="1"/>
      <c r="C371" s="1"/>
      <c r="D371" s="1"/>
      <c r="E371" s="19"/>
      <c r="F371" s="3"/>
      <c r="G371" s="3"/>
      <c r="H371" s="3"/>
      <c r="I371" s="3"/>
      <c r="J371" s="3"/>
      <c r="K371" s="3"/>
      <c r="L371" s="3"/>
      <c r="M371" s="3"/>
      <c r="N371" s="3"/>
      <c r="O371" s="3"/>
      <c r="P371" s="3"/>
      <c r="Q371" s="3"/>
      <c r="R371" s="3"/>
      <c r="S371" s="3"/>
      <c r="T371" s="3"/>
      <c r="U371" s="3"/>
      <c r="V371" s="3"/>
      <c r="W371" s="3"/>
      <c r="X371" s="3"/>
      <c r="Y371" s="3"/>
      <c r="Z371" s="3"/>
    </row>
    <row r="372" spans="1:26" ht="14.25" customHeight="1">
      <c r="A372" s="1"/>
      <c r="B372" s="1"/>
      <c r="C372" s="1"/>
      <c r="D372" s="1"/>
      <c r="E372" s="19"/>
      <c r="F372" s="3"/>
      <c r="G372" s="3"/>
      <c r="H372" s="3"/>
      <c r="I372" s="3"/>
      <c r="J372" s="3"/>
      <c r="K372" s="3"/>
      <c r="L372" s="3"/>
      <c r="M372" s="3"/>
      <c r="N372" s="3"/>
      <c r="O372" s="3"/>
      <c r="P372" s="3"/>
      <c r="Q372" s="3"/>
      <c r="R372" s="3"/>
      <c r="S372" s="3"/>
      <c r="T372" s="3"/>
      <c r="U372" s="3"/>
      <c r="V372" s="3"/>
      <c r="W372" s="3"/>
      <c r="X372" s="3"/>
      <c r="Y372" s="3"/>
      <c r="Z372" s="3"/>
    </row>
    <row r="373" spans="1:26" ht="14.25" customHeight="1">
      <c r="A373" s="1"/>
      <c r="B373" s="1"/>
      <c r="C373" s="1"/>
      <c r="D373" s="1"/>
      <c r="E373" s="19"/>
      <c r="F373" s="3"/>
      <c r="G373" s="3"/>
      <c r="H373" s="3"/>
      <c r="I373" s="3"/>
      <c r="J373" s="3"/>
      <c r="K373" s="3"/>
      <c r="L373" s="3"/>
      <c r="M373" s="3"/>
      <c r="N373" s="3"/>
      <c r="O373" s="3"/>
      <c r="P373" s="3"/>
      <c r="Q373" s="3"/>
      <c r="R373" s="3"/>
      <c r="S373" s="3"/>
      <c r="T373" s="3"/>
      <c r="U373" s="3"/>
      <c r="V373" s="3"/>
      <c r="W373" s="3"/>
      <c r="X373" s="3"/>
      <c r="Y373" s="3"/>
      <c r="Z373" s="3"/>
    </row>
    <row r="374" spans="1:26" ht="14.25" customHeight="1">
      <c r="A374" s="1"/>
      <c r="B374" s="1"/>
      <c r="C374" s="1"/>
      <c r="D374" s="1"/>
      <c r="E374" s="19"/>
      <c r="F374" s="3"/>
      <c r="G374" s="3"/>
      <c r="H374" s="3"/>
      <c r="I374" s="3"/>
      <c r="J374" s="3"/>
      <c r="K374" s="3"/>
      <c r="L374" s="3"/>
      <c r="M374" s="3"/>
      <c r="N374" s="3"/>
      <c r="O374" s="3"/>
      <c r="P374" s="3"/>
      <c r="Q374" s="3"/>
      <c r="R374" s="3"/>
      <c r="S374" s="3"/>
      <c r="T374" s="3"/>
      <c r="U374" s="3"/>
      <c r="V374" s="3"/>
      <c r="W374" s="3"/>
      <c r="X374" s="3"/>
      <c r="Y374" s="3"/>
      <c r="Z374" s="3"/>
    </row>
    <row r="375" spans="1:26" ht="14.25" customHeight="1">
      <c r="A375" s="1"/>
      <c r="B375" s="1"/>
      <c r="C375" s="1"/>
      <c r="D375" s="1"/>
      <c r="E375" s="19"/>
      <c r="F375" s="3"/>
      <c r="G375" s="3"/>
      <c r="H375" s="3"/>
      <c r="I375" s="3"/>
      <c r="J375" s="3"/>
      <c r="K375" s="3"/>
      <c r="L375" s="3"/>
      <c r="M375" s="3"/>
      <c r="N375" s="3"/>
      <c r="O375" s="3"/>
      <c r="P375" s="3"/>
      <c r="Q375" s="3"/>
      <c r="R375" s="3"/>
      <c r="S375" s="3"/>
      <c r="T375" s="3"/>
      <c r="U375" s="3"/>
      <c r="V375" s="3"/>
      <c r="W375" s="3"/>
      <c r="X375" s="3"/>
      <c r="Y375" s="3"/>
      <c r="Z375" s="3"/>
    </row>
    <row r="376" spans="1:26" ht="14.25" customHeight="1">
      <c r="A376" s="1"/>
      <c r="B376" s="1"/>
      <c r="C376" s="1"/>
      <c r="D376" s="1"/>
      <c r="E376" s="19"/>
      <c r="F376" s="3"/>
      <c r="G376" s="3"/>
      <c r="H376" s="3"/>
      <c r="I376" s="3"/>
      <c r="J376" s="3"/>
      <c r="K376" s="3"/>
      <c r="L376" s="3"/>
      <c r="M376" s="3"/>
      <c r="N376" s="3"/>
      <c r="O376" s="3"/>
      <c r="P376" s="3"/>
      <c r="Q376" s="3"/>
      <c r="R376" s="3"/>
      <c r="S376" s="3"/>
      <c r="T376" s="3"/>
      <c r="U376" s="3"/>
      <c r="V376" s="3"/>
      <c r="W376" s="3"/>
      <c r="X376" s="3"/>
      <c r="Y376" s="3"/>
      <c r="Z376" s="3"/>
    </row>
    <row r="377" spans="1:26" ht="14.25" customHeight="1">
      <c r="A377" s="1"/>
      <c r="B377" s="1"/>
      <c r="C377" s="1"/>
      <c r="D377" s="1"/>
      <c r="E377" s="19"/>
      <c r="F377" s="3"/>
      <c r="G377" s="3"/>
      <c r="H377" s="3"/>
      <c r="I377" s="3"/>
      <c r="J377" s="3"/>
      <c r="K377" s="3"/>
      <c r="L377" s="3"/>
      <c r="M377" s="3"/>
      <c r="N377" s="3"/>
      <c r="O377" s="3"/>
      <c r="P377" s="3"/>
      <c r="Q377" s="3"/>
      <c r="R377" s="3"/>
      <c r="S377" s="3"/>
      <c r="T377" s="3"/>
      <c r="U377" s="3"/>
      <c r="V377" s="3"/>
      <c r="W377" s="3"/>
      <c r="X377" s="3"/>
      <c r="Y377" s="3"/>
      <c r="Z377" s="3"/>
    </row>
    <row r="378" spans="1:26" ht="14.25" customHeight="1">
      <c r="A378" s="1"/>
      <c r="B378" s="1"/>
      <c r="C378" s="1"/>
      <c r="D378" s="1"/>
      <c r="E378" s="19"/>
      <c r="F378" s="3"/>
      <c r="G378" s="3"/>
      <c r="H378" s="3"/>
      <c r="I378" s="3"/>
      <c r="J378" s="3"/>
      <c r="K378" s="3"/>
      <c r="L378" s="3"/>
      <c r="M378" s="3"/>
      <c r="N378" s="3"/>
      <c r="O378" s="3"/>
      <c r="P378" s="3"/>
      <c r="Q378" s="3"/>
      <c r="R378" s="3"/>
      <c r="S378" s="3"/>
      <c r="T378" s="3"/>
      <c r="U378" s="3"/>
      <c r="V378" s="3"/>
      <c r="W378" s="3"/>
      <c r="X378" s="3"/>
      <c r="Y378" s="3"/>
      <c r="Z378" s="3"/>
    </row>
    <row r="379" spans="1:26" ht="14.25" customHeight="1">
      <c r="A379" s="1"/>
      <c r="B379" s="1"/>
      <c r="C379" s="1"/>
      <c r="D379" s="1"/>
      <c r="E379" s="19"/>
      <c r="F379" s="3"/>
      <c r="G379" s="3"/>
      <c r="H379" s="3"/>
      <c r="I379" s="3"/>
      <c r="J379" s="3"/>
      <c r="K379" s="3"/>
      <c r="L379" s="3"/>
      <c r="M379" s="3"/>
      <c r="N379" s="3"/>
      <c r="O379" s="3"/>
      <c r="P379" s="3"/>
      <c r="Q379" s="3"/>
      <c r="R379" s="3"/>
      <c r="S379" s="3"/>
      <c r="T379" s="3"/>
      <c r="U379" s="3"/>
      <c r="V379" s="3"/>
      <c r="W379" s="3"/>
      <c r="X379" s="3"/>
      <c r="Y379" s="3"/>
      <c r="Z379" s="3"/>
    </row>
    <row r="380" spans="1:26" ht="14.25" customHeight="1">
      <c r="A380" s="1"/>
      <c r="B380" s="1"/>
      <c r="C380" s="1"/>
      <c r="D380" s="1"/>
      <c r="E380" s="19"/>
      <c r="F380" s="3"/>
      <c r="G380" s="3"/>
      <c r="H380" s="3"/>
      <c r="I380" s="3"/>
      <c r="J380" s="3"/>
      <c r="K380" s="3"/>
      <c r="L380" s="3"/>
      <c r="M380" s="3"/>
      <c r="N380" s="3"/>
      <c r="O380" s="3"/>
      <c r="P380" s="3"/>
      <c r="Q380" s="3"/>
      <c r="R380" s="3"/>
      <c r="S380" s="3"/>
      <c r="T380" s="3"/>
      <c r="U380" s="3"/>
      <c r="V380" s="3"/>
      <c r="W380" s="3"/>
      <c r="X380" s="3"/>
      <c r="Y380" s="3"/>
      <c r="Z380" s="3"/>
    </row>
    <row r="381" spans="1:26" ht="14.25" customHeight="1">
      <c r="A381" s="1"/>
      <c r="B381" s="1"/>
      <c r="C381" s="1"/>
      <c r="D381" s="1"/>
      <c r="E381" s="19"/>
      <c r="F381" s="3"/>
      <c r="G381" s="3"/>
      <c r="H381" s="3"/>
      <c r="I381" s="3"/>
      <c r="J381" s="3"/>
      <c r="K381" s="3"/>
      <c r="L381" s="3"/>
      <c r="M381" s="3"/>
      <c r="N381" s="3"/>
      <c r="O381" s="3"/>
      <c r="P381" s="3"/>
      <c r="Q381" s="3"/>
      <c r="R381" s="3"/>
      <c r="S381" s="3"/>
      <c r="T381" s="3"/>
      <c r="U381" s="3"/>
      <c r="V381" s="3"/>
      <c r="W381" s="3"/>
      <c r="X381" s="3"/>
      <c r="Y381" s="3"/>
      <c r="Z381" s="3"/>
    </row>
    <row r="382" spans="1:26" ht="14.25" customHeight="1">
      <c r="A382" s="1"/>
      <c r="B382" s="1"/>
      <c r="C382" s="1"/>
      <c r="D382" s="1"/>
      <c r="E382" s="19"/>
      <c r="F382" s="3"/>
      <c r="G382" s="3"/>
      <c r="H382" s="3"/>
      <c r="I382" s="3"/>
      <c r="J382" s="3"/>
      <c r="K382" s="3"/>
      <c r="L382" s="3"/>
      <c r="M382" s="3"/>
      <c r="N382" s="3"/>
      <c r="O382" s="3"/>
      <c r="P382" s="3"/>
      <c r="Q382" s="3"/>
      <c r="R382" s="3"/>
      <c r="S382" s="3"/>
      <c r="T382" s="3"/>
      <c r="U382" s="3"/>
      <c r="V382" s="3"/>
      <c r="W382" s="3"/>
      <c r="X382" s="3"/>
      <c r="Y382" s="3"/>
      <c r="Z382" s="3"/>
    </row>
    <row r="383" spans="1:26" ht="14.25" customHeight="1">
      <c r="A383" s="1"/>
      <c r="B383" s="1"/>
      <c r="C383" s="1"/>
      <c r="D383" s="1"/>
      <c r="E383" s="19"/>
      <c r="F383" s="3"/>
      <c r="G383" s="3"/>
      <c r="H383" s="3"/>
      <c r="I383" s="3"/>
      <c r="J383" s="3"/>
      <c r="K383" s="3"/>
      <c r="L383" s="3"/>
      <c r="M383" s="3"/>
      <c r="N383" s="3"/>
      <c r="O383" s="3"/>
      <c r="P383" s="3"/>
      <c r="Q383" s="3"/>
      <c r="R383" s="3"/>
      <c r="S383" s="3"/>
      <c r="T383" s="3"/>
      <c r="U383" s="3"/>
      <c r="V383" s="3"/>
      <c r="W383" s="3"/>
      <c r="X383" s="3"/>
      <c r="Y383" s="3"/>
      <c r="Z383" s="3"/>
    </row>
    <row r="384" spans="1:26" ht="14.25" customHeight="1">
      <c r="A384" s="1"/>
      <c r="B384" s="1"/>
      <c r="C384" s="1"/>
      <c r="D384" s="1"/>
      <c r="E384" s="19"/>
      <c r="F384" s="3"/>
      <c r="G384" s="3"/>
      <c r="H384" s="3"/>
      <c r="I384" s="3"/>
      <c r="J384" s="3"/>
      <c r="K384" s="3"/>
      <c r="L384" s="3"/>
      <c r="M384" s="3"/>
      <c r="N384" s="3"/>
      <c r="O384" s="3"/>
      <c r="P384" s="3"/>
      <c r="Q384" s="3"/>
      <c r="R384" s="3"/>
      <c r="S384" s="3"/>
      <c r="T384" s="3"/>
      <c r="U384" s="3"/>
      <c r="V384" s="3"/>
      <c r="W384" s="3"/>
      <c r="X384" s="3"/>
      <c r="Y384" s="3"/>
      <c r="Z384" s="3"/>
    </row>
    <row r="385" spans="1:26" ht="14.25" customHeight="1">
      <c r="A385" s="1"/>
      <c r="B385" s="1"/>
      <c r="C385" s="1"/>
      <c r="D385" s="1"/>
      <c r="E385" s="19"/>
      <c r="F385" s="3"/>
      <c r="G385" s="3"/>
      <c r="H385" s="3"/>
      <c r="I385" s="3"/>
      <c r="J385" s="3"/>
      <c r="K385" s="3"/>
      <c r="L385" s="3"/>
      <c r="M385" s="3"/>
      <c r="N385" s="3"/>
      <c r="O385" s="3"/>
      <c r="P385" s="3"/>
      <c r="Q385" s="3"/>
      <c r="R385" s="3"/>
      <c r="S385" s="3"/>
      <c r="T385" s="3"/>
      <c r="U385" s="3"/>
      <c r="V385" s="3"/>
      <c r="W385" s="3"/>
      <c r="X385" s="3"/>
      <c r="Y385" s="3"/>
      <c r="Z385" s="3"/>
    </row>
    <row r="386" spans="1:26" ht="14.25" customHeight="1">
      <c r="A386" s="1"/>
      <c r="B386" s="1"/>
      <c r="C386" s="1"/>
      <c r="D386" s="1"/>
      <c r="E386" s="19"/>
      <c r="F386" s="3"/>
      <c r="G386" s="3"/>
      <c r="H386" s="3"/>
      <c r="I386" s="3"/>
      <c r="J386" s="3"/>
      <c r="K386" s="3"/>
      <c r="L386" s="3"/>
      <c r="M386" s="3"/>
      <c r="N386" s="3"/>
      <c r="O386" s="3"/>
      <c r="P386" s="3"/>
      <c r="Q386" s="3"/>
      <c r="R386" s="3"/>
      <c r="S386" s="3"/>
      <c r="T386" s="3"/>
      <c r="U386" s="3"/>
      <c r="V386" s="3"/>
      <c r="W386" s="3"/>
      <c r="X386" s="3"/>
      <c r="Y386" s="3"/>
      <c r="Z386" s="3"/>
    </row>
    <row r="387" spans="1:26" ht="14.25" customHeight="1">
      <c r="A387" s="1"/>
      <c r="B387" s="1"/>
      <c r="C387" s="1"/>
      <c r="D387" s="1"/>
      <c r="E387" s="19"/>
      <c r="F387" s="3"/>
      <c r="G387" s="3"/>
      <c r="H387" s="3"/>
      <c r="I387" s="3"/>
      <c r="J387" s="3"/>
      <c r="K387" s="3"/>
      <c r="L387" s="3"/>
      <c r="M387" s="3"/>
      <c r="N387" s="3"/>
      <c r="O387" s="3"/>
      <c r="P387" s="3"/>
      <c r="Q387" s="3"/>
      <c r="R387" s="3"/>
      <c r="S387" s="3"/>
      <c r="T387" s="3"/>
      <c r="U387" s="3"/>
      <c r="V387" s="3"/>
      <c r="W387" s="3"/>
      <c r="X387" s="3"/>
      <c r="Y387" s="3"/>
      <c r="Z387" s="3"/>
    </row>
    <row r="388" spans="1:26" ht="14.25" customHeight="1">
      <c r="A388" s="1"/>
      <c r="B388" s="1"/>
      <c r="C388" s="1"/>
      <c r="D388" s="1"/>
      <c r="E388" s="19"/>
      <c r="F388" s="3"/>
      <c r="G388" s="3"/>
      <c r="H388" s="3"/>
      <c r="I388" s="3"/>
      <c r="J388" s="3"/>
      <c r="K388" s="3"/>
      <c r="L388" s="3"/>
      <c r="M388" s="3"/>
      <c r="N388" s="3"/>
      <c r="O388" s="3"/>
      <c r="P388" s="3"/>
      <c r="Q388" s="3"/>
      <c r="R388" s="3"/>
      <c r="S388" s="3"/>
      <c r="T388" s="3"/>
      <c r="U388" s="3"/>
      <c r="V388" s="3"/>
      <c r="W388" s="3"/>
      <c r="X388" s="3"/>
      <c r="Y388" s="3"/>
      <c r="Z388" s="3"/>
    </row>
    <row r="389" spans="1:26" ht="14.25" customHeight="1">
      <c r="A389" s="1"/>
      <c r="B389" s="1"/>
      <c r="C389" s="1"/>
      <c r="D389" s="1"/>
      <c r="E389" s="19"/>
      <c r="F389" s="3"/>
      <c r="G389" s="3"/>
      <c r="H389" s="3"/>
      <c r="I389" s="3"/>
      <c r="J389" s="3"/>
      <c r="K389" s="3"/>
      <c r="L389" s="3"/>
      <c r="M389" s="3"/>
      <c r="N389" s="3"/>
      <c r="O389" s="3"/>
      <c r="P389" s="3"/>
      <c r="Q389" s="3"/>
      <c r="R389" s="3"/>
      <c r="S389" s="3"/>
      <c r="T389" s="3"/>
      <c r="U389" s="3"/>
      <c r="V389" s="3"/>
      <c r="W389" s="3"/>
      <c r="X389" s="3"/>
      <c r="Y389" s="3"/>
      <c r="Z389" s="3"/>
    </row>
    <row r="390" spans="1:26" ht="14.25" customHeight="1">
      <c r="A390" s="1"/>
      <c r="B390" s="1"/>
      <c r="C390" s="1"/>
      <c r="D390" s="1"/>
      <c r="E390" s="19"/>
      <c r="F390" s="3"/>
      <c r="G390" s="3"/>
      <c r="H390" s="3"/>
      <c r="I390" s="3"/>
      <c r="J390" s="3"/>
      <c r="K390" s="3"/>
      <c r="L390" s="3"/>
      <c r="M390" s="3"/>
      <c r="N390" s="3"/>
      <c r="O390" s="3"/>
      <c r="P390" s="3"/>
      <c r="Q390" s="3"/>
      <c r="R390" s="3"/>
      <c r="S390" s="3"/>
      <c r="T390" s="3"/>
      <c r="U390" s="3"/>
      <c r="V390" s="3"/>
      <c r="W390" s="3"/>
      <c r="X390" s="3"/>
      <c r="Y390" s="3"/>
      <c r="Z390" s="3"/>
    </row>
    <row r="391" spans="1:26" ht="14.25" customHeight="1">
      <c r="A391" s="1"/>
      <c r="B391" s="1"/>
      <c r="C391" s="1"/>
      <c r="D391" s="1"/>
      <c r="E391" s="19"/>
      <c r="F391" s="3"/>
      <c r="G391" s="3"/>
      <c r="H391" s="3"/>
      <c r="I391" s="3"/>
      <c r="J391" s="3"/>
      <c r="K391" s="3"/>
      <c r="L391" s="3"/>
      <c r="M391" s="3"/>
      <c r="N391" s="3"/>
      <c r="O391" s="3"/>
      <c r="P391" s="3"/>
      <c r="Q391" s="3"/>
      <c r="R391" s="3"/>
      <c r="S391" s="3"/>
      <c r="T391" s="3"/>
      <c r="U391" s="3"/>
      <c r="V391" s="3"/>
      <c r="W391" s="3"/>
      <c r="X391" s="3"/>
      <c r="Y391" s="3"/>
      <c r="Z391" s="3"/>
    </row>
    <row r="392" spans="1:26" ht="14.25" customHeight="1">
      <c r="A392" s="1"/>
      <c r="B392" s="1"/>
      <c r="C392" s="1"/>
      <c r="D392" s="1"/>
      <c r="E392" s="19"/>
      <c r="F392" s="3"/>
      <c r="G392" s="3"/>
      <c r="H392" s="3"/>
      <c r="I392" s="3"/>
      <c r="J392" s="3"/>
      <c r="K392" s="3"/>
      <c r="L392" s="3"/>
      <c r="M392" s="3"/>
      <c r="N392" s="3"/>
      <c r="O392" s="3"/>
      <c r="P392" s="3"/>
      <c r="Q392" s="3"/>
      <c r="R392" s="3"/>
      <c r="S392" s="3"/>
      <c r="T392" s="3"/>
      <c r="U392" s="3"/>
      <c r="V392" s="3"/>
      <c r="W392" s="3"/>
      <c r="X392" s="3"/>
      <c r="Y392" s="3"/>
      <c r="Z392" s="3"/>
    </row>
    <row r="393" spans="1:26" ht="14.25" customHeight="1">
      <c r="A393" s="1"/>
      <c r="B393" s="1"/>
      <c r="C393" s="1"/>
      <c r="D393" s="1"/>
      <c r="E393" s="19"/>
      <c r="F393" s="3"/>
      <c r="G393" s="3"/>
      <c r="H393" s="3"/>
      <c r="I393" s="3"/>
      <c r="J393" s="3"/>
      <c r="K393" s="3"/>
      <c r="L393" s="3"/>
      <c r="M393" s="3"/>
      <c r="N393" s="3"/>
      <c r="O393" s="3"/>
      <c r="P393" s="3"/>
      <c r="Q393" s="3"/>
      <c r="R393" s="3"/>
      <c r="S393" s="3"/>
      <c r="T393" s="3"/>
      <c r="U393" s="3"/>
      <c r="V393" s="3"/>
      <c r="W393" s="3"/>
      <c r="X393" s="3"/>
      <c r="Y393" s="3"/>
      <c r="Z393" s="3"/>
    </row>
    <row r="394" spans="1:26" ht="14.25" customHeight="1">
      <c r="A394" s="1"/>
      <c r="B394" s="1"/>
      <c r="C394" s="1"/>
      <c r="D394" s="1"/>
      <c r="E394" s="19"/>
      <c r="F394" s="3"/>
      <c r="G394" s="3"/>
      <c r="H394" s="3"/>
      <c r="I394" s="3"/>
      <c r="J394" s="3"/>
      <c r="K394" s="3"/>
      <c r="L394" s="3"/>
      <c r="M394" s="3"/>
      <c r="N394" s="3"/>
      <c r="O394" s="3"/>
      <c r="P394" s="3"/>
      <c r="Q394" s="3"/>
      <c r="R394" s="3"/>
      <c r="S394" s="3"/>
      <c r="T394" s="3"/>
      <c r="U394" s="3"/>
      <c r="V394" s="3"/>
      <c r="W394" s="3"/>
      <c r="X394" s="3"/>
      <c r="Y394" s="3"/>
      <c r="Z394" s="3"/>
    </row>
    <row r="395" spans="1:26" ht="14.25" customHeight="1">
      <c r="A395" s="1"/>
      <c r="B395" s="1"/>
      <c r="C395" s="1"/>
      <c r="D395" s="1"/>
      <c r="E395" s="19"/>
      <c r="F395" s="3"/>
      <c r="G395" s="3"/>
      <c r="H395" s="3"/>
      <c r="I395" s="3"/>
      <c r="J395" s="3"/>
      <c r="K395" s="3"/>
      <c r="L395" s="3"/>
      <c r="M395" s="3"/>
      <c r="N395" s="3"/>
      <c r="O395" s="3"/>
      <c r="P395" s="3"/>
      <c r="Q395" s="3"/>
      <c r="R395" s="3"/>
      <c r="S395" s="3"/>
      <c r="T395" s="3"/>
      <c r="U395" s="3"/>
      <c r="V395" s="3"/>
      <c r="W395" s="3"/>
      <c r="X395" s="3"/>
      <c r="Y395" s="3"/>
      <c r="Z395" s="3"/>
    </row>
    <row r="396" spans="1:26" ht="14.25" customHeight="1">
      <c r="A396" s="1"/>
      <c r="B396" s="1"/>
      <c r="C396" s="1"/>
      <c r="D396" s="1"/>
      <c r="E396" s="19"/>
      <c r="F396" s="3"/>
      <c r="G396" s="3"/>
      <c r="H396" s="3"/>
      <c r="I396" s="3"/>
      <c r="J396" s="3"/>
      <c r="K396" s="3"/>
      <c r="L396" s="3"/>
      <c r="M396" s="3"/>
      <c r="N396" s="3"/>
      <c r="O396" s="3"/>
      <c r="P396" s="3"/>
      <c r="Q396" s="3"/>
      <c r="R396" s="3"/>
      <c r="S396" s="3"/>
      <c r="T396" s="3"/>
      <c r="U396" s="3"/>
      <c r="V396" s="3"/>
      <c r="W396" s="3"/>
      <c r="X396" s="3"/>
      <c r="Y396" s="3"/>
      <c r="Z396" s="3"/>
    </row>
    <row r="397" spans="1:26" ht="14.25" customHeight="1">
      <c r="A397" s="1"/>
      <c r="B397" s="1"/>
      <c r="C397" s="1"/>
      <c r="D397" s="1"/>
      <c r="E397" s="19"/>
      <c r="F397" s="3"/>
      <c r="G397" s="3"/>
      <c r="H397" s="3"/>
      <c r="I397" s="3"/>
      <c r="J397" s="3"/>
      <c r="K397" s="3"/>
      <c r="L397" s="3"/>
      <c r="M397" s="3"/>
      <c r="N397" s="3"/>
      <c r="O397" s="3"/>
      <c r="P397" s="3"/>
      <c r="Q397" s="3"/>
      <c r="R397" s="3"/>
      <c r="S397" s="3"/>
      <c r="T397" s="3"/>
      <c r="U397" s="3"/>
      <c r="V397" s="3"/>
      <c r="W397" s="3"/>
      <c r="X397" s="3"/>
      <c r="Y397" s="3"/>
      <c r="Z397" s="3"/>
    </row>
    <row r="398" spans="1:26" ht="14.25" customHeight="1">
      <c r="A398" s="1"/>
      <c r="B398" s="1"/>
      <c r="C398" s="1"/>
      <c r="D398" s="1"/>
      <c r="E398" s="19"/>
      <c r="F398" s="3"/>
      <c r="G398" s="3"/>
      <c r="H398" s="3"/>
      <c r="I398" s="3"/>
      <c r="J398" s="3"/>
      <c r="K398" s="3"/>
      <c r="L398" s="3"/>
      <c r="M398" s="3"/>
      <c r="N398" s="3"/>
      <c r="O398" s="3"/>
      <c r="P398" s="3"/>
      <c r="Q398" s="3"/>
      <c r="R398" s="3"/>
      <c r="S398" s="3"/>
      <c r="T398" s="3"/>
      <c r="U398" s="3"/>
      <c r="V398" s="3"/>
      <c r="W398" s="3"/>
      <c r="X398" s="3"/>
      <c r="Y398" s="3"/>
      <c r="Z398" s="3"/>
    </row>
    <row r="399" spans="1:26" ht="14.25" customHeight="1">
      <c r="A399" s="1"/>
      <c r="B399" s="1"/>
      <c r="C399" s="1"/>
      <c r="D399" s="1"/>
      <c r="E399" s="19"/>
      <c r="F399" s="3"/>
      <c r="G399" s="3"/>
      <c r="H399" s="3"/>
      <c r="I399" s="3"/>
      <c r="J399" s="3"/>
      <c r="K399" s="3"/>
      <c r="L399" s="3"/>
      <c r="M399" s="3"/>
      <c r="N399" s="3"/>
      <c r="O399" s="3"/>
      <c r="P399" s="3"/>
      <c r="Q399" s="3"/>
      <c r="R399" s="3"/>
      <c r="S399" s="3"/>
      <c r="T399" s="3"/>
      <c r="U399" s="3"/>
      <c r="V399" s="3"/>
      <c r="W399" s="3"/>
      <c r="X399" s="3"/>
      <c r="Y399" s="3"/>
      <c r="Z399" s="3"/>
    </row>
    <row r="400" spans="1:26" ht="14.25" customHeight="1">
      <c r="A400" s="1"/>
      <c r="B400" s="1"/>
      <c r="C400" s="1"/>
      <c r="D400" s="1"/>
      <c r="E400" s="19"/>
      <c r="F400" s="3"/>
      <c r="G400" s="3"/>
      <c r="H400" s="3"/>
      <c r="I400" s="3"/>
      <c r="J400" s="3"/>
      <c r="K400" s="3"/>
      <c r="L400" s="3"/>
      <c r="M400" s="3"/>
      <c r="N400" s="3"/>
      <c r="O400" s="3"/>
      <c r="P400" s="3"/>
      <c r="Q400" s="3"/>
      <c r="R400" s="3"/>
      <c r="S400" s="3"/>
      <c r="T400" s="3"/>
      <c r="U400" s="3"/>
      <c r="V400" s="3"/>
      <c r="W400" s="3"/>
      <c r="X400" s="3"/>
      <c r="Y400" s="3"/>
      <c r="Z400" s="3"/>
    </row>
    <row r="401" spans="1:26" ht="14.25" customHeight="1">
      <c r="A401" s="1"/>
      <c r="B401" s="1"/>
      <c r="C401" s="1"/>
      <c r="D401" s="1"/>
      <c r="E401" s="19"/>
      <c r="F401" s="3"/>
      <c r="G401" s="3"/>
      <c r="H401" s="3"/>
      <c r="I401" s="3"/>
      <c r="J401" s="3"/>
      <c r="K401" s="3"/>
      <c r="L401" s="3"/>
      <c r="M401" s="3"/>
      <c r="N401" s="3"/>
      <c r="O401" s="3"/>
      <c r="P401" s="3"/>
      <c r="Q401" s="3"/>
      <c r="R401" s="3"/>
      <c r="S401" s="3"/>
      <c r="T401" s="3"/>
      <c r="U401" s="3"/>
      <c r="V401" s="3"/>
      <c r="W401" s="3"/>
      <c r="X401" s="3"/>
      <c r="Y401" s="3"/>
      <c r="Z401" s="3"/>
    </row>
    <row r="402" spans="1:26" ht="14.25" customHeight="1">
      <c r="A402" s="1"/>
      <c r="B402" s="1"/>
      <c r="C402" s="1"/>
      <c r="D402" s="1"/>
      <c r="E402" s="19"/>
      <c r="F402" s="3"/>
      <c r="G402" s="3"/>
      <c r="H402" s="3"/>
      <c r="I402" s="3"/>
      <c r="J402" s="3"/>
      <c r="K402" s="3"/>
      <c r="L402" s="3"/>
      <c r="M402" s="3"/>
      <c r="N402" s="3"/>
      <c r="O402" s="3"/>
      <c r="P402" s="3"/>
      <c r="Q402" s="3"/>
      <c r="R402" s="3"/>
      <c r="S402" s="3"/>
      <c r="T402" s="3"/>
      <c r="U402" s="3"/>
      <c r="V402" s="3"/>
      <c r="W402" s="3"/>
      <c r="X402" s="3"/>
      <c r="Y402" s="3"/>
      <c r="Z402" s="3"/>
    </row>
    <row r="403" spans="1:26" ht="14.25" customHeight="1">
      <c r="A403" s="1"/>
      <c r="B403" s="1"/>
      <c r="C403" s="1"/>
      <c r="D403" s="1"/>
      <c r="E403" s="19"/>
      <c r="F403" s="3"/>
      <c r="G403" s="3"/>
      <c r="H403" s="3"/>
      <c r="I403" s="3"/>
      <c r="J403" s="3"/>
      <c r="K403" s="3"/>
      <c r="L403" s="3"/>
      <c r="M403" s="3"/>
      <c r="N403" s="3"/>
      <c r="O403" s="3"/>
      <c r="P403" s="3"/>
      <c r="Q403" s="3"/>
      <c r="R403" s="3"/>
      <c r="S403" s="3"/>
      <c r="T403" s="3"/>
      <c r="U403" s="3"/>
      <c r="V403" s="3"/>
      <c r="W403" s="3"/>
      <c r="X403" s="3"/>
      <c r="Y403" s="3"/>
      <c r="Z403" s="3"/>
    </row>
    <row r="404" spans="1:26" ht="14.25" customHeight="1">
      <c r="A404" s="1"/>
      <c r="B404" s="1"/>
      <c r="C404" s="1"/>
      <c r="D404" s="1"/>
      <c r="E404" s="19"/>
      <c r="F404" s="3"/>
      <c r="G404" s="3"/>
      <c r="H404" s="3"/>
      <c r="I404" s="3"/>
      <c r="J404" s="3"/>
      <c r="K404" s="3"/>
      <c r="L404" s="3"/>
      <c r="M404" s="3"/>
      <c r="N404" s="3"/>
      <c r="O404" s="3"/>
      <c r="P404" s="3"/>
      <c r="Q404" s="3"/>
      <c r="R404" s="3"/>
      <c r="S404" s="3"/>
      <c r="T404" s="3"/>
      <c r="U404" s="3"/>
      <c r="V404" s="3"/>
      <c r="W404" s="3"/>
      <c r="X404" s="3"/>
      <c r="Y404" s="3"/>
      <c r="Z404" s="3"/>
    </row>
    <row r="405" spans="1:26" ht="14.25" customHeight="1">
      <c r="A405" s="1"/>
      <c r="B405" s="1"/>
      <c r="C405" s="1"/>
      <c r="D405" s="1"/>
      <c r="E405" s="19"/>
      <c r="F405" s="3"/>
      <c r="G405" s="3"/>
      <c r="H405" s="3"/>
      <c r="I405" s="3"/>
      <c r="J405" s="3"/>
      <c r="K405" s="3"/>
      <c r="L405" s="3"/>
      <c r="M405" s="3"/>
      <c r="N405" s="3"/>
      <c r="O405" s="3"/>
      <c r="P405" s="3"/>
      <c r="Q405" s="3"/>
      <c r="R405" s="3"/>
      <c r="S405" s="3"/>
      <c r="T405" s="3"/>
      <c r="U405" s="3"/>
      <c r="V405" s="3"/>
      <c r="W405" s="3"/>
      <c r="X405" s="3"/>
      <c r="Y405" s="3"/>
      <c r="Z405" s="3"/>
    </row>
    <row r="406" spans="1:26" ht="14.25" customHeight="1">
      <c r="A406" s="1"/>
      <c r="B406" s="1"/>
      <c r="C406" s="1"/>
      <c r="D406" s="1"/>
      <c r="E406" s="19"/>
      <c r="F406" s="3"/>
      <c r="G406" s="3"/>
      <c r="H406" s="3"/>
      <c r="I406" s="3"/>
      <c r="J406" s="3"/>
      <c r="K406" s="3"/>
      <c r="L406" s="3"/>
      <c r="M406" s="3"/>
      <c r="N406" s="3"/>
      <c r="O406" s="3"/>
      <c r="P406" s="3"/>
      <c r="Q406" s="3"/>
      <c r="R406" s="3"/>
      <c r="S406" s="3"/>
      <c r="T406" s="3"/>
      <c r="U406" s="3"/>
      <c r="V406" s="3"/>
      <c r="W406" s="3"/>
      <c r="X406" s="3"/>
      <c r="Y406" s="3"/>
      <c r="Z406" s="3"/>
    </row>
    <row r="407" spans="1:26" ht="14.25" customHeight="1">
      <c r="A407" s="1"/>
      <c r="B407" s="1"/>
      <c r="C407" s="1"/>
      <c r="D407" s="1"/>
      <c r="E407" s="19"/>
      <c r="F407" s="3"/>
      <c r="G407" s="3"/>
      <c r="H407" s="3"/>
      <c r="I407" s="3"/>
      <c r="J407" s="3"/>
      <c r="K407" s="3"/>
      <c r="L407" s="3"/>
      <c r="M407" s="3"/>
      <c r="N407" s="3"/>
      <c r="O407" s="3"/>
      <c r="P407" s="3"/>
      <c r="Q407" s="3"/>
      <c r="R407" s="3"/>
      <c r="S407" s="3"/>
      <c r="T407" s="3"/>
      <c r="U407" s="3"/>
      <c r="V407" s="3"/>
      <c r="W407" s="3"/>
      <c r="X407" s="3"/>
      <c r="Y407" s="3"/>
      <c r="Z407" s="3"/>
    </row>
    <row r="408" spans="1:26" ht="14.25" customHeight="1">
      <c r="A408" s="1"/>
      <c r="B408" s="1"/>
      <c r="C408" s="1"/>
      <c r="D408" s="1"/>
      <c r="E408" s="19"/>
      <c r="F408" s="3"/>
      <c r="G408" s="3"/>
      <c r="H408" s="3"/>
      <c r="I408" s="3"/>
      <c r="J408" s="3"/>
      <c r="K408" s="3"/>
      <c r="L408" s="3"/>
      <c r="M408" s="3"/>
      <c r="N408" s="3"/>
      <c r="O408" s="3"/>
      <c r="P408" s="3"/>
      <c r="Q408" s="3"/>
      <c r="R408" s="3"/>
      <c r="S408" s="3"/>
      <c r="T408" s="3"/>
      <c r="U408" s="3"/>
      <c r="V408" s="3"/>
      <c r="W408" s="3"/>
      <c r="X408" s="3"/>
      <c r="Y408" s="3"/>
      <c r="Z408" s="3"/>
    </row>
    <row r="409" spans="1:26" ht="14.25" customHeight="1">
      <c r="A409" s="1"/>
      <c r="B409" s="1"/>
      <c r="C409" s="1"/>
      <c r="D409" s="1"/>
      <c r="E409" s="19"/>
      <c r="F409" s="3"/>
      <c r="G409" s="3"/>
      <c r="H409" s="3"/>
      <c r="I409" s="3"/>
      <c r="J409" s="3"/>
      <c r="K409" s="3"/>
      <c r="L409" s="3"/>
      <c r="M409" s="3"/>
      <c r="N409" s="3"/>
      <c r="O409" s="3"/>
      <c r="P409" s="3"/>
      <c r="Q409" s="3"/>
      <c r="R409" s="3"/>
      <c r="S409" s="3"/>
      <c r="T409" s="3"/>
      <c r="U409" s="3"/>
      <c r="V409" s="3"/>
      <c r="W409" s="3"/>
      <c r="X409" s="3"/>
      <c r="Y409" s="3"/>
      <c r="Z409" s="3"/>
    </row>
    <row r="410" spans="1:26" ht="14.25" customHeight="1">
      <c r="A410" s="1"/>
      <c r="B410" s="1"/>
      <c r="C410" s="1"/>
      <c r="D410" s="1"/>
      <c r="E410" s="19"/>
      <c r="F410" s="3"/>
      <c r="G410" s="3"/>
      <c r="H410" s="3"/>
      <c r="I410" s="3"/>
      <c r="J410" s="3"/>
      <c r="K410" s="3"/>
      <c r="L410" s="3"/>
      <c r="M410" s="3"/>
      <c r="N410" s="3"/>
      <c r="O410" s="3"/>
      <c r="P410" s="3"/>
      <c r="Q410" s="3"/>
      <c r="R410" s="3"/>
      <c r="S410" s="3"/>
      <c r="T410" s="3"/>
      <c r="U410" s="3"/>
      <c r="V410" s="3"/>
      <c r="W410" s="3"/>
      <c r="X410" s="3"/>
      <c r="Y410" s="3"/>
      <c r="Z410" s="3"/>
    </row>
    <row r="411" spans="1:26" ht="14.25" customHeight="1">
      <c r="A411" s="1"/>
      <c r="B411" s="1"/>
      <c r="C411" s="1"/>
      <c r="D411" s="1"/>
      <c r="E411" s="19"/>
      <c r="F411" s="3"/>
      <c r="G411" s="3"/>
      <c r="H411" s="3"/>
      <c r="I411" s="3"/>
      <c r="J411" s="3"/>
      <c r="K411" s="3"/>
      <c r="L411" s="3"/>
      <c r="M411" s="3"/>
      <c r="N411" s="3"/>
      <c r="O411" s="3"/>
      <c r="P411" s="3"/>
      <c r="Q411" s="3"/>
      <c r="R411" s="3"/>
      <c r="S411" s="3"/>
      <c r="T411" s="3"/>
      <c r="U411" s="3"/>
      <c r="V411" s="3"/>
      <c r="W411" s="3"/>
      <c r="X411" s="3"/>
      <c r="Y411" s="3"/>
      <c r="Z411" s="3"/>
    </row>
    <row r="412" spans="1:26" ht="14.25" customHeight="1">
      <c r="A412" s="1"/>
      <c r="B412" s="1"/>
      <c r="C412" s="1"/>
      <c r="D412" s="1"/>
      <c r="E412" s="19"/>
      <c r="F412" s="3"/>
      <c r="G412" s="3"/>
      <c r="H412" s="3"/>
      <c r="I412" s="3"/>
      <c r="J412" s="3"/>
      <c r="K412" s="3"/>
      <c r="L412" s="3"/>
      <c r="M412" s="3"/>
      <c r="N412" s="3"/>
      <c r="O412" s="3"/>
      <c r="P412" s="3"/>
      <c r="Q412" s="3"/>
      <c r="R412" s="3"/>
      <c r="S412" s="3"/>
      <c r="T412" s="3"/>
      <c r="U412" s="3"/>
      <c r="V412" s="3"/>
      <c r="W412" s="3"/>
      <c r="X412" s="3"/>
      <c r="Y412" s="3"/>
      <c r="Z412" s="3"/>
    </row>
    <row r="413" spans="1:26" ht="14.25" customHeight="1">
      <c r="A413" s="1"/>
      <c r="B413" s="1"/>
      <c r="C413" s="1"/>
      <c r="D413" s="1"/>
      <c r="E413" s="19"/>
      <c r="F413" s="3"/>
      <c r="G413" s="3"/>
      <c r="H413" s="3"/>
      <c r="I413" s="3"/>
      <c r="J413" s="3"/>
      <c r="K413" s="3"/>
      <c r="L413" s="3"/>
      <c r="M413" s="3"/>
      <c r="N413" s="3"/>
      <c r="O413" s="3"/>
      <c r="P413" s="3"/>
      <c r="Q413" s="3"/>
      <c r="R413" s="3"/>
      <c r="S413" s="3"/>
      <c r="T413" s="3"/>
      <c r="U413" s="3"/>
      <c r="V413" s="3"/>
      <c r="W413" s="3"/>
      <c r="X413" s="3"/>
      <c r="Y413" s="3"/>
      <c r="Z413" s="3"/>
    </row>
    <row r="414" spans="1:26" ht="14.25" customHeight="1">
      <c r="A414" s="1"/>
      <c r="B414" s="1"/>
      <c r="C414" s="1"/>
      <c r="D414" s="1"/>
      <c r="E414" s="19"/>
      <c r="F414" s="3"/>
      <c r="G414" s="3"/>
      <c r="H414" s="3"/>
      <c r="I414" s="3"/>
      <c r="J414" s="3"/>
      <c r="K414" s="3"/>
      <c r="L414" s="3"/>
      <c r="M414" s="3"/>
      <c r="N414" s="3"/>
      <c r="O414" s="3"/>
      <c r="P414" s="3"/>
      <c r="Q414" s="3"/>
      <c r="R414" s="3"/>
      <c r="S414" s="3"/>
      <c r="T414" s="3"/>
      <c r="U414" s="3"/>
      <c r="V414" s="3"/>
      <c r="W414" s="3"/>
      <c r="X414" s="3"/>
      <c r="Y414" s="3"/>
      <c r="Z414" s="3"/>
    </row>
    <row r="415" spans="1:26" ht="14.25" customHeight="1">
      <c r="A415" s="1"/>
      <c r="B415" s="1"/>
      <c r="C415" s="1"/>
      <c r="D415" s="1"/>
      <c r="E415" s="19"/>
      <c r="F415" s="3"/>
      <c r="G415" s="3"/>
      <c r="H415" s="3"/>
      <c r="I415" s="3"/>
      <c r="J415" s="3"/>
      <c r="K415" s="3"/>
      <c r="L415" s="3"/>
      <c r="M415" s="3"/>
      <c r="N415" s="3"/>
      <c r="O415" s="3"/>
      <c r="P415" s="3"/>
      <c r="Q415" s="3"/>
      <c r="R415" s="3"/>
      <c r="S415" s="3"/>
      <c r="T415" s="3"/>
      <c r="U415" s="3"/>
      <c r="V415" s="3"/>
      <c r="W415" s="3"/>
      <c r="X415" s="3"/>
      <c r="Y415" s="3"/>
      <c r="Z415" s="3"/>
    </row>
    <row r="416" spans="1:26" ht="14.25" customHeight="1">
      <c r="A416" s="1"/>
      <c r="B416" s="1"/>
      <c r="C416" s="1"/>
      <c r="D416" s="1"/>
      <c r="E416" s="19"/>
      <c r="F416" s="3"/>
      <c r="G416" s="3"/>
      <c r="H416" s="3"/>
      <c r="I416" s="3"/>
      <c r="J416" s="3"/>
      <c r="K416" s="3"/>
      <c r="L416" s="3"/>
      <c r="M416" s="3"/>
      <c r="N416" s="3"/>
      <c r="O416" s="3"/>
      <c r="P416" s="3"/>
      <c r="Q416" s="3"/>
      <c r="R416" s="3"/>
      <c r="S416" s="3"/>
      <c r="T416" s="3"/>
      <c r="U416" s="3"/>
      <c r="V416" s="3"/>
      <c r="W416" s="3"/>
      <c r="X416" s="3"/>
      <c r="Y416" s="3"/>
      <c r="Z416" s="3"/>
    </row>
    <row r="417" spans="1:26" ht="14.25" customHeight="1">
      <c r="A417" s="1"/>
      <c r="B417" s="1"/>
      <c r="C417" s="1"/>
      <c r="D417" s="1"/>
      <c r="E417" s="19"/>
      <c r="F417" s="3"/>
      <c r="G417" s="3"/>
      <c r="H417" s="3"/>
      <c r="I417" s="3"/>
      <c r="J417" s="3"/>
      <c r="K417" s="3"/>
      <c r="L417" s="3"/>
      <c r="M417" s="3"/>
      <c r="N417" s="3"/>
      <c r="O417" s="3"/>
      <c r="P417" s="3"/>
      <c r="Q417" s="3"/>
      <c r="R417" s="3"/>
      <c r="S417" s="3"/>
      <c r="T417" s="3"/>
      <c r="U417" s="3"/>
      <c r="V417" s="3"/>
      <c r="W417" s="3"/>
      <c r="X417" s="3"/>
      <c r="Y417" s="3"/>
      <c r="Z417" s="3"/>
    </row>
    <row r="418" spans="1:26" ht="14.25" customHeight="1">
      <c r="A418" s="1"/>
      <c r="B418" s="1"/>
      <c r="C418" s="1"/>
      <c r="D418" s="1"/>
      <c r="E418" s="19"/>
      <c r="F418" s="3"/>
      <c r="G418" s="3"/>
      <c r="H418" s="3"/>
      <c r="I418" s="3"/>
      <c r="J418" s="3"/>
      <c r="K418" s="3"/>
      <c r="L418" s="3"/>
      <c r="M418" s="3"/>
      <c r="N418" s="3"/>
      <c r="O418" s="3"/>
      <c r="P418" s="3"/>
      <c r="Q418" s="3"/>
      <c r="R418" s="3"/>
      <c r="S418" s="3"/>
      <c r="T418" s="3"/>
      <c r="U418" s="3"/>
      <c r="V418" s="3"/>
      <c r="W418" s="3"/>
      <c r="X418" s="3"/>
      <c r="Y418" s="3"/>
      <c r="Z418" s="3"/>
    </row>
    <row r="419" spans="1:26" ht="14.25" customHeight="1">
      <c r="A419" s="1"/>
      <c r="B419" s="1"/>
      <c r="C419" s="1"/>
      <c r="D419" s="1"/>
      <c r="E419" s="19"/>
      <c r="F419" s="3"/>
      <c r="G419" s="3"/>
      <c r="H419" s="3"/>
      <c r="I419" s="3"/>
      <c r="J419" s="3"/>
      <c r="K419" s="3"/>
      <c r="L419" s="3"/>
      <c r="M419" s="3"/>
      <c r="N419" s="3"/>
      <c r="O419" s="3"/>
      <c r="P419" s="3"/>
      <c r="Q419" s="3"/>
      <c r="R419" s="3"/>
      <c r="S419" s="3"/>
      <c r="T419" s="3"/>
      <c r="U419" s="3"/>
      <c r="V419" s="3"/>
      <c r="W419" s="3"/>
      <c r="X419" s="3"/>
      <c r="Y419" s="3"/>
      <c r="Z419" s="3"/>
    </row>
    <row r="420" spans="1:26" ht="14.25" customHeight="1">
      <c r="A420" s="1"/>
      <c r="B420" s="1"/>
      <c r="C420" s="1"/>
      <c r="D420" s="1"/>
      <c r="E420" s="19"/>
      <c r="F420" s="3"/>
      <c r="G420" s="3"/>
      <c r="H420" s="3"/>
      <c r="I420" s="3"/>
      <c r="J420" s="3"/>
      <c r="K420" s="3"/>
      <c r="L420" s="3"/>
      <c r="M420" s="3"/>
      <c r="N420" s="3"/>
      <c r="O420" s="3"/>
      <c r="P420" s="3"/>
      <c r="Q420" s="3"/>
      <c r="R420" s="3"/>
      <c r="S420" s="3"/>
      <c r="T420" s="3"/>
      <c r="U420" s="3"/>
      <c r="V420" s="3"/>
      <c r="W420" s="3"/>
      <c r="X420" s="3"/>
      <c r="Y420" s="3"/>
      <c r="Z420" s="3"/>
    </row>
    <row r="421" spans="1:26" ht="14.25" customHeight="1">
      <c r="A421" s="1"/>
      <c r="B421" s="1"/>
      <c r="C421" s="1"/>
      <c r="D421" s="1"/>
      <c r="E421" s="19"/>
      <c r="F421" s="3"/>
      <c r="G421" s="3"/>
      <c r="H421" s="3"/>
      <c r="I421" s="3"/>
      <c r="J421" s="3"/>
      <c r="K421" s="3"/>
      <c r="L421" s="3"/>
      <c r="M421" s="3"/>
      <c r="N421" s="3"/>
      <c r="O421" s="3"/>
      <c r="P421" s="3"/>
      <c r="Q421" s="3"/>
      <c r="R421" s="3"/>
      <c r="S421" s="3"/>
      <c r="T421" s="3"/>
      <c r="U421" s="3"/>
      <c r="V421" s="3"/>
      <c r="W421" s="3"/>
      <c r="X421" s="3"/>
      <c r="Y421" s="3"/>
      <c r="Z421" s="3"/>
    </row>
    <row r="422" spans="1:26" ht="14.25" customHeight="1">
      <c r="A422" s="1"/>
      <c r="B422" s="1"/>
      <c r="C422" s="1"/>
      <c r="D422" s="1"/>
      <c r="E422" s="19"/>
      <c r="F422" s="3"/>
      <c r="G422" s="3"/>
      <c r="H422" s="3"/>
      <c r="I422" s="3"/>
      <c r="J422" s="3"/>
      <c r="K422" s="3"/>
      <c r="L422" s="3"/>
      <c r="M422" s="3"/>
      <c r="N422" s="3"/>
      <c r="O422" s="3"/>
      <c r="P422" s="3"/>
      <c r="Q422" s="3"/>
      <c r="R422" s="3"/>
      <c r="S422" s="3"/>
      <c r="T422" s="3"/>
      <c r="U422" s="3"/>
      <c r="V422" s="3"/>
      <c r="W422" s="3"/>
      <c r="X422" s="3"/>
      <c r="Y422" s="3"/>
      <c r="Z422" s="3"/>
    </row>
    <row r="423" spans="1:26" ht="14.25" customHeight="1">
      <c r="A423" s="1"/>
      <c r="B423" s="1"/>
      <c r="C423" s="1"/>
      <c r="D423" s="1"/>
      <c r="E423" s="19"/>
      <c r="F423" s="3"/>
      <c r="G423" s="3"/>
      <c r="H423" s="3"/>
      <c r="I423" s="3"/>
      <c r="J423" s="3"/>
      <c r="K423" s="3"/>
      <c r="L423" s="3"/>
      <c r="M423" s="3"/>
      <c r="N423" s="3"/>
      <c r="O423" s="3"/>
      <c r="P423" s="3"/>
      <c r="Q423" s="3"/>
      <c r="R423" s="3"/>
      <c r="S423" s="3"/>
      <c r="T423" s="3"/>
      <c r="U423" s="3"/>
      <c r="V423" s="3"/>
      <c r="W423" s="3"/>
      <c r="X423" s="3"/>
      <c r="Y423" s="3"/>
      <c r="Z423" s="3"/>
    </row>
    <row r="424" spans="1:26" ht="14.25" customHeight="1">
      <c r="A424" s="1"/>
      <c r="B424" s="1"/>
      <c r="C424" s="1"/>
      <c r="D424" s="1"/>
      <c r="E424" s="19"/>
      <c r="F424" s="3"/>
      <c r="G424" s="3"/>
      <c r="H424" s="3"/>
      <c r="I424" s="3"/>
      <c r="J424" s="3"/>
      <c r="K424" s="3"/>
      <c r="L424" s="3"/>
      <c r="M424" s="3"/>
      <c r="N424" s="3"/>
      <c r="O424" s="3"/>
      <c r="P424" s="3"/>
      <c r="Q424" s="3"/>
      <c r="R424" s="3"/>
      <c r="S424" s="3"/>
      <c r="T424" s="3"/>
      <c r="U424" s="3"/>
      <c r="V424" s="3"/>
      <c r="W424" s="3"/>
      <c r="X424" s="3"/>
      <c r="Y424" s="3"/>
      <c r="Z424" s="3"/>
    </row>
    <row r="425" spans="1:26" ht="14.25" customHeight="1">
      <c r="A425" s="1"/>
      <c r="B425" s="1"/>
      <c r="C425" s="1"/>
      <c r="D425" s="1"/>
      <c r="E425" s="19"/>
      <c r="F425" s="3"/>
      <c r="G425" s="3"/>
      <c r="H425" s="3"/>
      <c r="I425" s="3"/>
      <c r="J425" s="3"/>
      <c r="K425" s="3"/>
      <c r="L425" s="3"/>
      <c r="M425" s="3"/>
      <c r="N425" s="3"/>
      <c r="O425" s="3"/>
      <c r="P425" s="3"/>
      <c r="Q425" s="3"/>
      <c r="R425" s="3"/>
      <c r="S425" s="3"/>
      <c r="T425" s="3"/>
      <c r="U425" s="3"/>
      <c r="V425" s="3"/>
      <c r="W425" s="3"/>
      <c r="X425" s="3"/>
      <c r="Y425" s="3"/>
      <c r="Z425" s="3"/>
    </row>
    <row r="426" spans="1:26" ht="14.25" customHeight="1">
      <c r="A426" s="1"/>
      <c r="B426" s="1"/>
      <c r="C426" s="1"/>
      <c r="D426" s="1"/>
      <c r="E426" s="19"/>
      <c r="F426" s="3"/>
      <c r="G426" s="3"/>
      <c r="H426" s="3"/>
      <c r="I426" s="3"/>
      <c r="J426" s="3"/>
      <c r="K426" s="3"/>
      <c r="L426" s="3"/>
      <c r="M426" s="3"/>
      <c r="N426" s="3"/>
      <c r="O426" s="3"/>
      <c r="P426" s="3"/>
      <c r="Q426" s="3"/>
      <c r="R426" s="3"/>
      <c r="S426" s="3"/>
      <c r="T426" s="3"/>
      <c r="U426" s="3"/>
      <c r="V426" s="3"/>
      <c r="W426" s="3"/>
      <c r="X426" s="3"/>
      <c r="Y426" s="3"/>
      <c r="Z426" s="3"/>
    </row>
    <row r="427" spans="1:26" ht="14.25" customHeight="1">
      <c r="A427" s="1"/>
      <c r="B427" s="1"/>
      <c r="C427" s="1"/>
      <c r="D427" s="1"/>
      <c r="E427" s="19"/>
      <c r="F427" s="3"/>
      <c r="G427" s="3"/>
      <c r="H427" s="3"/>
      <c r="I427" s="3"/>
      <c r="J427" s="3"/>
      <c r="K427" s="3"/>
      <c r="L427" s="3"/>
      <c r="M427" s="3"/>
      <c r="N427" s="3"/>
      <c r="O427" s="3"/>
      <c r="P427" s="3"/>
      <c r="Q427" s="3"/>
      <c r="R427" s="3"/>
      <c r="S427" s="3"/>
      <c r="T427" s="3"/>
      <c r="U427" s="3"/>
      <c r="V427" s="3"/>
      <c r="W427" s="3"/>
      <c r="X427" s="3"/>
      <c r="Y427" s="3"/>
      <c r="Z427" s="3"/>
    </row>
    <row r="428" spans="1:26" ht="14.25" customHeight="1">
      <c r="A428" s="1"/>
      <c r="B428" s="1"/>
      <c r="C428" s="1"/>
      <c r="D428" s="1"/>
      <c r="E428" s="19"/>
      <c r="F428" s="3"/>
      <c r="G428" s="3"/>
      <c r="H428" s="3"/>
      <c r="I428" s="3"/>
      <c r="J428" s="3"/>
      <c r="K428" s="3"/>
      <c r="L428" s="3"/>
      <c r="M428" s="3"/>
      <c r="N428" s="3"/>
      <c r="O428" s="3"/>
      <c r="P428" s="3"/>
      <c r="Q428" s="3"/>
      <c r="R428" s="3"/>
      <c r="S428" s="3"/>
      <c r="T428" s="3"/>
      <c r="U428" s="3"/>
      <c r="V428" s="3"/>
      <c r="W428" s="3"/>
      <c r="X428" s="3"/>
      <c r="Y428" s="3"/>
      <c r="Z428" s="3"/>
    </row>
    <row r="429" spans="1:26" ht="14.25" customHeight="1">
      <c r="A429" s="1"/>
      <c r="B429" s="1"/>
      <c r="C429" s="1"/>
      <c r="D429" s="1"/>
      <c r="E429" s="19"/>
      <c r="F429" s="3"/>
      <c r="G429" s="3"/>
      <c r="H429" s="3"/>
      <c r="I429" s="3"/>
      <c r="J429" s="3"/>
      <c r="K429" s="3"/>
      <c r="L429" s="3"/>
      <c r="M429" s="3"/>
      <c r="N429" s="3"/>
      <c r="O429" s="3"/>
      <c r="P429" s="3"/>
      <c r="Q429" s="3"/>
      <c r="R429" s="3"/>
      <c r="S429" s="3"/>
      <c r="T429" s="3"/>
      <c r="U429" s="3"/>
      <c r="V429" s="3"/>
      <c r="W429" s="3"/>
      <c r="X429" s="3"/>
      <c r="Y429" s="3"/>
      <c r="Z429" s="3"/>
    </row>
    <row r="430" spans="1:26" ht="14.25" customHeight="1">
      <c r="A430" s="1"/>
      <c r="B430" s="1"/>
      <c r="C430" s="1"/>
      <c r="D430" s="1"/>
      <c r="E430" s="19"/>
      <c r="F430" s="3"/>
      <c r="G430" s="3"/>
      <c r="H430" s="3"/>
      <c r="I430" s="3"/>
      <c r="J430" s="3"/>
      <c r="K430" s="3"/>
      <c r="L430" s="3"/>
      <c r="M430" s="3"/>
      <c r="N430" s="3"/>
      <c r="O430" s="3"/>
      <c r="P430" s="3"/>
      <c r="Q430" s="3"/>
      <c r="R430" s="3"/>
      <c r="S430" s="3"/>
      <c r="T430" s="3"/>
      <c r="U430" s="3"/>
      <c r="V430" s="3"/>
      <c r="W430" s="3"/>
      <c r="X430" s="3"/>
      <c r="Y430" s="3"/>
      <c r="Z430" s="3"/>
    </row>
    <row r="431" spans="1:26" ht="14.25" customHeight="1">
      <c r="A431" s="1"/>
      <c r="B431" s="1"/>
      <c r="C431" s="1"/>
      <c r="D431" s="1"/>
      <c r="E431" s="19"/>
      <c r="F431" s="3"/>
      <c r="G431" s="3"/>
      <c r="H431" s="3"/>
      <c r="I431" s="3"/>
      <c r="J431" s="3"/>
      <c r="K431" s="3"/>
      <c r="L431" s="3"/>
      <c r="M431" s="3"/>
      <c r="N431" s="3"/>
      <c r="O431" s="3"/>
      <c r="P431" s="3"/>
      <c r="Q431" s="3"/>
      <c r="R431" s="3"/>
      <c r="S431" s="3"/>
      <c r="T431" s="3"/>
      <c r="U431" s="3"/>
      <c r="V431" s="3"/>
      <c r="W431" s="3"/>
      <c r="X431" s="3"/>
      <c r="Y431" s="3"/>
      <c r="Z431" s="3"/>
    </row>
    <row r="432" spans="1:26" ht="14.25" customHeight="1">
      <c r="A432" s="1"/>
      <c r="B432" s="1"/>
      <c r="C432" s="1"/>
      <c r="D432" s="1"/>
      <c r="E432" s="19"/>
      <c r="F432" s="3"/>
      <c r="G432" s="3"/>
      <c r="H432" s="3"/>
      <c r="I432" s="3"/>
      <c r="J432" s="3"/>
      <c r="K432" s="3"/>
      <c r="L432" s="3"/>
      <c r="M432" s="3"/>
      <c r="N432" s="3"/>
      <c r="O432" s="3"/>
      <c r="P432" s="3"/>
      <c r="Q432" s="3"/>
      <c r="R432" s="3"/>
      <c r="S432" s="3"/>
      <c r="T432" s="3"/>
      <c r="U432" s="3"/>
      <c r="V432" s="3"/>
      <c r="W432" s="3"/>
      <c r="X432" s="3"/>
      <c r="Y432" s="3"/>
      <c r="Z432" s="3"/>
    </row>
    <row r="433" spans="1:26" ht="14.25" customHeight="1">
      <c r="A433" s="1"/>
      <c r="B433" s="1"/>
      <c r="C433" s="1"/>
      <c r="D433" s="1"/>
      <c r="E433" s="19"/>
      <c r="F433" s="3"/>
      <c r="G433" s="3"/>
      <c r="H433" s="3"/>
      <c r="I433" s="3"/>
      <c r="J433" s="3"/>
      <c r="K433" s="3"/>
      <c r="L433" s="3"/>
      <c r="M433" s="3"/>
      <c r="N433" s="3"/>
      <c r="O433" s="3"/>
      <c r="P433" s="3"/>
      <c r="Q433" s="3"/>
      <c r="R433" s="3"/>
      <c r="S433" s="3"/>
      <c r="T433" s="3"/>
      <c r="U433" s="3"/>
      <c r="V433" s="3"/>
      <c r="W433" s="3"/>
      <c r="X433" s="3"/>
      <c r="Y433" s="3"/>
      <c r="Z433" s="3"/>
    </row>
    <row r="434" spans="1:26" ht="14.25" customHeight="1">
      <c r="A434" s="1"/>
      <c r="B434" s="1"/>
      <c r="C434" s="1"/>
      <c r="D434" s="1"/>
      <c r="E434" s="19"/>
      <c r="F434" s="3"/>
      <c r="G434" s="3"/>
      <c r="H434" s="3"/>
      <c r="I434" s="3"/>
      <c r="J434" s="3"/>
      <c r="K434" s="3"/>
      <c r="L434" s="3"/>
      <c r="M434" s="3"/>
      <c r="N434" s="3"/>
      <c r="O434" s="3"/>
      <c r="P434" s="3"/>
      <c r="Q434" s="3"/>
      <c r="R434" s="3"/>
      <c r="S434" s="3"/>
      <c r="T434" s="3"/>
      <c r="U434" s="3"/>
      <c r="V434" s="3"/>
      <c r="W434" s="3"/>
      <c r="X434" s="3"/>
      <c r="Y434" s="3"/>
      <c r="Z434" s="3"/>
    </row>
    <row r="435" spans="1:26" ht="14.25" customHeight="1">
      <c r="A435" s="1"/>
      <c r="B435" s="1"/>
      <c r="C435" s="1"/>
      <c r="D435" s="1"/>
      <c r="E435" s="19"/>
      <c r="F435" s="3"/>
      <c r="G435" s="3"/>
      <c r="H435" s="3"/>
      <c r="I435" s="3"/>
      <c r="J435" s="3"/>
      <c r="K435" s="3"/>
      <c r="L435" s="3"/>
      <c r="M435" s="3"/>
      <c r="N435" s="3"/>
      <c r="O435" s="3"/>
      <c r="P435" s="3"/>
      <c r="Q435" s="3"/>
      <c r="R435" s="3"/>
      <c r="S435" s="3"/>
      <c r="T435" s="3"/>
      <c r="U435" s="3"/>
      <c r="V435" s="3"/>
      <c r="W435" s="3"/>
      <c r="X435" s="3"/>
      <c r="Y435" s="3"/>
      <c r="Z435" s="3"/>
    </row>
    <row r="436" spans="1:26" ht="14.25" customHeight="1">
      <c r="A436" s="1"/>
      <c r="B436" s="1"/>
      <c r="C436" s="1"/>
      <c r="D436" s="1"/>
      <c r="E436" s="19"/>
      <c r="F436" s="3"/>
      <c r="G436" s="3"/>
      <c r="H436" s="3"/>
      <c r="I436" s="3"/>
      <c r="J436" s="3"/>
      <c r="K436" s="3"/>
      <c r="L436" s="3"/>
      <c r="M436" s="3"/>
      <c r="N436" s="3"/>
      <c r="O436" s="3"/>
      <c r="P436" s="3"/>
      <c r="Q436" s="3"/>
      <c r="R436" s="3"/>
      <c r="S436" s="3"/>
      <c r="T436" s="3"/>
      <c r="U436" s="3"/>
      <c r="V436" s="3"/>
      <c r="W436" s="3"/>
      <c r="X436" s="3"/>
      <c r="Y436" s="3"/>
      <c r="Z436" s="3"/>
    </row>
    <row r="437" spans="1:26" ht="14.25" customHeight="1">
      <c r="A437" s="1"/>
      <c r="B437" s="1"/>
      <c r="C437" s="1"/>
      <c r="D437" s="1"/>
      <c r="E437" s="19"/>
      <c r="F437" s="3"/>
      <c r="G437" s="3"/>
      <c r="H437" s="3"/>
      <c r="I437" s="3"/>
      <c r="J437" s="3"/>
      <c r="K437" s="3"/>
      <c r="L437" s="3"/>
      <c r="M437" s="3"/>
      <c r="N437" s="3"/>
      <c r="O437" s="3"/>
      <c r="P437" s="3"/>
      <c r="Q437" s="3"/>
      <c r="R437" s="3"/>
      <c r="S437" s="3"/>
      <c r="T437" s="3"/>
      <c r="U437" s="3"/>
      <c r="V437" s="3"/>
      <c r="W437" s="3"/>
      <c r="X437" s="3"/>
      <c r="Y437" s="3"/>
      <c r="Z437" s="3"/>
    </row>
    <row r="438" spans="1:26" ht="14.25" customHeight="1">
      <c r="A438" s="1"/>
      <c r="B438" s="1"/>
      <c r="C438" s="1"/>
      <c r="D438" s="1"/>
      <c r="E438" s="19"/>
      <c r="F438" s="3"/>
      <c r="G438" s="3"/>
      <c r="H438" s="3"/>
      <c r="I438" s="3"/>
      <c r="J438" s="3"/>
      <c r="K438" s="3"/>
      <c r="L438" s="3"/>
      <c r="M438" s="3"/>
      <c r="N438" s="3"/>
      <c r="O438" s="3"/>
      <c r="P438" s="3"/>
      <c r="Q438" s="3"/>
      <c r="R438" s="3"/>
      <c r="S438" s="3"/>
      <c r="T438" s="3"/>
      <c r="U438" s="3"/>
      <c r="V438" s="3"/>
      <c r="W438" s="3"/>
      <c r="X438" s="3"/>
      <c r="Y438" s="3"/>
      <c r="Z438" s="3"/>
    </row>
    <row r="439" spans="1:26" ht="14.25" customHeight="1">
      <c r="A439" s="1"/>
      <c r="B439" s="1"/>
      <c r="C439" s="1"/>
      <c r="D439" s="1"/>
      <c r="E439" s="19"/>
      <c r="F439" s="3"/>
      <c r="G439" s="3"/>
      <c r="H439" s="3"/>
      <c r="I439" s="3"/>
      <c r="J439" s="3"/>
      <c r="K439" s="3"/>
      <c r="L439" s="3"/>
      <c r="M439" s="3"/>
      <c r="N439" s="3"/>
      <c r="O439" s="3"/>
      <c r="P439" s="3"/>
      <c r="Q439" s="3"/>
      <c r="R439" s="3"/>
      <c r="S439" s="3"/>
      <c r="T439" s="3"/>
      <c r="U439" s="3"/>
      <c r="V439" s="3"/>
      <c r="W439" s="3"/>
      <c r="X439" s="3"/>
      <c r="Y439" s="3"/>
      <c r="Z439" s="3"/>
    </row>
    <row r="440" spans="1:26" ht="14.25" customHeight="1">
      <c r="A440" s="1"/>
      <c r="B440" s="1"/>
      <c r="C440" s="1"/>
      <c r="D440" s="1"/>
      <c r="E440" s="19"/>
      <c r="F440" s="3"/>
      <c r="G440" s="3"/>
      <c r="H440" s="3"/>
      <c r="I440" s="3"/>
      <c r="J440" s="3"/>
      <c r="K440" s="3"/>
      <c r="L440" s="3"/>
      <c r="M440" s="3"/>
      <c r="N440" s="3"/>
      <c r="O440" s="3"/>
      <c r="P440" s="3"/>
      <c r="Q440" s="3"/>
      <c r="R440" s="3"/>
      <c r="S440" s="3"/>
      <c r="T440" s="3"/>
      <c r="U440" s="3"/>
      <c r="V440" s="3"/>
      <c r="W440" s="3"/>
      <c r="X440" s="3"/>
      <c r="Y440" s="3"/>
      <c r="Z440" s="3"/>
    </row>
    <row r="441" spans="1:26" ht="14.25" customHeight="1">
      <c r="A441" s="1"/>
      <c r="B441" s="1"/>
      <c r="C441" s="1"/>
      <c r="D441" s="1"/>
      <c r="E441" s="19"/>
      <c r="F441" s="3"/>
      <c r="G441" s="3"/>
      <c r="H441" s="3"/>
      <c r="I441" s="3"/>
      <c r="J441" s="3"/>
      <c r="K441" s="3"/>
      <c r="L441" s="3"/>
      <c r="M441" s="3"/>
      <c r="N441" s="3"/>
      <c r="O441" s="3"/>
      <c r="P441" s="3"/>
      <c r="Q441" s="3"/>
      <c r="R441" s="3"/>
      <c r="S441" s="3"/>
      <c r="T441" s="3"/>
      <c r="U441" s="3"/>
      <c r="V441" s="3"/>
      <c r="W441" s="3"/>
      <c r="X441" s="3"/>
      <c r="Y441" s="3"/>
      <c r="Z441" s="3"/>
    </row>
    <row r="442" spans="1:26" ht="14.25" customHeight="1">
      <c r="A442" s="1"/>
      <c r="B442" s="1"/>
      <c r="C442" s="1"/>
      <c r="D442" s="1"/>
      <c r="E442" s="19"/>
      <c r="F442" s="3"/>
      <c r="G442" s="3"/>
      <c r="H442" s="3"/>
      <c r="I442" s="3"/>
      <c r="J442" s="3"/>
      <c r="K442" s="3"/>
      <c r="L442" s="3"/>
      <c r="M442" s="3"/>
      <c r="N442" s="3"/>
      <c r="O442" s="3"/>
      <c r="P442" s="3"/>
      <c r="Q442" s="3"/>
      <c r="R442" s="3"/>
      <c r="S442" s="3"/>
      <c r="T442" s="3"/>
      <c r="U442" s="3"/>
      <c r="V442" s="3"/>
      <c r="W442" s="3"/>
      <c r="X442" s="3"/>
      <c r="Y442" s="3"/>
      <c r="Z442" s="3"/>
    </row>
    <row r="443" spans="1:26" ht="14.25" customHeight="1">
      <c r="A443" s="1"/>
      <c r="B443" s="1"/>
      <c r="C443" s="1"/>
      <c r="D443" s="1"/>
      <c r="E443" s="19"/>
      <c r="F443" s="3"/>
      <c r="G443" s="3"/>
      <c r="H443" s="3"/>
      <c r="I443" s="3"/>
      <c r="J443" s="3"/>
      <c r="K443" s="3"/>
      <c r="L443" s="3"/>
      <c r="M443" s="3"/>
      <c r="N443" s="3"/>
      <c r="O443" s="3"/>
      <c r="P443" s="3"/>
      <c r="Q443" s="3"/>
      <c r="R443" s="3"/>
      <c r="S443" s="3"/>
      <c r="T443" s="3"/>
      <c r="U443" s="3"/>
      <c r="V443" s="3"/>
      <c r="W443" s="3"/>
      <c r="X443" s="3"/>
      <c r="Y443" s="3"/>
      <c r="Z443" s="3"/>
    </row>
    <row r="444" spans="1:26" ht="14.25" customHeight="1">
      <c r="A444" s="1"/>
      <c r="B444" s="1"/>
      <c r="C444" s="1"/>
      <c r="D444" s="1"/>
      <c r="E444" s="19"/>
      <c r="F444" s="3"/>
      <c r="G444" s="3"/>
      <c r="H444" s="3"/>
      <c r="I444" s="3"/>
      <c r="J444" s="3"/>
      <c r="K444" s="3"/>
      <c r="L444" s="3"/>
      <c r="M444" s="3"/>
      <c r="N444" s="3"/>
      <c r="O444" s="3"/>
      <c r="P444" s="3"/>
      <c r="Q444" s="3"/>
      <c r="R444" s="3"/>
      <c r="S444" s="3"/>
      <c r="T444" s="3"/>
      <c r="U444" s="3"/>
      <c r="V444" s="3"/>
      <c r="W444" s="3"/>
      <c r="X444" s="3"/>
      <c r="Y444" s="3"/>
      <c r="Z444" s="3"/>
    </row>
    <row r="445" spans="1:26" ht="14.25" customHeight="1">
      <c r="A445" s="1"/>
      <c r="B445" s="1"/>
      <c r="C445" s="1"/>
      <c r="D445" s="1"/>
      <c r="E445" s="19"/>
      <c r="F445" s="3"/>
      <c r="G445" s="3"/>
      <c r="H445" s="3"/>
      <c r="I445" s="3"/>
      <c r="J445" s="3"/>
      <c r="K445" s="3"/>
      <c r="L445" s="3"/>
      <c r="M445" s="3"/>
      <c r="N445" s="3"/>
      <c r="O445" s="3"/>
      <c r="P445" s="3"/>
      <c r="Q445" s="3"/>
      <c r="R445" s="3"/>
      <c r="S445" s="3"/>
      <c r="T445" s="3"/>
      <c r="U445" s="3"/>
      <c r="V445" s="3"/>
      <c r="W445" s="3"/>
      <c r="X445" s="3"/>
      <c r="Y445" s="3"/>
      <c r="Z445" s="3"/>
    </row>
    <row r="446" spans="1:26" ht="14.25" customHeight="1">
      <c r="A446" s="1"/>
      <c r="B446" s="1"/>
      <c r="C446" s="1"/>
      <c r="D446" s="1"/>
      <c r="E446" s="19"/>
      <c r="F446" s="3"/>
      <c r="G446" s="3"/>
      <c r="H446" s="3"/>
      <c r="I446" s="3"/>
      <c r="J446" s="3"/>
      <c r="K446" s="3"/>
      <c r="L446" s="3"/>
      <c r="M446" s="3"/>
      <c r="N446" s="3"/>
      <c r="O446" s="3"/>
      <c r="P446" s="3"/>
      <c r="Q446" s="3"/>
      <c r="R446" s="3"/>
      <c r="S446" s="3"/>
      <c r="T446" s="3"/>
      <c r="U446" s="3"/>
      <c r="V446" s="3"/>
      <c r="W446" s="3"/>
      <c r="X446" s="3"/>
      <c r="Y446" s="3"/>
      <c r="Z446" s="3"/>
    </row>
    <row r="447" spans="1:26" ht="14.25" customHeight="1">
      <c r="A447" s="1"/>
      <c r="B447" s="1"/>
      <c r="C447" s="1"/>
      <c r="D447" s="1"/>
      <c r="E447" s="19"/>
      <c r="F447" s="3"/>
      <c r="G447" s="3"/>
      <c r="H447" s="3"/>
      <c r="I447" s="3"/>
      <c r="J447" s="3"/>
      <c r="K447" s="3"/>
      <c r="L447" s="3"/>
      <c r="M447" s="3"/>
      <c r="N447" s="3"/>
      <c r="O447" s="3"/>
      <c r="P447" s="3"/>
      <c r="Q447" s="3"/>
      <c r="R447" s="3"/>
      <c r="S447" s="3"/>
      <c r="T447" s="3"/>
      <c r="U447" s="3"/>
      <c r="V447" s="3"/>
      <c r="W447" s="3"/>
      <c r="X447" s="3"/>
      <c r="Y447" s="3"/>
      <c r="Z447" s="3"/>
    </row>
    <row r="448" spans="1:26" ht="14.25" customHeight="1">
      <c r="A448" s="1"/>
      <c r="B448" s="1"/>
      <c r="C448" s="1"/>
      <c r="D448" s="1"/>
      <c r="E448" s="19"/>
      <c r="F448" s="3"/>
      <c r="G448" s="3"/>
      <c r="H448" s="3"/>
      <c r="I448" s="3"/>
      <c r="J448" s="3"/>
      <c r="K448" s="3"/>
      <c r="L448" s="3"/>
      <c r="M448" s="3"/>
      <c r="N448" s="3"/>
      <c r="O448" s="3"/>
      <c r="P448" s="3"/>
      <c r="Q448" s="3"/>
      <c r="R448" s="3"/>
      <c r="S448" s="3"/>
      <c r="T448" s="3"/>
      <c r="U448" s="3"/>
      <c r="V448" s="3"/>
      <c r="W448" s="3"/>
      <c r="X448" s="3"/>
      <c r="Y448" s="3"/>
      <c r="Z448" s="3"/>
    </row>
    <row r="449" spans="1:26" ht="14.25" customHeight="1">
      <c r="A449" s="1"/>
      <c r="B449" s="1"/>
      <c r="C449" s="1"/>
      <c r="D449" s="1"/>
      <c r="E449" s="19"/>
      <c r="F449" s="3"/>
      <c r="G449" s="3"/>
      <c r="H449" s="3"/>
      <c r="I449" s="3"/>
      <c r="J449" s="3"/>
      <c r="K449" s="3"/>
      <c r="L449" s="3"/>
      <c r="M449" s="3"/>
      <c r="N449" s="3"/>
      <c r="O449" s="3"/>
      <c r="P449" s="3"/>
      <c r="Q449" s="3"/>
      <c r="R449" s="3"/>
      <c r="S449" s="3"/>
      <c r="T449" s="3"/>
      <c r="U449" s="3"/>
      <c r="V449" s="3"/>
      <c r="W449" s="3"/>
      <c r="X449" s="3"/>
      <c r="Y449" s="3"/>
      <c r="Z449" s="3"/>
    </row>
    <row r="450" spans="1:26" ht="14.25" customHeight="1">
      <c r="A450" s="1"/>
      <c r="B450" s="1"/>
      <c r="C450" s="1"/>
      <c r="D450" s="1"/>
      <c r="E450" s="19"/>
      <c r="F450" s="3"/>
      <c r="G450" s="3"/>
      <c r="H450" s="3"/>
      <c r="I450" s="3"/>
      <c r="J450" s="3"/>
      <c r="K450" s="3"/>
      <c r="L450" s="3"/>
      <c r="M450" s="3"/>
      <c r="N450" s="3"/>
      <c r="O450" s="3"/>
      <c r="P450" s="3"/>
      <c r="Q450" s="3"/>
      <c r="R450" s="3"/>
      <c r="S450" s="3"/>
      <c r="T450" s="3"/>
      <c r="U450" s="3"/>
      <c r="V450" s="3"/>
      <c r="W450" s="3"/>
      <c r="X450" s="3"/>
      <c r="Y450" s="3"/>
      <c r="Z450" s="3"/>
    </row>
    <row r="451" spans="1:26" ht="14.25" customHeight="1">
      <c r="A451" s="1"/>
      <c r="B451" s="1"/>
      <c r="C451" s="1"/>
      <c r="D451" s="1"/>
      <c r="E451" s="19"/>
      <c r="F451" s="3"/>
      <c r="G451" s="3"/>
      <c r="H451" s="3"/>
      <c r="I451" s="3"/>
      <c r="J451" s="3"/>
      <c r="K451" s="3"/>
      <c r="L451" s="3"/>
      <c r="M451" s="3"/>
      <c r="N451" s="3"/>
      <c r="O451" s="3"/>
      <c r="P451" s="3"/>
      <c r="Q451" s="3"/>
      <c r="R451" s="3"/>
      <c r="S451" s="3"/>
      <c r="T451" s="3"/>
      <c r="U451" s="3"/>
      <c r="V451" s="3"/>
      <c r="W451" s="3"/>
      <c r="X451" s="3"/>
      <c r="Y451" s="3"/>
      <c r="Z451" s="3"/>
    </row>
    <row r="452" spans="1:26" ht="14.25" customHeight="1">
      <c r="A452" s="1"/>
      <c r="B452" s="1"/>
      <c r="C452" s="1"/>
      <c r="D452" s="1"/>
      <c r="E452" s="19"/>
      <c r="F452" s="3"/>
      <c r="G452" s="3"/>
      <c r="H452" s="3"/>
      <c r="I452" s="3"/>
      <c r="J452" s="3"/>
      <c r="K452" s="3"/>
      <c r="L452" s="3"/>
      <c r="M452" s="3"/>
      <c r="N452" s="3"/>
      <c r="O452" s="3"/>
      <c r="P452" s="3"/>
      <c r="Q452" s="3"/>
      <c r="R452" s="3"/>
      <c r="S452" s="3"/>
      <c r="T452" s="3"/>
      <c r="U452" s="3"/>
      <c r="V452" s="3"/>
      <c r="W452" s="3"/>
      <c r="X452" s="3"/>
      <c r="Y452" s="3"/>
      <c r="Z452" s="3"/>
    </row>
    <row r="453" spans="1:26" ht="14.25" customHeight="1">
      <c r="A453" s="1"/>
      <c r="B453" s="1"/>
      <c r="C453" s="1"/>
      <c r="D453" s="1"/>
      <c r="E453" s="19"/>
      <c r="F453" s="3"/>
      <c r="G453" s="3"/>
      <c r="H453" s="3"/>
      <c r="I453" s="3"/>
      <c r="J453" s="3"/>
      <c r="K453" s="3"/>
      <c r="L453" s="3"/>
      <c r="M453" s="3"/>
      <c r="N453" s="3"/>
      <c r="O453" s="3"/>
      <c r="P453" s="3"/>
      <c r="Q453" s="3"/>
      <c r="R453" s="3"/>
      <c r="S453" s="3"/>
      <c r="T453" s="3"/>
      <c r="U453" s="3"/>
      <c r="V453" s="3"/>
      <c r="W453" s="3"/>
      <c r="X453" s="3"/>
      <c r="Y453" s="3"/>
      <c r="Z453" s="3"/>
    </row>
    <row r="454" spans="1:26" ht="14.25" customHeight="1">
      <c r="A454" s="1"/>
      <c r="B454" s="1"/>
      <c r="C454" s="1"/>
      <c r="D454" s="1"/>
      <c r="E454" s="19"/>
      <c r="F454" s="3"/>
      <c r="G454" s="3"/>
      <c r="H454" s="3"/>
      <c r="I454" s="3"/>
      <c r="J454" s="3"/>
      <c r="K454" s="3"/>
      <c r="L454" s="3"/>
      <c r="M454" s="3"/>
      <c r="N454" s="3"/>
      <c r="O454" s="3"/>
      <c r="P454" s="3"/>
      <c r="Q454" s="3"/>
      <c r="R454" s="3"/>
      <c r="S454" s="3"/>
      <c r="T454" s="3"/>
      <c r="U454" s="3"/>
      <c r="V454" s="3"/>
      <c r="W454" s="3"/>
      <c r="X454" s="3"/>
      <c r="Y454" s="3"/>
      <c r="Z454" s="3"/>
    </row>
    <row r="455" spans="1:26" ht="14.25" customHeight="1">
      <c r="A455" s="1"/>
      <c r="B455" s="1"/>
      <c r="C455" s="1"/>
      <c r="D455" s="1"/>
      <c r="E455" s="19"/>
      <c r="F455" s="3"/>
      <c r="G455" s="3"/>
      <c r="H455" s="3"/>
      <c r="I455" s="3"/>
      <c r="J455" s="3"/>
      <c r="K455" s="3"/>
      <c r="L455" s="3"/>
      <c r="M455" s="3"/>
      <c r="N455" s="3"/>
      <c r="O455" s="3"/>
      <c r="P455" s="3"/>
      <c r="Q455" s="3"/>
      <c r="R455" s="3"/>
      <c r="S455" s="3"/>
      <c r="T455" s="3"/>
      <c r="U455" s="3"/>
      <c r="V455" s="3"/>
      <c r="W455" s="3"/>
      <c r="X455" s="3"/>
      <c r="Y455" s="3"/>
      <c r="Z455" s="3"/>
    </row>
    <row r="456" spans="1:26" ht="14.25" customHeight="1">
      <c r="A456" s="1"/>
      <c r="B456" s="1"/>
      <c r="C456" s="1"/>
      <c r="D456" s="1"/>
      <c r="E456" s="19"/>
      <c r="F456" s="3"/>
      <c r="G456" s="3"/>
      <c r="H456" s="3"/>
      <c r="I456" s="3"/>
      <c r="J456" s="3"/>
      <c r="K456" s="3"/>
      <c r="L456" s="3"/>
      <c r="M456" s="3"/>
      <c r="N456" s="3"/>
      <c r="O456" s="3"/>
      <c r="P456" s="3"/>
      <c r="Q456" s="3"/>
      <c r="R456" s="3"/>
      <c r="S456" s="3"/>
      <c r="T456" s="3"/>
      <c r="U456" s="3"/>
      <c r="V456" s="3"/>
      <c r="W456" s="3"/>
      <c r="X456" s="3"/>
      <c r="Y456" s="3"/>
      <c r="Z456" s="3"/>
    </row>
    <row r="457" spans="1:26" ht="14.25" customHeight="1">
      <c r="A457" s="1"/>
      <c r="B457" s="1"/>
      <c r="C457" s="1"/>
      <c r="D457" s="1"/>
      <c r="E457" s="19"/>
      <c r="F457" s="3"/>
      <c r="G457" s="3"/>
      <c r="H457" s="3"/>
      <c r="I457" s="3"/>
      <c r="J457" s="3"/>
      <c r="K457" s="3"/>
      <c r="L457" s="3"/>
      <c r="M457" s="3"/>
      <c r="N457" s="3"/>
      <c r="O457" s="3"/>
      <c r="P457" s="3"/>
      <c r="Q457" s="3"/>
      <c r="R457" s="3"/>
      <c r="S457" s="3"/>
      <c r="T457" s="3"/>
      <c r="U457" s="3"/>
      <c r="V457" s="3"/>
      <c r="W457" s="3"/>
      <c r="X457" s="3"/>
      <c r="Y457" s="3"/>
      <c r="Z457" s="3"/>
    </row>
    <row r="458" spans="1:26" ht="14.25" customHeight="1">
      <c r="A458" s="1"/>
      <c r="B458" s="1"/>
      <c r="C458" s="1"/>
      <c r="D458" s="1"/>
      <c r="E458" s="19"/>
      <c r="F458" s="3"/>
      <c r="G458" s="3"/>
      <c r="H458" s="3"/>
      <c r="I458" s="3"/>
      <c r="J458" s="3"/>
      <c r="K458" s="3"/>
      <c r="L458" s="3"/>
      <c r="M458" s="3"/>
      <c r="N458" s="3"/>
      <c r="O458" s="3"/>
      <c r="P458" s="3"/>
      <c r="Q458" s="3"/>
      <c r="R458" s="3"/>
      <c r="S458" s="3"/>
      <c r="T458" s="3"/>
      <c r="U458" s="3"/>
      <c r="V458" s="3"/>
      <c r="W458" s="3"/>
      <c r="X458" s="3"/>
      <c r="Y458" s="3"/>
      <c r="Z458" s="3"/>
    </row>
    <row r="459" spans="1:26" ht="14.25" customHeight="1">
      <c r="A459" s="1"/>
      <c r="B459" s="1"/>
      <c r="C459" s="1"/>
      <c r="D459" s="1"/>
      <c r="E459" s="19"/>
      <c r="F459" s="3"/>
      <c r="G459" s="3"/>
      <c r="H459" s="3"/>
      <c r="I459" s="3"/>
      <c r="J459" s="3"/>
      <c r="K459" s="3"/>
      <c r="L459" s="3"/>
      <c r="M459" s="3"/>
      <c r="N459" s="3"/>
      <c r="O459" s="3"/>
      <c r="P459" s="3"/>
      <c r="Q459" s="3"/>
      <c r="R459" s="3"/>
      <c r="S459" s="3"/>
      <c r="T459" s="3"/>
      <c r="U459" s="3"/>
      <c r="V459" s="3"/>
      <c r="W459" s="3"/>
      <c r="X459" s="3"/>
      <c r="Y459" s="3"/>
      <c r="Z459" s="3"/>
    </row>
    <row r="460" spans="1:26" ht="14.25" customHeight="1">
      <c r="A460" s="1"/>
      <c r="B460" s="1"/>
      <c r="C460" s="1"/>
      <c r="D460" s="1"/>
      <c r="E460" s="19"/>
      <c r="F460" s="3"/>
      <c r="G460" s="3"/>
      <c r="H460" s="3"/>
      <c r="I460" s="3"/>
      <c r="J460" s="3"/>
      <c r="K460" s="3"/>
      <c r="L460" s="3"/>
      <c r="M460" s="3"/>
      <c r="N460" s="3"/>
      <c r="O460" s="3"/>
      <c r="P460" s="3"/>
      <c r="Q460" s="3"/>
      <c r="R460" s="3"/>
      <c r="S460" s="3"/>
      <c r="T460" s="3"/>
      <c r="U460" s="3"/>
      <c r="V460" s="3"/>
      <c r="W460" s="3"/>
      <c r="X460" s="3"/>
      <c r="Y460" s="3"/>
      <c r="Z460" s="3"/>
    </row>
    <row r="461" spans="1:26" ht="14.25" customHeight="1">
      <c r="A461" s="1"/>
      <c r="B461" s="1"/>
      <c r="C461" s="1"/>
      <c r="D461" s="1"/>
      <c r="E461" s="19"/>
      <c r="F461" s="3"/>
      <c r="G461" s="3"/>
      <c r="H461" s="3"/>
      <c r="I461" s="3"/>
      <c r="J461" s="3"/>
      <c r="K461" s="3"/>
      <c r="L461" s="3"/>
      <c r="M461" s="3"/>
      <c r="N461" s="3"/>
      <c r="O461" s="3"/>
      <c r="P461" s="3"/>
      <c r="Q461" s="3"/>
      <c r="R461" s="3"/>
      <c r="S461" s="3"/>
      <c r="T461" s="3"/>
      <c r="U461" s="3"/>
      <c r="V461" s="3"/>
      <c r="W461" s="3"/>
      <c r="X461" s="3"/>
      <c r="Y461" s="3"/>
      <c r="Z461" s="3"/>
    </row>
    <row r="462" spans="1:26" ht="14.25" customHeight="1">
      <c r="A462" s="1"/>
      <c r="B462" s="1"/>
      <c r="C462" s="1"/>
      <c r="D462" s="1"/>
      <c r="E462" s="19"/>
      <c r="F462" s="3"/>
      <c r="G462" s="3"/>
      <c r="H462" s="3"/>
      <c r="I462" s="3"/>
      <c r="J462" s="3"/>
      <c r="K462" s="3"/>
      <c r="L462" s="3"/>
      <c r="M462" s="3"/>
      <c r="N462" s="3"/>
      <c r="O462" s="3"/>
      <c r="P462" s="3"/>
      <c r="Q462" s="3"/>
      <c r="R462" s="3"/>
      <c r="S462" s="3"/>
      <c r="T462" s="3"/>
      <c r="U462" s="3"/>
      <c r="V462" s="3"/>
      <c r="W462" s="3"/>
      <c r="X462" s="3"/>
      <c r="Y462" s="3"/>
      <c r="Z462" s="3"/>
    </row>
    <row r="463" spans="1:26" ht="14.25" customHeight="1">
      <c r="A463" s="1"/>
      <c r="B463" s="1"/>
      <c r="C463" s="1"/>
      <c r="D463" s="1"/>
      <c r="E463" s="19"/>
      <c r="F463" s="3"/>
      <c r="G463" s="3"/>
      <c r="H463" s="3"/>
      <c r="I463" s="3"/>
      <c r="J463" s="3"/>
      <c r="K463" s="3"/>
      <c r="L463" s="3"/>
      <c r="M463" s="3"/>
      <c r="N463" s="3"/>
      <c r="O463" s="3"/>
      <c r="P463" s="3"/>
      <c r="Q463" s="3"/>
      <c r="R463" s="3"/>
      <c r="S463" s="3"/>
      <c r="T463" s="3"/>
      <c r="U463" s="3"/>
      <c r="V463" s="3"/>
      <c r="W463" s="3"/>
      <c r="X463" s="3"/>
      <c r="Y463" s="3"/>
      <c r="Z463" s="3"/>
    </row>
    <row r="464" spans="1:26" ht="14.25" customHeight="1">
      <c r="A464" s="1"/>
      <c r="B464" s="1"/>
      <c r="C464" s="1"/>
      <c r="D464" s="1"/>
      <c r="E464" s="19"/>
      <c r="F464" s="3"/>
      <c r="G464" s="3"/>
      <c r="H464" s="3"/>
      <c r="I464" s="3"/>
      <c r="J464" s="3"/>
      <c r="K464" s="3"/>
      <c r="L464" s="3"/>
      <c r="M464" s="3"/>
      <c r="N464" s="3"/>
      <c r="O464" s="3"/>
      <c r="P464" s="3"/>
      <c r="Q464" s="3"/>
      <c r="R464" s="3"/>
      <c r="S464" s="3"/>
      <c r="T464" s="3"/>
      <c r="U464" s="3"/>
      <c r="V464" s="3"/>
      <c r="W464" s="3"/>
      <c r="X464" s="3"/>
      <c r="Y464" s="3"/>
      <c r="Z464" s="3"/>
    </row>
    <row r="465" spans="1:26" ht="14.25" customHeight="1">
      <c r="A465" s="1"/>
      <c r="B465" s="1"/>
      <c r="C465" s="1"/>
      <c r="D465" s="1"/>
      <c r="E465" s="19"/>
      <c r="F465" s="3"/>
      <c r="G465" s="3"/>
      <c r="H465" s="3"/>
      <c r="I465" s="3"/>
      <c r="J465" s="3"/>
      <c r="K465" s="3"/>
      <c r="L465" s="3"/>
      <c r="M465" s="3"/>
      <c r="N465" s="3"/>
      <c r="O465" s="3"/>
      <c r="P465" s="3"/>
      <c r="Q465" s="3"/>
      <c r="R465" s="3"/>
      <c r="S465" s="3"/>
      <c r="T465" s="3"/>
      <c r="U465" s="3"/>
      <c r="V465" s="3"/>
      <c r="W465" s="3"/>
      <c r="X465" s="3"/>
      <c r="Y465" s="3"/>
      <c r="Z465" s="3"/>
    </row>
    <row r="466" spans="1:26" ht="14.25" customHeight="1">
      <c r="A466" s="1"/>
      <c r="B466" s="1"/>
      <c r="C466" s="1"/>
      <c r="D466" s="1"/>
      <c r="E466" s="19"/>
      <c r="F466" s="3"/>
      <c r="G466" s="3"/>
      <c r="H466" s="3"/>
      <c r="I466" s="3"/>
      <c r="J466" s="3"/>
      <c r="K466" s="3"/>
      <c r="L466" s="3"/>
      <c r="M466" s="3"/>
      <c r="N466" s="3"/>
      <c r="O466" s="3"/>
      <c r="P466" s="3"/>
      <c r="Q466" s="3"/>
      <c r="R466" s="3"/>
      <c r="S466" s="3"/>
      <c r="T466" s="3"/>
      <c r="U466" s="3"/>
      <c r="V466" s="3"/>
      <c r="W466" s="3"/>
      <c r="X466" s="3"/>
      <c r="Y466" s="3"/>
      <c r="Z466" s="3"/>
    </row>
    <row r="467" spans="1:26" ht="14.25" customHeight="1">
      <c r="A467" s="1"/>
      <c r="B467" s="1"/>
      <c r="C467" s="1"/>
      <c r="D467" s="1"/>
      <c r="E467" s="19"/>
      <c r="F467" s="3"/>
      <c r="G467" s="3"/>
      <c r="H467" s="3"/>
      <c r="I467" s="3"/>
      <c r="J467" s="3"/>
      <c r="K467" s="3"/>
      <c r="L467" s="3"/>
      <c r="M467" s="3"/>
      <c r="N467" s="3"/>
      <c r="O467" s="3"/>
      <c r="P467" s="3"/>
      <c r="Q467" s="3"/>
      <c r="R467" s="3"/>
      <c r="S467" s="3"/>
      <c r="T467" s="3"/>
      <c r="U467" s="3"/>
      <c r="V467" s="3"/>
      <c r="W467" s="3"/>
      <c r="X467" s="3"/>
      <c r="Y467" s="3"/>
      <c r="Z467" s="3"/>
    </row>
    <row r="468" spans="1:26" ht="14.25" customHeight="1">
      <c r="A468" s="1"/>
      <c r="B468" s="1"/>
      <c r="C468" s="1"/>
      <c r="D468" s="1"/>
      <c r="E468" s="19"/>
      <c r="F468" s="3"/>
      <c r="G468" s="3"/>
      <c r="H468" s="3"/>
      <c r="I468" s="3"/>
      <c r="J468" s="3"/>
      <c r="K468" s="3"/>
      <c r="L468" s="3"/>
      <c r="M468" s="3"/>
      <c r="N468" s="3"/>
      <c r="O468" s="3"/>
      <c r="P468" s="3"/>
      <c r="Q468" s="3"/>
      <c r="R468" s="3"/>
      <c r="S468" s="3"/>
      <c r="T468" s="3"/>
      <c r="U468" s="3"/>
      <c r="V468" s="3"/>
      <c r="W468" s="3"/>
      <c r="X468" s="3"/>
      <c r="Y468" s="3"/>
      <c r="Z468" s="3"/>
    </row>
    <row r="469" spans="1:26" ht="14.25" customHeight="1">
      <c r="A469" s="1"/>
      <c r="B469" s="1"/>
      <c r="C469" s="1"/>
      <c r="D469" s="1"/>
      <c r="E469" s="19"/>
      <c r="F469" s="3"/>
      <c r="G469" s="3"/>
      <c r="H469" s="3"/>
      <c r="I469" s="3"/>
      <c r="J469" s="3"/>
      <c r="K469" s="3"/>
      <c r="L469" s="3"/>
      <c r="M469" s="3"/>
      <c r="N469" s="3"/>
      <c r="O469" s="3"/>
      <c r="P469" s="3"/>
      <c r="Q469" s="3"/>
      <c r="R469" s="3"/>
      <c r="S469" s="3"/>
      <c r="T469" s="3"/>
      <c r="U469" s="3"/>
      <c r="V469" s="3"/>
      <c r="W469" s="3"/>
      <c r="X469" s="3"/>
      <c r="Y469" s="3"/>
      <c r="Z469" s="3"/>
    </row>
    <row r="470" spans="1:26" ht="14.25" customHeight="1">
      <c r="A470" s="1"/>
      <c r="B470" s="1"/>
      <c r="C470" s="1"/>
      <c r="D470" s="1"/>
      <c r="E470" s="19"/>
      <c r="F470" s="3"/>
      <c r="G470" s="3"/>
      <c r="H470" s="3"/>
      <c r="I470" s="3"/>
      <c r="J470" s="3"/>
      <c r="K470" s="3"/>
      <c r="L470" s="3"/>
      <c r="M470" s="3"/>
      <c r="N470" s="3"/>
      <c r="O470" s="3"/>
      <c r="P470" s="3"/>
      <c r="Q470" s="3"/>
      <c r="R470" s="3"/>
      <c r="S470" s="3"/>
      <c r="T470" s="3"/>
      <c r="U470" s="3"/>
      <c r="V470" s="3"/>
      <c r="W470" s="3"/>
      <c r="X470" s="3"/>
      <c r="Y470" s="3"/>
      <c r="Z470" s="3"/>
    </row>
    <row r="471" spans="1:26" ht="14.25" customHeight="1">
      <c r="A471" s="1"/>
      <c r="B471" s="1"/>
      <c r="C471" s="1"/>
      <c r="D471" s="1"/>
      <c r="E471" s="19"/>
      <c r="F471" s="3"/>
      <c r="G471" s="3"/>
      <c r="H471" s="3"/>
      <c r="I471" s="3"/>
      <c r="J471" s="3"/>
      <c r="K471" s="3"/>
      <c r="L471" s="3"/>
      <c r="M471" s="3"/>
      <c r="N471" s="3"/>
      <c r="O471" s="3"/>
      <c r="P471" s="3"/>
      <c r="Q471" s="3"/>
      <c r="R471" s="3"/>
      <c r="S471" s="3"/>
      <c r="T471" s="3"/>
      <c r="U471" s="3"/>
      <c r="V471" s="3"/>
      <c r="W471" s="3"/>
      <c r="X471" s="3"/>
      <c r="Y471" s="3"/>
      <c r="Z471" s="3"/>
    </row>
    <row r="472" spans="1:26" ht="14.25" customHeight="1">
      <c r="A472" s="1"/>
      <c r="B472" s="1"/>
      <c r="C472" s="1"/>
      <c r="D472" s="1"/>
      <c r="E472" s="19"/>
      <c r="F472" s="3"/>
      <c r="G472" s="3"/>
      <c r="H472" s="3"/>
      <c r="I472" s="3"/>
      <c r="J472" s="3"/>
      <c r="K472" s="3"/>
      <c r="L472" s="3"/>
      <c r="M472" s="3"/>
      <c r="N472" s="3"/>
      <c r="O472" s="3"/>
      <c r="P472" s="3"/>
      <c r="Q472" s="3"/>
      <c r="R472" s="3"/>
      <c r="S472" s="3"/>
      <c r="T472" s="3"/>
      <c r="U472" s="3"/>
      <c r="V472" s="3"/>
      <c r="W472" s="3"/>
      <c r="X472" s="3"/>
      <c r="Y472" s="3"/>
      <c r="Z472" s="3"/>
    </row>
    <row r="473" spans="1:26" ht="14.25" customHeight="1">
      <c r="A473" s="1"/>
      <c r="B473" s="1"/>
      <c r="C473" s="1"/>
      <c r="D473" s="1"/>
      <c r="E473" s="19"/>
      <c r="F473" s="3"/>
      <c r="G473" s="3"/>
      <c r="H473" s="3"/>
      <c r="I473" s="3"/>
      <c r="J473" s="3"/>
      <c r="K473" s="3"/>
      <c r="L473" s="3"/>
      <c r="M473" s="3"/>
      <c r="N473" s="3"/>
      <c r="O473" s="3"/>
      <c r="P473" s="3"/>
      <c r="Q473" s="3"/>
      <c r="R473" s="3"/>
      <c r="S473" s="3"/>
      <c r="T473" s="3"/>
      <c r="U473" s="3"/>
      <c r="V473" s="3"/>
      <c r="W473" s="3"/>
      <c r="X473" s="3"/>
      <c r="Y473" s="3"/>
      <c r="Z473" s="3"/>
    </row>
    <row r="474" spans="1:26" ht="14.25" customHeight="1">
      <c r="A474" s="1"/>
      <c r="B474" s="1"/>
      <c r="C474" s="1"/>
      <c r="D474" s="1"/>
      <c r="E474" s="19"/>
      <c r="F474" s="3"/>
      <c r="G474" s="3"/>
      <c r="H474" s="3"/>
      <c r="I474" s="3"/>
      <c r="J474" s="3"/>
      <c r="K474" s="3"/>
      <c r="L474" s="3"/>
      <c r="M474" s="3"/>
      <c r="N474" s="3"/>
      <c r="O474" s="3"/>
      <c r="P474" s="3"/>
      <c r="Q474" s="3"/>
      <c r="R474" s="3"/>
      <c r="S474" s="3"/>
      <c r="T474" s="3"/>
      <c r="U474" s="3"/>
      <c r="V474" s="3"/>
      <c r="W474" s="3"/>
      <c r="X474" s="3"/>
      <c r="Y474" s="3"/>
      <c r="Z474" s="3"/>
    </row>
    <row r="475" spans="1:26" ht="14.25" customHeight="1">
      <c r="A475" s="1"/>
      <c r="B475" s="1"/>
      <c r="C475" s="1"/>
      <c r="D475" s="1"/>
      <c r="E475" s="19"/>
      <c r="F475" s="3"/>
      <c r="G475" s="3"/>
      <c r="H475" s="3"/>
      <c r="I475" s="3"/>
      <c r="J475" s="3"/>
      <c r="K475" s="3"/>
      <c r="L475" s="3"/>
      <c r="M475" s="3"/>
      <c r="N475" s="3"/>
      <c r="O475" s="3"/>
      <c r="P475" s="3"/>
      <c r="Q475" s="3"/>
      <c r="R475" s="3"/>
      <c r="S475" s="3"/>
      <c r="T475" s="3"/>
      <c r="U475" s="3"/>
      <c r="V475" s="3"/>
      <c r="W475" s="3"/>
      <c r="X475" s="3"/>
      <c r="Y475" s="3"/>
      <c r="Z475" s="3"/>
    </row>
    <row r="476" spans="1:26" ht="14.25" customHeight="1">
      <c r="A476" s="1"/>
      <c r="B476" s="1"/>
      <c r="C476" s="1"/>
      <c r="D476" s="1"/>
      <c r="E476" s="19"/>
      <c r="F476" s="3"/>
      <c r="G476" s="3"/>
      <c r="H476" s="3"/>
      <c r="I476" s="3"/>
      <c r="J476" s="3"/>
      <c r="K476" s="3"/>
      <c r="L476" s="3"/>
      <c r="M476" s="3"/>
      <c r="N476" s="3"/>
      <c r="O476" s="3"/>
      <c r="P476" s="3"/>
      <c r="Q476" s="3"/>
      <c r="R476" s="3"/>
      <c r="S476" s="3"/>
      <c r="T476" s="3"/>
      <c r="U476" s="3"/>
      <c r="V476" s="3"/>
      <c r="W476" s="3"/>
      <c r="X476" s="3"/>
      <c r="Y476" s="3"/>
      <c r="Z476" s="3"/>
    </row>
    <row r="477" spans="1:26" ht="14.25" customHeight="1">
      <c r="A477" s="1"/>
      <c r="B477" s="1"/>
      <c r="C477" s="1"/>
      <c r="D477" s="1"/>
      <c r="E477" s="19"/>
      <c r="F477" s="3"/>
      <c r="G477" s="3"/>
      <c r="H477" s="3"/>
      <c r="I477" s="3"/>
      <c r="J477" s="3"/>
      <c r="K477" s="3"/>
      <c r="L477" s="3"/>
      <c r="M477" s="3"/>
      <c r="N477" s="3"/>
      <c r="O477" s="3"/>
      <c r="P477" s="3"/>
      <c r="Q477" s="3"/>
      <c r="R477" s="3"/>
      <c r="S477" s="3"/>
      <c r="T477" s="3"/>
      <c r="U477" s="3"/>
      <c r="V477" s="3"/>
      <c r="W477" s="3"/>
      <c r="X477" s="3"/>
      <c r="Y477" s="3"/>
      <c r="Z477" s="3"/>
    </row>
    <row r="478" spans="1:26" ht="14.25" customHeight="1">
      <c r="A478" s="1"/>
      <c r="B478" s="1"/>
      <c r="C478" s="1"/>
      <c r="D478" s="1"/>
      <c r="E478" s="19"/>
      <c r="F478" s="3"/>
      <c r="G478" s="3"/>
      <c r="H478" s="3"/>
      <c r="I478" s="3"/>
      <c r="J478" s="3"/>
      <c r="K478" s="3"/>
      <c r="L478" s="3"/>
      <c r="M478" s="3"/>
      <c r="N478" s="3"/>
      <c r="O478" s="3"/>
      <c r="P478" s="3"/>
      <c r="Q478" s="3"/>
      <c r="R478" s="3"/>
      <c r="S478" s="3"/>
      <c r="T478" s="3"/>
      <c r="U478" s="3"/>
      <c r="V478" s="3"/>
      <c r="W478" s="3"/>
      <c r="X478" s="3"/>
      <c r="Y478" s="3"/>
      <c r="Z478" s="3"/>
    </row>
    <row r="479" spans="1:26" ht="14.25" customHeight="1">
      <c r="A479" s="1"/>
      <c r="B479" s="1"/>
      <c r="C479" s="1"/>
      <c r="D479" s="1"/>
      <c r="E479" s="19"/>
      <c r="F479" s="3"/>
      <c r="G479" s="3"/>
      <c r="H479" s="3"/>
      <c r="I479" s="3"/>
      <c r="J479" s="3"/>
      <c r="K479" s="3"/>
      <c r="L479" s="3"/>
      <c r="M479" s="3"/>
      <c r="N479" s="3"/>
      <c r="O479" s="3"/>
      <c r="P479" s="3"/>
      <c r="Q479" s="3"/>
      <c r="R479" s="3"/>
      <c r="S479" s="3"/>
      <c r="T479" s="3"/>
      <c r="U479" s="3"/>
      <c r="V479" s="3"/>
      <c r="W479" s="3"/>
      <c r="X479" s="3"/>
      <c r="Y479" s="3"/>
      <c r="Z479" s="3"/>
    </row>
    <row r="480" spans="1:26" ht="14.25" customHeight="1">
      <c r="A480" s="1"/>
      <c r="B480" s="1"/>
      <c r="C480" s="1"/>
      <c r="D480" s="1"/>
      <c r="E480" s="19"/>
      <c r="F480" s="3"/>
      <c r="G480" s="3"/>
      <c r="H480" s="3"/>
      <c r="I480" s="3"/>
      <c r="J480" s="3"/>
      <c r="K480" s="3"/>
      <c r="L480" s="3"/>
      <c r="M480" s="3"/>
      <c r="N480" s="3"/>
      <c r="O480" s="3"/>
      <c r="P480" s="3"/>
      <c r="Q480" s="3"/>
      <c r="R480" s="3"/>
      <c r="S480" s="3"/>
      <c r="T480" s="3"/>
      <c r="U480" s="3"/>
      <c r="V480" s="3"/>
      <c r="W480" s="3"/>
      <c r="X480" s="3"/>
      <c r="Y480" s="3"/>
      <c r="Z480" s="3"/>
    </row>
    <row r="481" spans="1:26" ht="14.25" customHeight="1">
      <c r="A481" s="1"/>
      <c r="B481" s="1"/>
      <c r="C481" s="1"/>
      <c r="D481" s="1"/>
      <c r="E481" s="19"/>
      <c r="F481" s="3"/>
      <c r="G481" s="3"/>
      <c r="H481" s="3"/>
      <c r="I481" s="3"/>
      <c r="J481" s="3"/>
      <c r="K481" s="3"/>
      <c r="L481" s="3"/>
      <c r="M481" s="3"/>
      <c r="N481" s="3"/>
      <c r="O481" s="3"/>
      <c r="P481" s="3"/>
      <c r="Q481" s="3"/>
      <c r="R481" s="3"/>
      <c r="S481" s="3"/>
      <c r="T481" s="3"/>
      <c r="U481" s="3"/>
      <c r="V481" s="3"/>
      <c r="W481" s="3"/>
      <c r="X481" s="3"/>
      <c r="Y481" s="3"/>
      <c r="Z481" s="3"/>
    </row>
    <row r="482" spans="1:26" ht="14.25" customHeight="1">
      <c r="A482" s="1"/>
      <c r="B482" s="1"/>
      <c r="C482" s="1"/>
      <c r="D482" s="1"/>
      <c r="E482" s="19"/>
      <c r="F482" s="3"/>
      <c r="G482" s="3"/>
      <c r="H482" s="3"/>
      <c r="I482" s="3"/>
      <c r="J482" s="3"/>
      <c r="K482" s="3"/>
      <c r="L482" s="3"/>
      <c r="M482" s="3"/>
      <c r="N482" s="3"/>
      <c r="O482" s="3"/>
      <c r="P482" s="3"/>
      <c r="Q482" s="3"/>
      <c r="R482" s="3"/>
      <c r="S482" s="3"/>
      <c r="T482" s="3"/>
      <c r="U482" s="3"/>
      <c r="V482" s="3"/>
      <c r="W482" s="3"/>
      <c r="X482" s="3"/>
      <c r="Y482" s="3"/>
      <c r="Z482" s="3"/>
    </row>
    <row r="483" spans="1:26" ht="14.25" customHeight="1">
      <c r="A483" s="1"/>
      <c r="B483" s="1"/>
      <c r="C483" s="1"/>
      <c r="D483" s="1"/>
      <c r="E483" s="19"/>
      <c r="F483" s="3"/>
      <c r="G483" s="3"/>
      <c r="H483" s="3"/>
      <c r="I483" s="3"/>
      <c r="J483" s="3"/>
      <c r="K483" s="3"/>
      <c r="L483" s="3"/>
      <c r="M483" s="3"/>
      <c r="N483" s="3"/>
      <c r="O483" s="3"/>
      <c r="P483" s="3"/>
      <c r="Q483" s="3"/>
      <c r="R483" s="3"/>
      <c r="S483" s="3"/>
      <c r="T483" s="3"/>
      <c r="U483" s="3"/>
      <c r="V483" s="3"/>
      <c r="W483" s="3"/>
      <c r="X483" s="3"/>
      <c r="Y483" s="3"/>
      <c r="Z483" s="3"/>
    </row>
    <row r="484" spans="1:26" ht="14.25" customHeight="1">
      <c r="A484" s="1"/>
      <c r="B484" s="1"/>
      <c r="C484" s="1"/>
      <c r="D484" s="1"/>
      <c r="E484" s="19"/>
      <c r="F484" s="3"/>
      <c r="G484" s="3"/>
      <c r="H484" s="3"/>
      <c r="I484" s="3"/>
      <c r="J484" s="3"/>
      <c r="K484" s="3"/>
      <c r="L484" s="3"/>
      <c r="M484" s="3"/>
      <c r="N484" s="3"/>
      <c r="O484" s="3"/>
      <c r="P484" s="3"/>
      <c r="Q484" s="3"/>
      <c r="R484" s="3"/>
      <c r="S484" s="3"/>
      <c r="T484" s="3"/>
      <c r="U484" s="3"/>
      <c r="V484" s="3"/>
      <c r="W484" s="3"/>
      <c r="X484" s="3"/>
      <c r="Y484" s="3"/>
      <c r="Z484" s="3"/>
    </row>
    <row r="485" spans="1:26" ht="14.25" customHeight="1">
      <c r="A485" s="1"/>
      <c r="B485" s="1"/>
      <c r="C485" s="1"/>
      <c r="D485" s="1"/>
      <c r="E485" s="19"/>
      <c r="F485" s="3"/>
      <c r="G485" s="3"/>
      <c r="H485" s="3"/>
      <c r="I485" s="3"/>
      <c r="J485" s="3"/>
      <c r="K485" s="3"/>
      <c r="L485" s="3"/>
      <c r="M485" s="3"/>
      <c r="N485" s="3"/>
      <c r="O485" s="3"/>
      <c r="P485" s="3"/>
      <c r="Q485" s="3"/>
      <c r="R485" s="3"/>
      <c r="S485" s="3"/>
      <c r="T485" s="3"/>
      <c r="U485" s="3"/>
      <c r="V485" s="3"/>
      <c r="W485" s="3"/>
      <c r="X485" s="3"/>
      <c r="Y485" s="3"/>
      <c r="Z485" s="3"/>
    </row>
    <row r="486" spans="1:26" ht="14.25" customHeight="1">
      <c r="A486" s="1"/>
      <c r="B486" s="1"/>
      <c r="C486" s="1"/>
      <c r="D486" s="1"/>
      <c r="E486" s="19"/>
      <c r="F486" s="3"/>
      <c r="G486" s="3"/>
      <c r="H486" s="3"/>
      <c r="I486" s="3"/>
      <c r="J486" s="3"/>
      <c r="K486" s="3"/>
      <c r="L486" s="3"/>
      <c r="M486" s="3"/>
      <c r="N486" s="3"/>
      <c r="O486" s="3"/>
      <c r="P486" s="3"/>
      <c r="Q486" s="3"/>
      <c r="R486" s="3"/>
      <c r="S486" s="3"/>
      <c r="T486" s="3"/>
      <c r="U486" s="3"/>
      <c r="V486" s="3"/>
      <c r="W486" s="3"/>
      <c r="X486" s="3"/>
      <c r="Y486" s="3"/>
      <c r="Z486" s="3"/>
    </row>
    <row r="487" spans="1:26" ht="14.25" customHeight="1">
      <c r="A487" s="1"/>
      <c r="B487" s="1"/>
      <c r="C487" s="1"/>
      <c r="D487" s="1"/>
      <c r="E487" s="19"/>
      <c r="F487" s="3"/>
      <c r="G487" s="3"/>
      <c r="H487" s="3"/>
      <c r="I487" s="3"/>
      <c r="J487" s="3"/>
      <c r="K487" s="3"/>
      <c r="L487" s="3"/>
      <c r="M487" s="3"/>
      <c r="N487" s="3"/>
      <c r="O487" s="3"/>
      <c r="P487" s="3"/>
      <c r="Q487" s="3"/>
      <c r="R487" s="3"/>
      <c r="S487" s="3"/>
      <c r="T487" s="3"/>
      <c r="U487" s="3"/>
      <c r="V487" s="3"/>
      <c r="W487" s="3"/>
      <c r="X487" s="3"/>
      <c r="Y487" s="3"/>
      <c r="Z487" s="3"/>
    </row>
    <row r="488" spans="1:26" ht="14.25" customHeight="1">
      <c r="A488" s="1"/>
      <c r="B488" s="1"/>
      <c r="C488" s="1"/>
      <c r="D488" s="1"/>
      <c r="E488" s="19"/>
      <c r="F488" s="3"/>
      <c r="G488" s="3"/>
      <c r="H488" s="3"/>
      <c r="I488" s="3"/>
      <c r="J488" s="3"/>
      <c r="K488" s="3"/>
      <c r="L488" s="3"/>
      <c r="M488" s="3"/>
      <c r="N488" s="3"/>
      <c r="O488" s="3"/>
      <c r="P488" s="3"/>
      <c r="Q488" s="3"/>
      <c r="R488" s="3"/>
      <c r="S488" s="3"/>
      <c r="T488" s="3"/>
      <c r="U488" s="3"/>
      <c r="V488" s="3"/>
      <c r="W488" s="3"/>
      <c r="X488" s="3"/>
      <c r="Y488" s="3"/>
      <c r="Z488" s="3"/>
    </row>
    <row r="489" spans="1:26" ht="14.25" customHeight="1">
      <c r="A489" s="1"/>
      <c r="B489" s="1"/>
      <c r="C489" s="1"/>
      <c r="D489" s="1"/>
      <c r="E489" s="19"/>
      <c r="F489" s="3"/>
      <c r="G489" s="3"/>
      <c r="H489" s="3"/>
      <c r="I489" s="3"/>
      <c r="J489" s="3"/>
      <c r="K489" s="3"/>
      <c r="L489" s="3"/>
      <c r="M489" s="3"/>
      <c r="N489" s="3"/>
      <c r="O489" s="3"/>
      <c r="P489" s="3"/>
      <c r="Q489" s="3"/>
      <c r="R489" s="3"/>
      <c r="S489" s="3"/>
      <c r="T489" s="3"/>
      <c r="U489" s="3"/>
      <c r="V489" s="3"/>
      <c r="W489" s="3"/>
      <c r="X489" s="3"/>
      <c r="Y489" s="3"/>
      <c r="Z489" s="3"/>
    </row>
    <row r="490" spans="1:26" ht="14.25" customHeight="1">
      <c r="A490" s="1"/>
      <c r="B490" s="1"/>
      <c r="C490" s="1"/>
      <c r="D490" s="1"/>
      <c r="E490" s="19"/>
      <c r="F490" s="3"/>
      <c r="G490" s="3"/>
      <c r="H490" s="3"/>
      <c r="I490" s="3"/>
      <c r="J490" s="3"/>
      <c r="K490" s="3"/>
      <c r="L490" s="3"/>
      <c r="M490" s="3"/>
      <c r="N490" s="3"/>
      <c r="O490" s="3"/>
      <c r="P490" s="3"/>
      <c r="Q490" s="3"/>
      <c r="R490" s="3"/>
      <c r="S490" s="3"/>
      <c r="T490" s="3"/>
      <c r="U490" s="3"/>
      <c r="V490" s="3"/>
      <c r="W490" s="3"/>
      <c r="X490" s="3"/>
      <c r="Y490" s="3"/>
      <c r="Z490" s="3"/>
    </row>
    <row r="491" spans="1:26" ht="14.25" customHeight="1">
      <c r="A491" s="1"/>
      <c r="B491" s="1"/>
      <c r="C491" s="1"/>
      <c r="D491" s="1"/>
      <c r="E491" s="19"/>
      <c r="F491" s="3"/>
      <c r="G491" s="3"/>
      <c r="H491" s="3"/>
      <c r="I491" s="3"/>
      <c r="J491" s="3"/>
      <c r="K491" s="3"/>
      <c r="L491" s="3"/>
      <c r="M491" s="3"/>
      <c r="N491" s="3"/>
      <c r="O491" s="3"/>
      <c r="P491" s="3"/>
      <c r="Q491" s="3"/>
      <c r="R491" s="3"/>
      <c r="S491" s="3"/>
      <c r="T491" s="3"/>
      <c r="U491" s="3"/>
      <c r="V491" s="3"/>
      <c r="W491" s="3"/>
      <c r="X491" s="3"/>
      <c r="Y491" s="3"/>
      <c r="Z491" s="3"/>
    </row>
    <row r="492" spans="1:26" ht="14.25" customHeight="1">
      <c r="A492" s="1"/>
      <c r="B492" s="1"/>
      <c r="C492" s="1"/>
      <c r="D492" s="1"/>
      <c r="E492" s="19"/>
      <c r="F492" s="3"/>
      <c r="G492" s="3"/>
      <c r="H492" s="3"/>
      <c r="I492" s="3"/>
      <c r="J492" s="3"/>
      <c r="K492" s="3"/>
      <c r="L492" s="3"/>
      <c r="M492" s="3"/>
      <c r="N492" s="3"/>
      <c r="O492" s="3"/>
      <c r="P492" s="3"/>
      <c r="Q492" s="3"/>
      <c r="R492" s="3"/>
      <c r="S492" s="3"/>
      <c r="T492" s="3"/>
      <c r="U492" s="3"/>
      <c r="V492" s="3"/>
      <c r="W492" s="3"/>
      <c r="X492" s="3"/>
      <c r="Y492" s="3"/>
      <c r="Z492" s="3"/>
    </row>
    <row r="493" spans="1:26" ht="14.25" customHeight="1">
      <c r="A493" s="1"/>
      <c r="B493" s="1"/>
      <c r="C493" s="1"/>
      <c r="D493" s="1"/>
      <c r="E493" s="19"/>
      <c r="F493" s="3"/>
      <c r="G493" s="3"/>
      <c r="H493" s="3"/>
      <c r="I493" s="3"/>
      <c r="J493" s="3"/>
      <c r="K493" s="3"/>
      <c r="L493" s="3"/>
      <c r="M493" s="3"/>
      <c r="N493" s="3"/>
      <c r="O493" s="3"/>
      <c r="P493" s="3"/>
      <c r="Q493" s="3"/>
      <c r="R493" s="3"/>
      <c r="S493" s="3"/>
      <c r="T493" s="3"/>
      <c r="U493" s="3"/>
      <c r="V493" s="3"/>
      <c r="W493" s="3"/>
      <c r="X493" s="3"/>
      <c r="Y493" s="3"/>
      <c r="Z493" s="3"/>
    </row>
    <row r="494" spans="1:26" ht="14.25" customHeight="1">
      <c r="A494" s="1"/>
      <c r="B494" s="1"/>
      <c r="C494" s="1"/>
      <c r="D494" s="1"/>
      <c r="E494" s="19"/>
      <c r="F494" s="3"/>
      <c r="G494" s="3"/>
      <c r="H494" s="3"/>
      <c r="I494" s="3"/>
      <c r="J494" s="3"/>
      <c r="K494" s="3"/>
      <c r="L494" s="3"/>
      <c r="M494" s="3"/>
      <c r="N494" s="3"/>
      <c r="O494" s="3"/>
      <c r="P494" s="3"/>
      <c r="Q494" s="3"/>
      <c r="R494" s="3"/>
      <c r="S494" s="3"/>
      <c r="T494" s="3"/>
      <c r="U494" s="3"/>
      <c r="V494" s="3"/>
      <c r="W494" s="3"/>
      <c r="X494" s="3"/>
      <c r="Y494" s="3"/>
      <c r="Z494" s="3"/>
    </row>
    <row r="495" spans="1:26" ht="14.25" customHeight="1">
      <c r="A495" s="1"/>
      <c r="B495" s="1"/>
      <c r="C495" s="1"/>
      <c r="D495" s="1"/>
      <c r="E495" s="19"/>
      <c r="F495" s="3"/>
      <c r="G495" s="3"/>
      <c r="H495" s="3"/>
      <c r="I495" s="3"/>
      <c r="J495" s="3"/>
      <c r="K495" s="3"/>
      <c r="L495" s="3"/>
      <c r="M495" s="3"/>
      <c r="N495" s="3"/>
      <c r="O495" s="3"/>
      <c r="P495" s="3"/>
      <c r="Q495" s="3"/>
      <c r="R495" s="3"/>
      <c r="S495" s="3"/>
      <c r="T495" s="3"/>
      <c r="U495" s="3"/>
      <c r="V495" s="3"/>
      <c r="W495" s="3"/>
      <c r="X495" s="3"/>
      <c r="Y495" s="3"/>
      <c r="Z495" s="3"/>
    </row>
    <row r="496" spans="1:26" ht="14.25" customHeight="1">
      <c r="A496" s="1"/>
      <c r="B496" s="1"/>
      <c r="C496" s="1"/>
      <c r="D496" s="1"/>
      <c r="E496" s="19"/>
      <c r="F496" s="3"/>
      <c r="G496" s="3"/>
      <c r="H496" s="3"/>
      <c r="I496" s="3"/>
      <c r="J496" s="3"/>
      <c r="K496" s="3"/>
      <c r="L496" s="3"/>
      <c r="M496" s="3"/>
      <c r="N496" s="3"/>
      <c r="O496" s="3"/>
      <c r="P496" s="3"/>
      <c r="Q496" s="3"/>
      <c r="R496" s="3"/>
      <c r="S496" s="3"/>
      <c r="T496" s="3"/>
      <c r="U496" s="3"/>
      <c r="V496" s="3"/>
      <c r="W496" s="3"/>
      <c r="X496" s="3"/>
      <c r="Y496" s="3"/>
      <c r="Z496" s="3"/>
    </row>
    <row r="497" spans="1:26" ht="14.25" customHeight="1">
      <c r="A497" s="1"/>
      <c r="B497" s="1"/>
      <c r="C497" s="1"/>
      <c r="D497" s="1"/>
      <c r="E497" s="19"/>
      <c r="F497" s="3"/>
      <c r="G497" s="3"/>
      <c r="H497" s="3"/>
      <c r="I497" s="3"/>
      <c r="J497" s="3"/>
      <c r="K497" s="3"/>
      <c r="L497" s="3"/>
      <c r="M497" s="3"/>
      <c r="N497" s="3"/>
      <c r="O497" s="3"/>
      <c r="P497" s="3"/>
      <c r="Q497" s="3"/>
      <c r="R497" s="3"/>
      <c r="S497" s="3"/>
      <c r="T497" s="3"/>
      <c r="U497" s="3"/>
      <c r="V497" s="3"/>
      <c r="W497" s="3"/>
      <c r="X497" s="3"/>
      <c r="Y497" s="3"/>
      <c r="Z497" s="3"/>
    </row>
    <row r="498" spans="1:26" ht="14.25" customHeight="1">
      <c r="A498" s="1"/>
      <c r="B498" s="1"/>
      <c r="C498" s="1"/>
      <c r="D498" s="1"/>
      <c r="E498" s="19"/>
      <c r="F498" s="3"/>
      <c r="G498" s="3"/>
      <c r="H498" s="3"/>
      <c r="I498" s="3"/>
      <c r="J498" s="3"/>
      <c r="K498" s="3"/>
      <c r="L498" s="3"/>
      <c r="M498" s="3"/>
      <c r="N498" s="3"/>
      <c r="O498" s="3"/>
      <c r="P498" s="3"/>
      <c r="Q498" s="3"/>
      <c r="R498" s="3"/>
      <c r="S498" s="3"/>
      <c r="T498" s="3"/>
      <c r="U498" s="3"/>
      <c r="V498" s="3"/>
      <c r="W498" s="3"/>
      <c r="X498" s="3"/>
      <c r="Y498" s="3"/>
      <c r="Z498" s="3"/>
    </row>
    <row r="499" spans="1:26" ht="14.25" customHeight="1">
      <c r="A499" s="1"/>
      <c r="B499" s="1"/>
      <c r="C499" s="1"/>
      <c r="D499" s="1"/>
      <c r="E499" s="19"/>
      <c r="F499" s="3"/>
      <c r="G499" s="3"/>
      <c r="H499" s="3"/>
      <c r="I499" s="3"/>
      <c r="J499" s="3"/>
      <c r="K499" s="3"/>
      <c r="L499" s="3"/>
      <c r="M499" s="3"/>
      <c r="N499" s="3"/>
      <c r="O499" s="3"/>
      <c r="P499" s="3"/>
      <c r="Q499" s="3"/>
      <c r="R499" s="3"/>
      <c r="S499" s="3"/>
      <c r="T499" s="3"/>
      <c r="U499" s="3"/>
      <c r="V499" s="3"/>
      <c r="W499" s="3"/>
      <c r="X499" s="3"/>
      <c r="Y499" s="3"/>
      <c r="Z499" s="3"/>
    </row>
    <row r="500" spans="1:26" ht="14.25" customHeight="1">
      <c r="A500" s="1"/>
      <c r="B500" s="1"/>
      <c r="C500" s="1"/>
      <c r="D500" s="1"/>
      <c r="E500" s="19"/>
      <c r="F500" s="3"/>
      <c r="G500" s="3"/>
      <c r="H500" s="3"/>
      <c r="I500" s="3"/>
      <c r="J500" s="3"/>
      <c r="K500" s="3"/>
      <c r="L500" s="3"/>
      <c r="M500" s="3"/>
      <c r="N500" s="3"/>
      <c r="O500" s="3"/>
      <c r="P500" s="3"/>
      <c r="Q500" s="3"/>
      <c r="R500" s="3"/>
      <c r="S500" s="3"/>
      <c r="T500" s="3"/>
      <c r="U500" s="3"/>
      <c r="V500" s="3"/>
      <c r="W500" s="3"/>
      <c r="X500" s="3"/>
      <c r="Y500" s="3"/>
      <c r="Z500" s="3"/>
    </row>
    <row r="501" spans="1:26" ht="14.25" customHeight="1">
      <c r="A501" s="1"/>
      <c r="B501" s="1"/>
      <c r="C501" s="1"/>
      <c r="D501" s="1"/>
      <c r="E501" s="19"/>
      <c r="F501" s="3"/>
      <c r="G501" s="3"/>
      <c r="H501" s="3"/>
      <c r="I501" s="3"/>
      <c r="J501" s="3"/>
      <c r="K501" s="3"/>
      <c r="L501" s="3"/>
      <c r="M501" s="3"/>
      <c r="N501" s="3"/>
      <c r="O501" s="3"/>
      <c r="P501" s="3"/>
      <c r="Q501" s="3"/>
      <c r="R501" s="3"/>
      <c r="S501" s="3"/>
      <c r="T501" s="3"/>
      <c r="U501" s="3"/>
      <c r="V501" s="3"/>
      <c r="W501" s="3"/>
      <c r="X501" s="3"/>
      <c r="Y501" s="3"/>
      <c r="Z501" s="3"/>
    </row>
    <row r="502" spans="1:26" ht="14.25" customHeight="1">
      <c r="A502" s="1"/>
      <c r="B502" s="1"/>
      <c r="C502" s="1"/>
      <c r="D502" s="1"/>
      <c r="E502" s="19"/>
      <c r="F502" s="3"/>
      <c r="G502" s="3"/>
      <c r="H502" s="3"/>
      <c r="I502" s="3"/>
      <c r="J502" s="3"/>
      <c r="K502" s="3"/>
      <c r="L502" s="3"/>
      <c r="M502" s="3"/>
      <c r="N502" s="3"/>
      <c r="O502" s="3"/>
      <c r="P502" s="3"/>
      <c r="Q502" s="3"/>
      <c r="R502" s="3"/>
      <c r="S502" s="3"/>
      <c r="T502" s="3"/>
      <c r="U502" s="3"/>
      <c r="V502" s="3"/>
      <c r="W502" s="3"/>
      <c r="X502" s="3"/>
      <c r="Y502" s="3"/>
      <c r="Z502" s="3"/>
    </row>
    <row r="503" spans="1:26" ht="14.25" customHeight="1">
      <c r="A503" s="1"/>
      <c r="B503" s="1"/>
      <c r="C503" s="1"/>
      <c r="D503" s="1"/>
      <c r="E503" s="19"/>
      <c r="F503" s="3"/>
      <c r="G503" s="3"/>
      <c r="H503" s="3"/>
      <c r="I503" s="3"/>
      <c r="J503" s="3"/>
      <c r="K503" s="3"/>
      <c r="L503" s="3"/>
      <c r="M503" s="3"/>
      <c r="N503" s="3"/>
      <c r="O503" s="3"/>
      <c r="P503" s="3"/>
      <c r="Q503" s="3"/>
      <c r="R503" s="3"/>
      <c r="S503" s="3"/>
      <c r="T503" s="3"/>
      <c r="U503" s="3"/>
      <c r="V503" s="3"/>
      <c r="W503" s="3"/>
      <c r="X503" s="3"/>
      <c r="Y503" s="3"/>
      <c r="Z503" s="3"/>
    </row>
    <row r="504" spans="1:26" ht="14.25" customHeight="1">
      <c r="A504" s="1"/>
      <c r="B504" s="1"/>
      <c r="C504" s="1"/>
      <c r="D504" s="1"/>
      <c r="E504" s="19"/>
      <c r="F504" s="3"/>
      <c r="G504" s="3"/>
      <c r="H504" s="3"/>
      <c r="I504" s="3"/>
      <c r="J504" s="3"/>
      <c r="K504" s="3"/>
      <c r="L504" s="3"/>
      <c r="M504" s="3"/>
      <c r="N504" s="3"/>
      <c r="O504" s="3"/>
      <c r="P504" s="3"/>
      <c r="Q504" s="3"/>
      <c r="R504" s="3"/>
      <c r="S504" s="3"/>
      <c r="T504" s="3"/>
      <c r="U504" s="3"/>
      <c r="V504" s="3"/>
      <c r="W504" s="3"/>
      <c r="X504" s="3"/>
      <c r="Y504" s="3"/>
      <c r="Z504" s="3"/>
    </row>
    <row r="505" spans="1:26" ht="14.25" customHeight="1">
      <c r="A505" s="1"/>
      <c r="B505" s="1"/>
      <c r="C505" s="1"/>
      <c r="D505" s="1"/>
      <c r="E505" s="19"/>
      <c r="F505" s="3"/>
      <c r="G505" s="3"/>
      <c r="H505" s="3"/>
      <c r="I505" s="3"/>
      <c r="J505" s="3"/>
      <c r="K505" s="3"/>
      <c r="L505" s="3"/>
      <c r="M505" s="3"/>
      <c r="N505" s="3"/>
      <c r="O505" s="3"/>
      <c r="P505" s="3"/>
      <c r="Q505" s="3"/>
      <c r="R505" s="3"/>
      <c r="S505" s="3"/>
      <c r="T505" s="3"/>
      <c r="U505" s="3"/>
      <c r="V505" s="3"/>
      <c r="W505" s="3"/>
      <c r="X505" s="3"/>
      <c r="Y505" s="3"/>
      <c r="Z505" s="3"/>
    </row>
    <row r="506" spans="1:26" ht="14.25" customHeight="1">
      <c r="A506" s="1"/>
      <c r="B506" s="1"/>
      <c r="C506" s="1"/>
      <c r="D506" s="1"/>
      <c r="E506" s="19"/>
      <c r="F506" s="3"/>
      <c r="G506" s="3"/>
      <c r="H506" s="3"/>
      <c r="I506" s="3"/>
      <c r="J506" s="3"/>
      <c r="K506" s="3"/>
      <c r="L506" s="3"/>
      <c r="M506" s="3"/>
      <c r="N506" s="3"/>
      <c r="O506" s="3"/>
      <c r="P506" s="3"/>
      <c r="Q506" s="3"/>
      <c r="R506" s="3"/>
      <c r="S506" s="3"/>
      <c r="T506" s="3"/>
      <c r="U506" s="3"/>
      <c r="V506" s="3"/>
      <c r="W506" s="3"/>
      <c r="X506" s="3"/>
      <c r="Y506" s="3"/>
      <c r="Z506" s="3"/>
    </row>
    <row r="507" spans="1:26" ht="14.25" customHeight="1">
      <c r="A507" s="1"/>
      <c r="B507" s="1"/>
      <c r="C507" s="1"/>
      <c r="D507" s="1"/>
      <c r="E507" s="19"/>
      <c r="F507" s="3"/>
      <c r="G507" s="3"/>
      <c r="H507" s="3"/>
      <c r="I507" s="3"/>
      <c r="J507" s="3"/>
      <c r="K507" s="3"/>
      <c r="L507" s="3"/>
      <c r="M507" s="3"/>
      <c r="N507" s="3"/>
      <c r="O507" s="3"/>
      <c r="P507" s="3"/>
      <c r="Q507" s="3"/>
      <c r="R507" s="3"/>
      <c r="S507" s="3"/>
      <c r="T507" s="3"/>
      <c r="U507" s="3"/>
      <c r="V507" s="3"/>
      <c r="W507" s="3"/>
      <c r="X507" s="3"/>
      <c r="Y507" s="3"/>
      <c r="Z507" s="3"/>
    </row>
    <row r="508" spans="1:26" ht="14.25" customHeight="1">
      <c r="A508" s="1"/>
      <c r="B508" s="1"/>
      <c r="C508" s="1"/>
      <c r="D508" s="1"/>
      <c r="E508" s="19"/>
      <c r="F508" s="3"/>
      <c r="G508" s="3"/>
      <c r="H508" s="3"/>
      <c r="I508" s="3"/>
      <c r="J508" s="3"/>
      <c r="K508" s="3"/>
      <c r="L508" s="3"/>
      <c r="M508" s="3"/>
      <c r="N508" s="3"/>
      <c r="O508" s="3"/>
      <c r="P508" s="3"/>
      <c r="Q508" s="3"/>
      <c r="R508" s="3"/>
      <c r="S508" s="3"/>
      <c r="T508" s="3"/>
      <c r="U508" s="3"/>
      <c r="V508" s="3"/>
      <c r="W508" s="3"/>
      <c r="X508" s="3"/>
      <c r="Y508" s="3"/>
      <c r="Z508" s="3"/>
    </row>
    <row r="509" spans="1:26" ht="14.25" customHeight="1">
      <c r="A509" s="1"/>
      <c r="B509" s="1"/>
      <c r="C509" s="1"/>
      <c r="D509" s="1"/>
      <c r="E509" s="19"/>
      <c r="F509" s="3"/>
      <c r="G509" s="3"/>
      <c r="H509" s="3"/>
      <c r="I509" s="3"/>
      <c r="J509" s="3"/>
      <c r="K509" s="3"/>
      <c r="L509" s="3"/>
      <c r="M509" s="3"/>
      <c r="N509" s="3"/>
      <c r="O509" s="3"/>
      <c r="P509" s="3"/>
      <c r="Q509" s="3"/>
      <c r="R509" s="3"/>
      <c r="S509" s="3"/>
      <c r="T509" s="3"/>
      <c r="U509" s="3"/>
      <c r="V509" s="3"/>
      <c r="W509" s="3"/>
      <c r="X509" s="3"/>
      <c r="Y509" s="3"/>
      <c r="Z509" s="3"/>
    </row>
    <row r="510" spans="1:26" ht="14.25" customHeight="1">
      <c r="A510" s="1"/>
      <c r="B510" s="1"/>
      <c r="C510" s="1"/>
      <c r="D510" s="1"/>
      <c r="E510" s="19"/>
      <c r="F510" s="3"/>
      <c r="G510" s="3"/>
      <c r="H510" s="3"/>
      <c r="I510" s="3"/>
      <c r="J510" s="3"/>
      <c r="K510" s="3"/>
      <c r="L510" s="3"/>
      <c r="M510" s="3"/>
      <c r="N510" s="3"/>
      <c r="O510" s="3"/>
      <c r="P510" s="3"/>
      <c r="Q510" s="3"/>
      <c r="R510" s="3"/>
      <c r="S510" s="3"/>
      <c r="T510" s="3"/>
      <c r="U510" s="3"/>
      <c r="V510" s="3"/>
      <c r="W510" s="3"/>
      <c r="X510" s="3"/>
      <c r="Y510" s="3"/>
      <c r="Z510" s="3"/>
    </row>
    <row r="511" spans="1:26" ht="14.25" customHeight="1">
      <c r="A511" s="1"/>
      <c r="B511" s="1"/>
      <c r="C511" s="1"/>
      <c r="D511" s="1"/>
      <c r="E511" s="19"/>
      <c r="F511" s="3"/>
      <c r="G511" s="3"/>
      <c r="H511" s="3"/>
      <c r="I511" s="3"/>
      <c r="J511" s="3"/>
      <c r="K511" s="3"/>
      <c r="L511" s="3"/>
      <c r="M511" s="3"/>
      <c r="N511" s="3"/>
      <c r="O511" s="3"/>
      <c r="P511" s="3"/>
      <c r="Q511" s="3"/>
      <c r="R511" s="3"/>
      <c r="S511" s="3"/>
      <c r="T511" s="3"/>
      <c r="U511" s="3"/>
      <c r="V511" s="3"/>
      <c r="W511" s="3"/>
      <c r="X511" s="3"/>
      <c r="Y511" s="3"/>
      <c r="Z511" s="3"/>
    </row>
    <row r="512" spans="1:26" ht="14.25" customHeight="1">
      <c r="A512" s="1"/>
      <c r="B512" s="1"/>
      <c r="C512" s="1"/>
      <c r="D512" s="1"/>
      <c r="E512" s="19"/>
      <c r="F512" s="3"/>
      <c r="G512" s="3"/>
      <c r="H512" s="3"/>
      <c r="I512" s="3"/>
      <c r="J512" s="3"/>
      <c r="K512" s="3"/>
      <c r="L512" s="3"/>
      <c r="M512" s="3"/>
      <c r="N512" s="3"/>
      <c r="O512" s="3"/>
      <c r="P512" s="3"/>
      <c r="Q512" s="3"/>
      <c r="R512" s="3"/>
      <c r="S512" s="3"/>
      <c r="T512" s="3"/>
      <c r="U512" s="3"/>
      <c r="V512" s="3"/>
      <c r="W512" s="3"/>
      <c r="X512" s="3"/>
      <c r="Y512" s="3"/>
      <c r="Z512" s="3"/>
    </row>
    <row r="513" spans="1:26" ht="14.25" customHeight="1">
      <c r="A513" s="1"/>
      <c r="B513" s="1"/>
      <c r="C513" s="1"/>
      <c r="D513" s="1"/>
      <c r="E513" s="19"/>
      <c r="F513" s="3"/>
      <c r="G513" s="3"/>
      <c r="H513" s="3"/>
      <c r="I513" s="3"/>
      <c r="J513" s="3"/>
      <c r="K513" s="3"/>
      <c r="L513" s="3"/>
      <c r="M513" s="3"/>
      <c r="N513" s="3"/>
      <c r="O513" s="3"/>
      <c r="P513" s="3"/>
      <c r="Q513" s="3"/>
      <c r="R513" s="3"/>
      <c r="S513" s="3"/>
      <c r="T513" s="3"/>
      <c r="U513" s="3"/>
      <c r="V513" s="3"/>
      <c r="W513" s="3"/>
      <c r="X513" s="3"/>
      <c r="Y513" s="3"/>
      <c r="Z513" s="3"/>
    </row>
    <row r="514" spans="1:26" ht="14.25" customHeight="1">
      <c r="A514" s="1"/>
      <c r="B514" s="1"/>
      <c r="C514" s="1"/>
      <c r="D514" s="1"/>
      <c r="E514" s="19"/>
      <c r="F514" s="3"/>
      <c r="G514" s="3"/>
      <c r="H514" s="3"/>
      <c r="I514" s="3"/>
      <c r="J514" s="3"/>
      <c r="K514" s="3"/>
      <c r="L514" s="3"/>
      <c r="M514" s="3"/>
      <c r="N514" s="3"/>
      <c r="O514" s="3"/>
      <c r="P514" s="3"/>
      <c r="Q514" s="3"/>
      <c r="R514" s="3"/>
      <c r="S514" s="3"/>
      <c r="T514" s="3"/>
      <c r="U514" s="3"/>
      <c r="V514" s="3"/>
      <c r="W514" s="3"/>
      <c r="X514" s="3"/>
      <c r="Y514" s="3"/>
      <c r="Z514" s="3"/>
    </row>
    <row r="515" spans="1:26" ht="14.25" customHeight="1">
      <c r="A515" s="1"/>
      <c r="B515" s="1"/>
      <c r="C515" s="1"/>
      <c r="D515" s="1"/>
      <c r="E515" s="19"/>
      <c r="F515" s="3"/>
      <c r="G515" s="3"/>
      <c r="H515" s="3"/>
      <c r="I515" s="3"/>
      <c r="J515" s="3"/>
      <c r="K515" s="3"/>
      <c r="L515" s="3"/>
      <c r="M515" s="3"/>
      <c r="N515" s="3"/>
      <c r="O515" s="3"/>
      <c r="P515" s="3"/>
      <c r="Q515" s="3"/>
      <c r="R515" s="3"/>
      <c r="S515" s="3"/>
      <c r="T515" s="3"/>
      <c r="U515" s="3"/>
      <c r="V515" s="3"/>
      <c r="W515" s="3"/>
      <c r="X515" s="3"/>
      <c r="Y515" s="3"/>
      <c r="Z515" s="3"/>
    </row>
    <row r="516" spans="1:26" ht="14.25" customHeight="1">
      <c r="A516" s="1"/>
      <c r="B516" s="1"/>
      <c r="C516" s="1"/>
      <c r="D516" s="1"/>
      <c r="E516" s="19"/>
      <c r="F516" s="3"/>
      <c r="G516" s="3"/>
      <c r="H516" s="3"/>
      <c r="I516" s="3"/>
      <c r="J516" s="3"/>
      <c r="K516" s="3"/>
      <c r="L516" s="3"/>
      <c r="M516" s="3"/>
      <c r="N516" s="3"/>
      <c r="O516" s="3"/>
      <c r="P516" s="3"/>
      <c r="Q516" s="3"/>
      <c r="R516" s="3"/>
      <c r="S516" s="3"/>
      <c r="T516" s="3"/>
      <c r="U516" s="3"/>
      <c r="V516" s="3"/>
      <c r="W516" s="3"/>
      <c r="X516" s="3"/>
      <c r="Y516" s="3"/>
      <c r="Z516" s="3"/>
    </row>
    <row r="517" spans="1:26" ht="14.25" customHeight="1">
      <c r="A517" s="1"/>
      <c r="B517" s="1"/>
      <c r="C517" s="1"/>
      <c r="D517" s="1"/>
      <c r="E517" s="19"/>
      <c r="F517" s="3"/>
      <c r="G517" s="3"/>
      <c r="H517" s="3"/>
      <c r="I517" s="3"/>
      <c r="J517" s="3"/>
      <c r="K517" s="3"/>
      <c r="L517" s="3"/>
      <c r="M517" s="3"/>
      <c r="N517" s="3"/>
      <c r="O517" s="3"/>
      <c r="P517" s="3"/>
      <c r="Q517" s="3"/>
      <c r="R517" s="3"/>
      <c r="S517" s="3"/>
      <c r="T517" s="3"/>
      <c r="U517" s="3"/>
      <c r="V517" s="3"/>
      <c r="W517" s="3"/>
      <c r="X517" s="3"/>
      <c r="Y517" s="3"/>
      <c r="Z517" s="3"/>
    </row>
    <row r="518" spans="1:26" ht="14.25" customHeight="1">
      <c r="A518" s="1"/>
      <c r="B518" s="1"/>
      <c r="C518" s="1"/>
      <c r="D518" s="1"/>
      <c r="E518" s="19"/>
      <c r="F518" s="3"/>
      <c r="G518" s="3"/>
      <c r="H518" s="3"/>
      <c r="I518" s="3"/>
      <c r="J518" s="3"/>
      <c r="K518" s="3"/>
      <c r="L518" s="3"/>
      <c r="M518" s="3"/>
      <c r="N518" s="3"/>
      <c r="O518" s="3"/>
      <c r="P518" s="3"/>
      <c r="Q518" s="3"/>
      <c r="R518" s="3"/>
      <c r="S518" s="3"/>
      <c r="T518" s="3"/>
      <c r="U518" s="3"/>
      <c r="V518" s="3"/>
      <c r="W518" s="3"/>
      <c r="X518" s="3"/>
      <c r="Y518" s="3"/>
      <c r="Z518" s="3"/>
    </row>
    <row r="519" spans="1:26" ht="14.25" customHeight="1">
      <c r="A519" s="1"/>
      <c r="B519" s="1"/>
      <c r="C519" s="1"/>
      <c r="D519" s="1"/>
      <c r="E519" s="19"/>
      <c r="F519" s="3"/>
      <c r="G519" s="3"/>
      <c r="H519" s="3"/>
      <c r="I519" s="3"/>
      <c r="J519" s="3"/>
      <c r="K519" s="3"/>
      <c r="L519" s="3"/>
      <c r="M519" s="3"/>
      <c r="N519" s="3"/>
      <c r="O519" s="3"/>
      <c r="P519" s="3"/>
      <c r="Q519" s="3"/>
      <c r="R519" s="3"/>
      <c r="S519" s="3"/>
      <c r="T519" s="3"/>
      <c r="U519" s="3"/>
      <c r="V519" s="3"/>
      <c r="W519" s="3"/>
      <c r="X519" s="3"/>
      <c r="Y519" s="3"/>
      <c r="Z519" s="3"/>
    </row>
    <row r="520" spans="1:26" ht="14.25" customHeight="1">
      <c r="A520" s="1"/>
      <c r="B520" s="1"/>
      <c r="C520" s="1"/>
      <c r="D520" s="1"/>
      <c r="E520" s="19"/>
      <c r="F520" s="3"/>
      <c r="G520" s="3"/>
      <c r="H520" s="3"/>
      <c r="I520" s="3"/>
      <c r="J520" s="3"/>
      <c r="K520" s="3"/>
      <c r="L520" s="3"/>
      <c r="M520" s="3"/>
      <c r="N520" s="3"/>
      <c r="O520" s="3"/>
      <c r="P520" s="3"/>
      <c r="Q520" s="3"/>
      <c r="R520" s="3"/>
      <c r="S520" s="3"/>
      <c r="T520" s="3"/>
      <c r="U520" s="3"/>
      <c r="V520" s="3"/>
      <c r="W520" s="3"/>
      <c r="X520" s="3"/>
      <c r="Y520" s="3"/>
      <c r="Z520" s="3"/>
    </row>
    <row r="521" spans="1:26" ht="14.25" customHeight="1">
      <c r="A521" s="1"/>
      <c r="B521" s="1"/>
      <c r="C521" s="1"/>
      <c r="D521" s="1"/>
      <c r="E521" s="19"/>
      <c r="F521" s="3"/>
      <c r="G521" s="3"/>
      <c r="H521" s="3"/>
      <c r="I521" s="3"/>
      <c r="J521" s="3"/>
      <c r="K521" s="3"/>
      <c r="L521" s="3"/>
      <c r="M521" s="3"/>
      <c r="N521" s="3"/>
      <c r="O521" s="3"/>
      <c r="P521" s="3"/>
      <c r="Q521" s="3"/>
      <c r="R521" s="3"/>
      <c r="S521" s="3"/>
      <c r="T521" s="3"/>
      <c r="U521" s="3"/>
      <c r="V521" s="3"/>
      <c r="W521" s="3"/>
      <c r="X521" s="3"/>
      <c r="Y521" s="3"/>
      <c r="Z521" s="3"/>
    </row>
    <row r="522" spans="1:26" ht="14.25" customHeight="1">
      <c r="A522" s="1"/>
      <c r="B522" s="1"/>
      <c r="C522" s="1"/>
      <c r="D522" s="1"/>
      <c r="E522" s="19"/>
      <c r="F522" s="3"/>
      <c r="G522" s="3"/>
      <c r="H522" s="3"/>
      <c r="I522" s="3"/>
      <c r="J522" s="3"/>
      <c r="K522" s="3"/>
      <c r="L522" s="3"/>
      <c r="M522" s="3"/>
      <c r="N522" s="3"/>
      <c r="O522" s="3"/>
      <c r="P522" s="3"/>
      <c r="Q522" s="3"/>
      <c r="R522" s="3"/>
      <c r="S522" s="3"/>
      <c r="T522" s="3"/>
      <c r="U522" s="3"/>
      <c r="V522" s="3"/>
      <c r="W522" s="3"/>
      <c r="X522" s="3"/>
      <c r="Y522" s="3"/>
      <c r="Z522" s="3"/>
    </row>
    <row r="523" spans="1:26" ht="14.25" customHeight="1">
      <c r="A523" s="1"/>
      <c r="B523" s="1"/>
      <c r="C523" s="1"/>
      <c r="D523" s="1"/>
      <c r="E523" s="19"/>
      <c r="F523" s="3"/>
      <c r="G523" s="3"/>
      <c r="H523" s="3"/>
      <c r="I523" s="3"/>
      <c r="J523" s="3"/>
      <c r="K523" s="3"/>
      <c r="L523" s="3"/>
      <c r="M523" s="3"/>
      <c r="N523" s="3"/>
      <c r="O523" s="3"/>
      <c r="P523" s="3"/>
      <c r="Q523" s="3"/>
      <c r="R523" s="3"/>
      <c r="S523" s="3"/>
      <c r="T523" s="3"/>
      <c r="U523" s="3"/>
      <c r="V523" s="3"/>
      <c r="W523" s="3"/>
      <c r="X523" s="3"/>
      <c r="Y523" s="3"/>
      <c r="Z523" s="3"/>
    </row>
    <row r="524" spans="1:26" ht="14.25" customHeight="1">
      <c r="A524" s="1"/>
      <c r="B524" s="1"/>
      <c r="C524" s="1"/>
      <c r="D524" s="1"/>
      <c r="E524" s="19"/>
      <c r="F524" s="3"/>
      <c r="G524" s="3"/>
      <c r="H524" s="3"/>
      <c r="I524" s="3"/>
      <c r="J524" s="3"/>
      <c r="K524" s="3"/>
      <c r="L524" s="3"/>
      <c r="M524" s="3"/>
      <c r="N524" s="3"/>
      <c r="O524" s="3"/>
      <c r="P524" s="3"/>
      <c r="Q524" s="3"/>
      <c r="R524" s="3"/>
      <c r="S524" s="3"/>
      <c r="T524" s="3"/>
      <c r="U524" s="3"/>
      <c r="V524" s="3"/>
      <c r="W524" s="3"/>
      <c r="X524" s="3"/>
      <c r="Y524" s="3"/>
      <c r="Z524" s="3"/>
    </row>
    <row r="525" spans="1:26" ht="14.25" customHeight="1">
      <c r="A525" s="1"/>
      <c r="B525" s="1"/>
      <c r="C525" s="1"/>
      <c r="D525" s="1"/>
      <c r="E525" s="19"/>
      <c r="F525" s="3"/>
      <c r="G525" s="3"/>
      <c r="H525" s="3"/>
      <c r="I525" s="3"/>
      <c r="J525" s="3"/>
      <c r="K525" s="3"/>
      <c r="L525" s="3"/>
      <c r="M525" s="3"/>
      <c r="N525" s="3"/>
      <c r="O525" s="3"/>
      <c r="P525" s="3"/>
      <c r="Q525" s="3"/>
      <c r="R525" s="3"/>
      <c r="S525" s="3"/>
      <c r="T525" s="3"/>
      <c r="U525" s="3"/>
      <c r="V525" s="3"/>
      <c r="W525" s="3"/>
      <c r="X525" s="3"/>
      <c r="Y525" s="3"/>
      <c r="Z525" s="3"/>
    </row>
    <row r="526" spans="1:26" ht="14.25" customHeight="1">
      <c r="A526" s="1"/>
      <c r="B526" s="1"/>
      <c r="C526" s="1"/>
      <c r="D526" s="1"/>
      <c r="E526" s="19"/>
      <c r="F526" s="3"/>
      <c r="G526" s="3"/>
      <c r="H526" s="3"/>
      <c r="I526" s="3"/>
      <c r="J526" s="3"/>
      <c r="K526" s="3"/>
      <c r="L526" s="3"/>
      <c r="M526" s="3"/>
      <c r="N526" s="3"/>
      <c r="O526" s="3"/>
      <c r="P526" s="3"/>
      <c r="Q526" s="3"/>
      <c r="R526" s="3"/>
      <c r="S526" s="3"/>
      <c r="T526" s="3"/>
      <c r="U526" s="3"/>
      <c r="V526" s="3"/>
      <c r="W526" s="3"/>
      <c r="X526" s="3"/>
      <c r="Y526" s="3"/>
      <c r="Z526" s="3"/>
    </row>
    <row r="527" spans="1:26" ht="14.25" customHeight="1">
      <c r="A527" s="1"/>
      <c r="B527" s="1"/>
      <c r="C527" s="1"/>
      <c r="D527" s="1"/>
      <c r="E527" s="19"/>
      <c r="F527" s="3"/>
      <c r="G527" s="3"/>
      <c r="H527" s="3"/>
      <c r="I527" s="3"/>
      <c r="J527" s="3"/>
      <c r="K527" s="3"/>
      <c r="L527" s="3"/>
      <c r="M527" s="3"/>
      <c r="N527" s="3"/>
      <c r="O527" s="3"/>
      <c r="P527" s="3"/>
      <c r="Q527" s="3"/>
      <c r="R527" s="3"/>
      <c r="S527" s="3"/>
      <c r="T527" s="3"/>
      <c r="U527" s="3"/>
      <c r="V527" s="3"/>
      <c r="W527" s="3"/>
      <c r="X527" s="3"/>
      <c r="Y527" s="3"/>
      <c r="Z527" s="3"/>
    </row>
    <row r="528" spans="1:26" ht="14.25" customHeight="1">
      <c r="A528" s="1"/>
      <c r="B528" s="1"/>
      <c r="C528" s="1"/>
      <c r="D528" s="1"/>
      <c r="E528" s="19"/>
      <c r="F528" s="3"/>
      <c r="G528" s="3"/>
      <c r="H528" s="3"/>
      <c r="I528" s="3"/>
      <c r="J528" s="3"/>
      <c r="K528" s="3"/>
      <c r="L528" s="3"/>
      <c r="M528" s="3"/>
      <c r="N528" s="3"/>
      <c r="O528" s="3"/>
      <c r="P528" s="3"/>
      <c r="Q528" s="3"/>
      <c r="R528" s="3"/>
      <c r="S528" s="3"/>
      <c r="T528" s="3"/>
      <c r="U528" s="3"/>
      <c r="V528" s="3"/>
      <c r="W528" s="3"/>
      <c r="X528" s="3"/>
      <c r="Y528" s="3"/>
      <c r="Z528" s="3"/>
    </row>
    <row r="529" spans="1:26" ht="14.25" customHeight="1">
      <c r="A529" s="1"/>
      <c r="B529" s="1"/>
      <c r="C529" s="1"/>
      <c r="D529" s="1"/>
      <c r="E529" s="19"/>
      <c r="F529" s="3"/>
      <c r="G529" s="3"/>
      <c r="H529" s="3"/>
      <c r="I529" s="3"/>
      <c r="J529" s="3"/>
      <c r="K529" s="3"/>
      <c r="L529" s="3"/>
      <c r="M529" s="3"/>
      <c r="N529" s="3"/>
      <c r="O529" s="3"/>
      <c r="P529" s="3"/>
      <c r="Q529" s="3"/>
      <c r="R529" s="3"/>
      <c r="S529" s="3"/>
      <c r="T529" s="3"/>
      <c r="U529" s="3"/>
      <c r="V529" s="3"/>
      <c r="W529" s="3"/>
      <c r="X529" s="3"/>
      <c r="Y529" s="3"/>
      <c r="Z529" s="3"/>
    </row>
    <row r="530" spans="1:26" ht="14.25" customHeight="1">
      <c r="A530" s="1"/>
      <c r="B530" s="1"/>
      <c r="C530" s="1"/>
      <c r="D530" s="1"/>
      <c r="E530" s="19"/>
      <c r="F530" s="3"/>
      <c r="G530" s="3"/>
      <c r="H530" s="3"/>
      <c r="I530" s="3"/>
      <c r="J530" s="3"/>
      <c r="K530" s="3"/>
      <c r="L530" s="3"/>
      <c r="M530" s="3"/>
      <c r="N530" s="3"/>
      <c r="O530" s="3"/>
      <c r="P530" s="3"/>
      <c r="Q530" s="3"/>
      <c r="R530" s="3"/>
      <c r="S530" s="3"/>
      <c r="T530" s="3"/>
      <c r="U530" s="3"/>
      <c r="V530" s="3"/>
      <c r="W530" s="3"/>
      <c r="X530" s="3"/>
      <c r="Y530" s="3"/>
      <c r="Z530" s="3"/>
    </row>
    <row r="531" spans="1:26" ht="14.25" customHeight="1">
      <c r="A531" s="1"/>
      <c r="B531" s="1"/>
      <c r="C531" s="1"/>
      <c r="D531" s="1"/>
      <c r="E531" s="19"/>
      <c r="F531" s="3"/>
      <c r="G531" s="3"/>
      <c r="H531" s="3"/>
      <c r="I531" s="3"/>
      <c r="J531" s="3"/>
      <c r="K531" s="3"/>
      <c r="L531" s="3"/>
      <c r="M531" s="3"/>
      <c r="N531" s="3"/>
      <c r="O531" s="3"/>
      <c r="P531" s="3"/>
      <c r="Q531" s="3"/>
      <c r="R531" s="3"/>
      <c r="S531" s="3"/>
      <c r="T531" s="3"/>
      <c r="U531" s="3"/>
      <c r="V531" s="3"/>
      <c r="W531" s="3"/>
      <c r="X531" s="3"/>
      <c r="Y531" s="3"/>
      <c r="Z531" s="3"/>
    </row>
    <row r="532" spans="1:26" ht="14.25" customHeight="1">
      <c r="A532" s="1"/>
      <c r="B532" s="1"/>
      <c r="C532" s="1"/>
      <c r="D532" s="1"/>
      <c r="E532" s="19"/>
      <c r="F532" s="3"/>
      <c r="G532" s="3"/>
      <c r="H532" s="3"/>
      <c r="I532" s="3"/>
      <c r="J532" s="3"/>
      <c r="K532" s="3"/>
      <c r="L532" s="3"/>
      <c r="M532" s="3"/>
      <c r="N532" s="3"/>
      <c r="O532" s="3"/>
      <c r="P532" s="3"/>
      <c r="Q532" s="3"/>
      <c r="R532" s="3"/>
      <c r="S532" s="3"/>
      <c r="T532" s="3"/>
      <c r="U532" s="3"/>
      <c r="V532" s="3"/>
      <c r="W532" s="3"/>
      <c r="X532" s="3"/>
      <c r="Y532" s="3"/>
      <c r="Z532" s="3"/>
    </row>
    <row r="533" spans="1:26" ht="14.25" customHeight="1">
      <c r="A533" s="1"/>
      <c r="B533" s="1"/>
      <c r="C533" s="1"/>
      <c r="D533" s="1"/>
      <c r="E533" s="19"/>
      <c r="F533" s="3"/>
      <c r="G533" s="3"/>
      <c r="H533" s="3"/>
      <c r="I533" s="3"/>
      <c r="J533" s="3"/>
      <c r="K533" s="3"/>
      <c r="L533" s="3"/>
      <c r="M533" s="3"/>
      <c r="N533" s="3"/>
      <c r="O533" s="3"/>
      <c r="P533" s="3"/>
      <c r="Q533" s="3"/>
      <c r="R533" s="3"/>
      <c r="S533" s="3"/>
      <c r="T533" s="3"/>
      <c r="U533" s="3"/>
      <c r="V533" s="3"/>
      <c r="W533" s="3"/>
      <c r="X533" s="3"/>
      <c r="Y533" s="3"/>
      <c r="Z533" s="3"/>
    </row>
    <row r="534" spans="1:26" ht="14.25" customHeight="1">
      <c r="A534" s="1"/>
      <c r="B534" s="1"/>
      <c r="C534" s="1"/>
      <c r="D534" s="1"/>
      <c r="E534" s="19"/>
      <c r="F534" s="3"/>
      <c r="G534" s="3"/>
      <c r="H534" s="3"/>
      <c r="I534" s="3"/>
      <c r="J534" s="3"/>
      <c r="K534" s="3"/>
      <c r="L534" s="3"/>
      <c r="M534" s="3"/>
      <c r="N534" s="3"/>
      <c r="O534" s="3"/>
      <c r="P534" s="3"/>
      <c r="Q534" s="3"/>
      <c r="R534" s="3"/>
      <c r="S534" s="3"/>
      <c r="T534" s="3"/>
      <c r="U534" s="3"/>
      <c r="V534" s="3"/>
      <c r="W534" s="3"/>
      <c r="X534" s="3"/>
      <c r="Y534" s="3"/>
      <c r="Z534" s="3"/>
    </row>
    <row r="535" spans="1:26" ht="14.25" customHeight="1">
      <c r="A535" s="1"/>
      <c r="B535" s="1"/>
      <c r="C535" s="1"/>
      <c r="D535" s="1"/>
      <c r="E535" s="19"/>
      <c r="F535" s="3"/>
      <c r="G535" s="3"/>
      <c r="H535" s="3"/>
      <c r="I535" s="3"/>
      <c r="J535" s="3"/>
      <c r="K535" s="3"/>
      <c r="L535" s="3"/>
      <c r="M535" s="3"/>
      <c r="N535" s="3"/>
      <c r="O535" s="3"/>
      <c r="P535" s="3"/>
      <c r="Q535" s="3"/>
      <c r="R535" s="3"/>
      <c r="S535" s="3"/>
      <c r="T535" s="3"/>
      <c r="U535" s="3"/>
      <c r="V535" s="3"/>
      <c r="W535" s="3"/>
      <c r="X535" s="3"/>
      <c r="Y535" s="3"/>
      <c r="Z535" s="3"/>
    </row>
    <row r="536" spans="1:26" ht="14.25" customHeight="1">
      <c r="A536" s="1"/>
      <c r="B536" s="1"/>
      <c r="C536" s="1"/>
      <c r="D536" s="1"/>
      <c r="E536" s="19"/>
      <c r="F536" s="3"/>
      <c r="G536" s="3"/>
      <c r="H536" s="3"/>
      <c r="I536" s="3"/>
      <c r="J536" s="3"/>
      <c r="K536" s="3"/>
      <c r="L536" s="3"/>
      <c r="M536" s="3"/>
      <c r="N536" s="3"/>
      <c r="O536" s="3"/>
      <c r="P536" s="3"/>
      <c r="Q536" s="3"/>
      <c r="R536" s="3"/>
      <c r="S536" s="3"/>
      <c r="T536" s="3"/>
      <c r="U536" s="3"/>
      <c r="V536" s="3"/>
      <c r="W536" s="3"/>
      <c r="X536" s="3"/>
      <c r="Y536" s="3"/>
      <c r="Z536" s="3"/>
    </row>
    <row r="537" spans="1:26" ht="14.25" customHeight="1">
      <c r="A537" s="1"/>
      <c r="B537" s="1"/>
      <c r="C537" s="1"/>
      <c r="D537" s="1"/>
      <c r="E537" s="19"/>
      <c r="F537" s="3"/>
      <c r="G537" s="3"/>
      <c r="H537" s="3"/>
      <c r="I537" s="3"/>
      <c r="J537" s="3"/>
      <c r="K537" s="3"/>
      <c r="L537" s="3"/>
      <c r="M537" s="3"/>
      <c r="N537" s="3"/>
      <c r="O537" s="3"/>
      <c r="P537" s="3"/>
      <c r="Q537" s="3"/>
      <c r="R537" s="3"/>
      <c r="S537" s="3"/>
      <c r="T537" s="3"/>
      <c r="U537" s="3"/>
      <c r="V537" s="3"/>
      <c r="W537" s="3"/>
      <c r="X537" s="3"/>
      <c r="Y537" s="3"/>
      <c r="Z537" s="3"/>
    </row>
    <row r="538" spans="1:26" ht="14.25" customHeight="1">
      <c r="A538" s="1"/>
      <c r="B538" s="1"/>
      <c r="C538" s="1"/>
      <c r="D538" s="1"/>
      <c r="E538" s="19"/>
      <c r="F538" s="3"/>
      <c r="G538" s="3"/>
      <c r="H538" s="3"/>
      <c r="I538" s="3"/>
      <c r="J538" s="3"/>
      <c r="K538" s="3"/>
      <c r="L538" s="3"/>
      <c r="M538" s="3"/>
      <c r="N538" s="3"/>
      <c r="O538" s="3"/>
      <c r="P538" s="3"/>
      <c r="Q538" s="3"/>
      <c r="R538" s="3"/>
      <c r="S538" s="3"/>
      <c r="T538" s="3"/>
      <c r="U538" s="3"/>
      <c r="V538" s="3"/>
      <c r="W538" s="3"/>
      <c r="X538" s="3"/>
      <c r="Y538" s="3"/>
      <c r="Z538" s="3"/>
    </row>
    <row r="539" spans="1:26" ht="14.25" customHeight="1">
      <c r="A539" s="1"/>
      <c r="B539" s="1"/>
      <c r="C539" s="1"/>
      <c r="D539" s="1"/>
      <c r="E539" s="19"/>
      <c r="F539" s="3"/>
      <c r="G539" s="3"/>
      <c r="H539" s="3"/>
      <c r="I539" s="3"/>
      <c r="J539" s="3"/>
      <c r="K539" s="3"/>
      <c r="L539" s="3"/>
      <c r="M539" s="3"/>
      <c r="N539" s="3"/>
      <c r="O539" s="3"/>
      <c r="P539" s="3"/>
      <c r="Q539" s="3"/>
      <c r="R539" s="3"/>
      <c r="S539" s="3"/>
      <c r="T539" s="3"/>
      <c r="U539" s="3"/>
      <c r="V539" s="3"/>
      <c r="W539" s="3"/>
      <c r="X539" s="3"/>
      <c r="Y539" s="3"/>
      <c r="Z539" s="3"/>
    </row>
    <row r="540" spans="1:26" ht="14.25" customHeight="1">
      <c r="A540" s="1"/>
      <c r="B540" s="1"/>
      <c r="C540" s="1"/>
      <c r="D540" s="1"/>
      <c r="E540" s="19"/>
      <c r="F540" s="3"/>
      <c r="G540" s="3"/>
      <c r="H540" s="3"/>
      <c r="I540" s="3"/>
      <c r="J540" s="3"/>
      <c r="K540" s="3"/>
      <c r="L540" s="3"/>
      <c r="M540" s="3"/>
      <c r="N540" s="3"/>
      <c r="O540" s="3"/>
      <c r="P540" s="3"/>
      <c r="Q540" s="3"/>
      <c r="R540" s="3"/>
      <c r="S540" s="3"/>
      <c r="T540" s="3"/>
      <c r="U540" s="3"/>
      <c r="V540" s="3"/>
      <c r="W540" s="3"/>
      <c r="X540" s="3"/>
      <c r="Y540" s="3"/>
      <c r="Z540" s="3"/>
    </row>
    <row r="541" spans="1:26" ht="14.25" customHeight="1">
      <c r="A541" s="1"/>
      <c r="B541" s="1"/>
      <c r="C541" s="1"/>
      <c r="D541" s="1"/>
      <c r="E541" s="19"/>
      <c r="F541" s="3"/>
      <c r="G541" s="3"/>
      <c r="H541" s="3"/>
      <c r="I541" s="3"/>
      <c r="J541" s="3"/>
      <c r="K541" s="3"/>
      <c r="L541" s="3"/>
      <c r="M541" s="3"/>
      <c r="N541" s="3"/>
      <c r="O541" s="3"/>
      <c r="P541" s="3"/>
      <c r="Q541" s="3"/>
      <c r="R541" s="3"/>
      <c r="S541" s="3"/>
      <c r="T541" s="3"/>
      <c r="U541" s="3"/>
      <c r="V541" s="3"/>
      <c r="W541" s="3"/>
      <c r="X541" s="3"/>
      <c r="Y541" s="3"/>
      <c r="Z541" s="3"/>
    </row>
    <row r="542" spans="1:26" ht="14.25" customHeight="1">
      <c r="A542" s="1"/>
      <c r="B542" s="1"/>
      <c r="C542" s="1"/>
      <c r="D542" s="1"/>
      <c r="E542" s="19"/>
      <c r="F542" s="3"/>
      <c r="G542" s="3"/>
      <c r="H542" s="3"/>
      <c r="I542" s="3"/>
      <c r="J542" s="3"/>
      <c r="K542" s="3"/>
      <c r="L542" s="3"/>
      <c r="M542" s="3"/>
      <c r="N542" s="3"/>
      <c r="O542" s="3"/>
      <c r="P542" s="3"/>
      <c r="Q542" s="3"/>
      <c r="R542" s="3"/>
      <c r="S542" s="3"/>
      <c r="T542" s="3"/>
      <c r="U542" s="3"/>
      <c r="V542" s="3"/>
      <c r="W542" s="3"/>
      <c r="X542" s="3"/>
      <c r="Y542" s="3"/>
      <c r="Z542" s="3"/>
    </row>
    <row r="543" spans="1:26" ht="14.25" customHeight="1">
      <c r="A543" s="1"/>
      <c r="B543" s="1"/>
      <c r="C543" s="1"/>
      <c r="D543" s="1"/>
      <c r="E543" s="19"/>
      <c r="F543" s="3"/>
      <c r="G543" s="3"/>
      <c r="H543" s="3"/>
      <c r="I543" s="3"/>
      <c r="J543" s="3"/>
      <c r="K543" s="3"/>
      <c r="L543" s="3"/>
      <c r="M543" s="3"/>
      <c r="N543" s="3"/>
      <c r="O543" s="3"/>
      <c r="P543" s="3"/>
      <c r="Q543" s="3"/>
      <c r="R543" s="3"/>
      <c r="S543" s="3"/>
      <c r="T543" s="3"/>
      <c r="U543" s="3"/>
      <c r="V543" s="3"/>
      <c r="W543" s="3"/>
      <c r="X543" s="3"/>
      <c r="Y543" s="3"/>
      <c r="Z543" s="3"/>
    </row>
    <row r="544" spans="1:26" ht="14.25" customHeight="1">
      <c r="A544" s="1"/>
      <c r="B544" s="1"/>
      <c r="C544" s="1"/>
      <c r="D544" s="1"/>
      <c r="E544" s="19"/>
      <c r="F544" s="3"/>
      <c r="G544" s="3"/>
      <c r="H544" s="3"/>
      <c r="I544" s="3"/>
      <c r="J544" s="3"/>
      <c r="K544" s="3"/>
      <c r="L544" s="3"/>
      <c r="M544" s="3"/>
      <c r="N544" s="3"/>
      <c r="O544" s="3"/>
      <c r="P544" s="3"/>
      <c r="Q544" s="3"/>
      <c r="R544" s="3"/>
      <c r="S544" s="3"/>
      <c r="T544" s="3"/>
      <c r="U544" s="3"/>
      <c r="V544" s="3"/>
      <c r="W544" s="3"/>
      <c r="X544" s="3"/>
      <c r="Y544" s="3"/>
      <c r="Z544" s="3"/>
    </row>
    <row r="545" spans="1:26" ht="14.25" customHeight="1">
      <c r="A545" s="1"/>
      <c r="B545" s="1"/>
      <c r="C545" s="1"/>
      <c r="D545" s="1"/>
      <c r="E545" s="19"/>
      <c r="F545" s="3"/>
      <c r="G545" s="3"/>
      <c r="H545" s="3"/>
      <c r="I545" s="3"/>
      <c r="J545" s="3"/>
      <c r="K545" s="3"/>
      <c r="L545" s="3"/>
      <c r="M545" s="3"/>
      <c r="N545" s="3"/>
      <c r="O545" s="3"/>
      <c r="P545" s="3"/>
      <c r="Q545" s="3"/>
      <c r="R545" s="3"/>
      <c r="S545" s="3"/>
      <c r="T545" s="3"/>
      <c r="U545" s="3"/>
      <c r="V545" s="3"/>
      <c r="W545" s="3"/>
      <c r="X545" s="3"/>
      <c r="Y545" s="3"/>
      <c r="Z545" s="3"/>
    </row>
    <row r="546" spans="1:26" ht="14.25" customHeight="1">
      <c r="A546" s="1"/>
      <c r="B546" s="1"/>
      <c r="C546" s="1"/>
      <c r="D546" s="1"/>
      <c r="E546" s="19"/>
      <c r="F546" s="3"/>
      <c r="G546" s="3"/>
      <c r="H546" s="3"/>
      <c r="I546" s="3"/>
      <c r="J546" s="3"/>
      <c r="K546" s="3"/>
      <c r="L546" s="3"/>
      <c r="M546" s="3"/>
      <c r="N546" s="3"/>
      <c r="O546" s="3"/>
      <c r="P546" s="3"/>
      <c r="Q546" s="3"/>
      <c r="R546" s="3"/>
      <c r="S546" s="3"/>
      <c r="T546" s="3"/>
      <c r="U546" s="3"/>
      <c r="V546" s="3"/>
      <c r="W546" s="3"/>
      <c r="X546" s="3"/>
      <c r="Y546" s="3"/>
      <c r="Z546" s="3"/>
    </row>
    <row r="547" spans="1:26" ht="14.25" customHeight="1">
      <c r="A547" s="1"/>
      <c r="B547" s="1"/>
      <c r="C547" s="1"/>
      <c r="D547" s="1"/>
      <c r="E547" s="19"/>
      <c r="F547" s="3"/>
      <c r="G547" s="3"/>
      <c r="H547" s="3"/>
      <c r="I547" s="3"/>
      <c r="J547" s="3"/>
      <c r="K547" s="3"/>
      <c r="L547" s="3"/>
      <c r="M547" s="3"/>
      <c r="N547" s="3"/>
      <c r="O547" s="3"/>
      <c r="P547" s="3"/>
      <c r="Q547" s="3"/>
      <c r="R547" s="3"/>
      <c r="S547" s="3"/>
      <c r="T547" s="3"/>
      <c r="U547" s="3"/>
      <c r="V547" s="3"/>
      <c r="W547" s="3"/>
      <c r="X547" s="3"/>
      <c r="Y547" s="3"/>
      <c r="Z547" s="3"/>
    </row>
    <row r="548" spans="1:26" ht="14.25" customHeight="1">
      <c r="A548" s="1"/>
      <c r="B548" s="1"/>
      <c r="C548" s="1"/>
      <c r="D548" s="1"/>
      <c r="E548" s="19"/>
      <c r="F548" s="3"/>
      <c r="G548" s="3"/>
      <c r="H548" s="3"/>
      <c r="I548" s="3"/>
      <c r="J548" s="3"/>
      <c r="K548" s="3"/>
      <c r="L548" s="3"/>
      <c r="M548" s="3"/>
      <c r="N548" s="3"/>
      <c r="O548" s="3"/>
      <c r="P548" s="3"/>
      <c r="Q548" s="3"/>
      <c r="R548" s="3"/>
      <c r="S548" s="3"/>
      <c r="T548" s="3"/>
      <c r="U548" s="3"/>
      <c r="V548" s="3"/>
      <c r="W548" s="3"/>
      <c r="X548" s="3"/>
      <c r="Y548" s="3"/>
      <c r="Z548" s="3"/>
    </row>
    <row r="549" spans="1:26" ht="14.25" customHeight="1">
      <c r="A549" s="1"/>
      <c r="B549" s="1"/>
      <c r="C549" s="1"/>
      <c r="D549" s="1"/>
      <c r="E549" s="19"/>
      <c r="F549" s="3"/>
      <c r="G549" s="3"/>
      <c r="H549" s="3"/>
      <c r="I549" s="3"/>
      <c r="J549" s="3"/>
      <c r="K549" s="3"/>
      <c r="L549" s="3"/>
      <c r="M549" s="3"/>
      <c r="N549" s="3"/>
      <c r="O549" s="3"/>
      <c r="P549" s="3"/>
      <c r="Q549" s="3"/>
      <c r="R549" s="3"/>
      <c r="S549" s="3"/>
      <c r="T549" s="3"/>
      <c r="U549" s="3"/>
      <c r="V549" s="3"/>
      <c r="W549" s="3"/>
      <c r="X549" s="3"/>
      <c r="Y549" s="3"/>
      <c r="Z549" s="3"/>
    </row>
    <row r="550" spans="1:26" ht="14.25" customHeight="1">
      <c r="A550" s="1"/>
      <c r="B550" s="1"/>
      <c r="C550" s="1"/>
      <c r="D550" s="1"/>
      <c r="E550" s="19"/>
      <c r="F550" s="3"/>
      <c r="G550" s="3"/>
      <c r="H550" s="3"/>
      <c r="I550" s="3"/>
      <c r="J550" s="3"/>
      <c r="K550" s="3"/>
      <c r="L550" s="3"/>
      <c r="M550" s="3"/>
      <c r="N550" s="3"/>
      <c r="O550" s="3"/>
      <c r="P550" s="3"/>
      <c r="Q550" s="3"/>
      <c r="R550" s="3"/>
      <c r="S550" s="3"/>
      <c r="T550" s="3"/>
      <c r="U550" s="3"/>
      <c r="V550" s="3"/>
      <c r="W550" s="3"/>
      <c r="X550" s="3"/>
      <c r="Y550" s="3"/>
      <c r="Z550" s="3"/>
    </row>
    <row r="551" spans="1:26" ht="14.25" customHeight="1">
      <c r="A551" s="1"/>
      <c r="B551" s="1"/>
      <c r="C551" s="1"/>
      <c r="D551" s="1"/>
      <c r="E551" s="19"/>
      <c r="F551" s="3"/>
      <c r="G551" s="3"/>
      <c r="H551" s="3"/>
      <c r="I551" s="3"/>
      <c r="J551" s="3"/>
      <c r="K551" s="3"/>
      <c r="L551" s="3"/>
      <c r="M551" s="3"/>
      <c r="N551" s="3"/>
      <c r="O551" s="3"/>
      <c r="P551" s="3"/>
      <c r="Q551" s="3"/>
      <c r="R551" s="3"/>
      <c r="S551" s="3"/>
      <c r="T551" s="3"/>
      <c r="U551" s="3"/>
      <c r="V551" s="3"/>
      <c r="W551" s="3"/>
      <c r="X551" s="3"/>
      <c r="Y551" s="3"/>
      <c r="Z551" s="3"/>
    </row>
    <row r="552" spans="1:26" ht="14.25" customHeight="1">
      <c r="A552" s="1"/>
      <c r="B552" s="1"/>
      <c r="C552" s="1"/>
      <c r="D552" s="1"/>
      <c r="E552" s="19"/>
      <c r="F552" s="3"/>
      <c r="G552" s="3"/>
      <c r="H552" s="3"/>
      <c r="I552" s="3"/>
      <c r="J552" s="3"/>
      <c r="K552" s="3"/>
      <c r="L552" s="3"/>
      <c r="M552" s="3"/>
      <c r="N552" s="3"/>
      <c r="O552" s="3"/>
      <c r="P552" s="3"/>
      <c r="Q552" s="3"/>
      <c r="R552" s="3"/>
      <c r="S552" s="3"/>
      <c r="T552" s="3"/>
      <c r="U552" s="3"/>
      <c r="V552" s="3"/>
      <c r="W552" s="3"/>
      <c r="X552" s="3"/>
      <c r="Y552" s="3"/>
      <c r="Z552" s="3"/>
    </row>
    <row r="553" spans="1:26" ht="14.25" customHeight="1">
      <c r="A553" s="1"/>
      <c r="B553" s="1"/>
      <c r="C553" s="1"/>
      <c r="D553" s="1"/>
      <c r="E553" s="19"/>
      <c r="F553" s="3"/>
      <c r="G553" s="3"/>
      <c r="H553" s="3"/>
      <c r="I553" s="3"/>
      <c r="J553" s="3"/>
      <c r="K553" s="3"/>
      <c r="L553" s="3"/>
      <c r="M553" s="3"/>
      <c r="N553" s="3"/>
      <c r="O553" s="3"/>
      <c r="P553" s="3"/>
      <c r="Q553" s="3"/>
      <c r="R553" s="3"/>
      <c r="S553" s="3"/>
      <c r="T553" s="3"/>
      <c r="U553" s="3"/>
      <c r="V553" s="3"/>
      <c r="W553" s="3"/>
      <c r="X553" s="3"/>
      <c r="Y553" s="3"/>
      <c r="Z553" s="3"/>
    </row>
    <row r="554" spans="1:26" ht="14.25" customHeight="1">
      <c r="A554" s="1"/>
      <c r="B554" s="1"/>
      <c r="C554" s="1"/>
      <c r="D554" s="1"/>
      <c r="E554" s="19"/>
      <c r="F554" s="3"/>
      <c r="G554" s="3"/>
      <c r="H554" s="3"/>
      <c r="I554" s="3"/>
      <c r="J554" s="3"/>
      <c r="K554" s="3"/>
      <c r="L554" s="3"/>
      <c r="M554" s="3"/>
      <c r="N554" s="3"/>
      <c r="O554" s="3"/>
      <c r="P554" s="3"/>
      <c r="Q554" s="3"/>
      <c r="R554" s="3"/>
      <c r="S554" s="3"/>
      <c r="T554" s="3"/>
      <c r="U554" s="3"/>
      <c r="V554" s="3"/>
      <c r="W554" s="3"/>
      <c r="X554" s="3"/>
      <c r="Y554" s="3"/>
      <c r="Z554" s="3"/>
    </row>
    <row r="555" spans="1:26" ht="14.25" customHeight="1">
      <c r="A555" s="1"/>
      <c r="B555" s="1"/>
      <c r="C555" s="1"/>
      <c r="D555" s="1"/>
      <c r="E555" s="19"/>
      <c r="F555" s="3"/>
      <c r="G555" s="3"/>
      <c r="H555" s="3"/>
      <c r="I555" s="3"/>
      <c r="J555" s="3"/>
      <c r="K555" s="3"/>
      <c r="L555" s="3"/>
      <c r="M555" s="3"/>
      <c r="N555" s="3"/>
      <c r="O555" s="3"/>
      <c r="P555" s="3"/>
      <c r="Q555" s="3"/>
      <c r="R555" s="3"/>
      <c r="S555" s="3"/>
      <c r="T555" s="3"/>
      <c r="U555" s="3"/>
      <c r="V555" s="3"/>
      <c r="W555" s="3"/>
      <c r="X555" s="3"/>
      <c r="Y555" s="3"/>
      <c r="Z555" s="3"/>
    </row>
    <row r="556" spans="1:26" ht="14.25" customHeight="1">
      <c r="A556" s="1"/>
      <c r="B556" s="1"/>
      <c r="C556" s="1"/>
      <c r="D556" s="1"/>
      <c r="E556" s="19"/>
      <c r="F556" s="3"/>
      <c r="G556" s="3"/>
      <c r="H556" s="3"/>
      <c r="I556" s="3"/>
      <c r="J556" s="3"/>
      <c r="K556" s="3"/>
      <c r="L556" s="3"/>
      <c r="M556" s="3"/>
      <c r="N556" s="3"/>
      <c r="O556" s="3"/>
      <c r="P556" s="3"/>
      <c r="Q556" s="3"/>
      <c r="R556" s="3"/>
      <c r="S556" s="3"/>
      <c r="T556" s="3"/>
      <c r="U556" s="3"/>
      <c r="V556" s="3"/>
      <c r="W556" s="3"/>
      <c r="X556" s="3"/>
      <c r="Y556" s="3"/>
      <c r="Z556" s="3"/>
    </row>
    <row r="557" spans="1:26" ht="14.25" customHeight="1">
      <c r="A557" s="1"/>
      <c r="B557" s="1"/>
      <c r="C557" s="1"/>
      <c r="D557" s="1"/>
      <c r="E557" s="19"/>
      <c r="F557" s="3"/>
      <c r="G557" s="3"/>
      <c r="H557" s="3"/>
      <c r="I557" s="3"/>
      <c r="J557" s="3"/>
      <c r="K557" s="3"/>
      <c r="L557" s="3"/>
      <c r="M557" s="3"/>
      <c r="N557" s="3"/>
      <c r="O557" s="3"/>
      <c r="P557" s="3"/>
      <c r="Q557" s="3"/>
      <c r="R557" s="3"/>
      <c r="S557" s="3"/>
      <c r="T557" s="3"/>
      <c r="U557" s="3"/>
      <c r="V557" s="3"/>
      <c r="W557" s="3"/>
      <c r="X557" s="3"/>
      <c r="Y557" s="3"/>
      <c r="Z557" s="3"/>
    </row>
    <row r="558" spans="1:26" ht="14.25" customHeight="1">
      <c r="A558" s="1"/>
      <c r="B558" s="1"/>
      <c r="C558" s="1"/>
      <c r="D558" s="1"/>
      <c r="E558" s="19"/>
      <c r="F558" s="3"/>
      <c r="G558" s="3"/>
      <c r="H558" s="3"/>
      <c r="I558" s="3"/>
      <c r="J558" s="3"/>
      <c r="K558" s="3"/>
      <c r="L558" s="3"/>
      <c r="M558" s="3"/>
      <c r="N558" s="3"/>
      <c r="O558" s="3"/>
      <c r="P558" s="3"/>
      <c r="Q558" s="3"/>
      <c r="R558" s="3"/>
      <c r="S558" s="3"/>
      <c r="T558" s="3"/>
      <c r="U558" s="3"/>
      <c r="V558" s="3"/>
      <c r="W558" s="3"/>
      <c r="X558" s="3"/>
      <c r="Y558" s="3"/>
      <c r="Z558" s="3"/>
    </row>
    <row r="559" spans="1:26" ht="14.25" customHeight="1">
      <c r="A559" s="1"/>
      <c r="B559" s="1"/>
      <c r="C559" s="1"/>
      <c r="D559" s="1"/>
      <c r="E559" s="19"/>
      <c r="F559" s="3"/>
      <c r="G559" s="3"/>
      <c r="H559" s="3"/>
      <c r="I559" s="3"/>
      <c r="J559" s="3"/>
      <c r="K559" s="3"/>
      <c r="L559" s="3"/>
      <c r="M559" s="3"/>
      <c r="N559" s="3"/>
      <c r="O559" s="3"/>
      <c r="P559" s="3"/>
      <c r="Q559" s="3"/>
      <c r="R559" s="3"/>
      <c r="S559" s="3"/>
      <c r="T559" s="3"/>
      <c r="U559" s="3"/>
      <c r="V559" s="3"/>
      <c r="W559" s="3"/>
      <c r="X559" s="3"/>
      <c r="Y559" s="3"/>
      <c r="Z559" s="3"/>
    </row>
    <row r="560" spans="1:26" ht="14.25" customHeight="1">
      <c r="A560" s="1"/>
      <c r="B560" s="1"/>
      <c r="C560" s="1"/>
      <c r="D560" s="1"/>
      <c r="E560" s="19"/>
      <c r="F560" s="3"/>
      <c r="G560" s="3"/>
      <c r="H560" s="3"/>
      <c r="I560" s="3"/>
      <c r="J560" s="3"/>
      <c r="K560" s="3"/>
      <c r="L560" s="3"/>
      <c r="M560" s="3"/>
      <c r="N560" s="3"/>
      <c r="O560" s="3"/>
      <c r="P560" s="3"/>
      <c r="Q560" s="3"/>
      <c r="R560" s="3"/>
      <c r="S560" s="3"/>
      <c r="T560" s="3"/>
      <c r="U560" s="3"/>
      <c r="V560" s="3"/>
      <c r="W560" s="3"/>
      <c r="X560" s="3"/>
      <c r="Y560" s="3"/>
      <c r="Z560" s="3"/>
    </row>
    <row r="561" spans="1:26" ht="14.25" customHeight="1">
      <c r="A561" s="1"/>
      <c r="B561" s="1"/>
      <c r="C561" s="1"/>
      <c r="D561" s="1"/>
      <c r="E561" s="19"/>
      <c r="F561" s="3"/>
      <c r="G561" s="3"/>
      <c r="H561" s="3"/>
      <c r="I561" s="3"/>
      <c r="J561" s="3"/>
      <c r="K561" s="3"/>
      <c r="L561" s="3"/>
      <c r="M561" s="3"/>
      <c r="N561" s="3"/>
      <c r="O561" s="3"/>
      <c r="P561" s="3"/>
      <c r="Q561" s="3"/>
      <c r="R561" s="3"/>
      <c r="S561" s="3"/>
      <c r="T561" s="3"/>
      <c r="U561" s="3"/>
      <c r="V561" s="3"/>
      <c r="W561" s="3"/>
      <c r="X561" s="3"/>
      <c r="Y561" s="3"/>
      <c r="Z561" s="3"/>
    </row>
    <row r="562" spans="1:26" ht="14.25" customHeight="1">
      <c r="A562" s="1"/>
      <c r="B562" s="1"/>
      <c r="C562" s="1"/>
      <c r="D562" s="1"/>
      <c r="E562" s="19"/>
      <c r="F562" s="3"/>
      <c r="G562" s="3"/>
      <c r="H562" s="3"/>
      <c r="I562" s="3"/>
      <c r="J562" s="3"/>
      <c r="K562" s="3"/>
      <c r="L562" s="3"/>
      <c r="M562" s="3"/>
      <c r="N562" s="3"/>
      <c r="O562" s="3"/>
      <c r="P562" s="3"/>
      <c r="Q562" s="3"/>
      <c r="R562" s="3"/>
      <c r="S562" s="3"/>
      <c r="T562" s="3"/>
      <c r="U562" s="3"/>
      <c r="V562" s="3"/>
      <c r="W562" s="3"/>
      <c r="X562" s="3"/>
      <c r="Y562" s="3"/>
      <c r="Z562" s="3"/>
    </row>
    <row r="563" spans="1:26" ht="14.25" customHeight="1">
      <c r="A563" s="1"/>
      <c r="B563" s="1"/>
      <c r="C563" s="1"/>
      <c r="D563" s="1"/>
      <c r="E563" s="19"/>
      <c r="F563" s="3"/>
      <c r="G563" s="3"/>
      <c r="H563" s="3"/>
      <c r="I563" s="3"/>
      <c r="J563" s="3"/>
      <c r="K563" s="3"/>
      <c r="L563" s="3"/>
      <c r="M563" s="3"/>
      <c r="N563" s="3"/>
      <c r="O563" s="3"/>
      <c r="P563" s="3"/>
      <c r="Q563" s="3"/>
      <c r="R563" s="3"/>
      <c r="S563" s="3"/>
      <c r="T563" s="3"/>
      <c r="U563" s="3"/>
      <c r="V563" s="3"/>
      <c r="W563" s="3"/>
      <c r="X563" s="3"/>
      <c r="Y563" s="3"/>
      <c r="Z563" s="3"/>
    </row>
    <row r="564" spans="1:26" ht="14.25" customHeight="1">
      <c r="A564" s="1"/>
      <c r="B564" s="1"/>
      <c r="C564" s="1"/>
      <c r="D564" s="1"/>
      <c r="E564" s="19"/>
      <c r="F564" s="3"/>
      <c r="G564" s="3"/>
      <c r="H564" s="3"/>
      <c r="I564" s="3"/>
      <c r="J564" s="3"/>
      <c r="K564" s="3"/>
      <c r="L564" s="3"/>
      <c r="M564" s="3"/>
      <c r="N564" s="3"/>
      <c r="O564" s="3"/>
      <c r="P564" s="3"/>
      <c r="Q564" s="3"/>
      <c r="R564" s="3"/>
      <c r="S564" s="3"/>
      <c r="T564" s="3"/>
      <c r="U564" s="3"/>
      <c r="V564" s="3"/>
      <c r="W564" s="3"/>
      <c r="X564" s="3"/>
      <c r="Y564" s="3"/>
      <c r="Z564" s="3"/>
    </row>
    <row r="565" spans="1:26" ht="14.25" customHeight="1">
      <c r="A565" s="1"/>
      <c r="B565" s="1"/>
      <c r="C565" s="1"/>
      <c r="D565" s="1"/>
      <c r="E565" s="19"/>
      <c r="F565" s="3"/>
      <c r="G565" s="3"/>
      <c r="H565" s="3"/>
      <c r="I565" s="3"/>
      <c r="J565" s="3"/>
      <c r="K565" s="3"/>
      <c r="L565" s="3"/>
      <c r="M565" s="3"/>
      <c r="N565" s="3"/>
      <c r="O565" s="3"/>
      <c r="P565" s="3"/>
      <c r="Q565" s="3"/>
      <c r="R565" s="3"/>
      <c r="S565" s="3"/>
      <c r="T565" s="3"/>
      <c r="U565" s="3"/>
      <c r="V565" s="3"/>
      <c r="W565" s="3"/>
      <c r="X565" s="3"/>
      <c r="Y565" s="3"/>
      <c r="Z565" s="3"/>
    </row>
    <row r="566" spans="1:26" ht="14.25" customHeight="1">
      <c r="A566" s="1"/>
      <c r="B566" s="1"/>
      <c r="C566" s="1"/>
      <c r="D566" s="1"/>
      <c r="E566" s="19"/>
      <c r="F566" s="3"/>
      <c r="G566" s="3"/>
      <c r="H566" s="3"/>
      <c r="I566" s="3"/>
      <c r="J566" s="3"/>
      <c r="K566" s="3"/>
      <c r="L566" s="3"/>
      <c r="M566" s="3"/>
      <c r="N566" s="3"/>
      <c r="O566" s="3"/>
      <c r="P566" s="3"/>
      <c r="Q566" s="3"/>
      <c r="R566" s="3"/>
      <c r="S566" s="3"/>
      <c r="T566" s="3"/>
      <c r="U566" s="3"/>
      <c r="V566" s="3"/>
      <c r="W566" s="3"/>
      <c r="X566" s="3"/>
      <c r="Y566" s="3"/>
      <c r="Z566" s="3"/>
    </row>
    <row r="567" spans="1:26" ht="14.25" customHeight="1">
      <c r="A567" s="1"/>
      <c r="B567" s="1"/>
      <c r="C567" s="1"/>
      <c r="D567" s="1"/>
      <c r="E567" s="19"/>
      <c r="F567" s="3"/>
      <c r="G567" s="3"/>
      <c r="H567" s="3"/>
      <c r="I567" s="3"/>
      <c r="J567" s="3"/>
      <c r="K567" s="3"/>
      <c r="L567" s="3"/>
      <c r="M567" s="3"/>
      <c r="N567" s="3"/>
      <c r="O567" s="3"/>
      <c r="P567" s="3"/>
      <c r="Q567" s="3"/>
      <c r="R567" s="3"/>
      <c r="S567" s="3"/>
      <c r="T567" s="3"/>
      <c r="U567" s="3"/>
      <c r="V567" s="3"/>
      <c r="W567" s="3"/>
      <c r="X567" s="3"/>
      <c r="Y567" s="3"/>
      <c r="Z567" s="3"/>
    </row>
    <row r="568" spans="1:26" ht="14.25" customHeight="1">
      <c r="A568" s="1"/>
      <c r="B568" s="1"/>
      <c r="C568" s="1"/>
      <c r="D568" s="1"/>
      <c r="E568" s="19"/>
      <c r="F568" s="3"/>
      <c r="G568" s="3"/>
      <c r="H568" s="3"/>
      <c r="I568" s="3"/>
      <c r="J568" s="3"/>
      <c r="K568" s="3"/>
      <c r="L568" s="3"/>
      <c r="M568" s="3"/>
      <c r="N568" s="3"/>
      <c r="O568" s="3"/>
      <c r="P568" s="3"/>
      <c r="Q568" s="3"/>
      <c r="R568" s="3"/>
      <c r="S568" s="3"/>
      <c r="T568" s="3"/>
      <c r="U568" s="3"/>
      <c r="V568" s="3"/>
      <c r="W568" s="3"/>
      <c r="X568" s="3"/>
      <c r="Y568" s="3"/>
      <c r="Z568" s="3"/>
    </row>
    <row r="569" spans="1:26" ht="14.25" customHeight="1">
      <c r="A569" s="1"/>
      <c r="B569" s="1"/>
      <c r="C569" s="1"/>
      <c r="D569" s="1"/>
      <c r="E569" s="19"/>
      <c r="F569" s="3"/>
      <c r="G569" s="3"/>
      <c r="H569" s="3"/>
      <c r="I569" s="3"/>
      <c r="J569" s="3"/>
      <c r="K569" s="3"/>
      <c r="L569" s="3"/>
      <c r="M569" s="3"/>
      <c r="N569" s="3"/>
      <c r="O569" s="3"/>
      <c r="P569" s="3"/>
      <c r="Q569" s="3"/>
      <c r="R569" s="3"/>
      <c r="S569" s="3"/>
      <c r="T569" s="3"/>
      <c r="U569" s="3"/>
      <c r="V569" s="3"/>
      <c r="W569" s="3"/>
      <c r="X569" s="3"/>
      <c r="Y569" s="3"/>
      <c r="Z569" s="3"/>
    </row>
    <row r="570" spans="1:26" ht="14.25" customHeight="1">
      <c r="A570" s="1"/>
      <c r="B570" s="1"/>
      <c r="C570" s="1"/>
      <c r="D570" s="1"/>
      <c r="E570" s="19"/>
      <c r="F570" s="3"/>
      <c r="G570" s="3"/>
      <c r="H570" s="3"/>
      <c r="I570" s="3"/>
      <c r="J570" s="3"/>
      <c r="K570" s="3"/>
      <c r="L570" s="3"/>
      <c r="M570" s="3"/>
      <c r="N570" s="3"/>
      <c r="O570" s="3"/>
      <c r="P570" s="3"/>
      <c r="Q570" s="3"/>
      <c r="R570" s="3"/>
      <c r="S570" s="3"/>
      <c r="T570" s="3"/>
      <c r="U570" s="3"/>
      <c r="V570" s="3"/>
      <c r="W570" s="3"/>
      <c r="X570" s="3"/>
      <c r="Y570" s="3"/>
      <c r="Z570" s="3"/>
    </row>
    <row r="571" spans="1:26" ht="14.25" customHeight="1">
      <c r="A571" s="1"/>
      <c r="B571" s="1"/>
      <c r="C571" s="1"/>
      <c r="D571" s="1"/>
      <c r="E571" s="19"/>
      <c r="F571" s="3"/>
      <c r="G571" s="3"/>
      <c r="H571" s="3"/>
      <c r="I571" s="3"/>
      <c r="J571" s="3"/>
      <c r="K571" s="3"/>
      <c r="L571" s="3"/>
      <c r="M571" s="3"/>
      <c r="N571" s="3"/>
      <c r="O571" s="3"/>
      <c r="P571" s="3"/>
      <c r="Q571" s="3"/>
      <c r="R571" s="3"/>
      <c r="S571" s="3"/>
      <c r="T571" s="3"/>
      <c r="U571" s="3"/>
      <c r="V571" s="3"/>
      <c r="W571" s="3"/>
      <c r="X571" s="3"/>
      <c r="Y571" s="3"/>
      <c r="Z571" s="3"/>
    </row>
    <row r="572" spans="1:26" ht="14.25" customHeight="1">
      <c r="A572" s="1"/>
      <c r="B572" s="1"/>
      <c r="C572" s="1"/>
      <c r="D572" s="1"/>
      <c r="E572" s="19"/>
      <c r="F572" s="3"/>
      <c r="G572" s="3"/>
      <c r="H572" s="3"/>
      <c r="I572" s="3"/>
      <c r="J572" s="3"/>
      <c r="K572" s="3"/>
      <c r="L572" s="3"/>
      <c r="M572" s="3"/>
      <c r="N572" s="3"/>
      <c r="O572" s="3"/>
      <c r="P572" s="3"/>
      <c r="Q572" s="3"/>
      <c r="R572" s="3"/>
      <c r="S572" s="3"/>
      <c r="T572" s="3"/>
      <c r="U572" s="3"/>
      <c r="V572" s="3"/>
      <c r="W572" s="3"/>
      <c r="X572" s="3"/>
      <c r="Y572" s="3"/>
      <c r="Z572" s="3"/>
    </row>
    <row r="573" spans="1:26" ht="14.25" customHeight="1">
      <c r="A573" s="1"/>
      <c r="B573" s="1"/>
      <c r="C573" s="1"/>
      <c r="D573" s="1"/>
      <c r="E573" s="19"/>
      <c r="F573" s="3"/>
      <c r="G573" s="3"/>
      <c r="H573" s="3"/>
      <c r="I573" s="3"/>
      <c r="J573" s="3"/>
      <c r="K573" s="3"/>
      <c r="L573" s="3"/>
      <c r="M573" s="3"/>
      <c r="N573" s="3"/>
      <c r="O573" s="3"/>
      <c r="P573" s="3"/>
      <c r="Q573" s="3"/>
      <c r="R573" s="3"/>
      <c r="S573" s="3"/>
      <c r="T573" s="3"/>
      <c r="U573" s="3"/>
      <c r="V573" s="3"/>
      <c r="W573" s="3"/>
      <c r="X573" s="3"/>
      <c r="Y573" s="3"/>
      <c r="Z573" s="3"/>
    </row>
    <row r="574" spans="1:26" ht="14.25" customHeight="1">
      <c r="A574" s="1"/>
      <c r="B574" s="1"/>
      <c r="C574" s="1"/>
      <c r="D574" s="1"/>
      <c r="E574" s="19"/>
      <c r="F574" s="3"/>
      <c r="G574" s="3"/>
      <c r="H574" s="3"/>
      <c r="I574" s="3"/>
      <c r="J574" s="3"/>
      <c r="K574" s="3"/>
      <c r="L574" s="3"/>
      <c r="M574" s="3"/>
      <c r="N574" s="3"/>
      <c r="O574" s="3"/>
      <c r="P574" s="3"/>
      <c r="Q574" s="3"/>
      <c r="R574" s="3"/>
      <c r="S574" s="3"/>
      <c r="T574" s="3"/>
      <c r="U574" s="3"/>
      <c r="V574" s="3"/>
      <c r="W574" s="3"/>
      <c r="X574" s="3"/>
      <c r="Y574" s="3"/>
      <c r="Z574" s="3"/>
    </row>
    <row r="575" spans="1:26" ht="14.25" customHeight="1">
      <c r="A575" s="1"/>
      <c r="B575" s="1"/>
      <c r="C575" s="1"/>
      <c r="D575" s="1"/>
      <c r="E575" s="19"/>
      <c r="F575" s="3"/>
      <c r="G575" s="3"/>
      <c r="H575" s="3"/>
      <c r="I575" s="3"/>
      <c r="J575" s="3"/>
      <c r="K575" s="3"/>
      <c r="L575" s="3"/>
      <c r="M575" s="3"/>
      <c r="N575" s="3"/>
      <c r="O575" s="3"/>
      <c r="P575" s="3"/>
      <c r="Q575" s="3"/>
      <c r="R575" s="3"/>
      <c r="S575" s="3"/>
      <c r="T575" s="3"/>
      <c r="U575" s="3"/>
      <c r="V575" s="3"/>
      <c r="W575" s="3"/>
      <c r="X575" s="3"/>
      <c r="Y575" s="3"/>
      <c r="Z575" s="3"/>
    </row>
    <row r="576" spans="1:26" ht="14.25" customHeight="1">
      <c r="A576" s="1"/>
      <c r="B576" s="1"/>
      <c r="C576" s="1"/>
      <c r="D576" s="1"/>
      <c r="E576" s="19"/>
      <c r="F576" s="3"/>
      <c r="G576" s="3"/>
      <c r="H576" s="3"/>
      <c r="I576" s="3"/>
      <c r="J576" s="3"/>
      <c r="K576" s="3"/>
      <c r="L576" s="3"/>
      <c r="M576" s="3"/>
      <c r="N576" s="3"/>
      <c r="O576" s="3"/>
      <c r="P576" s="3"/>
      <c r="Q576" s="3"/>
      <c r="R576" s="3"/>
      <c r="S576" s="3"/>
      <c r="T576" s="3"/>
      <c r="U576" s="3"/>
      <c r="V576" s="3"/>
      <c r="W576" s="3"/>
      <c r="X576" s="3"/>
      <c r="Y576" s="3"/>
      <c r="Z576" s="3"/>
    </row>
    <row r="577" spans="1:26" ht="14.25" customHeight="1">
      <c r="A577" s="1"/>
      <c r="B577" s="1"/>
      <c r="C577" s="1"/>
      <c r="D577" s="1"/>
      <c r="E577" s="19"/>
      <c r="F577" s="3"/>
      <c r="G577" s="3"/>
      <c r="H577" s="3"/>
      <c r="I577" s="3"/>
      <c r="J577" s="3"/>
      <c r="K577" s="3"/>
      <c r="L577" s="3"/>
      <c r="M577" s="3"/>
      <c r="N577" s="3"/>
      <c r="O577" s="3"/>
      <c r="P577" s="3"/>
      <c r="Q577" s="3"/>
      <c r="R577" s="3"/>
      <c r="S577" s="3"/>
      <c r="T577" s="3"/>
      <c r="U577" s="3"/>
      <c r="V577" s="3"/>
      <c r="W577" s="3"/>
      <c r="X577" s="3"/>
      <c r="Y577" s="3"/>
      <c r="Z577" s="3"/>
    </row>
    <row r="578" spans="1:26" ht="14.25" customHeight="1">
      <c r="A578" s="1"/>
      <c r="B578" s="1"/>
      <c r="C578" s="1"/>
      <c r="D578" s="1"/>
      <c r="E578" s="19"/>
      <c r="F578" s="3"/>
      <c r="G578" s="3"/>
      <c r="H578" s="3"/>
      <c r="I578" s="3"/>
      <c r="J578" s="3"/>
      <c r="K578" s="3"/>
      <c r="L578" s="3"/>
      <c r="M578" s="3"/>
      <c r="N578" s="3"/>
      <c r="O578" s="3"/>
      <c r="P578" s="3"/>
      <c r="Q578" s="3"/>
      <c r="R578" s="3"/>
      <c r="S578" s="3"/>
      <c r="T578" s="3"/>
      <c r="U578" s="3"/>
      <c r="V578" s="3"/>
      <c r="W578" s="3"/>
      <c r="X578" s="3"/>
      <c r="Y578" s="3"/>
      <c r="Z578" s="3"/>
    </row>
    <row r="579" spans="1:26" ht="14.25" customHeight="1">
      <c r="A579" s="1"/>
      <c r="B579" s="1"/>
      <c r="C579" s="1"/>
      <c r="D579" s="1"/>
      <c r="E579" s="19"/>
      <c r="F579" s="3"/>
      <c r="G579" s="3"/>
      <c r="H579" s="3"/>
      <c r="I579" s="3"/>
      <c r="J579" s="3"/>
      <c r="K579" s="3"/>
      <c r="L579" s="3"/>
      <c r="M579" s="3"/>
      <c r="N579" s="3"/>
      <c r="O579" s="3"/>
      <c r="P579" s="3"/>
      <c r="Q579" s="3"/>
      <c r="R579" s="3"/>
      <c r="S579" s="3"/>
      <c r="T579" s="3"/>
      <c r="U579" s="3"/>
      <c r="V579" s="3"/>
      <c r="W579" s="3"/>
      <c r="X579" s="3"/>
      <c r="Y579" s="3"/>
      <c r="Z579" s="3"/>
    </row>
    <row r="580" spans="1:26" ht="14.25" customHeight="1">
      <c r="A580" s="1"/>
      <c r="B580" s="1"/>
      <c r="C580" s="1"/>
      <c r="D580" s="1"/>
      <c r="E580" s="19"/>
      <c r="F580" s="3"/>
      <c r="G580" s="3"/>
      <c r="H580" s="3"/>
      <c r="I580" s="3"/>
      <c r="J580" s="3"/>
      <c r="K580" s="3"/>
      <c r="L580" s="3"/>
      <c r="M580" s="3"/>
      <c r="N580" s="3"/>
      <c r="O580" s="3"/>
      <c r="P580" s="3"/>
      <c r="Q580" s="3"/>
      <c r="R580" s="3"/>
      <c r="S580" s="3"/>
      <c r="T580" s="3"/>
      <c r="U580" s="3"/>
      <c r="V580" s="3"/>
      <c r="W580" s="3"/>
      <c r="X580" s="3"/>
      <c r="Y580" s="3"/>
      <c r="Z580" s="3"/>
    </row>
    <row r="581" spans="1:26" ht="14.25" customHeight="1">
      <c r="A581" s="1"/>
      <c r="B581" s="1"/>
      <c r="C581" s="1"/>
      <c r="D581" s="1"/>
      <c r="E581" s="19"/>
      <c r="F581" s="3"/>
      <c r="G581" s="3"/>
      <c r="H581" s="3"/>
      <c r="I581" s="3"/>
      <c r="J581" s="3"/>
      <c r="K581" s="3"/>
      <c r="L581" s="3"/>
      <c r="M581" s="3"/>
      <c r="N581" s="3"/>
      <c r="O581" s="3"/>
      <c r="P581" s="3"/>
      <c r="Q581" s="3"/>
      <c r="R581" s="3"/>
      <c r="S581" s="3"/>
      <c r="T581" s="3"/>
      <c r="U581" s="3"/>
      <c r="V581" s="3"/>
      <c r="W581" s="3"/>
      <c r="X581" s="3"/>
      <c r="Y581" s="3"/>
      <c r="Z581" s="3"/>
    </row>
    <row r="582" spans="1:26" ht="14.25" customHeight="1">
      <c r="A582" s="1"/>
      <c r="B582" s="1"/>
      <c r="C582" s="1"/>
      <c r="D582" s="1"/>
      <c r="E582" s="19"/>
      <c r="F582" s="3"/>
      <c r="G582" s="3"/>
      <c r="H582" s="3"/>
      <c r="I582" s="3"/>
      <c r="J582" s="3"/>
      <c r="K582" s="3"/>
      <c r="L582" s="3"/>
      <c r="M582" s="3"/>
      <c r="N582" s="3"/>
      <c r="O582" s="3"/>
      <c r="P582" s="3"/>
      <c r="Q582" s="3"/>
      <c r="R582" s="3"/>
      <c r="S582" s="3"/>
      <c r="T582" s="3"/>
      <c r="U582" s="3"/>
      <c r="V582" s="3"/>
      <c r="W582" s="3"/>
      <c r="X582" s="3"/>
      <c r="Y582" s="3"/>
      <c r="Z582" s="3"/>
    </row>
    <row r="583" spans="1:26" ht="14.25" customHeight="1">
      <c r="A583" s="1"/>
      <c r="B583" s="1"/>
      <c r="C583" s="1"/>
      <c r="D583" s="1"/>
      <c r="E583" s="19"/>
      <c r="F583" s="3"/>
      <c r="G583" s="3"/>
      <c r="H583" s="3"/>
      <c r="I583" s="3"/>
      <c r="J583" s="3"/>
      <c r="K583" s="3"/>
      <c r="L583" s="3"/>
      <c r="M583" s="3"/>
      <c r="N583" s="3"/>
      <c r="O583" s="3"/>
      <c r="P583" s="3"/>
      <c r="Q583" s="3"/>
      <c r="R583" s="3"/>
      <c r="S583" s="3"/>
      <c r="T583" s="3"/>
      <c r="U583" s="3"/>
      <c r="V583" s="3"/>
      <c r="W583" s="3"/>
      <c r="X583" s="3"/>
      <c r="Y583" s="3"/>
      <c r="Z583" s="3"/>
    </row>
    <row r="584" spans="1:26" ht="14.25" customHeight="1">
      <c r="A584" s="1"/>
      <c r="B584" s="1"/>
      <c r="C584" s="1"/>
      <c r="D584" s="1"/>
      <c r="E584" s="19"/>
      <c r="F584" s="3"/>
      <c r="G584" s="3"/>
      <c r="H584" s="3"/>
      <c r="I584" s="3"/>
      <c r="J584" s="3"/>
      <c r="K584" s="3"/>
      <c r="L584" s="3"/>
      <c r="M584" s="3"/>
      <c r="N584" s="3"/>
      <c r="O584" s="3"/>
      <c r="P584" s="3"/>
      <c r="Q584" s="3"/>
      <c r="R584" s="3"/>
      <c r="S584" s="3"/>
      <c r="T584" s="3"/>
      <c r="U584" s="3"/>
      <c r="V584" s="3"/>
      <c r="W584" s="3"/>
      <c r="X584" s="3"/>
      <c r="Y584" s="3"/>
      <c r="Z584" s="3"/>
    </row>
    <row r="585" spans="1:26" ht="14.25" customHeight="1">
      <c r="A585" s="1"/>
      <c r="B585" s="1"/>
      <c r="C585" s="1"/>
      <c r="D585" s="1"/>
      <c r="E585" s="19"/>
      <c r="F585" s="3"/>
      <c r="G585" s="3"/>
      <c r="H585" s="3"/>
      <c r="I585" s="3"/>
      <c r="J585" s="3"/>
      <c r="K585" s="3"/>
      <c r="L585" s="3"/>
      <c r="M585" s="3"/>
      <c r="N585" s="3"/>
      <c r="O585" s="3"/>
      <c r="P585" s="3"/>
      <c r="Q585" s="3"/>
      <c r="R585" s="3"/>
      <c r="S585" s="3"/>
      <c r="T585" s="3"/>
      <c r="U585" s="3"/>
      <c r="V585" s="3"/>
      <c r="W585" s="3"/>
      <c r="X585" s="3"/>
      <c r="Y585" s="3"/>
      <c r="Z585" s="3"/>
    </row>
    <row r="586" spans="1:26" ht="14.25" customHeight="1">
      <c r="A586" s="1"/>
      <c r="B586" s="1"/>
      <c r="C586" s="1"/>
      <c r="D586" s="1"/>
      <c r="E586" s="19"/>
      <c r="F586" s="3"/>
      <c r="G586" s="3"/>
      <c r="H586" s="3"/>
      <c r="I586" s="3"/>
      <c r="J586" s="3"/>
      <c r="K586" s="3"/>
      <c r="L586" s="3"/>
      <c r="M586" s="3"/>
      <c r="N586" s="3"/>
      <c r="O586" s="3"/>
      <c r="P586" s="3"/>
      <c r="Q586" s="3"/>
      <c r="R586" s="3"/>
      <c r="S586" s="3"/>
      <c r="T586" s="3"/>
      <c r="U586" s="3"/>
      <c r="V586" s="3"/>
      <c r="W586" s="3"/>
      <c r="X586" s="3"/>
      <c r="Y586" s="3"/>
      <c r="Z586" s="3"/>
    </row>
    <row r="587" spans="1:26" ht="14.25" customHeight="1">
      <c r="A587" s="1"/>
      <c r="B587" s="1"/>
      <c r="C587" s="1"/>
      <c r="D587" s="1"/>
      <c r="E587" s="19"/>
      <c r="F587" s="3"/>
      <c r="G587" s="3"/>
      <c r="H587" s="3"/>
      <c r="I587" s="3"/>
      <c r="J587" s="3"/>
      <c r="K587" s="3"/>
      <c r="L587" s="3"/>
      <c r="M587" s="3"/>
      <c r="N587" s="3"/>
      <c r="O587" s="3"/>
      <c r="P587" s="3"/>
      <c r="Q587" s="3"/>
      <c r="R587" s="3"/>
      <c r="S587" s="3"/>
      <c r="T587" s="3"/>
      <c r="U587" s="3"/>
      <c r="V587" s="3"/>
      <c r="W587" s="3"/>
      <c r="X587" s="3"/>
      <c r="Y587" s="3"/>
      <c r="Z587" s="3"/>
    </row>
    <row r="588" spans="1:26" ht="14.25" customHeight="1">
      <c r="A588" s="1"/>
      <c r="B588" s="1"/>
      <c r="C588" s="1"/>
      <c r="D588" s="1"/>
      <c r="E588" s="19"/>
      <c r="F588" s="3"/>
      <c r="G588" s="3"/>
      <c r="H588" s="3"/>
      <c r="I588" s="3"/>
      <c r="J588" s="3"/>
      <c r="K588" s="3"/>
      <c r="L588" s="3"/>
      <c r="M588" s="3"/>
      <c r="N588" s="3"/>
      <c r="O588" s="3"/>
      <c r="P588" s="3"/>
      <c r="Q588" s="3"/>
      <c r="R588" s="3"/>
      <c r="S588" s="3"/>
      <c r="T588" s="3"/>
      <c r="U588" s="3"/>
      <c r="V588" s="3"/>
      <c r="W588" s="3"/>
      <c r="X588" s="3"/>
      <c r="Y588" s="3"/>
      <c r="Z588" s="3"/>
    </row>
    <row r="589" spans="1:26" ht="14.25" customHeight="1">
      <c r="A589" s="1"/>
      <c r="B589" s="1"/>
      <c r="C589" s="1"/>
      <c r="D589" s="1"/>
      <c r="E589" s="19"/>
      <c r="F589" s="3"/>
      <c r="G589" s="3"/>
      <c r="H589" s="3"/>
      <c r="I589" s="3"/>
      <c r="J589" s="3"/>
      <c r="K589" s="3"/>
      <c r="L589" s="3"/>
      <c r="M589" s="3"/>
      <c r="N589" s="3"/>
      <c r="O589" s="3"/>
      <c r="P589" s="3"/>
      <c r="Q589" s="3"/>
      <c r="R589" s="3"/>
      <c r="S589" s="3"/>
      <c r="T589" s="3"/>
      <c r="U589" s="3"/>
      <c r="V589" s="3"/>
      <c r="W589" s="3"/>
      <c r="X589" s="3"/>
      <c r="Y589" s="3"/>
      <c r="Z589" s="3"/>
    </row>
    <row r="590" spans="1:26" ht="14.25" customHeight="1">
      <c r="A590" s="1"/>
      <c r="B590" s="1"/>
      <c r="C590" s="1"/>
      <c r="D590" s="1"/>
      <c r="E590" s="19"/>
      <c r="F590" s="3"/>
      <c r="G590" s="3"/>
      <c r="H590" s="3"/>
      <c r="I590" s="3"/>
      <c r="J590" s="3"/>
      <c r="K590" s="3"/>
      <c r="L590" s="3"/>
      <c r="M590" s="3"/>
      <c r="N590" s="3"/>
      <c r="O590" s="3"/>
      <c r="P590" s="3"/>
      <c r="Q590" s="3"/>
      <c r="R590" s="3"/>
      <c r="S590" s="3"/>
      <c r="T590" s="3"/>
      <c r="U590" s="3"/>
      <c r="V590" s="3"/>
      <c r="W590" s="3"/>
      <c r="X590" s="3"/>
      <c r="Y590" s="3"/>
      <c r="Z590" s="3"/>
    </row>
    <row r="591" spans="1:26" ht="14.25" customHeight="1">
      <c r="A591" s="1"/>
      <c r="B591" s="1"/>
      <c r="C591" s="1"/>
      <c r="D591" s="1"/>
      <c r="E591" s="19"/>
      <c r="F591" s="3"/>
      <c r="G591" s="3"/>
      <c r="H591" s="3"/>
      <c r="I591" s="3"/>
      <c r="J591" s="3"/>
      <c r="K591" s="3"/>
      <c r="L591" s="3"/>
      <c r="M591" s="3"/>
      <c r="N591" s="3"/>
      <c r="O591" s="3"/>
      <c r="P591" s="3"/>
      <c r="Q591" s="3"/>
      <c r="R591" s="3"/>
      <c r="S591" s="3"/>
      <c r="T591" s="3"/>
      <c r="U591" s="3"/>
      <c r="V591" s="3"/>
      <c r="W591" s="3"/>
      <c r="X591" s="3"/>
      <c r="Y591" s="3"/>
      <c r="Z591" s="3"/>
    </row>
    <row r="592" spans="1:26" ht="14.25" customHeight="1">
      <c r="A592" s="1"/>
      <c r="B592" s="1"/>
      <c r="C592" s="1"/>
      <c r="D592" s="1"/>
      <c r="E592" s="19"/>
      <c r="F592" s="3"/>
      <c r="G592" s="3"/>
      <c r="H592" s="3"/>
      <c r="I592" s="3"/>
      <c r="J592" s="3"/>
      <c r="K592" s="3"/>
      <c r="L592" s="3"/>
      <c r="M592" s="3"/>
      <c r="N592" s="3"/>
      <c r="O592" s="3"/>
      <c r="P592" s="3"/>
      <c r="Q592" s="3"/>
      <c r="R592" s="3"/>
      <c r="S592" s="3"/>
      <c r="T592" s="3"/>
      <c r="U592" s="3"/>
      <c r="V592" s="3"/>
      <c r="W592" s="3"/>
      <c r="X592" s="3"/>
      <c r="Y592" s="3"/>
      <c r="Z592" s="3"/>
    </row>
    <row r="593" spans="1:26" ht="14.25" customHeight="1">
      <c r="A593" s="1"/>
      <c r="B593" s="1"/>
      <c r="C593" s="1"/>
      <c r="D593" s="1"/>
      <c r="E593" s="19"/>
      <c r="F593" s="3"/>
      <c r="G593" s="3"/>
      <c r="H593" s="3"/>
      <c r="I593" s="3"/>
      <c r="J593" s="3"/>
      <c r="K593" s="3"/>
      <c r="L593" s="3"/>
      <c r="M593" s="3"/>
      <c r="N593" s="3"/>
      <c r="O593" s="3"/>
      <c r="P593" s="3"/>
      <c r="Q593" s="3"/>
      <c r="R593" s="3"/>
      <c r="S593" s="3"/>
      <c r="T593" s="3"/>
      <c r="U593" s="3"/>
      <c r="V593" s="3"/>
      <c r="W593" s="3"/>
      <c r="X593" s="3"/>
      <c r="Y593" s="3"/>
      <c r="Z593" s="3"/>
    </row>
    <row r="594" spans="1:26" ht="14.25" customHeight="1">
      <c r="A594" s="1"/>
      <c r="B594" s="1"/>
      <c r="C594" s="1"/>
      <c r="D594" s="1"/>
      <c r="E594" s="19"/>
      <c r="F594" s="3"/>
      <c r="G594" s="3"/>
      <c r="H594" s="3"/>
      <c r="I594" s="3"/>
      <c r="J594" s="3"/>
      <c r="K594" s="3"/>
      <c r="L594" s="3"/>
      <c r="M594" s="3"/>
      <c r="N594" s="3"/>
      <c r="O594" s="3"/>
      <c r="P594" s="3"/>
      <c r="Q594" s="3"/>
      <c r="R594" s="3"/>
      <c r="S594" s="3"/>
      <c r="T594" s="3"/>
      <c r="U594" s="3"/>
      <c r="V594" s="3"/>
      <c r="W594" s="3"/>
      <c r="X594" s="3"/>
      <c r="Y594" s="3"/>
      <c r="Z594" s="3"/>
    </row>
    <row r="595" spans="1:26" ht="14.25" customHeight="1">
      <c r="A595" s="1"/>
      <c r="B595" s="1"/>
      <c r="C595" s="1"/>
      <c r="D595" s="1"/>
      <c r="E595" s="19"/>
      <c r="F595" s="3"/>
      <c r="G595" s="3"/>
      <c r="H595" s="3"/>
      <c r="I595" s="3"/>
      <c r="J595" s="3"/>
      <c r="K595" s="3"/>
      <c r="L595" s="3"/>
      <c r="M595" s="3"/>
      <c r="N595" s="3"/>
      <c r="O595" s="3"/>
      <c r="P595" s="3"/>
      <c r="Q595" s="3"/>
      <c r="R595" s="3"/>
      <c r="S595" s="3"/>
      <c r="T595" s="3"/>
      <c r="U595" s="3"/>
      <c r="V595" s="3"/>
      <c r="W595" s="3"/>
      <c r="X595" s="3"/>
      <c r="Y595" s="3"/>
      <c r="Z595" s="3"/>
    </row>
    <row r="596" spans="1:26" ht="14.25" customHeight="1">
      <c r="A596" s="1"/>
      <c r="B596" s="1"/>
      <c r="C596" s="1"/>
      <c r="D596" s="1"/>
      <c r="E596" s="19"/>
      <c r="F596" s="3"/>
      <c r="G596" s="3"/>
      <c r="H596" s="3"/>
      <c r="I596" s="3"/>
      <c r="J596" s="3"/>
      <c r="K596" s="3"/>
      <c r="L596" s="3"/>
      <c r="M596" s="3"/>
      <c r="N596" s="3"/>
      <c r="O596" s="3"/>
      <c r="P596" s="3"/>
      <c r="Q596" s="3"/>
      <c r="R596" s="3"/>
      <c r="S596" s="3"/>
      <c r="T596" s="3"/>
      <c r="U596" s="3"/>
      <c r="V596" s="3"/>
      <c r="W596" s="3"/>
      <c r="X596" s="3"/>
      <c r="Y596" s="3"/>
      <c r="Z596" s="3"/>
    </row>
    <row r="597" spans="1:26" ht="14.25" customHeight="1">
      <c r="A597" s="1"/>
      <c r="B597" s="1"/>
      <c r="C597" s="1"/>
      <c r="D597" s="1"/>
      <c r="E597" s="19"/>
      <c r="F597" s="3"/>
      <c r="G597" s="3"/>
      <c r="H597" s="3"/>
      <c r="I597" s="3"/>
      <c r="J597" s="3"/>
      <c r="K597" s="3"/>
      <c r="L597" s="3"/>
      <c r="M597" s="3"/>
      <c r="N597" s="3"/>
      <c r="O597" s="3"/>
      <c r="P597" s="3"/>
      <c r="Q597" s="3"/>
      <c r="R597" s="3"/>
      <c r="S597" s="3"/>
      <c r="T597" s="3"/>
      <c r="U597" s="3"/>
      <c r="V597" s="3"/>
      <c r="W597" s="3"/>
      <c r="X597" s="3"/>
      <c r="Y597" s="3"/>
      <c r="Z597" s="3"/>
    </row>
    <row r="598" spans="1:26" ht="14.25" customHeight="1">
      <c r="A598" s="1"/>
      <c r="B598" s="1"/>
      <c r="C598" s="1"/>
      <c r="D598" s="1"/>
      <c r="E598" s="19"/>
      <c r="F598" s="3"/>
      <c r="G598" s="3"/>
      <c r="H598" s="3"/>
      <c r="I598" s="3"/>
      <c r="J598" s="3"/>
      <c r="K598" s="3"/>
      <c r="L598" s="3"/>
      <c r="M598" s="3"/>
      <c r="N598" s="3"/>
      <c r="O598" s="3"/>
      <c r="P598" s="3"/>
      <c r="Q598" s="3"/>
      <c r="R598" s="3"/>
      <c r="S598" s="3"/>
      <c r="T598" s="3"/>
      <c r="U598" s="3"/>
      <c r="V598" s="3"/>
      <c r="W598" s="3"/>
      <c r="X598" s="3"/>
      <c r="Y598" s="3"/>
      <c r="Z598" s="3"/>
    </row>
    <row r="599" spans="1:26" ht="14.25" customHeight="1">
      <c r="A599" s="1"/>
      <c r="B599" s="1"/>
      <c r="C599" s="1"/>
      <c r="D599" s="1"/>
      <c r="E599" s="19"/>
      <c r="F599" s="3"/>
      <c r="G599" s="3"/>
      <c r="H599" s="3"/>
      <c r="I599" s="3"/>
      <c r="J599" s="3"/>
      <c r="K599" s="3"/>
      <c r="L599" s="3"/>
      <c r="M599" s="3"/>
      <c r="N599" s="3"/>
      <c r="O599" s="3"/>
      <c r="P599" s="3"/>
      <c r="Q599" s="3"/>
      <c r="R599" s="3"/>
      <c r="S599" s="3"/>
      <c r="T599" s="3"/>
      <c r="U599" s="3"/>
      <c r="V599" s="3"/>
      <c r="W599" s="3"/>
      <c r="X599" s="3"/>
      <c r="Y599" s="3"/>
      <c r="Z599" s="3"/>
    </row>
    <row r="600" spans="1:26" ht="14.25" customHeight="1">
      <c r="A600" s="1"/>
      <c r="B600" s="1"/>
      <c r="C600" s="1"/>
      <c r="D600" s="1"/>
      <c r="E600" s="19"/>
      <c r="F600" s="3"/>
      <c r="G600" s="3"/>
      <c r="H600" s="3"/>
      <c r="I600" s="3"/>
      <c r="J600" s="3"/>
      <c r="K600" s="3"/>
      <c r="L600" s="3"/>
      <c r="M600" s="3"/>
      <c r="N600" s="3"/>
      <c r="O600" s="3"/>
      <c r="P600" s="3"/>
      <c r="Q600" s="3"/>
      <c r="R600" s="3"/>
      <c r="S600" s="3"/>
      <c r="T600" s="3"/>
      <c r="U600" s="3"/>
      <c r="V600" s="3"/>
      <c r="W600" s="3"/>
      <c r="X600" s="3"/>
      <c r="Y600" s="3"/>
      <c r="Z600" s="3"/>
    </row>
    <row r="601" spans="1:26" ht="14.25" customHeight="1">
      <c r="A601" s="1"/>
      <c r="B601" s="1"/>
      <c r="C601" s="1"/>
      <c r="D601" s="1"/>
      <c r="E601" s="19"/>
      <c r="F601" s="3"/>
      <c r="G601" s="3"/>
      <c r="H601" s="3"/>
      <c r="I601" s="3"/>
      <c r="J601" s="3"/>
      <c r="K601" s="3"/>
      <c r="L601" s="3"/>
      <c r="M601" s="3"/>
      <c r="N601" s="3"/>
      <c r="O601" s="3"/>
      <c r="P601" s="3"/>
      <c r="Q601" s="3"/>
      <c r="R601" s="3"/>
      <c r="S601" s="3"/>
      <c r="T601" s="3"/>
      <c r="U601" s="3"/>
      <c r="V601" s="3"/>
      <c r="W601" s="3"/>
      <c r="X601" s="3"/>
      <c r="Y601" s="3"/>
      <c r="Z601" s="3"/>
    </row>
    <row r="602" spans="1:26" ht="14.25" customHeight="1">
      <c r="A602" s="1"/>
      <c r="B602" s="1"/>
      <c r="C602" s="1"/>
      <c r="D602" s="1"/>
      <c r="E602" s="19"/>
      <c r="F602" s="3"/>
      <c r="G602" s="3"/>
      <c r="H602" s="3"/>
      <c r="I602" s="3"/>
      <c r="J602" s="3"/>
      <c r="K602" s="3"/>
      <c r="L602" s="3"/>
      <c r="M602" s="3"/>
      <c r="N602" s="3"/>
      <c r="O602" s="3"/>
      <c r="P602" s="3"/>
      <c r="Q602" s="3"/>
      <c r="R602" s="3"/>
      <c r="S602" s="3"/>
      <c r="T602" s="3"/>
      <c r="U602" s="3"/>
      <c r="V602" s="3"/>
      <c r="W602" s="3"/>
      <c r="X602" s="3"/>
      <c r="Y602" s="3"/>
      <c r="Z602" s="3"/>
    </row>
    <row r="603" spans="1:26" ht="14.25" customHeight="1">
      <c r="A603" s="1"/>
      <c r="B603" s="1"/>
      <c r="C603" s="1"/>
      <c r="D603" s="1"/>
      <c r="E603" s="19"/>
      <c r="F603" s="3"/>
      <c r="G603" s="3"/>
      <c r="H603" s="3"/>
      <c r="I603" s="3"/>
      <c r="J603" s="3"/>
      <c r="K603" s="3"/>
      <c r="L603" s="3"/>
      <c r="M603" s="3"/>
      <c r="N603" s="3"/>
      <c r="O603" s="3"/>
      <c r="P603" s="3"/>
      <c r="Q603" s="3"/>
      <c r="R603" s="3"/>
      <c r="S603" s="3"/>
      <c r="T603" s="3"/>
      <c r="U603" s="3"/>
      <c r="V603" s="3"/>
      <c r="W603" s="3"/>
      <c r="X603" s="3"/>
      <c r="Y603" s="3"/>
      <c r="Z603" s="3"/>
    </row>
    <row r="604" spans="1:26" ht="14.25" customHeight="1">
      <c r="A604" s="1"/>
      <c r="B604" s="1"/>
      <c r="C604" s="1"/>
      <c r="D604" s="1"/>
      <c r="E604" s="19"/>
      <c r="F604" s="3"/>
      <c r="G604" s="3"/>
      <c r="H604" s="3"/>
      <c r="I604" s="3"/>
      <c r="J604" s="3"/>
      <c r="K604" s="3"/>
      <c r="L604" s="3"/>
      <c r="M604" s="3"/>
      <c r="N604" s="3"/>
      <c r="O604" s="3"/>
      <c r="P604" s="3"/>
      <c r="Q604" s="3"/>
      <c r="R604" s="3"/>
      <c r="S604" s="3"/>
      <c r="T604" s="3"/>
      <c r="U604" s="3"/>
      <c r="V604" s="3"/>
      <c r="W604" s="3"/>
      <c r="X604" s="3"/>
      <c r="Y604" s="3"/>
      <c r="Z604" s="3"/>
    </row>
    <row r="605" spans="1:26" ht="14.25" customHeight="1">
      <c r="A605" s="1"/>
      <c r="B605" s="1"/>
      <c r="C605" s="1"/>
      <c r="D605" s="1"/>
      <c r="E605" s="19"/>
      <c r="F605" s="3"/>
      <c r="G605" s="3"/>
      <c r="H605" s="3"/>
      <c r="I605" s="3"/>
      <c r="J605" s="3"/>
      <c r="K605" s="3"/>
      <c r="L605" s="3"/>
      <c r="M605" s="3"/>
      <c r="N605" s="3"/>
      <c r="O605" s="3"/>
      <c r="P605" s="3"/>
      <c r="Q605" s="3"/>
      <c r="R605" s="3"/>
      <c r="S605" s="3"/>
      <c r="T605" s="3"/>
      <c r="U605" s="3"/>
      <c r="V605" s="3"/>
      <c r="W605" s="3"/>
      <c r="X605" s="3"/>
      <c r="Y605" s="3"/>
      <c r="Z605" s="3"/>
    </row>
    <row r="606" spans="1:26" ht="14.25" customHeight="1">
      <c r="A606" s="1"/>
      <c r="B606" s="1"/>
      <c r="C606" s="1"/>
      <c r="D606" s="1"/>
      <c r="E606" s="19"/>
      <c r="F606" s="3"/>
      <c r="G606" s="3"/>
      <c r="H606" s="3"/>
      <c r="I606" s="3"/>
      <c r="J606" s="3"/>
      <c r="K606" s="3"/>
      <c r="L606" s="3"/>
      <c r="M606" s="3"/>
      <c r="N606" s="3"/>
      <c r="O606" s="3"/>
      <c r="P606" s="3"/>
      <c r="Q606" s="3"/>
      <c r="R606" s="3"/>
      <c r="S606" s="3"/>
      <c r="T606" s="3"/>
      <c r="U606" s="3"/>
      <c r="V606" s="3"/>
      <c r="W606" s="3"/>
      <c r="X606" s="3"/>
      <c r="Y606" s="3"/>
      <c r="Z606" s="3"/>
    </row>
    <row r="607" spans="1:26" ht="14.25" customHeight="1">
      <c r="A607" s="1"/>
      <c r="B607" s="1"/>
      <c r="C607" s="1"/>
      <c r="D607" s="1"/>
      <c r="E607" s="19"/>
      <c r="F607" s="3"/>
      <c r="G607" s="3"/>
      <c r="H607" s="3"/>
      <c r="I607" s="3"/>
      <c r="J607" s="3"/>
      <c r="K607" s="3"/>
      <c r="L607" s="3"/>
      <c r="M607" s="3"/>
      <c r="N607" s="3"/>
      <c r="O607" s="3"/>
      <c r="P607" s="3"/>
      <c r="Q607" s="3"/>
      <c r="R607" s="3"/>
      <c r="S607" s="3"/>
      <c r="T607" s="3"/>
      <c r="U607" s="3"/>
      <c r="V607" s="3"/>
      <c r="W607" s="3"/>
      <c r="X607" s="3"/>
      <c r="Y607" s="3"/>
      <c r="Z607" s="3"/>
    </row>
    <row r="608" spans="1:26" ht="14.25" customHeight="1">
      <c r="A608" s="1"/>
      <c r="B608" s="1"/>
      <c r="C608" s="1"/>
      <c r="D608" s="1"/>
      <c r="E608" s="19"/>
      <c r="F608" s="3"/>
      <c r="G608" s="3"/>
      <c r="H608" s="3"/>
      <c r="I608" s="3"/>
      <c r="J608" s="3"/>
      <c r="K608" s="3"/>
      <c r="L608" s="3"/>
      <c r="M608" s="3"/>
      <c r="N608" s="3"/>
      <c r="O608" s="3"/>
      <c r="P608" s="3"/>
      <c r="Q608" s="3"/>
      <c r="R608" s="3"/>
      <c r="S608" s="3"/>
      <c r="T608" s="3"/>
      <c r="U608" s="3"/>
      <c r="V608" s="3"/>
      <c r="W608" s="3"/>
      <c r="X608" s="3"/>
      <c r="Y608" s="3"/>
      <c r="Z608" s="3"/>
    </row>
    <row r="609" spans="1:26" ht="14.25" customHeight="1">
      <c r="A609" s="1"/>
      <c r="B609" s="1"/>
      <c r="C609" s="1"/>
      <c r="D609" s="1"/>
      <c r="E609" s="19"/>
      <c r="F609" s="3"/>
      <c r="G609" s="3"/>
      <c r="H609" s="3"/>
      <c r="I609" s="3"/>
      <c r="J609" s="3"/>
      <c r="K609" s="3"/>
      <c r="L609" s="3"/>
      <c r="M609" s="3"/>
      <c r="N609" s="3"/>
      <c r="O609" s="3"/>
      <c r="P609" s="3"/>
      <c r="Q609" s="3"/>
      <c r="R609" s="3"/>
      <c r="S609" s="3"/>
      <c r="T609" s="3"/>
      <c r="U609" s="3"/>
      <c r="V609" s="3"/>
      <c r="W609" s="3"/>
      <c r="X609" s="3"/>
      <c r="Y609" s="3"/>
      <c r="Z609" s="3"/>
    </row>
    <row r="610" spans="1:26" ht="14.25" customHeight="1">
      <c r="A610" s="1"/>
      <c r="B610" s="1"/>
      <c r="C610" s="1"/>
      <c r="D610" s="1"/>
      <c r="E610" s="19"/>
      <c r="F610" s="3"/>
      <c r="G610" s="3"/>
      <c r="H610" s="3"/>
      <c r="I610" s="3"/>
      <c r="J610" s="3"/>
      <c r="K610" s="3"/>
      <c r="L610" s="3"/>
      <c r="M610" s="3"/>
      <c r="N610" s="3"/>
      <c r="O610" s="3"/>
      <c r="P610" s="3"/>
      <c r="Q610" s="3"/>
      <c r="R610" s="3"/>
      <c r="S610" s="3"/>
      <c r="T610" s="3"/>
      <c r="U610" s="3"/>
      <c r="V610" s="3"/>
      <c r="W610" s="3"/>
      <c r="X610" s="3"/>
      <c r="Y610" s="3"/>
      <c r="Z610" s="3"/>
    </row>
    <row r="611" spans="1:26" ht="14.25" customHeight="1">
      <c r="A611" s="1"/>
      <c r="B611" s="1"/>
      <c r="C611" s="1"/>
      <c r="D611" s="1"/>
      <c r="E611" s="19"/>
      <c r="F611" s="3"/>
      <c r="G611" s="3"/>
      <c r="H611" s="3"/>
      <c r="I611" s="3"/>
      <c r="J611" s="3"/>
      <c r="K611" s="3"/>
      <c r="L611" s="3"/>
      <c r="M611" s="3"/>
      <c r="N611" s="3"/>
      <c r="O611" s="3"/>
      <c r="P611" s="3"/>
      <c r="Q611" s="3"/>
      <c r="R611" s="3"/>
      <c r="S611" s="3"/>
      <c r="T611" s="3"/>
      <c r="U611" s="3"/>
      <c r="V611" s="3"/>
      <c r="W611" s="3"/>
      <c r="X611" s="3"/>
      <c r="Y611" s="3"/>
      <c r="Z611" s="3"/>
    </row>
    <row r="612" spans="1:26" ht="14.25" customHeight="1">
      <c r="A612" s="1"/>
      <c r="B612" s="1"/>
      <c r="C612" s="1"/>
      <c r="D612" s="1"/>
      <c r="E612" s="19"/>
      <c r="F612" s="3"/>
      <c r="G612" s="3"/>
      <c r="H612" s="3"/>
      <c r="I612" s="3"/>
      <c r="J612" s="3"/>
      <c r="K612" s="3"/>
      <c r="L612" s="3"/>
      <c r="M612" s="3"/>
      <c r="N612" s="3"/>
      <c r="O612" s="3"/>
      <c r="P612" s="3"/>
      <c r="Q612" s="3"/>
      <c r="R612" s="3"/>
      <c r="S612" s="3"/>
      <c r="T612" s="3"/>
      <c r="U612" s="3"/>
      <c r="V612" s="3"/>
      <c r="W612" s="3"/>
      <c r="X612" s="3"/>
      <c r="Y612" s="3"/>
      <c r="Z612" s="3"/>
    </row>
    <row r="613" spans="1:26" ht="14.25" customHeight="1">
      <c r="A613" s="1"/>
      <c r="B613" s="1"/>
      <c r="C613" s="1"/>
      <c r="D613" s="1"/>
      <c r="E613" s="19"/>
      <c r="F613" s="3"/>
      <c r="G613" s="3"/>
      <c r="H613" s="3"/>
      <c r="I613" s="3"/>
      <c r="J613" s="3"/>
      <c r="K613" s="3"/>
      <c r="L613" s="3"/>
      <c r="M613" s="3"/>
      <c r="N613" s="3"/>
      <c r="O613" s="3"/>
      <c r="P613" s="3"/>
      <c r="Q613" s="3"/>
      <c r="R613" s="3"/>
      <c r="S613" s="3"/>
      <c r="T613" s="3"/>
      <c r="U613" s="3"/>
      <c r="V613" s="3"/>
      <c r="W613" s="3"/>
      <c r="X613" s="3"/>
      <c r="Y613" s="3"/>
      <c r="Z613" s="3"/>
    </row>
    <row r="614" spans="1:26" ht="14.25" customHeight="1">
      <c r="A614" s="1"/>
      <c r="B614" s="1"/>
      <c r="C614" s="1"/>
      <c r="D614" s="1"/>
      <c r="E614" s="19"/>
      <c r="F614" s="3"/>
      <c r="G614" s="3"/>
      <c r="H614" s="3"/>
      <c r="I614" s="3"/>
      <c r="J614" s="3"/>
      <c r="K614" s="3"/>
      <c r="L614" s="3"/>
      <c r="M614" s="3"/>
      <c r="N614" s="3"/>
      <c r="O614" s="3"/>
      <c r="P614" s="3"/>
      <c r="Q614" s="3"/>
      <c r="R614" s="3"/>
      <c r="S614" s="3"/>
      <c r="T614" s="3"/>
      <c r="U614" s="3"/>
      <c r="V614" s="3"/>
      <c r="W614" s="3"/>
      <c r="X614" s="3"/>
      <c r="Y614" s="3"/>
      <c r="Z614" s="3"/>
    </row>
    <row r="615" spans="1:26" ht="14.25" customHeight="1">
      <c r="A615" s="1"/>
      <c r="B615" s="1"/>
      <c r="C615" s="1"/>
      <c r="D615" s="1"/>
      <c r="E615" s="19"/>
      <c r="F615" s="3"/>
      <c r="G615" s="3"/>
      <c r="H615" s="3"/>
      <c r="I615" s="3"/>
      <c r="J615" s="3"/>
      <c r="K615" s="3"/>
      <c r="L615" s="3"/>
      <c r="M615" s="3"/>
      <c r="N615" s="3"/>
      <c r="O615" s="3"/>
      <c r="P615" s="3"/>
      <c r="Q615" s="3"/>
      <c r="R615" s="3"/>
      <c r="S615" s="3"/>
      <c r="T615" s="3"/>
      <c r="U615" s="3"/>
      <c r="V615" s="3"/>
      <c r="W615" s="3"/>
      <c r="X615" s="3"/>
      <c r="Y615" s="3"/>
      <c r="Z615" s="3"/>
    </row>
    <row r="616" spans="1:26" ht="14.25" customHeight="1">
      <c r="A616" s="1"/>
      <c r="B616" s="1"/>
      <c r="C616" s="1"/>
      <c r="D616" s="1"/>
      <c r="E616" s="19"/>
      <c r="F616" s="3"/>
      <c r="G616" s="3"/>
      <c r="H616" s="3"/>
      <c r="I616" s="3"/>
      <c r="J616" s="3"/>
      <c r="K616" s="3"/>
      <c r="L616" s="3"/>
      <c r="M616" s="3"/>
      <c r="N616" s="3"/>
      <c r="O616" s="3"/>
      <c r="P616" s="3"/>
      <c r="Q616" s="3"/>
      <c r="R616" s="3"/>
      <c r="S616" s="3"/>
      <c r="T616" s="3"/>
      <c r="U616" s="3"/>
      <c r="V616" s="3"/>
      <c r="W616" s="3"/>
      <c r="X616" s="3"/>
      <c r="Y616" s="3"/>
      <c r="Z616" s="3"/>
    </row>
    <row r="617" spans="1:26" ht="14.25" customHeight="1">
      <c r="A617" s="1"/>
      <c r="B617" s="1"/>
      <c r="C617" s="1"/>
      <c r="D617" s="1"/>
      <c r="E617" s="19"/>
      <c r="F617" s="3"/>
      <c r="G617" s="3"/>
      <c r="H617" s="3"/>
      <c r="I617" s="3"/>
      <c r="J617" s="3"/>
      <c r="K617" s="3"/>
      <c r="L617" s="3"/>
      <c r="M617" s="3"/>
      <c r="N617" s="3"/>
      <c r="O617" s="3"/>
      <c r="P617" s="3"/>
      <c r="Q617" s="3"/>
      <c r="R617" s="3"/>
      <c r="S617" s="3"/>
      <c r="T617" s="3"/>
      <c r="U617" s="3"/>
      <c r="V617" s="3"/>
      <c r="W617" s="3"/>
      <c r="X617" s="3"/>
      <c r="Y617" s="3"/>
      <c r="Z617" s="3"/>
    </row>
    <row r="618" spans="1:26" ht="14.25" customHeight="1">
      <c r="A618" s="1"/>
      <c r="B618" s="1"/>
      <c r="C618" s="1"/>
      <c r="D618" s="1"/>
      <c r="E618" s="19"/>
      <c r="F618" s="3"/>
      <c r="G618" s="3"/>
      <c r="H618" s="3"/>
      <c r="I618" s="3"/>
      <c r="J618" s="3"/>
      <c r="K618" s="3"/>
      <c r="L618" s="3"/>
      <c r="M618" s="3"/>
      <c r="N618" s="3"/>
      <c r="O618" s="3"/>
      <c r="P618" s="3"/>
      <c r="Q618" s="3"/>
      <c r="R618" s="3"/>
      <c r="S618" s="3"/>
      <c r="T618" s="3"/>
      <c r="U618" s="3"/>
      <c r="V618" s="3"/>
      <c r="W618" s="3"/>
      <c r="X618" s="3"/>
      <c r="Y618" s="3"/>
      <c r="Z618" s="3"/>
    </row>
    <row r="619" spans="1:26" ht="14.25" customHeight="1">
      <c r="A619" s="1"/>
      <c r="B619" s="1"/>
      <c r="C619" s="1"/>
      <c r="D619" s="1"/>
      <c r="E619" s="19"/>
      <c r="F619" s="3"/>
      <c r="G619" s="3"/>
      <c r="H619" s="3"/>
      <c r="I619" s="3"/>
      <c r="J619" s="3"/>
      <c r="K619" s="3"/>
      <c r="L619" s="3"/>
      <c r="M619" s="3"/>
      <c r="N619" s="3"/>
      <c r="O619" s="3"/>
      <c r="P619" s="3"/>
      <c r="Q619" s="3"/>
      <c r="R619" s="3"/>
      <c r="S619" s="3"/>
      <c r="T619" s="3"/>
      <c r="U619" s="3"/>
      <c r="V619" s="3"/>
      <c r="W619" s="3"/>
      <c r="X619" s="3"/>
      <c r="Y619" s="3"/>
      <c r="Z619" s="3"/>
    </row>
    <row r="620" spans="1:26" ht="14.25" customHeight="1">
      <c r="A620" s="1"/>
      <c r="B620" s="1"/>
      <c r="C620" s="1"/>
      <c r="D620" s="1"/>
      <c r="E620" s="19"/>
      <c r="F620" s="3"/>
      <c r="G620" s="3"/>
      <c r="H620" s="3"/>
      <c r="I620" s="3"/>
      <c r="J620" s="3"/>
      <c r="K620" s="3"/>
      <c r="L620" s="3"/>
      <c r="M620" s="3"/>
      <c r="N620" s="3"/>
      <c r="O620" s="3"/>
      <c r="P620" s="3"/>
      <c r="Q620" s="3"/>
      <c r="R620" s="3"/>
      <c r="S620" s="3"/>
      <c r="T620" s="3"/>
      <c r="U620" s="3"/>
      <c r="V620" s="3"/>
      <c r="W620" s="3"/>
      <c r="X620" s="3"/>
      <c r="Y620" s="3"/>
      <c r="Z620" s="3"/>
    </row>
    <row r="621" spans="1:26" ht="14.25" customHeight="1">
      <c r="A621" s="1"/>
      <c r="B621" s="1"/>
      <c r="C621" s="1"/>
      <c r="D621" s="1"/>
      <c r="E621" s="19"/>
      <c r="F621" s="3"/>
      <c r="G621" s="3"/>
      <c r="H621" s="3"/>
      <c r="I621" s="3"/>
      <c r="J621" s="3"/>
      <c r="K621" s="3"/>
      <c r="L621" s="3"/>
      <c r="M621" s="3"/>
      <c r="N621" s="3"/>
      <c r="O621" s="3"/>
      <c r="P621" s="3"/>
      <c r="Q621" s="3"/>
      <c r="R621" s="3"/>
      <c r="S621" s="3"/>
      <c r="T621" s="3"/>
      <c r="U621" s="3"/>
      <c r="V621" s="3"/>
      <c r="W621" s="3"/>
      <c r="X621" s="3"/>
      <c r="Y621" s="3"/>
      <c r="Z621" s="3"/>
    </row>
    <row r="622" spans="1:26" ht="14.25" customHeight="1">
      <c r="A622" s="1"/>
      <c r="B622" s="1"/>
      <c r="C622" s="1"/>
      <c r="D622" s="1"/>
      <c r="E622" s="19"/>
      <c r="F622" s="3"/>
      <c r="G622" s="3"/>
      <c r="H622" s="3"/>
      <c r="I622" s="3"/>
      <c r="J622" s="3"/>
      <c r="K622" s="3"/>
      <c r="L622" s="3"/>
      <c r="M622" s="3"/>
      <c r="N622" s="3"/>
      <c r="O622" s="3"/>
      <c r="P622" s="3"/>
      <c r="Q622" s="3"/>
      <c r="R622" s="3"/>
      <c r="S622" s="3"/>
      <c r="T622" s="3"/>
      <c r="U622" s="3"/>
      <c r="V622" s="3"/>
      <c r="W622" s="3"/>
      <c r="X622" s="3"/>
      <c r="Y622" s="3"/>
      <c r="Z622" s="3"/>
    </row>
    <row r="623" spans="1:26" ht="14.25" customHeight="1">
      <c r="A623" s="1"/>
      <c r="B623" s="1"/>
      <c r="C623" s="1"/>
      <c r="D623" s="1"/>
      <c r="E623" s="19"/>
      <c r="F623" s="3"/>
      <c r="G623" s="3"/>
      <c r="H623" s="3"/>
      <c r="I623" s="3"/>
      <c r="J623" s="3"/>
      <c r="K623" s="3"/>
      <c r="L623" s="3"/>
      <c r="M623" s="3"/>
      <c r="N623" s="3"/>
      <c r="O623" s="3"/>
      <c r="P623" s="3"/>
      <c r="Q623" s="3"/>
      <c r="R623" s="3"/>
      <c r="S623" s="3"/>
      <c r="T623" s="3"/>
      <c r="U623" s="3"/>
      <c r="V623" s="3"/>
      <c r="W623" s="3"/>
      <c r="X623" s="3"/>
      <c r="Y623" s="3"/>
      <c r="Z623" s="3"/>
    </row>
    <row r="624" spans="1:26" ht="14.25" customHeight="1">
      <c r="A624" s="1"/>
      <c r="B624" s="1"/>
      <c r="C624" s="1"/>
      <c r="D624" s="1"/>
      <c r="E624" s="19"/>
      <c r="F624" s="3"/>
      <c r="G624" s="3"/>
      <c r="H624" s="3"/>
      <c r="I624" s="3"/>
      <c r="J624" s="3"/>
      <c r="K624" s="3"/>
      <c r="L624" s="3"/>
      <c r="M624" s="3"/>
      <c r="N624" s="3"/>
      <c r="O624" s="3"/>
      <c r="P624" s="3"/>
      <c r="Q624" s="3"/>
      <c r="R624" s="3"/>
      <c r="S624" s="3"/>
      <c r="T624" s="3"/>
      <c r="U624" s="3"/>
      <c r="V624" s="3"/>
      <c r="W624" s="3"/>
      <c r="X624" s="3"/>
      <c r="Y624" s="3"/>
      <c r="Z624" s="3"/>
    </row>
    <row r="625" spans="1:26" ht="14.25" customHeight="1">
      <c r="A625" s="1"/>
      <c r="B625" s="1"/>
      <c r="C625" s="1"/>
      <c r="D625" s="1"/>
      <c r="E625" s="19"/>
      <c r="F625" s="3"/>
      <c r="G625" s="3"/>
      <c r="H625" s="3"/>
      <c r="I625" s="3"/>
      <c r="J625" s="3"/>
      <c r="K625" s="3"/>
      <c r="L625" s="3"/>
      <c r="M625" s="3"/>
      <c r="N625" s="3"/>
      <c r="O625" s="3"/>
      <c r="P625" s="3"/>
      <c r="Q625" s="3"/>
      <c r="R625" s="3"/>
      <c r="S625" s="3"/>
      <c r="T625" s="3"/>
      <c r="U625" s="3"/>
      <c r="V625" s="3"/>
      <c r="W625" s="3"/>
      <c r="X625" s="3"/>
      <c r="Y625" s="3"/>
      <c r="Z625" s="3"/>
    </row>
    <row r="626" spans="1:26" ht="14.25" customHeight="1">
      <c r="A626" s="1"/>
      <c r="B626" s="1"/>
      <c r="C626" s="1"/>
      <c r="D626" s="1"/>
      <c r="E626" s="19"/>
      <c r="F626" s="3"/>
      <c r="G626" s="3"/>
      <c r="H626" s="3"/>
      <c r="I626" s="3"/>
      <c r="J626" s="3"/>
      <c r="K626" s="3"/>
      <c r="L626" s="3"/>
      <c r="M626" s="3"/>
      <c r="N626" s="3"/>
      <c r="O626" s="3"/>
      <c r="P626" s="3"/>
      <c r="Q626" s="3"/>
      <c r="R626" s="3"/>
      <c r="S626" s="3"/>
      <c r="T626" s="3"/>
      <c r="U626" s="3"/>
      <c r="V626" s="3"/>
      <c r="W626" s="3"/>
      <c r="X626" s="3"/>
      <c r="Y626" s="3"/>
      <c r="Z626" s="3"/>
    </row>
    <row r="627" spans="1:26" ht="14.25" customHeight="1">
      <c r="A627" s="1"/>
      <c r="B627" s="1"/>
      <c r="C627" s="1"/>
      <c r="D627" s="1"/>
      <c r="E627" s="19"/>
      <c r="F627" s="3"/>
      <c r="G627" s="3"/>
      <c r="H627" s="3"/>
      <c r="I627" s="3"/>
      <c r="J627" s="3"/>
      <c r="K627" s="3"/>
      <c r="L627" s="3"/>
      <c r="M627" s="3"/>
      <c r="N627" s="3"/>
      <c r="O627" s="3"/>
      <c r="P627" s="3"/>
      <c r="Q627" s="3"/>
      <c r="R627" s="3"/>
      <c r="S627" s="3"/>
      <c r="T627" s="3"/>
      <c r="U627" s="3"/>
      <c r="V627" s="3"/>
      <c r="W627" s="3"/>
      <c r="X627" s="3"/>
      <c r="Y627" s="3"/>
      <c r="Z627" s="3"/>
    </row>
    <row r="628" spans="1:26" ht="14.25" customHeight="1">
      <c r="A628" s="1"/>
      <c r="B628" s="1"/>
      <c r="C628" s="1"/>
      <c r="D628" s="1"/>
      <c r="E628" s="19"/>
      <c r="F628" s="3"/>
      <c r="G628" s="3"/>
      <c r="H628" s="3"/>
      <c r="I628" s="3"/>
      <c r="J628" s="3"/>
      <c r="K628" s="3"/>
      <c r="L628" s="3"/>
      <c r="M628" s="3"/>
      <c r="N628" s="3"/>
      <c r="O628" s="3"/>
      <c r="P628" s="3"/>
      <c r="Q628" s="3"/>
      <c r="R628" s="3"/>
      <c r="S628" s="3"/>
      <c r="T628" s="3"/>
      <c r="U628" s="3"/>
      <c r="V628" s="3"/>
      <c r="W628" s="3"/>
      <c r="X628" s="3"/>
      <c r="Y628" s="3"/>
      <c r="Z628" s="3"/>
    </row>
    <row r="629" spans="1:26" ht="14.25" customHeight="1">
      <c r="A629" s="1"/>
      <c r="B629" s="1"/>
      <c r="C629" s="1"/>
      <c r="D629" s="1"/>
      <c r="E629" s="19"/>
      <c r="F629" s="3"/>
      <c r="G629" s="3"/>
      <c r="H629" s="3"/>
      <c r="I629" s="3"/>
      <c r="J629" s="3"/>
      <c r="K629" s="3"/>
      <c r="L629" s="3"/>
      <c r="M629" s="3"/>
      <c r="N629" s="3"/>
      <c r="O629" s="3"/>
      <c r="P629" s="3"/>
      <c r="Q629" s="3"/>
      <c r="R629" s="3"/>
      <c r="S629" s="3"/>
      <c r="T629" s="3"/>
      <c r="U629" s="3"/>
      <c r="V629" s="3"/>
      <c r="W629" s="3"/>
      <c r="X629" s="3"/>
      <c r="Y629" s="3"/>
      <c r="Z629" s="3"/>
    </row>
    <row r="630" spans="1:26" ht="14.25" customHeight="1">
      <c r="A630" s="1"/>
      <c r="B630" s="1"/>
      <c r="C630" s="1"/>
      <c r="D630" s="1"/>
      <c r="E630" s="19"/>
      <c r="F630" s="3"/>
      <c r="G630" s="3"/>
      <c r="H630" s="3"/>
      <c r="I630" s="3"/>
      <c r="J630" s="3"/>
      <c r="K630" s="3"/>
      <c r="L630" s="3"/>
      <c r="M630" s="3"/>
      <c r="N630" s="3"/>
      <c r="O630" s="3"/>
      <c r="P630" s="3"/>
      <c r="Q630" s="3"/>
      <c r="R630" s="3"/>
      <c r="S630" s="3"/>
      <c r="T630" s="3"/>
      <c r="U630" s="3"/>
      <c r="V630" s="3"/>
      <c r="W630" s="3"/>
      <c r="X630" s="3"/>
      <c r="Y630" s="3"/>
      <c r="Z630" s="3"/>
    </row>
    <row r="631" spans="1:26" ht="14.25" customHeight="1">
      <c r="A631" s="1"/>
      <c r="B631" s="1"/>
      <c r="C631" s="1"/>
      <c r="D631" s="1"/>
      <c r="E631" s="19"/>
      <c r="F631" s="3"/>
      <c r="G631" s="3"/>
      <c r="H631" s="3"/>
      <c r="I631" s="3"/>
      <c r="J631" s="3"/>
      <c r="K631" s="3"/>
      <c r="L631" s="3"/>
      <c r="M631" s="3"/>
      <c r="N631" s="3"/>
      <c r="O631" s="3"/>
      <c r="P631" s="3"/>
      <c r="Q631" s="3"/>
      <c r="R631" s="3"/>
      <c r="S631" s="3"/>
      <c r="T631" s="3"/>
      <c r="U631" s="3"/>
      <c r="V631" s="3"/>
      <c r="W631" s="3"/>
      <c r="X631" s="3"/>
      <c r="Y631" s="3"/>
      <c r="Z631" s="3"/>
    </row>
    <row r="632" spans="1:26" ht="14.25" customHeight="1">
      <c r="A632" s="1"/>
      <c r="B632" s="1"/>
      <c r="C632" s="1"/>
      <c r="D632" s="1"/>
      <c r="E632" s="19"/>
      <c r="F632" s="3"/>
      <c r="G632" s="3"/>
      <c r="H632" s="3"/>
      <c r="I632" s="3"/>
      <c r="J632" s="3"/>
      <c r="K632" s="3"/>
      <c r="L632" s="3"/>
      <c r="M632" s="3"/>
      <c r="N632" s="3"/>
      <c r="O632" s="3"/>
      <c r="P632" s="3"/>
      <c r="Q632" s="3"/>
      <c r="R632" s="3"/>
      <c r="S632" s="3"/>
      <c r="T632" s="3"/>
      <c r="U632" s="3"/>
      <c r="V632" s="3"/>
      <c r="W632" s="3"/>
      <c r="X632" s="3"/>
      <c r="Y632" s="3"/>
      <c r="Z632" s="3"/>
    </row>
    <row r="633" spans="1:26" ht="14.25" customHeight="1">
      <c r="A633" s="1"/>
      <c r="B633" s="1"/>
      <c r="C633" s="1"/>
      <c r="D633" s="1"/>
      <c r="E633" s="19"/>
      <c r="F633" s="3"/>
      <c r="G633" s="3"/>
      <c r="H633" s="3"/>
      <c r="I633" s="3"/>
      <c r="J633" s="3"/>
      <c r="K633" s="3"/>
      <c r="L633" s="3"/>
      <c r="M633" s="3"/>
      <c r="N633" s="3"/>
      <c r="O633" s="3"/>
      <c r="P633" s="3"/>
      <c r="Q633" s="3"/>
      <c r="R633" s="3"/>
      <c r="S633" s="3"/>
      <c r="T633" s="3"/>
      <c r="U633" s="3"/>
      <c r="V633" s="3"/>
      <c r="W633" s="3"/>
      <c r="X633" s="3"/>
      <c r="Y633" s="3"/>
      <c r="Z633" s="3"/>
    </row>
    <row r="634" spans="1:26" ht="14.25" customHeight="1">
      <c r="A634" s="1"/>
      <c r="B634" s="1"/>
      <c r="C634" s="1"/>
      <c r="D634" s="1"/>
      <c r="E634" s="19"/>
      <c r="F634" s="3"/>
      <c r="G634" s="3"/>
      <c r="H634" s="3"/>
      <c r="I634" s="3"/>
      <c r="J634" s="3"/>
      <c r="K634" s="3"/>
      <c r="L634" s="3"/>
      <c r="M634" s="3"/>
      <c r="N634" s="3"/>
      <c r="O634" s="3"/>
      <c r="P634" s="3"/>
      <c r="Q634" s="3"/>
      <c r="R634" s="3"/>
      <c r="S634" s="3"/>
      <c r="T634" s="3"/>
      <c r="U634" s="3"/>
      <c r="V634" s="3"/>
      <c r="W634" s="3"/>
      <c r="X634" s="3"/>
      <c r="Y634" s="3"/>
      <c r="Z634" s="3"/>
    </row>
    <row r="635" spans="1:26" ht="14.25" customHeight="1">
      <c r="A635" s="1"/>
      <c r="B635" s="1"/>
      <c r="C635" s="1"/>
      <c r="D635" s="1"/>
      <c r="E635" s="19"/>
      <c r="F635" s="3"/>
      <c r="G635" s="3"/>
      <c r="H635" s="3"/>
      <c r="I635" s="3"/>
      <c r="J635" s="3"/>
      <c r="K635" s="3"/>
      <c r="L635" s="3"/>
      <c r="M635" s="3"/>
      <c r="N635" s="3"/>
      <c r="O635" s="3"/>
      <c r="P635" s="3"/>
      <c r="Q635" s="3"/>
      <c r="R635" s="3"/>
      <c r="S635" s="3"/>
      <c r="T635" s="3"/>
      <c r="U635" s="3"/>
      <c r="V635" s="3"/>
      <c r="W635" s="3"/>
      <c r="X635" s="3"/>
      <c r="Y635" s="3"/>
      <c r="Z635" s="3"/>
    </row>
    <row r="636" spans="1:26" ht="14.25" customHeight="1">
      <c r="A636" s="1"/>
      <c r="B636" s="1"/>
      <c r="C636" s="1"/>
      <c r="D636" s="1"/>
      <c r="E636" s="19"/>
      <c r="F636" s="3"/>
      <c r="G636" s="3"/>
      <c r="H636" s="3"/>
      <c r="I636" s="3"/>
      <c r="J636" s="3"/>
      <c r="K636" s="3"/>
      <c r="L636" s="3"/>
      <c r="M636" s="3"/>
      <c r="N636" s="3"/>
      <c r="O636" s="3"/>
      <c r="P636" s="3"/>
      <c r="Q636" s="3"/>
      <c r="R636" s="3"/>
      <c r="S636" s="3"/>
      <c r="T636" s="3"/>
      <c r="U636" s="3"/>
      <c r="V636" s="3"/>
      <c r="W636" s="3"/>
      <c r="X636" s="3"/>
      <c r="Y636" s="3"/>
      <c r="Z636" s="3"/>
    </row>
    <row r="637" spans="1:26" ht="14.25" customHeight="1">
      <c r="A637" s="1"/>
      <c r="B637" s="1"/>
      <c r="C637" s="1"/>
      <c r="D637" s="1"/>
      <c r="E637" s="19"/>
      <c r="F637" s="3"/>
      <c r="G637" s="3"/>
      <c r="H637" s="3"/>
      <c r="I637" s="3"/>
      <c r="J637" s="3"/>
      <c r="K637" s="3"/>
      <c r="L637" s="3"/>
      <c r="M637" s="3"/>
      <c r="N637" s="3"/>
      <c r="O637" s="3"/>
      <c r="P637" s="3"/>
      <c r="Q637" s="3"/>
      <c r="R637" s="3"/>
      <c r="S637" s="3"/>
      <c r="T637" s="3"/>
      <c r="U637" s="3"/>
      <c r="V637" s="3"/>
      <c r="W637" s="3"/>
      <c r="X637" s="3"/>
      <c r="Y637" s="3"/>
      <c r="Z637" s="3"/>
    </row>
    <row r="638" spans="1:26" ht="14.25" customHeight="1">
      <c r="A638" s="1"/>
      <c r="B638" s="1"/>
      <c r="C638" s="1"/>
      <c r="D638" s="1"/>
      <c r="E638" s="19"/>
      <c r="F638" s="3"/>
      <c r="G638" s="3"/>
      <c r="H638" s="3"/>
      <c r="I638" s="3"/>
      <c r="J638" s="3"/>
      <c r="K638" s="3"/>
      <c r="L638" s="3"/>
      <c r="M638" s="3"/>
      <c r="N638" s="3"/>
      <c r="O638" s="3"/>
      <c r="P638" s="3"/>
      <c r="Q638" s="3"/>
      <c r="R638" s="3"/>
      <c r="S638" s="3"/>
      <c r="T638" s="3"/>
      <c r="U638" s="3"/>
      <c r="V638" s="3"/>
      <c r="W638" s="3"/>
      <c r="X638" s="3"/>
      <c r="Y638" s="3"/>
      <c r="Z638" s="3"/>
    </row>
    <row r="639" spans="1:26" ht="14.25" customHeight="1">
      <c r="A639" s="1"/>
      <c r="B639" s="1"/>
      <c r="C639" s="1"/>
      <c r="D639" s="1"/>
      <c r="E639" s="19"/>
      <c r="F639" s="3"/>
      <c r="G639" s="3"/>
      <c r="H639" s="3"/>
      <c r="I639" s="3"/>
      <c r="J639" s="3"/>
      <c r="K639" s="3"/>
      <c r="L639" s="3"/>
      <c r="M639" s="3"/>
      <c r="N639" s="3"/>
      <c r="O639" s="3"/>
      <c r="P639" s="3"/>
      <c r="Q639" s="3"/>
      <c r="R639" s="3"/>
      <c r="S639" s="3"/>
      <c r="T639" s="3"/>
      <c r="U639" s="3"/>
      <c r="V639" s="3"/>
      <c r="W639" s="3"/>
      <c r="X639" s="3"/>
      <c r="Y639" s="3"/>
      <c r="Z639" s="3"/>
    </row>
    <row r="640" spans="1:26" ht="14.25" customHeight="1">
      <c r="A640" s="1"/>
      <c r="B640" s="1"/>
      <c r="C640" s="1"/>
      <c r="D640" s="1"/>
      <c r="E640" s="19"/>
      <c r="F640" s="3"/>
      <c r="G640" s="3"/>
      <c r="H640" s="3"/>
      <c r="I640" s="3"/>
      <c r="J640" s="3"/>
      <c r="K640" s="3"/>
      <c r="L640" s="3"/>
      <c r="M640" s="3"/>
      <c r="N640" s="3"/>
      <c r="O640" s="3"/>
      <c r="P640" s="3"/>
      <c r="Q640" s="3"/>
      <c r="R640" s="3"/>
      <c r="S640" s="3"/>
      <c r="T640" s="3"/>
      <c r="U640" s="3"/>
      <c r="V640" s="3"/>
      <c r="W640" s="3"/>
      <c r="X640" s="3"/>
      <c r="Y640" s="3"/>
      <c r="Z640" s="3"/>
    </row>
    <row r="641" spans="1:26" ht="14.25" customHeight="1">
      <c r="A641" s="1"/>
      <c r="B641" s="1"/>
      <c r="C641" s="1"/>
      <c r="D641" s="1"/>
      <c r="E641" s="19"/>
      <c r="F641" s="3"/>
      <c r="G641" s="3"/>
      <c r="H641" s="3"/>
      <c r="I641" s="3"/>
      <c r="J641" s="3"/>
      <c r="K641" s="3"/>
      <c r="L641" s="3"/>
      <c r="M641" s="3"/>
      <c r="N641" s="3"/>
      <c r="O641" s="3"/>
      <c r="P641" s="3"/>
      <c r="Q641" s="3"/>
      <c r="R641" s="3"/>
      <c r="S641" s="3"/>
      <c r="T641" s="3"/>
      <c r="U641" s="3"/>
      <c r="V641" s="3"/>
      <c r="W641" s="3"/>
      <c r="X641" s="3"/>
      <c r="Y641" s="3"/>
      <c r="Z641" s="3"/>
    </row>
    <row r="642" spans="1:26" ht="14.25" customHeight="1">
      <c r="A642" s="1"/>
      <c r="B642" s="1"/>
      <c r="C642" s="1"/>
      <c r="D642" s="1"/>
      <c r="E642" s="19"/>
      <c r="F642" s="3"/>
      <c r="G642" s="3"/>
      <c r="H642" s="3"/>
      <c r="I642" s="3"/>
      <c r="J642" s="3"/>
      <c r="K642" s="3"/>
      <c r="L642" s="3"/>
      <c r="M642" s="3"/>
      <c r="N642" s="3"/>
      <c r="O642" s="3"/>
      <c r="P642" s="3"/>
      <c r="Q642" s="3"/>
      <c r="R642" s="3"/>
      <c r="S642" s="3"/>
      <c r="T642" s="3"/>
      <c r="U642" s="3"/>
      <c r="V642" s="3"/>
      <c r="W642" s="3"/>
      <c r="X642" s="3"/>
      <c r="Y642" s="3"/>
      <c r="Z642" s="3"/>
    </row>
    <row r="643" spans="1:26" ht="14.25" customHeight="1">
      <c r="A643" s="1"/>
      <c r="B643" s="1"/>
      <c r="C643" s="1"/>
      <c r="D643" s="1"/>
      <c r="E643" s="19"/>
      <c r="F643" s="3"/>
      <c r="G643" s="3"/>
      <c r="H643" s="3"/>
      <c r="I643" s="3"/>
      <c r="J643" s="3"/>
      <c r="K643" s="3"/>
      <c r="L643" s="3"/>
      <c r="M643" s="3"/>
      <c r="N643" s="3"/>
      <c r="O643" s="3"/>
      <c r="P643" s="3"/>
      <c r="Q643" s="3"/>
      <c r="R643" s="3"/>
      <c r="S643" s="3"/>
      <c r="T643" s="3"/>
      <c r="U643" s="3"/>
      <c r="V643" s="3"/>
      <c r="W643" s="3"/>
      <c r="X643" s="3"/>
      <c r="Y643" s="3"/>
      <c r="Z643" s="3"/>
    </row>
    <row r="644" spans="1:26" ht="14.25" customHeight="1">
      <c r="A644" s="1"/>
      <c r="B644" s="1"/>
      <c r="C644" s="1"/>
      <c r="D644" s="1"/>
      <c r="E644" s="19"/>
      <c r="F644" s="3"/>
      <c r="G644" s="3"/>
      <c r="H644" s="3"/>
      <c r="I644" s="3"/>
      <c r="J644" s="3"/>
      <c r="K644" s="3"/>
      <c r="L644" s="3"/>
      <c r="M644" s="3"/>
      <c r="N644" s="3"/>
      <c r="O644" s="3"/>
      <c r="P644" s="3"/>
      <c r="Q644" s="3"/>
      <c r="R644" s="3"/>
      <c r="S644" s="3"/>
      <c r="T644" s="3"/>
      <c r="U644" s="3"/>
      <c r="V644" s="3"/>
      <c r="W644" s="3"/>
      <c r="X644" s="3"/>
      <c r="Y644" s="3"/>
      <c r="Z644" s="3"/>
    </row>
    <row r="645" spans="1:26" ht="14.25" customHeight="1">
      <c r="A645" s="1"/>
      <c r="B645" s="1"/>
      <c r="C645" s="1"/>
      <c r="D645" s="1"/>
      <c r="E645" s="19"/>
      <c r="F645" s="3"/>
      <c r="G645" s="3"/>
      <c r="H645" s="3"/>
      <c r="I645" s="3"/>
      <c r="J645" s="3"/>
      <c r="K645" s="3"/>
      <c r="L645" s="3"/>
      <c r="M645" s="3"/>
      <c r="N645" s="3"/>
      <c r="O645" s="3"/>
      <c r="P645" s="3"/>
      <c r="Q645" s="3"/>
      <c r="R645" s="3"/>
      <c r="S645" s="3"/>
      <c r="T645" s="3"/>
      <c r="U645" s="3"/>
      <c r="V645" s="3"/>
      <c r="W645" s="3"/>
      <c r="X645" s="3"/>
      <c r="Y645" s="3"/>
      <c r="Z645" s="3"/>
    </row>
    <row r="646" spans="1:26" ht="14.25" customHeight="1">
      <c r="A646" s="1"/>
      <c r="B646" s="1"/>
      <c r="C646" s="1"/>
      <c r="D646" s="1"/>
      <c r="E646" s="19"/>
      <c r="F646" s="3"/>
      <c r="G646" s="3"/>
      <c r="H646" s="3"/>
      <c r="I646" s="3"/>
      <c r="J646" s="3"/>
      <c r="K646" s="3"/>
      <c r="L646" s="3"/>
      <c r="M646" s="3"/>
      <c r="N646" s="3"/>
      <c r="O646" s="3"/>
      <c r="P646" s="3"/>
      <c r="Q646" s="3"/>
      <c r="R646" s="3"/>
      <c r="S646" s="3"/>
      <c r="T646" s="3"/>
      <c r="U646" s="3"/>
      <c r="V646" s="3"/>
      <c r="W646" s="3"/>
      <c r="X646" s="3"/>
      <c r="Y646" s="3"/>
      <c r="Z646" s="3"/>
    </row>
    <row r="647" spans="1:26" ht="14.25" customHeight="1">
      <c r="A647" s="1"/>
      <c r="B647" s="1"/>
      <c r="C647" s="1"/>
      <c r="D647" s="1"/>
      <c r="E647" s="19"/>
      <c r="F647" s="3"/>
      <c r="G647" s="3"/>
      <c r="H647" s="3"/>
      <c r="I647" s="3"/>
      <c r="J647" s="3"/>
      <c r="K647" s="3"/>
      <c r="L647" s="3"/>
      <c r="M647" s="3"/>
      <c r="N647" s="3"/>
      <c r="O647" s="3"/>
      <c r="P647" s="3"/>
      <c r="Q647" s="3"/>
      <c r="R647" s="3"/>
      <c r="S647" s="3"/>
      <c r="T647" s="3"/>
      <c r="U647" s="3"/>
      <c r="V647" s="3"/>
      <c r="W647" s="3"/>
      <c r="X647" s="3"/>
      <c r="Y647" s="3"/>
      <c r="Z647" s="3"/>
    </row>
    <row r="648" spans="1:26" ht="14.25" customHeight="1">
      <c r="A648" s="1"/>
      <c r="B648" s="1"/>
      <c r="C648" s="1"/>
      <c r="D648" s="1"/>
      <c r="E648" s="19"/>
      <c r="F648" s="3"/>
      <c r="G648" s="3"/>
      <c r="H648" s="3"/>
      <c r="I648" s="3"/>
      <c r="J648" s="3"/>
      <c r="K648" s="3"/>
      <c r="L648" s="3"/>
      <c r="M648" s="3"/>
      <c r="N648" s="3"/>
      <c r="O648" s="3"/>
      <c r="P648" s="3"/>
      <c r="Q648" s="3"/>
      <c r="R648" s="3"/>
      <c r="S648" s="3"/>
      <c r="T648" s="3"/>
      <c r="U648" s="3"/>
      <c r="V648" s="3"/>
      <c r="W648" s="3"/>
      <c r="X648" s="3"/>
      <c r="Y648" s="3"/>
      <c r="Z648" s="3"/>
    </row>
    <row r="649" spans="1:26" ht="14.25" customHeight="1">
      <c r="A649" s="1"/>
      <c r="B649" s="1"/>
      <c r="C649" s="1"/>
      <c r="D649" s="1"/>
      <c r="E649" s="19"/>
      <c r="F649" s="3"/>
      <c r="G649" s="3"/>
      <c r="H649" s="3"/>
      <c r="I649" s="3"/>
      <c r="J649" s="3"/>
      <c r="K649" s="3"/>
      <c r="L649" s="3"/>
      <c r="M649" s="3"/>
      <c r="N649" s="3"/>
      <c r="O649" s="3"/>
      <c r="P649" s="3"/>
      <c r="Q649" s="3"/>
      <c r="R649" s="3"/>
      <c r="S649" s="3"/>
      <c r="T649" s="3"/>
      <c r="U649" s="3"/>
      <c r="V649" s="3"/>
      <c r="W649" s="3"/>
      <c r="X649" s="3"/>
      <c r="Y649" s="3"/>
      <c r="Z649" s="3"/>
    </row>
    <row r="650" spans="1:26" ht="14.25" customHeight="1">
      <c r="A650" s="1"/>
      <c r="B650" s="1"/>
      <c r="C650" s="1"/>
      <c r="D650" s="1"/>
      <c r="E650" s="19"/>
      <c r="F650" s="3"/>
      <c r="G650" s="3"/>
      <c r="H650" s="3"/>
      <c r="I650" s="3"/>
      <c r="J650" s="3"/>
      <c r="K650" s="3"/>
      <c r="L650" s="3"/>
      <c r="M650" s="3"/>
      <c r="N650" s="3"/>
      <c r="O650" s="3"/>
      <c r="P650" s="3"/>
      <c r="Q650" s="3"/>
      <c r="R650" s="3"/>
      <c r="S650" s="3"/>
      <c r="T650" s="3"/>
      <c r="U650" s="3"/>
      <c r="V650" s="3"/>
      <c r="W650" s="3"/>
      <c r="X650" s="3"/>
      <c r="Y650" s="3"/>
      <c r="Z650" s="3"/>
    </row>
    <row r="651" spans="1:26" ht="14.25" customHeight="1">
      <c r="A651" s="1"/>
      <c r="B651" s="1"/>
      <c r="C651" s="1"/>
      <c r="D651" s="1"/>
      <c r="E651" s="19"/>
      <c r="F651" s="3"/>
      <c r="G651" s="3"/>
      <c r="H651" s="3"/>
      <c r="I651" s="3"/>
      <c r="J651" s="3"/>
      <c r="K651" s="3"/>
      <c r="L651" s="3"/>
      <c r="M651" s="3"/>
      <c r="N651" s="3"/>
      <c r="O651" s="3"/>
      <c r="P651" s="3"/>
      <c r="Q651" s="3"/>
      <c r="R651" s="3"/>
      <c r="S651" s="3"/>
      <c r="T651" s="3"/>
      <c r="U651" s="3"/>
      <c r="V651" s="3"/>
      <c r="W651" s="3"/>
      <c r="X651" s="3"/>
      <c r="Y651" s="3"/>
      <c r="Z651" s="3"/>
    </row>
    <row r="652" spans="1:26" ht="14.25" customHeight="1">
      <c r="A652" s="1"/>
      <c r="B652" s="1"/>
      <c r="C652" s="1"/>
      <c r="D652" s="1"/>
      <c r="E652" s="19"/>
      <c r="F652" s="3"/>
      <c r="G652" s="3"/>
      <c r="H652" s="3"/>
      <c r="I652" s="3"/>
      <c r="J652" s="3"/>
      <c r="K652" s="3"/>
      <c r="L652" s="3"/>
      <c r="M652" s="3"/>
      <c r="N652" s="3"/>
      <c r="O652" s="3"/>
      <c r="P652" s="3"/>
      <c r="Q652" s="3"/>
      <c r="R652" s="3"/>
      <c r="S652" s="3"/>
      <c r="T652" s="3"/>
      <c r="U652" s="3"/>
      <c r="V652" s="3"/>
      <c r="W652" s="3"/>
      <c r="X652" s="3"/>
      <c r="Y652" s="3"/>
      <c r="Z652" s="3"/>
    </row>
    <row r="653" spans="1:26" ht="14.25" customHeight="1">
      <c r="A653" s="1"/>
      <c r="B653" s="1"/>
      <c r="C653" s="1"/>
      <c r="D653" s="1"/>
      <c r="E653" s="19"/>
      <c r="F653" s="3"/>
      <c r="G653" s="3"/>
      <c r="H653" s="3"/>
      <c r="I653" s="3"/>
      <c r="J653" s="3"/>
      <c r="K653" s="3"/>
      <c r="L653" s="3"/>
      <c r="M653" s="3"/>
      <c r="N653" s="3"/>
      <c r="O653" s="3"/>
      <c r="P653" s="3"/>
      <c r="Q653" s="3"/>
      <c r="R653" s="3"/>
      <c r="S653" s="3"/>
      <c r="T653" s="3"/>
      <c r="U653" s="3"/>
      <c r="V653" s="3"/>
      <c r="W653" s="3"/>
      <c r="X653" s="3"/>
      <c r="Y653" s="3"/>
      <c r="Z653" s="3"/>
    </row>
    <row r="654" spans="1:26" ht="14.25" customHeight="1">
      <c r="A654" s="1"/>
      <c r="B654" s="1"/>
      <c r="C654" s="1"/>
      <c r="D654" s="1"/>
      <c r="E654" s="19"/>
      <c r="F654" s="3"/>
      <c r="G654" s="3"/>
      <c r="H654" s="3"/>
      <c r="I654" s="3"/>
      <c r="J654" s="3"/>
      <c r="K654" s="3"/>
      <c r="L654" s="3"/>
      <c r="M654" s="3"/>
      <c r="N654" s="3"/>
      <c r="O654" s="3"/>
      <c r="P654" s="3"/>
      <c r="Q654" s="3"/>
      <c r="R654" s="3"/>
      <c r="S654" s="3"/>
      <c r="T654" s="3"/>
      <c r="U654" s="3"/>
      <c r="V654" s="3"/>
      <c r="W654" s="3"/>
      <c r="X654" s="3"/>
      <c r="Y654" s="3"/>
      <c r="Z654" s="3"/>
    </row>
    <row r="655" spans="1:26" ht="14.25" customHeight="1">
      <c r="A655" s="1"/>
      <c r="B655" s="1"/>
      <c r="C655" s="1"/>
      <c r="D655" s="1"/>
      <c r="E655" s="19"/>
      <c r="F655" s="3"/>
      <c r="G655" s="3"/>
      <c r="H655" s="3"/>
      <c r="I655" s="3"/>
      <c r="J655" s="3"/>
      <c r="K655" s="3"/>
      <c r="L655" s="3"/>
      <c r="M655" s="3"/>
      <c r="N655" s="3"/>
      <c r="O655" s="3"/>
      <c r="P655" s="3"/>
      <c r="Q655" s="3"/>
      <c r="R655" s="3"/>
      <c r="S655" s="3"/>
      <c r="T655" s="3"/>
      <c r="U655" s="3"/>
      <c r="V655" s="3"/>
      <c r="W655" s="3"/>
      <c r="X655" s="3"/>
      <c r="Y655" s="3"/>
      <c r="Z655" s="3"/>
    </row>
    <row r="656" spans="1:26" ht="14.25" customHeight="1">
      <c r="A656" s="1"/>
      <c r="B656" s="1"/>
      <c r="C656" s="1"/>
      <c r="D656" s="1"/>
      <c r="E656" s="19"/>
      <c r="F656" s="3"/>
      <c r="G656" s="3"/>
      <c r="H656" s="3"/>
      <c r="I656" s="3"/>
      <c r="J656" s="3"/>
      <c r="K656" s="3"/>
      <c r="L656" s="3"/>
      <c r="M656" s="3"/>
      <c r="N656" s="3"/>
      <c r="O656" s="3"/>
      <c r="P656" s="3"/>
      <c r="Q656" s="3"/>
      <c r="R656" s="3"/>
      <c r="S656" s="3"/>
      <c r="T656" s="3"/>
      <c r="U656" s="3"/>
      <c r="V656" s="3"/>
      <c r="W656" s="3"/>
      <c r="X656" s="3"/>
      <c r="Y656" s="3"/>
      <c r="Z656" s="3"/>
    </row>
    <row r="657" spans="1:26" ht="14.25" customHeight="1">
      <c r="A657" s="1"/>
      <c r="B657" s="1"/>
      <c r="C657" s="1"/>
      <c r="D657" s="1"/>
      <c r="E657" s="19"/>
      <c r="F657" s="3"/>
      <c r="G657" s="3"/>
      <c r="H657" s="3"/>
      <c r="I657" s="3"/>
      <c r="J657" s="3"/>
      <c r="K657" s="3"/>
      <c r="L657" s="3"/>
      <c r="M657" s="3"/>
      <c r="N657" s="3"/>
      <c r="O657" s="3"/>
      <c r="P657" s="3"/>
      <c r="Q657" s="3"/>
      <c r="R657" s="3"/>
      <c r="S657" s="3"/>
      <c r="T657" s="3"/>
      <c r="U657" s="3"/>
      <c r="V657" s="3"/>
      <c r="W657" s="3"/>
      <c r="X657" s="3"/>
      <c r="Y657" s="3"/>
      <c r="Z657" s="3"/>
    </row>
    <row r="658" spans="1:26" ht="14.25" customHeight="1">
      <c r="A658" s="1"/>
      <c r="B658" s="1"/>
      <c r="C658" s="1"/>
      <c r="D658" s="1"/>
      <c r="E658" s="19"/>
      <c r="F658" s="3"/>
      <c r="G658" s="3"/>
      <c r="H658" s="3"/>
      <c r="I658" s="3"/>
      <c r="J658" s="3"/>
      <c r="K658" s="3"/>
      <c r="L658" s="3"/>
      <c r="M658" s="3"/>
      <c r="N658" s="3"/>
      <c r="O658" s="3"/>
      <c r="P658" s="3"/>
      <c r="Q658" s="3"/>
      <c r="R658" s="3"/>
      <c r="S658" s="3"/>
      <c r="T658" s="3"/>
      <c r="U658" s="3"/>
      <c r="V658" s="3"/>
      <c r="W658" s="3"/>
      <c r="X658" s="3"/>
      <c r="Y658" s="3"/>
      <c r="Z658" s="3"/>
    </row>
    <row r="659" spans="1:26" ht="14.25" customHeight="1">
      <c r="A659" s="1"/>
      <c r="B659" s="1"/>
      <c r="C659" s="1"/>
      <c r="D659" s="1"/>
      <c r="E659" s="19"/>
      <c r="F659" s="3"/>
      <c r="G659" s="3"/>
      <c r="H659" s="3"/>
      <c r="I659" s="3"/>
      <c r="J659" s="3"/>
      <c r="K659" s="3"/>
      <c r="L659" s="3"/>
      <c r="M659" s="3"/>
      <c r="N659" s="3"/>
      <c r="O659" s="3"/>
      <c r="P659" s="3"/>
      <c r="Q659" s="3"/>
      <c r="R659" s="3"/>
      <c r="S659" s="3"/>
      <c r="T659" s="3"/>
      <c r="U659" s="3"/>
      <c r="V659" s="3"/>
      <c r="W659" s="3"/>
      <c r="X659" s="3"/>
      <c r="Y659" s="3"/>
      <c r="Z659" s="3"/>
    </row>
    <row r="660" spans="1:26" ht="14.25" customHeight="1">
      <c r="A660" s="1"/>
      <c r="B660" s="1"/>
      <c r="C660" s="1"/>
      <c r="D660" s="1"/>
      <c r="E660" s="19"/>
      <c r="F660" s="3"/>
      <c r="G660" s="3"/>
      <c r="H660" s="3"/>
      <c r="I660" s="3"/>
      <c r="J660" s="3"/>
      <c r="K660" s="3"/>
      <c r="L660" s="3"/>
      <c r="M660" s="3"/>
      <c r="N660" s="3"/>
      <c r="O660" s="3"/>
      <c r="P660" s="3"/>
      <c r="Q660" s="3"/>
      <c r="R660" s="3"/>
      <c r="S660" s="3"/>
      <c r="T660" s="3"/>
      <c r="U660" s="3"/>
      <c r="V660" s="3"/>
      <c r="W660" s="3"/>
      <c r="X660" s="3"/>
      <c r="Y660" s="3"/>
      <c r="Z660" s="3"/>
    </row>
    <row r="661" spans="1:26" ht="14.25" customHeight="1">
      <c r="A661" s="1"/>
      <c r="B661" s="1"/>
      <c r="C661" s="1"/>
      <c r="D661" s="1"/>
      <c r="E661" s="19"/>
      <c r="F661" s="3"/>
      <c r="G661" s="3"/>
      <c r="H661" s="3"/>
      <c r="I661" s="3"/>
      <c r="J661" s="3"/>
      <c r="K661" s="3"/>
      <c r="L661" s="3"/>
      <c r="M661" s="3"/>
      <c r="N661" s="3"/>
      <c r="O661" s="3"/>
      <c r="P661" s="3"/>
      <c r="Q661" s="3"/>
      <c r="R661" s="3"/>
      <c r="S661" s="3"/>
      <c r="T661" s="3"/>
      <c r="U661" s="3"/>
      <c r="V661" s="3"/>
      <c r="W661" s="3"/>
      <c r="X661" s="3"/>
      <c r="Y661" s="3"/>
      <c r="Z661" s="3"/>
    </row>
    <row r="662" spans="1:26" ht="14.25" customHeight="1">
      <c r="A662" s="1"/>
      <c r="B662" s="1"/>
      <c r="C662" s="1"/>
      <c r="D662" s="1"/>
      <c r="E662" s="19"/>
      <c r="F662" s="3"/>
      <c r="G662" s="3"/>
      <c r="H662" s="3"/>
      <c r="I662" s="3"/>
      <c r="J662" s="3"/>
      <c r="K662" s="3"/>
      <c r="L662" s="3"/>
      <c r="M662" s="3"/>
      <c r="N662" s="3"/>
      <c r="O662" s="3"/>
      <c r="P662" s="3"/>
      <c r="Q662" s="3"/>
      <c r="R662" s="3"/>
      <c r="S662" s="3"/>
      <c r="T662" s="3"/>
      <c r="U662" s="3"/>
      <c r="V662" s="3"/>
      <c r="W662" s="3"/>
      <c r="X662" s="3"/>
      <c r="Y662" s="3"/>
      <c r="Z662" s="3"/>
    </row>
    <row r="663" spans="1:26" ht="14.25" customHeight="1">
      <c r="A663" s="1"/>
      <c r="B663" s="1"/>
      <c r="C663" s="1"/>
      <c r="D663" s="1"/>
      <c r="E663" s="19"/>
      <c r="F663" s="3"/>
      <c r="G663" s="3"/>
      <c r="H663" s="3"/>
      <c r="I663" s="3"/>
      <c r="J663" s="3"/>
      <c r="K663" s="3"/>
      <c r="L663" s="3"/>
      <c r="M663" s="3"/>
      <c r="N663" s="3"/>
      <c r="O663" s="3"/>
      <c r="P663" s="3"/>
      <c r="Q663" s="3"/>
      <c r="R663" s="3"/>
      <c r="S663" s="3"/>
      <c r="T663" s="3"/>
      <c r="U663" s="3"/>
      <c r="V663" s="3"/>
      <c r="W663" s="3"/>
      <c r="X663" s="3"/>
      <c r="Y663" s="3"/>
      <c r="Z663" s="3"/>
    </row>
    <row r="664" spans="1:26" ht="14.25" customHeight="1">
      <c r="A664" s="1"/>
      <c r="B664" s="1"/>
      <c r="C664" s="1"/>
      <c r="D664" s="1"/>
      <c r="E664" s="19"/>
      <c r="F664" s="3"/>
      <c r="G664" s="3"/>
      <c r="H664" s="3"/>
      <c r="I664" s="3"/>
      <c r="J664" s="3"/>
      <c r="K664" s="3"/>
      <c r="L664" s="3"/>
      <c r="M664" s="3"/>
      <c r="N664" s="3"/>
      <c r="O664" s="3"/>
      <c r="P664" s="3"/>
      <c r="Q664" s="3"/>
      <c r="R664" s="3"/>
      <c r="S664" s="3"/>
      <c r="T664" s="3"/>
      <c r="U664" s="3"/>
      <c r="V664" s="3"/>
      <c r="W664" s="3"/>
      <c r="X664" s="3"/>
      <c r="Y664" s="3"/>
      <c r="Z664" s="3"/>
    </row>
    <row r="665" spans="1:26" ht="14.25" customHeight="1">
      <c r="A665" s="1"/>
      <c r="B665" s="1"/>
      <c r="C665" s="1"/>
      <c r="D665" s="1"/>
      <c r="E665" s="19"/>
      <c r="F665" s="3"/>
      <c r="G665" s="3"/>
      <c r="H665" s="3"/>
      <c r="I665" s="3"/>
      <c r="J665" s="3"/>
      <c r="K665" s="3"/>
      <c r="L665" s="3"/>
      <c r="M665" s="3"/>
      <c r="N665" s="3"/>
      <c r="O665" s="3"/>
      <c r="P665" s="3"/>
      <c r="Q665" s="3"/>
      <c r="R665" s="3"/>
      <c r="S665" s="3"/>
      <c r="T665" s="3"/>
      <c r="U665" s="3"/>
      <c r="V665" s="3"/>
      <c r="W665" s="3"/>
      <c r="X665" s="3"/>
      <c r="Y665" s="3"/>
      <c r="Z665" s="3"/>
    </row>
    <row r="666" spans="1:26" ht="14.25" customHeight="1">
      <c r="A666" s="1"/>
      <c r="B666" s="1"/>
      <c r="C666" s="1"/>
      <c r="D666" s="1"/>
      <c r="E666" s="19"/>
      <c r="F666" s="3"/>
      <c r="G666" s="3"/>
      <c r="H666" s="3"/>
      <c r="I666" s="3"/>
      <c r="J666" s="3"/>
      <c r="K666" s="3"/>
      <c r="L666" s="3"/>
      <c r="M666" s="3"/>
      <c r="N666" s="3"/>
      <c r="O666" s="3"/>
      <c r="P666" s="3"/>
      <c r="Q666" s="3"/>
      <c r="R666" s="3"/>
      <c r="S666" s="3"/>
      <c r="T666" s="3"/>
      <c r="U666" s="3"/>
      <c r="V666" s="3"/>
      <c r="W666" s="3"/>
      <c r="X666" s="3"/>
      <c r="Y666" s="3"/>
      <c r="Z666" s="3"/>
    </row>
    <row r="667" spans="1:26" ht="14.25" customHeight="1">
      <c r="A667" s="1"/>
      <c r="B667" s="1"/>
      <c r="C667" s="1"/>
      <c r="D667" s="1"/>
      <c r="E667" s="19"/>
      <c r="F667" s="3"/>
      <c r="G667" s="3"/>
      <c r="H667" s="3"/>
      <c r="I667" s="3"/>
      <c r="J667" s="3"/>
      <c r="K667" s="3"/>
      <c r="L667" s="3"/>
      <c r="M667" s="3"/>
      <c r="N667" s="3"/>
      <c r="O667" s="3"/>
      <c r="P667" s="3"/>
      <c r="Q667" s="3"/>
      <c r="R667" s="3"/>
      <c r="S667" s="3"/>
      <c r="T667" s="3"/>
      <c r="U667" s="3"/>
      <c r="V667" s="3"/>
      <c r="W667" s="3"/>
      <c r="X667" s="3"/>
      <c r="Y667" s="3"/>
      <c r="Z667" s="3"/>
    </row>
    <row r="668" spans="1:26" ht="14.25" customHeight="1">
      <c r="A668" s="1"/>
      <c r="B668" s="1"/>
      <c r="C668" s="1"/>
      <c r="D668" s="1"/>
      <c r="E668" s="19"/>
      <c r="F668" s="3"/>
      <c r="G668" s="3"/>
      <c r="H668" s="3"/>
      <c r="I668" s="3"/>
      <c r="J668" s="3"/>
      <c r="K668" s="3"/>
      <c r="L668" s="3"/>
      <c r="M668" s="3"/>
      <c r="N668" s="3"/>
      <c r="O668" s="3"/>
      <c r="P668" s="3"/>
      <c r="Q668" s="3"/>
      <c r="R668" s="3"/>
      <c r="S668" s="3"/>
      <c r="T668" s="3"/>
      <c r="U668" s="3"/>
      <c r="V668" s="3"/>
      <c r="W668" s="3"/>
      <c r="X668" s="3"/>
      <c r="Y668" s="3"/>
      <c r="Z668" s="3"/>
    </row>
    <row r="669" spans="1:26" ht="14.25" customHeight="1">
      <c r="A669" s="1"/>
      <c r="B669" s="1"/>
      <c r="C669" s="1"/>
      <c r="D669" s="1"/>
      <c r="E669" s="19"/>
      <c r="F669" s="3"/>
      <c r="G669" s="3"/>
      <c r="H669" s="3"/>
      <c r="I669" s="3"/>
      <c r="J669" s="3"/>
      <c r="K669" s="3"/>
      <c r="L669" s="3"/>
      <c r="M669" s="3"/>
      <c r="N669" s="3"/>
      <c r="O669" s="3"/>
      <c r="P669" s="3"/>
      <c r="Q669" s="3"/>
      <c r="R669" s="3"/>
      <c r="S669" s="3"/>
      <c r="T669" s="3"/>
      <c r="U669" s="3"/>
      <c r="V669" s="3"/>
      <c r="W669" s="3"/>
      <c r="X669" s="3"/>
      <c r="Y669" s="3"/>
      <c r="Z669" s="3"/>
    </row>
    <row r="670" spans="1:26" ht="14.25" customHeight="1">
      <c r="A670" s="1"/>
      <c r="B670" s="1"/>
      <c r="C670" s="1"/>
      <c r="D670" s="1"/>
      <c r="E670" s="19"/>
      <c r="F670" s="3"/>
      <c r="G670" s="3"/>
      <c r="H670" s="3"/>
      <c r="I670" s="3"/>
      <c r="J670" s="3"/>
      <c r="K670" s="3"/>
      <c r="L670" s="3"/>
      <c r="M670" s="3"/>
      <c r="N670" s="3"/>
      <c r="O670" s="3"/>
      <c r="P670" s="3"/>
      <c r="Q670" s="3"/>
      <c r="R670" s="3"/>
      <c r="S670" s="3"/>
      <c r="T670" s="3"/>
      <c r="U670" s="3"/>
      <c r="V670" s="3"/>
      <c r="W670" s="3"/>
      <c r="X670" s="3"/>
      <c r="Y670" s="3"/>
      <c r="Z670" s="3"/>
    </row>
    <row r="671" spans="1:26" ht="14.25" customHeight="1">
      <c r="A671" s="1"/>
      <c r="B671" s="1"/>
      <c r="C671" s="1"/>
      <c r="D671" s="1"/>
      <c r="E671" s="19"/>
      <c r="F671" s="3"/>
      <c r="G671" s="3"/>
      <c r="H671" s="3"/>
      <c r="I671" s="3"/>
      <c r="J671" s="3"/>
      <c r="K671" s="3"/>
      <c r="L671" s="3"/>
      <c r="M671" s="3"/>
      <c r="N671" s="3"/>
      <c r="O671" s="3"/>
      <c r="P671" s="3"/>
      <c r="Q671" s="3"/>
      <c r="R671" s="3"/>
      <c r="S671" s="3"/>
      <c r="T671" s="3"/>
      <c r="U671" s="3"/>
      <c r="V671" s="3"/>
      <c r="W671" s="3"/>
      <c r="X671" s="3"/>
      <c r="Y671" s="3"/>
      <c r="Z671" s="3"/>
    </row>
    <row r="672" spans="1:26" ht="14.25" customHeight="1">
      <c r="A672" s="1"/>
      <c r="B672" s="1"/>
      <c r="C672" s="1"/>
      <c r="D672" s="1"/>
      <c r="E672" s="19"/>
      <c r="F672" s="3"/>
      <c r="G672" s="3"/>
      <c r="H672" s="3"/>
      <c r="I672" s="3"/>
      <c r="J672" s="3"/>
      <c r="K672" s="3"/>
      <c r="L672" s="3"/>
      <c r="M672" s="3"/>
      <c r="N672" s="3"/>
      <c r="O672" s="3"/>
      <c r="P672" s="3"/>
      <c r="Q672" s="3"/>
      <c r="R672" s="3"/>
      <c r="S672" s="3"/>
      <c r="T672" s="3"/>
      <c r="U672" s="3"/>
      <c r="V672" s="3"/>
      <c r="W672" s="3"/>
      <c r="X672" s="3"/>
      <c r="Y672" s="3"/>
      <c r="Z672" s="3"/>
    </row>
    <row r="673" spans="1:26" ht="14.25" customHeight="1">
      <c r="A673" s="1"/>
      <c r="B673" s="1"/>
      <c r="C673" s="1"/>
      <c r="D673" s="1"/>
      <c r="E673" s="19"/>
      <c r="F673" s="3"/>
      <c r="G673" s="3"/>
      <c r="H673" s="3"/>
      <c r="I673" s="3"/>
      <c r="J673" s="3"/>
      <c r="K673" s="3"/>
      <c r="L673" s="3"/>
      <c r="M673" s="3"/>
      <c r="N673" s="3"/>
      <c r="O673" s="3"/>
      <c r="P673" s="3"/>
      <c r="Q673" s="3"/>
      <c r="R673" s="3"/>
      <c r="S673" s="3"/>
      <c r="T673" s="3"/>
      <c r="U673" s="3"/>
      <c r="V673" s="3"/>
      <c r="W673" s="3"/>
      <c r="X673" s="3"/>
      <c r="Y673" s="3"/>
      <c r="Z673" s="3"/>
    </row>
    <row r="674" spans="1:26" ht="14.25" customHeight="1">
      <c r="A674" s="1"/>
      <c r="B674" s="1"/>
      <c r="C674" s="1"/>
      <c r="D674" s="1"/>
      <c r="E674" s="19"/>
      <c r="F674" s="3"/>
      <c r="G674" s="3"/>
      <c r="H674" s="3"/>
      <c r="I674" s="3"/>
      <c r="J674" s="3"/>
      <c r="K674" s="3"/>
      <c r="L674" s="3"/>
      <c r="M674" s="3"/>
      <c r="N674" s="3"/>
      <c r="O674" s="3"/>
      <c r="P674" s="3"/>
      <c r="Q674" s="3"/>
      <c r="R674" s="3"/>
      <c r="S674" s="3"/>
      <c r="T674" s="3"/>
      <c r="U674" s="3"/>
      <c r="V674" s="3"/>
      <c r="W674" s="3"/>
      <c r="X674" s="3"/>
      <c r="Y674" s="3"/>
      <c r="Z674" s="3"/>
    </row>
    <row r="675" spans="1:26" ht="14.25" customHeight="1">
      <c r="A675" s="1"/>
      <c r="B675" s="1"/>
      <c r="C675" s="1"/>
      <c r="D675" s="1"/>
      <c r="E675" s="19"/>
      <c r="F675" s="3"/>
      <c r="G675" s="3"/>
      <c r="H675" s="3"/>
      <c r="I675" s="3"/>
      <c r="J675" s="3"/>
      <c r="K675" s="3"/>
      <c r="L675" s="3"/>
      <c r="M675" s="3"/>
      <c r="N675" s="3"/>
      <c r="O675" s="3"/>
      <c r="P675" s="3"/>
      <c r="Q675" s="3"/>
      <c r="R675" s="3"/>
      <c r="S675" s="3"/>
      <c r="T675" s="3"/>
      <c r="U675" s="3"/>
      <c r="V675" s="3"/>
      <c r="W675" s="3"/>
      <c r="X675" s="3"/>
      <c r="Y675" s="3"/>
      <c r="Z675" s="3"/>
    </row>
    <row r="676" spans="1:26" ht="14.25" customHeight="1">
      <c r="A676" s="1"/>
      <c r="B676" s="1"/>
      <c r="C676" s="1"/>
      <c r="D676" s="1"/>
      <c r="E676" s="19"/>
      <c r="F676" s="3"/>
      <c r="G676" s="3"/>
      <c r="H676" s="3"/>
      <c r="I676" s="3"/>
      <c r="J676" s="3"/>
      <c r="K676" s="3"/>
      <c r="L676" s="3"/>
      <c r="M676" s="3"/>
      <c r="N676" s="3"/>
      <c r="O676" s="3"/>
      <c r="P676" s="3"/>
      <c r="Q676" s="3"/>
      <c r="R676" s="3"/>
      <c r="S676" s="3"/>
      <c r="T676" s="3"/>
      <c r="U676" s="3"/>
      <c r="V676" s="3"/>
      <c r="W676" s="3"/>
      <c r="X676" s="3"/>
      <c r="Y676" s="3"/>
      <c r="Z676" s="3"/>
    </row>
    <row r="677" spans="1:26" ht="14.25" customHeight="1">
      <c r="A677" s="1"/>
      <c r="B677" s="1"/>
      <c r="C677" s="1"/>
      <c r="D677" s="1"/>
      <c r="E677" s="19"/>
      <c r="F677" s="3"/>
      <c r="G677" s="3"/>
      <c r="H677" s="3"/>
      <c r="I677" s="3"/>
      <c r="J677" s="3"/>
      <c r="K677" s="3"/>
      <c r="L677" s="3"/>
      <c r="M677" s="3"/>
      <c r="N677" s="3"/>
      <c r="O677" s="3"/>
      <c r="P677" s="3"/>
      <c r="Q677" s="3"/>
      <c r="R677" s="3"/>
      <c r="S677" s="3"/>
      <c r="T677" s="3"/>
      <c r="U677" s="3"/>
      <c r="V677" s="3"/>
      <c r="W677" s="3"/>
      <c r="X677" s="3"/>
      <c r="Y677" s="3"/>
      <c r="Z677" s="3"/>
    </row>
    <row r="678" spans="1:26" ht="14.25" customHeight="1">
      <c r="A678" s="1"/>
      <c r="B678" s="1"/>
      <c r="C678" s="1"/>
      <c r="D678" s="1"/>
      <c r="E678" s="19"/>
      <c r="F678" s="3"/>
      <c r="G678" s="3"/>
      <c r="H678" s="3"/>
      <c r="I678" s="3"/>
      <c r="J678" s="3"/>
      <c r="K678" s="3"/>
      <c r="L678" s="3"/>
      <c r="M678" s="3"/>
      <c r="N678" s="3"/>
      <c r="O678" s="3"/>
      <c r="P678" s="3"/>
      <c r="Q678" s="3"/>
      <c r="R678" s="3"/>
      <c r="S678" s="3"/>
      <c r="T678" s="3"/>
      <c r="U678" s="3"/>
      <c r="V678" s="3"/>
      <c r="W678" s="3"/>
      <c r="X678" s="3"/>
      <c r="Y678" s="3"/>
      <c r="Z678" s="3"/>
    </row>
    <row r="679" spans="1:26" ht="14.25" customHeight="1">
      <c r="A679" s="1"/>
      <c r="B679" s="1"/>
      <c r="C679" s="1"/>
      <c r="D679" s="1"/>
      <c r="E679" s="19"/>
      <c r="F679" s="3"/>
      <c r="G679" s="3"/>
      <c r="H679" s="3"/>
      <c r="I679" s="3"/>
      <c r="J679" s="3"/>
      <c r="K679" s="3"/>
      <c r="L679" s="3"/>
      <c r="M679" s="3"/>
      <c r="N679" s="3"/>
      <c r="O679" s="3"/>
      <c r="P679" s="3"/>
      <c r="Q679" s="3"/>
      <c r="R679" s="3"/>
      <c r="S679" s="3"/>
      <c r="T679" s="3"/>
      <c r="U679" s="3"/>
      <c r="V679" s="3"/>
      <c r="W679" s="3"/>
      <c r="X679" s="3"/>
      <c r="Y679" s="3"/>
      <c r="Z679" s="3"/>
    </row>
    <row r="680" spans="1:26" ht="14.25" customHeight="1">
      <c r="A680" s="1"/>
      <c r="B680" s="1"/>
      <c r="C680" s="1"/>
      <c r="D680" s="1"/>
      <c r="E680" s="19"/>
      <c r="F680" s="3"/>
      <c r="G680" s="3"/>
      <c r="H680" s="3"/>
      <c r="I680" s="3"/>
      <c r="J680" s="3"/>
      <c r="K680" s="3"/>
      <c r="L680" s="3"/>
      <c r="M680" s="3"/>
      <c r="N680" s="3"/>
      <c r="O680" s="3"/>
      <c r="P680" s="3"/>
      <c r="Q680" s="3"/>
      <c r="R680" s="3"/>
      <c r="S680" s="3"/>
      <c r="T680" s="3"/>
      <c r="U680" s="3"/>
      <c r="V680" s="3"/>
      <c r="W680" s="3"/>
      <c r="X680" s="3"/>
      <c r="Y680" s="3"/>
      <c r="Z680" s="3"/>
    </row>
    <row r="681" spans="1:26" ht="14.25" customHeight="1">
      <c r="A681" s="1"/>
      <c r="B681" s="1"/>
      <c r="C681" s="1"/>
      <c r="D681" s="1"/>
      <c r="E681" s="19"/>
      <c r="F681" s="3"/>
      <c r="G681" s="3"/>
      <c r="H681" s="3"/>
      <c r="I681" s="3"/>
      <c r="J681" s="3"/>
      <c r="K681" s="3"/>
      <c r="L681" s="3"/>
      <c r="M681" s="3"/>
      <c r="N681" s="3"/>
      <c r="O681" s="3"/>
      <c r="P681" s="3"/>
      <c r="Q681" s="3"/>
      <c r="R681" s="3"/>
      <c r="S681" s="3"/>
      <c r="T681" s="3"/>
      <c r="U681" s="3"/>
      <c r="V681" s="3"/>
      <c r="W681" s="3"/>
      <c r="X681" s="3"/>
      <c r="Y681" s="3"/>
      <c r="Z681" s="3"/>
    </row>
    <row r="682" spans="1:26" ht="14.25" customHeight="1">
      <c r="A682" s="1"/>
      <c r="B682" s="1"/>
      <c r="C682" s="1"/>
      <c r="D682" s="1"/>
      <c r="E682" s="19"/>
      <c r="F682" s="3"/>
      <c r="G682" s="3"/>
      <c r="H682" s="3"/>
      <c r="I682" s="3"/>
      <c r="J682" s="3"/>
      <c r="K682" s="3"/>
      <c r="L682" s="3"/>
      <c r="M682" s="3"/>
      <c r="N682" s="3"/>
      <c r="O682" s="3"/>
      <c r="P682" s="3"/>
      <c r="Q682" s="3"/>
      <c r="R682" s="3"/>
      <c r="S682" s="3"/>
      <c r="T682" s="3"/>
      <c r="U682" s="3"/>
      <c r="V682" s="3"/>
      <c r="W682" s="3"/>
      <c r="X682" s="3"/>
      <c r="Y682" s="3"/>
      <c r="Z682" s="3"/>
    </row>
    <row r="683" spans="1:26" ht="14.25" customHeight="1">
      <c r="A683" s="1"/>
      <c r="B683" s="1"/>
      <c r="C683" s="1"/>
      <c r="D683" s="1"/>
      <c r="E683" s="19"/>
      <c r="F683" s="3"/>
      <c r="G683" s="3"/>
      <c r="H683" s="3"/>
      <c r="I683" s="3"/>
      <c r="J683" s="3"/>
      <c r="K683" s="3"/>
      <c r="L683" s="3"/>
      <c r="M683" s="3"/>
      <c r="N683" s="3"/>
      <c r="O683" s="3"/>
      <c r="P683" s="3"/>
      <c r="Q683" s="3"/>
      <c r="R683" s="3"/>
      <c r="S683" s="3"/>
      <c r="T683" s="3"/>
      <c r="U683" s="3"/>
      <c r="V683" s="3"/>
      <c r="W683" s="3"/>
      <c r="X683" s="3"/>
      <c r="Y683" s="3"/>
      <c r="Z683" s="3"/>
    </row>
    <row r="684" spans="1:26" ht="14.25" customHeight="1">
      <c r="A684" s="1"/>
      <c r="B684" s="1"/>
      <c r="C684" s="1"/>
      <c r="D684" s="1"/>
      <c r="E684" s="19"/>
      <c r="F684" s="3"/>
      <c r="G684" s="3"/>
      <c r="H684" s="3"/>
      <c r="I684" s="3"/>
      <c r="J684" s="3"/>
      <c r="K684" s="3"/>
      <c r="L684" s="3"/>
      <c r="M684" s="3"/>
      <c r="N684" s="3"/>
      <c r="O684" s="3"/>
      <c r="P684" s="3"/>
      <c r="Q684" s="3"/>
      <c r="R684" s="3"/>
      <c r="S684" s="3"/>
      <c r="T684" s="3"/>
      <c r="U684" s="3"/>
      <c r="V684" s="3"/>
      <c r="W684" s="3"/>
      <c r="X684" s="3"/>
      <c r="Y684" s="3"/>
      <c r="Z684" s="3"/>
    </row>
    <row r="685" spans="1:26" ht="14.25" customHeight="1">
      <c r="A685" s="1"/>
      <c r="B685" s="1"/>
      <c r="C685" s="1"/>
      <c r="D685" s="1"/>
      <c r="E685" s="19"/>
      <c r="F685" s="3"/>
      <c r="G685" s="3"/>
      <c r="H685" s="3"/>
      <c r="I685" s="3"/>
      <c r="J685" s="3"/>
      <c r="K685" s="3"/>
      <c r="L685" s="3"/>
      <c r="M685" s="3"/>
      <c r="N685" s="3"/>
      <c r="O685" s="3"/>
      <c r="P685" s="3"/>
      <c r="Q685" s="3"/>
      <c r="R685" s="3"/>
      <c r="S685" s="3"/>
      <c r="T685" s="3"/>
      <c r="U685" s="3"/>
      <c r="V685" s="3"/>
      <c r="W685" s="3"/>
      <c r="X685" s="3"/>
      <c r="Y685" s="3"/>
      <c r="Z685" s="3"/>
    </row>
    <row r="686" spans="1:26" ht="14.25" customHeight="1">
      <c r="A686" s="1"/>
      <c r="B686" s="1"/>
      <c r="C686" s="1"/>
      <c r="D686" s="1"/>
      <c r="E686" s="19"/>
      <c r="F686" s="3"/>
      <c r="G686" s="3"/>
      <c r="H686" s="3"/>
      <c r="I686" s="3"/>
      <c r="J686" s="3"/>
      <c r="K686" s="3"/>
      <c r="L686" s="3"/>
      <c r="M686" s="3"/>
      <c r="N686" s="3"/>
      <c r="O686" s="3"/>
      <c r="P686" s="3"/>
      <c r="Q686" s="3"/>
      <c r="R686" s="3"/>
      <c r="S686" s="3"/>
      <c r="T686" s="3"/>
      <c r="U686" s="3"/>
      <c r="V686" s="3"/>
      <c r="W686" s="3"/>
      <c r="X686" s="3"/>
      <c r="Y686" s="3"/>
      <c r="Z686" s="3"/>
    </row>
    <row r="687" spans="1:26" ht="14.25" customHeight="1">
      <c r="A687" s="1"/>
      <c r="B687" s="1"/>
      <c r="C687" s="1"/>
      <c r="D687" s="1"/>
      <c r="E687" s="19"/>
      <c r="F687" s="3"/>
      <c r="G687" s="3"/>
      <c r="H687" s="3"/>
      <c r="I687" s="3"/>
      <c r="J687" s="3"/>
      <c r="K687" s="3"/>
      <c r="L687" s="3"/>
      <c r="M687" s="3"/>
      <c r="N687" s="3"/>
      <c r="O687" s="3"/>
      <c r="P687" s="3"/>
      <c r="Q687" s="3"/>
      <c r="R687" s="3"/>
      <c r="S687" s="3"/>
      <c r="T687" s="3"/>
      <c r="U687" s="3"/>
      <c r="V687" s="3"/>
      <c r="W687" s="3"/>
      <c r="X687" s="3"/>
      <c r="Y687" s="3"/>
      <c r="Z687" s="3"/>
    </row>
    <row r="688" spans="1:26" ht="14.25" customHeight="1">
      <c r="A688" s="1"/>
      <c r="B688" s="1"/>
      <c r="C688" s="1"/>
      <c r="D688" s="1"/>
      <c r="E688" s="19"/>
      <c r="F688" s="3"/>
      <c r="G688" s="3"/>
      <c r="H688" s="3"/>
      <c r="I688" s="3"/>
      <c r="J688" s="3"/>
      <c r="K688" s="3"/>
      <c r="L688" s="3"/>
      <c r="M688" s="3"/>
      <c r="N688" s="3"/>
      <c r="O688" s="3"/>
      <c r="P688" s="3"/>
      <c r="Q688" s="3"/>
      <c r="R688" s="3"/>
      <c r="S688" s="3"/>
      <c r="T688" s="3"/>
      <c r="U688" s="3"/>
      <c r="V688" s="3"/>
      <c r="W688" s="3"/>
      <c r="X688" s="3"/>
      <c r="Y688" s="3"/>
      <c r="Z688" s="3"/>
    </row>
    <row r="689" spans="1:26" ht="14.25" customHeight="1">
      <c r="A689" s="1"/>
      <c r="B689" s="1"/>
      <c r="C689" s="1"/>
      <c r="D689" s="1"/>
      <c r="E689" s="19"/>
      <c r="F689" s="3"/>
      <c r="G689" s="3"/>
      <c r="H689" s="3"/>
      <c r="I689" s="3"/>
      <c r="J689" s="3"/>
      <c r="K689" s="3"/>
      <c r="L689" s="3"/>
      <c r="M689" s="3"/>
      <c r="N689" s="3"/>
      <c r="O689" s="3"/>
      <c r="P689" s="3"/>
      <c r="Q689" s="3"/>
      <c r="R689" s="3"/>
      <c r="S689" s="3"/>
      <c r="T689" s="3"/>
      <c r="U689" s="3"/>
      <c r="V689" s="3"/>
      <c r="W689" s="3"/>
      <c r="X689" s="3"/>
      <c r="Y689" s="3"/>
      <c r="Z689" s="3"/>
    </row>
    <row r="690" spans="1:26" ht="14.25" customHeight="1">
      <c r="A690" s="1"/>
      <c r="B690" s="1"/>
      <c r="C690" s="1"/>
      <c r="D690" s="1"/>
      <c r="E690" s="19"/>
      <c r="F690" s="3"/>
      <c r="G690" s="3"/>
      <c r="H690" s="3"/>
      <c r="I690" s="3"/>
      <c r="J690" s="3"/>
      <c r="K690" s="3"/>
      <c r="L690" s="3"/>
      <c r="M690" s="3"/>
      <c r="N690" s="3"/>
      <c r="O690" s="3"/>
      <c r="P690" s="3"/>
      <c r="Q690" s="3"/>
      <c r="R690" s="3"/>
      <c r="S690" s="3"/>
      <c r="T690" s="3"/>
      <c r="U690" s="3"/>
      <c r="V690" s="3"/>
      <c r="W690" s="3"/>
      <c r="X690" s="3"/>
      <c r="Y690" s="3"/>
      <c r="Z690" s="3"/>
    </row>
    <row r="691" spans="1:26" ht="14.25" customHeight="1">
      <c r="A691" s="1"/>
      <c r="B691" s="1"/>
      <c r="C691" s="1"/>
      <c r="D691" s="1"/>
      <c r="E691" s="19"/>
      <c r="F691" s="3"/>
      <c r="G691" s="3"/>
      <c r="H691" s="3"/>
      <c r="I691" s="3"/>
      <c r="J691" s="3"/>
      <c r="K691" s="3"/>
      <c r="L691" s="3"/>
      <c r="M691" s="3"/>
      <c r="N691" s="3"/>
      <c r="O691" s="3"/>
      <c r="P691" s="3"/>
      <c r="Q691" s="3"/>
      <c r="R691" s="3"/>
      <c r="S691" s="3"/>
      <c r="T691" s="3"/>
      <c r="U691" s="3"/>
      <c r="V691" s="3"/>
      <c r="W691" s="3"/>
      <c r="X691" s="3"/>
      <c r="Y691" s="3"/>
      <c r="Z691" s="3"/>
    </row>
    <row r="692" spans="1:26" ht="14.25" customHeight="1">
      <c r="A692" s="1"/>
      <c r="B692" s="1"/>
      <c r="C692" s="1"/>
      <c r="D692" s="1"/>
      <c r="E692" s="19"/>
      <c r="F692" s="3"/>
      <c r="G692" s="3"/>
      <c r="H692" s="3"/>
      <c r="I692" s="3"/>
      <c r="J692" s="3"/>
      <c r="K692" s="3"/>
      <c r="L692" s="3"/>
      <c r="M692" s="3"/>
      <c r="N692" s="3"/>
      <c r="O692" s="3"/>
      <c r="P692" s="3"/>
      <c r="Q692" s="3"/>
      <c r="R692" s="3"/>
      <c r="S692" s="3"/>
      <c r="T692" s="3"/>
      <c r="U692" s="3"/>
      <c r="V692" s="3"/>
      <c r="W692" s="3"/>
      <c r="X692" s="3"/>
      <c r="Y692" s="3"/>
      <c r="Z692" s="3"/>
    </row>
    <row r="693" spans="1:26" ht="14.25" customHeight="1">
      <c r="A693" s="1"/>
      <c r="B693" s="1"/>
      <c r="C693" s="1"/>
      <c r="D693" s="1"/>
      <c r="E693" s="19"/>
      <c r="F693" s="3"/>
      <c r="G693" s="3"/>
      <c r="H693" s="3"/>
      <c r="I693" s="3"/>
      <c r="J693" s="3"/>
      <c r="K693" s="3"/>
      <c r="L693" s="3"/>
      <c r="M693" s="3"/>
      <c r="N693" s="3"/>
      <c r="O693" s="3"/>
      <c r="P693" s="3"/>
      <c r="Q693" s="3"/>
      <c r="R693" s="3"/>
      <c r="S693" s="3"/>
      <c r="T693" s="3"/>
      <c r="U693" s="3"/>
      <c r="V693" s="3"/>
      <c r="W693" s="3"/>
      <c r="X693" s="3"/>
      <c r="Y693" s="3"/>
      <c r="Z693" s="3"/>
    </row>
    <row r="694" spans="1:26" ht="14.25" customHeight="1">
      <c r="A694" s="1"/>
      <c r="B694" s="1"/>
      <c r="C694" s="1"/>
      <c r="D694" s="1"/>
      <c r="E694" s="19"/>
      <c r="F694" s="3"/>
      <c r="G694" s="3"/>
      <c r="H694" s="3"/>
      <c r="I694" s="3"/>
      <c r="J694" s="3"/>
      <c r="K694" s="3"/>
      <c r="L694" s="3"/>
      <c r="M694" s="3"/>
      <c r="N694" s="3"/>
      <c r="O694" s="3"/>
      <c r="P694" s="3"/>
      <c r="Q694" s="3"/>
      <c r="R694" s="3"/>
      <c r="S694" s="3"/>
      <c r="T694" s="3"/>
      <c r="U694" s="3"/>
      <c r="V694" s="3"/>
      <c r="W694" s="3"/>
      <c r="X694" s="3"/>
      <c r="Y694" s="3"/>
      <c r="Z694" s="3"/>
    </row>
    <row r="695" spans="1:26" ht="14.25" customHeight="1">
      <c r="A695" s="1"/>
      <c r="B695" s="1"/>
      <c r="C695" s="1"/>
      <c r="D695" s="1"/>
      <c r="E695" s="19"/>
      <c r="F695" s="3"/>
      <c r="G695" s="3"/>
      <c r="H695" s="3"/>
      <c r="I695" s="3"/>
      <c r="J695" s="3"/>
      <c r="K695" s="3"/>
      <c r="L695" s="3"/>
      <c r="M695" s="3"/>
      <c r="N695" s="3"/>
      <c r="O695" s="3"/>
      <c r="P695" s="3"/>
      <c r="Q695" s="3"/>
      <c r="R695" s="3"/>
      <c r="S695" s="3"/>
      <c r="T695" s="3"/>
      <c r="U695" s="3"/>
      <c r="V695" s="3"/>
      <c r="W695" s="3"/>
      <c r="X695" s="3"/>
      <c r="Y695" s="3"/>
      <c r="Z695" s="3"/>
    </row>
    <row r="696" spans="1:26" ht="14.25" customHeight="1">
      <c r="A696" s="1"/>
      <c r="B696" s="1"/>
      <c r="C696" s="1"/>
      <c r="D696" s="1"/>
      <c r="E696" s="19"/>
      <c r="F696" s="3"/>
      <c r="G696" s="3"/>
      <c r="H696" s="3"/>
      <c r="I696" s="3"/>
      <c r="J696" s="3"/>
      <c r="K696" s="3"/>
      <c r="L696" s="3"/>
      <c r="M696" s="3"/>
      <c r="N696" s="3"/>
      <c r="O696" s="3"/>
      <c r="P696" s="3"/>
      <c r="Q696" s="3"/>
      <c r="R696" s="3"/>
      <c r="S696" s="3"/>
      <c r="T696" s="3"/>
      <c r="U696" s="3"/>
      <c r="V696" s="3"/>
      <c r="W696" s="3"/>
      <c r="X696" s="3"/>
      <c r="Y696" s="3"/>
      <c r="Z696" s="3"/>
    </row>
    <row r="697" spans="1:26" ht="14.25" customHeight="1">
      <c r="A697" s="1"/>
      <c r="B697" s="1"/>
      <c r="C697" s="1"/>
      <c r="D697" s="1"/>
      <c r="E697" s="19"/>
      <c r="F697" s="3"/>
      <c r="G697" s="3"/>
      <c r="H697" s="3"/>
      <c r="I697" s="3"/>
      <c r="J697" s="3"/>
      <c r="K697" s="3"/>
      <c r="L697" s="3"/>
      <c r="M697" s="3"/>
      <c r="N697" s="3"/>
      <c r="O697" s="3"/>
      <c r="P697" s="3"/>
      <c r="Q697" s="3"/>
      <c r="R697" s="3"/>
      <c r="S697" s="3"/>
      <c r="T697" s="3"/>
      <c r="U697" s="3"/>
      <c r="V697" s="3"/>
      <c r="W697" s="3"/>
      <c r="X697" s="3"/>
      <c r="Y697" s="3"/>
      <c r="Z697" s="3"/>
    </row>
    <row r="698" spans="1:26" ht="14.25" customHeight="1">
      <c r="A698" s="1"/>
      <c r="B698" s="1"/>
      <c r="C698" s="1"/>
      <c r="D698" s="1"/>
      <c r="E698" s="19"/>
      <c r="F698" s="3"/>
      <c r="G698" s="3"/>
      <c r="H698" s="3"/>
      <c r="I698" s="3"/>
      <c r="J698" s="3"/>
      <c r="K698" s="3"/>
      <c r="L698" s="3"/>
      <c r="M698" s="3"/>
      <c r="N698" s="3"/>
      <c r="O698" s="3"/>
      <c r="P698" s="3"/>
      <c r="Q698" s="3"/>
      <c r="R698" s="3"/>
      <c r="S698" s="3"/>
      <c r="T698" s="3"/>
      <c r="U698" s="3"/>
      <c r="V698" s="3"/>
      <c r="W698" s="3"/>
      <c r="X698" s="3"/>
      <c r="Y698" s="3"/>
      <c r="Z698" s="3"/>
    </row>
    <row r="699" spans="1:26" ht="14.25" customHeight="1">
      <c r="A699" s="1"/>
      <c r="B699" s="1"/>
      <c r="C699" s="1"/>
      <c r="D699" s="1"/>
      <c r="E699" s="19"/>
      <c r="F699" s="3"/>
      <c r="G699" s="3"/>
      <c r="H699" s="3"/>
      <c r="I699" s="3"/>
      <c r="J699" s="3"/>
      <c r="K699" s="3"/>
      <c r="L699" s="3"/>
      <c r="M699" s="3"/>
      <c r="N699" s="3"/>
      <c r="O699" s="3"/>
      <c r="P699" s="3"/>
      <c r="Q699" s="3"/>
      <c r="R699" s="3"/>
      <c r="S699" s="3"/>
      <c r="T699" s="3"/>
      <c r="U699" s="3"/>
      <c r="V699" s="3"/>
      <c r="W699" s="3"/>
      <c r="X699" s="3"/>
      <c r="Y699" s="3"/>
      <c r="Z699" s="3"/>
    </row>
    <row r="700" spans="1:26" ht="14.25" customHeight="1">
      <c r="A700" s="1"/>
      <c r="B700" s="1"/>
      <c r="C700" s="1"/>
      <c r="D700" s="1"/>
      <c r="E700" s="19"/>
      <c r="F700" s="3"/>
      <c r="G700" s="3"/>
      <c r="H700" s="3"/>
      <c r="I700" s="3"/>
      <c r="J700" s="3"/>
      <c r="K700" s="3"/>
      <c r="L700" s="3"/>
      <c r="M700" s="3"/>
      <c r="N700" s="3"/>
      <c r="O700" s="3"/>
      <c r="P700" s="3"/>
      <c r="Q700" s="3"/>
      <c r="R700" s="3"/>
      <c r="S700" s="3"/>
      <c r="T700" s="3"/>
      <c r="U700" s="3"/>
      <c r="V700" s="3"/>
      <c r="W700" s="3"/>
      <c r="X700" s="3"/>
      <c r="Y700" s="3"/>
      <c r="Z700" s="3"/>
    </row>
    <row r="701" spans="1:26" ht="14.25" customHeight="1">
      <c r="A701" s="1"/>
      <c r="B701" s="1"/>
      <c r="C701" s="1"/>
      <c r="D701" s="1"/>
      <c r="E701" s="19"/>
      <c r="F701" s="3"/>
      <c r="G701" s="3"/>
      <c r="H701" s="3"/>
      <c r="I701" s="3"/>
      <c r="J701" s="3"/>
      <c r="K701" s="3"/>
      <c r="L701" s="3"/>
      <c r="M701" s="3"/>
      <c r="N701" s="3"/>
      <c r="O701" s="3"/>
      <c r="P701" s="3"/>
      <c r="Q701" s="3"/>
      <c r="R701" s="3"/>
      <c r="S701" s="3"/>
      <c r="T701" s="3"/>
      <c r="U701" s="3"/>
      <c r="V701" s="3"/>
      <c r="W701" s="3"/>
      <c r="X701" s="3"/>
      <c r="Y701" s="3"/>
      <c r="Z701" s="3"/>
    </row>
    <row r="702" spans="1:26" ht="14.25" customHeight="1">
      <c r="A702" s="1"/>
      <c r="B702" s="1"/>
      <c r="C702" s="1"/>
      <c r="D702" s="1"/>
      <c r="E702" s="19"/>
      <c r="F702" s="3"/>
      <c r="G702" s="3"/>
      <c r="H702" s="3"/>
      <c r="I702" s="3"/>
      <c r="J702" s="3"/>
      <c r="K702" s="3"/>
      <c r="L702" s="3"/>
      <c r="M702" s="3"/>
      <c r="N702" s="3"/>
      <c r="O702" s="3"/>
      <c r="P702" s="3"/>
      <c r="Q702" s="3"/>
      <c r="R702" s="3"/>
      <c r="S702" s="3"/>
      <c r="T702" s="3"/>
      <c r="U702" s="3"/>
      <c r="V702" s="3"/>
      <c r="W702" s="3"/>
      <c r="X702" s="3"/>
      <c r="Y702" s="3"/>
      <c r="Z702" s="3"/>
    </row>
    <row r="703" spans="1:26" ht="14.25" customHeight="1">
      <c r="A703" s="1"/>
      <c r="B703" s="1"/>
      <c r="C703" s="1"/>
      <c r="D703" s="1"/>
      <c r="E703" s="19"/>
      <c r="F703" s="3"/>
      <c r="G703" s="3"/>
      <c r="H703" s="3"/>
      <c r="I703" s="3"/>
      <c r="J703" s="3"/>
      <c r="K703" s="3"/>
      <c r="L703" s="3"/>
      <c r="M703" s="3"/>
      <c r="N703" s="3"/>
      <c r="O703" s="3"/>
      <c r="P703" s="3"/>
      <c r="Q703" s="3"/>
      <c r="R703" s="3"/>
      <c r="S703" s="3"/>
      <c r="T703" s="3"/>
      <c r="U703" s="3"/>
      <c r="V703" s="3"/>
      <c r="W703" s="3"/>
      <c r="X703" s="3"/>
      <c r="Y703" s="3"/>
      <c r="Z703" s="3"/>
    </row>
    <row r="704" spans="1:26" ht="14.25" customHeight="1">
      <c r="A704" s="1"/>
      <c r="B704" s="1"/>
      <c r="C704" s="1"/>
      <c r="D704" s="1"/>
      <c r="E704" s="19"/>
      <c r="F704" s="3"/>
      <c r="G704" s="3"/>
      <c r="H704" s="3"/>
      <c r="I704" s="3"/>
      <c r="J704" s="3"/>
      <c r="K704" s="3"/>
      <c r="L704" s="3"/>
      <c r="M704" s="3"/>
      <c r="N704" s="3"/>
      <c r="O704" s="3"/>
      <c r="P704" s="3"/>
      <c r="Q704" s="3"/>
      <c r="R704" s="3"/>
      <c r="S704" s="3"/>
      <c r="T704" s="3"/>
      <c r="U704" s="3"/>
      <c r="V704" s="3"/>
      <c r="W704" s="3"/>
      <c r="X704" s="3"/>
      <c r="Y704" s="3"/>
      <c r="Z704" s="3"/>
    </row>
    <row r="705" spans="1:26" ht="14.25" customHeight="1">
      <c r="A705" s="1"/>
      <c r="B705" s="1"/>
      <c r="C705" s="1"/>
      <c r="D705" s="1"/>
      <c r="E705" s="19"/>
      <c r="F705" s="3"/>
      <c r="G705" s="3"/>
      <c r="H705" s="3"/>
      <c r="I705" s="3"/>
      <c r="J705" s="3"/>
      <c r="K705" s="3"/>
      <c r="L705" s="3"/>
      <c r="M705" s="3"/>
      <c r="N705" s="3"/>
      <c r="O705" s="3"/>
      <c r="P705" s="3"/>
      <c r="Q705" s="3"/>
      <c r="R705" s="3"/>
      <c r="S705" s="3"/>
      <c r="T705" s="3"/>
      <c r="U705" s="3"/>
      <c r="V705" s="3"/>
      <c r="W705" s="3"/>
      <c r="X705" s="3"/>
      <c r="Y705" s="3"/>
      <c r="Z705" s="3"/>
    </row>
    <row r="706" spans="1:26" ht="14.25" customHeight="1">
      <c r="A706" s="1"/>
      <c r="B706" s="1"/>
      <c r="C706" s="1"/>
      <c r="D706" s="1"/>
      <c r="E706" s="19"/>
      <c r="F706" s="3"/>
      <c r="G706" s="3"/>
      <c r="H706" s="3"/>
      <c r="I706" s="3"/>
      <c r="J706" s="3"/>
      <c r="K706" s="3"/>
      <c r="L706" s="3"/>
      <c r="M706" s="3"/>
      <c r="N706" s="3"/>
      <c r="O706" s="3"/>
      <c r="P706" s="3"/>
      <c r="Q706" s="3"/>
      <c r="R706" s="3"/>
      <c r="S706" s="3"/>
      <c r="T706" s="3"/>
      <c r="U706" s="3"/>
      <c r="V706" s="3"/>
      <c r="W706" s="3"/>
      <c r="X706" s="3"/>
      <c r="Y706" s="3"/>
      <c r="Z706" s="3"/>
    </row>
    <row r="707" spans="1:26" ht="14.25" customHeight="1">
      <c r="A707" s="1"/>
      <c r="B707" s="1"/>
      <c r="C707" s="1"/>
      <c r="D707" s="1"/>
      <c r="E707" s="19"/>
      <c r="F707" s="3"/>
      <c r="G707" s="3"/>
      <c r="H707" s="3"/>
      <c r="I707" s="3"/>
      <c r="J707" s="3"/>
      <c r="K707" s="3"/>
      <c r="L707" s="3"/>
      <c r="M707" s="3"/>
      <c r="N707" s="3"/>
      <c r="O707" s="3"/>
      <c r="P707" s="3"/>
      <c r="Q707" s="3"/>
      <c r="R707" s="3"/>
      <c r="S707" s="3"/>
      <c r="T707" s="3"/>
      <c r="U707" s="3"/>
      <c r="V707" s="3"/>
      <c r="W707" s="3"/>
      <c r="X707" s="3"/>
      <c r="Y707" s="3"/>
      <c r="Z707" s="3"/>
    </row>
    <row r="708" spans="1:26" ht="14.25" customHeight="1">
      <c r="A708" s="1"/>
      <c r="B708" s="1"/>
      <c r="C708" s="1"/>
      <c r="D708" s="1"/>
      <c r="E708" s="19"/>
      <c r="F708" s="3"/>
      <c r="G708" s="3"/>
      <c r="H708" s="3"/>
      <c r="I708" s="3"/>
      <c r="J708" s="3"/>
      <c r="K708" s="3"/>
      <c r="L708" s="3"/>
      <c r="M708" s="3"/>
      <c r="N708" s="3"/>
      <c r="O708" s="3"/>
      <c r="P708" s="3"/>
      <c r="Q708" s="3"/>
      <c r="R708" s="3"/>
      <c r="S708" s="3"/>
      <c r="T708" s="3"/>
      <c r="U708" s="3"/>
      <c r="V708" s="3"/>
      <c r="W708" s="3"/>
      <c r="X708" s="3"/>
      <c r="Y708" s="3"/>
      <c r="Z708" s="3"/>
    </row>
    <row r="709" spans="1:26" ht="14.25" customHeight="1">
      <c r="A709" s="1"/>
      <c r="B709" s="1"/>
      <c r="C709" s="1"/>
      <c r="D709" s="1"/>
      <c r="E709" s="19"/>
      <c r="F709" s="3"/>
      <c r="G709" s="3"/>
      <c r="H709" s="3"/>
      <c r="I709" s="3"/>
      <c r="J709" s="3"/>
      <c r="K709" s="3"/>
      <c r="L709" s="3"/>
      <c r="M709" s="3"/>
      <c r="N709" s="3"/>
      <c r="O709" s="3"/>
      <c r="P709" s="3"/>
      <c r="Q709" s="3"/>
      <c r="R709" s="3"/>
      <c r="S709" s="3"/>
      <c r="T709" s="3"/>
      <c r="U709" s="3"/>
      <c r="V709" s="3"/>
      <c r="W709" s="3"/>
      <c r="X709" s="3"/>
      <c r="Y709" s="3"/>
      <c r="Z709" s="3"/>
    </row>
    <row r="710" spans="1:26" ht="14.25" customHeight="1">
      <c r="A710" s="1"/>
      <c r="B710" s="1"/>
      <c r="C710" s="1"/>
      <c r="D710" s="1"/>
      <c r="E710" s="19"/>
      <c r="F710" s="3"/>
      <c r="G710" s="3"/>
      <c r="H710" s="3"/>
      <c r="I710" s="3"/>
      <c r="J710" s="3"/>
      <c r="K710" s="3"/>
      <c r="L710" s="3"/>
      <c r="M710" s="3"/>
      <c r="N710" s="3"/>
      <c r="O710" s="3"/>
      <c r="P710" s="3"/>
      <c r="Q710" s="3"/>
      <c r="R710" s="3"/>
      <c r="S710" s="3"/>
      <c r="T710" s="3"/>
      <c r="U710" s="3"/>
      <c r="V710" s="3"/>
      <c r="W710" s="3"/>
      <c r="X710" s="3"/>
      <c r="Y710" s="3"/>
      <c r="Z710" s="3"/>
    </row>
    <row r="711" spans="1:26" ht="14.25" customHeight="1">
      <c r="A711" s="1"/>
      <c r="B711" s="1"/>
      <c r="C711" s="1"/>
      <c r="D711" s="1"/>
      <c r="E711" s="19"/>
      <c r="F711" s="3"/>
      <c r="G711" s="3"/>
      <c r="H711" s="3"/>
      <c r="I711" s="3"/>
      <c r="J711" s="3"/>
      <c r="K711" s="3"/>
      <c r="L711" s="3"/>
      <c r="M711" s="3"/>
      <c r="N711" s="3"/>
      <c r="O711" s="3"/>
      <c r="P711" s="3"/>
      <c r="Q711" s="3"/>
      <c r="R711" s="3"/>
      <c r="S711" s="3"/>
      <c r="T711" s="3"/>
      <c r="U711" s="3"/>
      <c r="V711" s="3"/>
      <c r="W711" s="3"/>
      <c r="X711" s="3"/>
      <c r="Y711" s="3"/>
      <c r="Z711" s="3"/>
    </row>
    <row r="712" spans="1:26" ht="14.25" customHeight="1">
      <c r="A712" s="1"/>
      <c r="B712" s="1"/>
      <c r="C712" s="1"/>
      <c r="D712" s="1"/>
      <c r="E712" s="19"/>
      <c r="F712" s="3"/>
      <c r="G712" s="3"/>
      <c r="H712" s="3"/>
      <c r="I712" s="3"/>
      <c r="J712" s="3"/>
      <c r="K712" s="3"/>
      <c r="L712" s="3"/>
      <c r="M712" s="3"/>
      <c r="N712" s="3"/>
      <c r="O712" s="3"/>
      <c r="P712" s="3"/>
      <c r="Q712" s="3"/>
      <c r="R712" s="3"/>
      <c r="S712" s="3"/>
      <c r="T712" s="3"/>
      <c r="U712" s="3"/>
      <c r="V712" s="3"/>
      <c r="W712" s="3"/>
      <c r="X712" s="3"/>
      <c r="Y712" s="3"/>
      <c r="Z712" s="3"/>
    </row>
    <row r="713" spans="1:26" ht="14.25" customHeight="1">
      <c r="A713" s="1"/>
      <c r="B713" s="1"/>
      <c r="C713" s="1"/>
      <c r="D713" s="1"/>
      <c r="E713" s="19"/>
      <c r="F713" s="3"/>
      <c r="G713" s="3"/>
      <c r="H713" s="3"/>
      <c r="I713" s="3"/>
      <c r="J713" s="3"/>
      <c r="K713" s="3"/>
      <c r="L713" s="3"/>
      <c r="M713" s="3"/>
      <c r="N713" s="3"/>
      <c r="O713" s="3"/>
      <c r="P713" s="3"/>
      <c r="Q713" s="3"/>
      <c r="R713" s="3"/>
      <c r="S713" s="3"/>
      <c r="T713" s="3"/>
      <c r="U713" s="3"/>
      <c r="V713" s="3"/>
      <c r="W713" s="3"/>
      <c r="X713" s="3"/>
      <c r="Y713" s="3"/>
      <c r="Z713" s="3"/>
    </row>
    <row r="714" spans="1:26" ht="14.25" customHeight="1">
      <c r="A714" s="1"/>
      <c r="B714" s="1"/>
      <c r="C714" s="1"/>
      <c r="D714" s="1"/>
      <c r="E714" s="19"/>
      <c r="F714" s="3"/>
      <c r="G714" s="3"/>
      <c r="H714" s="3"/>
      <c r="I714" s="3"/>
      <c r="J714" s="3"/>
      <c r="K714" s="3"/>
      <c r="L714" s="3"/>
      <c r="M714" s="3"/>
      <c r="N714" s="3"/>
      <c r="O714" s="3"/>
      <c r="P714" s="3"/>
      <c r="Q714" s="3"/>
      <c r="R714" s="3"/>
      <c r="S714" s="3"/>
      <c r="T714" s="3"/>
      <c r="U714" s="3"/>
      <c r="V714" s="3"/>
      <c r="W714" s="3"/>
      <c r="X714" s="3"/>
      <c r="Y714" s="3"/>
      <c r="Z714" s="3"/>
    </row>
    <row r="715" spans="1:26" ht="14.25" customHeight="1">
      <c r="A715" s="1"/>
      <c r="B715" s="1"/>
      <c r="C715" s="1"/>
      <c r="D715" s="1"/>
      <c r="E715" s="19"/>
      <c r="F715" s="3"/>
      <c r="G715" s="3"/>
      <c r="H715" s="3"/>
      <c r="I715" s="3"/>
      <c r="J715" s="3"/>
      <c r="K715" s="3"/>
      <c r="L715" s="3"/>
      <c r="M715" s="3"/>
      <c r="N715" s="3"/>
      <c r="O715" s="3"/>
      <c r="P715" s="3"/>
      <c r="Q715" s="3"/>
      <c r="R715" s="3"/>
      <c r="S715" s="3"/>
      <c r="T715" s="3"/>
      <c r="U715" s="3"/>
      <c r="V715" s="3"/>
      <c r="W715" s="3"/>
      <c r="X715" s="3"/>
      <c r="Y715" s="3"/>
      <c r="Z715" s="3"/>
    </row>
    <row r="716" spans="1:26" ht="14.25" customHeight="1">
      <c r="A716" s="1"/>
      <c r="B716" s="1"/>
      <c r="C716" s="1"/>
      <c r="D716" s="1"/>
      <c r="E716" s="19"/>
      <c r="F716" s="3"/>
      <c r="G716" s="3"/>
      <c r="H716" s="3"/>
      <c r="I716" s="3"/>
      <c r="J716" s="3"/>
      <c r="K716" s="3"/>
      <c r="L716" s="3"/>
      <c r="M716" s="3"/>
      <c r="N716" s="3"/>
      <c r="O716" s="3"/>
      <c r="P716" s="3"/>
      <c r="Q716" s="3"/>
      <c r="R716" s="3"/>
      <c r="S716" s="3"/>
      <c r="T716" s="3"/>
      <c r="U716" s="3"/>
      <c r="V716" s="3"/>
      <c r="W716" s="3"/>
      <c r="X716" s="3"/>
      <c r="Y716" s="3"/>
      <c r="Z716" s="3"/>
    </row>
    <row r="717" spans="1:26" ht="14.25" customHeight="1">
      <c r="A717" s="1"/>
      <c r="B717" s="1"/>
      <c r="C717" s="1"/>
      <c r="D717" s="1"/>
      <c r="E717" s="19"/>
      <c r="F717" s="3"/>
      <c r="G717" s="3"/>
      <c r="H717" s="3"/>
      <c r="I717" s="3"/>
      <c r="J717" s="3"/>
      <c r="K717" s="3"/>
      <c r="L717" s="3"/>
      <c r="M717" s="3"/>
      <c r="N717" s="3"/>
      <c r="O717" s="3"/>
      <c r="P717" s="3"/>
      <c r="Q717" s="3"/>
      <c r="R717" s="3"/>
      <c r="S717" s="3"/>
      <c r="T717" s="3"/>
      <c r="U717" s="3"/>
      <c r="V717" s="3"/>
      <c r="W717" s="3"/>
      <c r="X717" s="3"/>
      <c r="Y717" s="3"/>
      <c r="Z717" s="3"/>
    </row>
    <row r="718" spans="1:26" ht="14.25" customHeight="1">
      <c r="A718" s="1"/>
      <c r="B718" s="1"/>
      <c r="C718" s="1"/>
      <c r="D718" s="1"/>
      <c r="E718" s="19"/>
      <c r="F718" s="3"/>
      <c r="G718" s="3"/>
      <c r="H718" s="3"/>
      <c r="I718" s="3"/>
      <c r="J718" s="3"/>
      <c r="K718" s="3"/>
      <c r="L718" s="3"/>
      <c r="M718" s="3"/>
      <c r="N718" s="3"/>
      <c r="O718" s="3"/>
      <c r="P718" s="3"/>
      <c r="Q718" s="3"/>
      <c r="R718" s="3"/>
      <c r="S718" s="3"/>
      <c r="T718" s="3"/>
      <c r="U718" s="3"/>
      <c r="V718" s="3"/>
      <c r="W718" s="3"/>
      <c r="X718" s="3"/>
      <c r="Y718" s="3"/>
      <c r="Z718" s="3"/>
    </row>
    <row r="719" spans="1:26" ht="14.25" customHeight="1">
      <c r="A719" s="1"/>
      <c r="B719" s="1"/>
      <c r="C719" s="1"/>
      <c r="D719" s="1"/>
      <c r="E719" s="19"/>
      <c r="F719" s="3"/>
      <c r="G719" s="3"/>
      <c r="H719" s="3"/>
      <c r="I719" s="3"/>
      <c r="J719" s="3"/>
      <c r="K719" s="3"/>
      <c r="L719" s="3"/>
      <c r="M719" s="3"/>
      <c r="N719" s="3"/>
      <c r="O719" s="3"/>
      <c r="P719" s="3"/>
      <c r="Q719" s="3"/>
      <c r="R719" s="3"/>
      <c r="S719" s="3"/>
      <c r="T719" s="3"/>
      <c r="U719" s="3"/>
      <c r="V719" s="3"/>
      <c r="W719" s="3"/>
      <c r="X719" s="3"/>
      <c r="Y719" s="3"/>
      <c r="Z719" s="3"/>
    </row>
    <row r="720" spans="1:26" ht="14.25" customHeight="1">
      <c r="A720" s="1"/>
      <c r="B720" s="1"/>
      <c r="C720" s="1"/>
      <c r="D720" s="1"/>
      <c r="E720" s="19"/>
      <c r="F720" s="3"/>
      <c r="G720" s="3"/>
      <c r="H720" s="3"/>
      <c r="I720" s="3"/>
      <c r="J720" s="3"/>
      <c r="K720" s="3"/>
      <c r="L720" s="3"/>
      <c r="M720" s="3"/>
      <c r="N720" s="3"/>
      <c r="O720" s="3"/>
      <c r="P720" s="3"/>
      <c r="Q720" s="3"/>
      <c r="R720" s="3"/>
      <c r="S720" s="3"/>
      <c r="T720" s="3"/>
      <c r="U720" s="3"/>
      <c r="V720" s="3"/>
      <c r="W720" s="3"/>
      <c r="X720" s="3"/>
      <c r="Y720" s="3"/>
      <c r="Z720" s="3"/>
    </row>
    <row r="721" spans="1:26" ht="14.25" customHeight="1">
      <c r="A721" s="1"/>
      <c r="B721" s="1"/>
      <c r="C721" s="1"/>
      <c r="D721" s="1"/>
      <c r="E721" s="19"/>
      <c r="F721" s="3"/>
      <c r="G721" s="3"/>
      <c r="H721" s="3"/>
      <c r="I721" s="3"/>
      <c r="J721" s="3"/>
      <c r="K721" s="3"/>
      <c r="L721" s="3"/>
      <c r="M721" s="3"/>
      <c r="N721" s="3"/>
      <c r="O721" s="3"/>
      <c r="P721" s="3"/>
      <c r="Q721" s="3"/>
      <c r="R721" s="3"/>
      <c r="S721" s="3"/>
      <c r="T721" s="3"/>
      <c r="U721" s="3"/>
      <c r="V721" s="3"/>
      <c r="W721" s="3"/>
      <c r="X721" s="3"/>
      <c r="Y721" s="3"/>
      <c r="Z721" s="3"/>
    </row>
    <row r="722" spans="1:26" ht="14.25" customHeight="1">
      <c r="A722" s="1"/>
      <c r="B722" s="1"/>
      <c r="C722" s="1"/>
      <c r="D722" s="1"/>
      <c r="E722" s="19"/>
      <c r="F722" s="3"/>
      <c r="G722" s="3"/>
      <c r="H722" s="3"/>
      <c r="I722" s="3"/>
      <c r="J722" s="3"/>
      <c r="K722" s="3"/>
      <c r="L722" s="3"/>
      <c r="M722" s="3"/>
      <c r="N722" s="3"/>
      <c r="O722" s="3"/>
      <c r="P722" s="3"/>
      <c r="Q722" s="3"/>
      <c r="R722" s="3"/>
      <c r="S722" s="3"/>
      <c r="T722" s="3"/>
      <c r="U722" s="3"/>
      <c r="V722" s="3"/>
      <c r="W722" s="3"/>
      <c r="X722" s="3"/>
      <c r="Y722" s="3"/>
      <c r="Z722" s="3"/>
    </row>
    <row r="723" spans="1:26" ht="14.25" customHeight="1">
      <c r="A723" s="1"/>
      <c r="B723" s="1"/>
      <c r="C723" s="1"/>
      <c r="D723" s="1"/>
      <c r="E723" s="19"/>
      <c r="F723" s="3"/>
      <c r="G723" s="3"/>
      <c r="H723" s="3"/>
      <c r="I723" s="3"/>
      <c r="J723" s="3"/>
      <c r="K723" s="3"/>
      <c r="L723" s="3"/>
      <c r="M723" s="3"/>
      <c r="N723" s="3"/>
      <c r="O723" s="3"/>
      <c r="P723" s="3"/>
      <c r="Q723" s="3"/>
      <c r="R723" s="3"/>
      <c r="S723" s="3"/>
      <c r="T723" s="3"/>
      <c r="U723" s="3"/>
      <c r="V723" s="3"/>
      <c r="W723" s="3"/>
      <c r="X723" s="3"/>
      <c r="Y723" s="3"/>
      <c r="Z723" s="3"/>
    </row>
    <row r="724" spans="1:26" ht="14.25" customHeight="1">
      <c r="A724" s="1"/>
      <c r="B724" s="1"/>
      <c r="C724" s="1"/>
      <c r="D724" s="1"/>
      <c r="E724" s="19"/>
      <c r="F724" s="3"/>
      <c r="G724" s="3"/>
      <c r="H724" s="3"/>
      <c r="I724" s="3"/>
      <c r="J724" s="3"/>
      <c r="K724" s="3"/>
      <c r="L724" s="3"/>
      <c r="M724" s="3"/>
      <c r="N724" s="3"/>
      <c r="O724" s="3"/>
      <c r="P724" s="3"/>
      <c r="Q724" s="3"/>
      <c r="R724" s="3"/>
      <c r="S724" s="3"/>
      <c r="T724" s="3"/>
      <c r="U724" s="3"/>
      <c r="V724" s="3"/>
      <c r="W724" s="3"/>
      <c r="X724" s="3"/>
      <c r="Y724" s="3"/>
      <c r="Z724" s="3"/>
    </row>
    <row r="725" spans="1:26" ht="14.25" customHeight="1">
      <c r="A725" s="1"/>
      <c r="B725" s="1"/>
      <c r="C725" s="1"/>
      <c r="D725" s="1"/>
      <c r="E725" s="19"/>
      <c r="F725" s="3"/>
      <c r="G725" s="3"/>
      <c r="H725" s="3"/>
      <c r="I725" s="3"/>
      <c r="J725" s="3"/>
      <c r="K725" s="3"/>
      <c r="L725" s="3"/>
      <c r="M725" s="3"/>
      <c r="N725" s="3"/>
      <c r="O725" s="3"/>
      <c r="P725" s="3"/>
      <c r="Q725" s="3"/>
      <c r="R725" s="3"/>
      <c r="S725" s="3"/>
      <c r="T725" s="3"/>
      <c r="U725" s="3"/>
      <c r="V725" s="3"/>
      <c r="W725" s="3"/>
      <c r="X725" s="3"/>
      <c r="Y725" s="3"/>
      <c r="Z725" s="3"/>
    </row>
    <row r="726" spans="1:26" ht="14.25" customHeight="1">
      <c r="A726" s="1"/>
      <c r="B726" s="1"/>
      <c r="C726" s="1"/>
      <c r="D726" s="1"/>
      <c r="E726" s="19"/>
      <c r="F726" s="3"/>
      <c r="G726" s="3"/>
      <c r="H726" s="3"/>
      <c r="I726" s="3"/>
      <c r="J726" s="3"/>
      <c r="K726" s="3"/>
      <c r="L726" s="3"/>
      <c r="M726" s="3"/>
      <c r="N726" s="3"/>
      <c r="O726" s="3"/>
      <c r="P726" s="3"/>
      <c r="Q726" s="3"/>
      <c r="R726" s="3"/>
      <c r="S726" s="3"/>
      <c r="T726" s="3"/>
      <c r="U726" s="3"/>
      <c r="V726" s="3"/>
      <c r="W726" s="3"/>
      <c r="X726" s="3"/>
      <c r="Y726" s="3"/>
      <c r="Z726" s="3"/>
    </row>
    <row r="727" spans="1:26" ht="14.25" customHeight="1">
      <c r="A727" s="1"/>
      <c r="B727" s="1"/>
      <c r="C727" s="1"/>
      <c r="D727" s="1"/>
      <c r="E727" s="19"/>
      <c r="F727" s="3"/>
      <c r="G727" s="3"/>
      <c r="H727" s="3"/>
      <c r="I727" s="3"/>
      <c r="J727" s="3"/>
      <c r="K727" s="3"/>
      <c r="L727" s="3"/>
      <c r="M727" s="3"/>
      <c r="N727" s="3"/>
      <c r="O727" s="3"/>
      <c r="P727" s="3"/>
      <c r="Q727" s="3"/>
      <c r="R727" s="3"/>
      <c r="S727" s="3"/>
      <c r="T727" s="3"/>
      <c r="U727" s="3"/>
      <c r="V727" s="3"/>
      <c r="W727" s="3"/>
      <c r="X727" s="3"/>
      <c r="Y727" s="3"/>
      <c r="Z727" s="3"/>
    </row>
    <row r="728" spans="1:26" ht="14.25" customHeight="1">
      <c r="A728" s="1"/>
      <c r="B728" s="1"/>
      <c r="C728" s="1"/>
      <c r="D728" s="1"/>
      <c r="E728" s="19"/>
      <c r="F728" s="3"/>
      <c r="G728" s="3"/>
      <c r="H728" s="3"/>
      <c r="I728" s="3"/>
      <c r="J728" s="3"/>
      <c r="K728" s="3"/>
      <c r="L728" s="3"/>
      <c r="M728" s="3"/>
      <c r="N728" s="3"/>
      <c r="O728" s="3"/>
      <c r="P728" s="3"/>
      <c r="Q728" s="3"/>
      <c r="R728" s="3"/>
      <c r="S728" s="3"/>
      <c r="T728" s="3"/>
      <c r="U728" s="3"/>
      <c r="V728" s="3"/>
      <c r="W728" s="3"/>
      <c r="X728" s="3"/>
      <c r="Y728" s="3"/>
      <c r="Z728" s="3"/>
    </row>
    <row r="729" spans="1:26" ht="14.25" customHeight="1">
      <c r="A729" s="1"/>
      <c r="B729" s="1"/>
      <c r="C729" s="1"/>
      <c r="D729" s="1"/>
      <c r="E729" s="19"/>
      <c r="F729" s="3"/>
      <c r="G729" s="3"/>
      <c r="H729" s="3"/>
      <c r="I729" s="3"/>
      <c r="J729" s="3"/>
      <c r="K729" s="3"/>
      <c r="L729" s="3"/>
      <c r="M729" s="3"/>
      <c r="N729" s="3"/>
      <c r="O729" s="3"/>
      <c r="P729" s="3"/>
      <c r="Q729" s="3"/>
      <c r="R729" s="3"/>
      <c r="S729" s="3"/>
      <c r="T729" s="3"/>
      <c r="U729" s="3"/>
      <c r="V729" s="3"/>
      <c r="W729" s="3"/>
      <c r="X729" s="3"/>
      <c r="Y729" s="3"/>
      <c r="Z729" s="3"/>
    </row>
    <row r="730" spans="1:26" ht="14.25" customHeight="1">
      <c r="A730" s="1"/>
      <c r="B730" s="1"/>
      <c r="C730" s="1"/>
      <c r="D730" s="1"/>
      <c r="E730" s="19"/>
      <c r="F730" s="3"/>
      <c r="G730" s="3"/>
      <c r="H730" s="3"/>
      <c r="I730" s="3"/>
      <c r="J730" s="3"/>
      <c r="K730" s="3"/>
      <c r="L730" s="3"/>
      <c r="M730" s="3"/>
      <c r="N730" s="3"/>
      <c r="O730" s="3"/>
      <c r="P730" s="3"/>
      <c r="Q730" s="3"/>
      <c r="R730" s="3"/>
      <c r="S730" s="3"/>
      <c r="T730" s="3"/>
      <c r="U730" s="3"/>
      <c r="V730" s="3"/>
      <c r="W730" s="3"/>
      <c r="X730" s="3"/>
      <c r="Y730" s="3"/>
      <c r="Z730" s="3"/>
    </row>
    <row r="731" spans="1:26" ht="14.25" customHeight="1">
      <c r="A731" s="1"/>
      <c r="B731" s="1"/>
      <c r="C731" s="1"/>
      <c r="D731" s="1"/>
      <c r="E731" s="19"/>
      <c r="F731" s="3"/>
      <c r="G731" s="3"/>
      <c r="H731" s="3"/>
      <c r="I731" s="3"/>
      <c r="J731" s="3"/>
      <c r="K731" s="3"/>
      <c r="L731" s="3"/>
      <c r="M731" s="3"/>
      <c r="N731" s="3"/>
      <c r="O731" s="3"/>
      <c r="P731" s="3"/>
      <c r="Q731" s="3"/>
      <c r="R731" s="3"/>
      <c r="S731" s="3"/>
      <c r="T731" s="3"/>
      <c r="U731" s="3"/>
      <c r="V731" s="3"/>
      <c r="W731" s="3"/>
      <c r="X731" s="3"/>
      <c r="Y731" s="3"/>
      <c r="Z731" s="3"/>
    </row>
    <row r="732" spans="1:26" ht="14.25" customHeight="1">
      <c r="A732" s="1"/>
      <c r="B732" s="1"/>
      <c r="C732" s="1"/>
      <c r="D732" s="1"/>
      <c r="E732" s="19"/>
      <c r="F732" s="3"/>
      <c r="G732" s="3"/>
      <c r="H732" s="3"/>
      <c r="I732" s="3"/>
      <c r="J732" s="3"/>
      <c r="K732" s="3"/>
      <c r="L732" s="3"/>
      <c r="M732" s="3"/>
      <c r="N732" s="3"/>
      <c r="O732" s="3"/>
      <c r="P732" s="3"/>
      <c r="Q732" s="3"/>
      <c r="R732" s="3"/>
      <c r="S732" s="3"/>
      <c r="T732" s="3"/>
      <c r="U732" s="3"/>
      <c r="V732" s="3"/>
      <c r="W732" s="3"/>
      <c r="X732" s="3"/>
      <c r="Y732" s="3"/>
      <c r="Z732" s="3"/>
    </row>
    <row r="733" spans="1:26" ht="14.25" customHeight="1">
      <c r="A733" s="1"/>
      <c r="B733" s="1"/>
      <c r="C733" s="1"/>
      <c r="D733" s="1"/>
      <c r="E733" s="19"/>
      <c r="F733" s="3"/>
      <c r="G733" s="3"/>
      <c r="H733" s="3"/>
      <c r="I733" s="3"/>
      <c r="J733" s="3"/>
      <c r="K733" s="3"/>
      <c r="L733" s="3"/>
      <c r="M733" s="3"/>
      <c r="N733" s="3"/>
      <c r="O733" s="3"/>
      <c r="P733" s="3"/>
      <c r="Q733" s="3"/>
      <c r="R733" s="3"/>
      <c r="S733" s="3"/>
      <c r="T733" s="3"/>
      <c r="U733" s="3"/>
      <c r="V733" s="3"/>
      <c r="W733" s="3"/>
      <c r="X733" s="3"/>
      <c r="Y733" s="3"/>
      <c r="Z733" s="3"/>
    </row>
    <row r="734" spans="1:26" ht="14.25" customHeight="1">
      <c r="A734" s="1"/>
      <c r="B734" s="1"/>
      <c r="C734" s="1"/>
      <c r="D734" s="1"/>
      <c r="E734" s="19"/>
      <c r="F734" s="3"/>
      <c r="G734" s="3"/>
      <c r="H734" s="3"/>
      <c r="I734" s="3"/>
      <c r="J734" s="3"/>
      <c r="K734" s="3"/>
      <c r="L734" s="3"/>
      <c r="M734" s="3"/>
      <c r="N734" s="3"/>
      <c r="O734" s="3"/>
      <c r="P734" s="3"/>
      <c r="Q734" s="3"/>
      <c r="R734" s="3"/>
      <c r="S734" s="3"/>
      <c r="T734" s="3"/>
      <c r="U734" s="3"/>
      <c r="V734" s="3"/>
      <c r="W734" s="3"/>
      <c r="X734" s="3"/>
      <c r="Y734" s="3"/>
      <c r="Z734" s="3"/>
    </row>
    <row r="735" spans="1:26" ht="14.25" customHeight="1">
      <c r="A735" s="1"/>
      <c r="B735" s="1"/>
      <c r="C735" s="1"/>
      <c r="D735" s="1"/>
      <c r="E735" s="19"/>
      <c r="F735" s="3"/>
      <c r="G735" s="3"/>
      <c r="H735" s="3"/>
      <c r="I735" s="3"/>
      <c r="J735" s="3"/>
      <c r="K735" s="3"/>
      <c r="L735" s="3"/>
      <c r="M735" s="3"/>
      <c r="N735" s="3"/>
      <c r="O735" s="3"/>
      <c r="P735" s="3"/>
      <c r="Q735" s="3"/>
      <c r="R735" s="3"/>
      <c r="S735" s="3"/>
      <c r="T735" s="3"/>
      <c r="U735" s="3"/>
      <c r="V735" s="3"/>
      <c r="W735" s="3"/>
      <c r="X735" s="3"/>
      <c r="Y735" s="3"/>
      <c r="Z735" s="3"/>
    </row>
    <row r="736" spans="1:26" ht="14.25" customHeight="1">
      <c r="A736" s="1"/>
      <c r="B736" s="1"/>
      <c r="C736" s="1"/>
      <c r="D736" s="1"/>
      <c r="E736" s="19"/>
      <c r="F736" s="3"/>
      <c r="G736" s="3"/>
      <c r="H736" s="3"/>
      <c r="I736" s="3"/>
      <c r="J736" s="3"/>
      <c r="K736" s="3"/>
      <c r="L736" s="3"/>
      <c r="M736" s="3"/>
      <c r="N736" s="3"/>
      <c r="O736" s="3"/>
      <c r="P736" s="3"/>
      <c r="Q736" s="3"/>
      <c r="R736" s="3"/>
      <c r="S736" s="3"/>
      <c r="T736" s="3"/>
      <c r="U736" s="3"/>
      <c r="V736" s="3"/>
      <c r="W736" s="3"/>
      <c r="X736" s="3"/>
      <c r="Y736" s="3"/>
      <c r="Z736" s="3"/>
    </row>
    <row r="737" spans="1:26" ht="14.25" customHeight="1">
      <c r="A737" s="1"/>
      <c r="B737" s="1"/>
      <c r="C737" s="1"/>
      <c r="D737" s="1"/>
      <c r="E737" s="19"/>
      <c r="F737" s="3"/>
      <c r="G737" s="3"/>
      <c r="H737" s="3"/>
      <c r="I737" s="3"/>
      <c r="J737" s="3"/>
      <c r="K737" s="3"/>
      <c r="L737" s="3"/>
      <c r="M737" s="3"/>
      <c r="N737" s="3"/>
      <c r="O737" s="3"/>
      <c r="P737" s="3"/>
      <c r="Q737" s="3"/>
      <c r="R737" s="3"/>
      <c r="S737" s="3"/>
      <c r="T737" s="3"/>
      <c r="U737" s="3"/>
      <c r="V737" s="3"/>
      <c r="W737" s="3"/>
      <c r="X737" s="3"/>
      <c r="Y737" s="3"/>
      <c r="Z737" s="3"/>
    </row>
    <row r="738" spans="1:26" ht="14.25" customHeight="1">
      <c r="A738" s="1"/>
      <c r="B738" s="1"/>
      <c r="C738" s="1"/>
      <c r="D738" s="1"/>
      <c r="E738" s="19"/>
      <c r="F738" s="3"/>
      <c r="G738" s="3"/>
      <c r="H738" s="3"/>
      <c r="I738" s="3"/>
      <c r="J738" s="3"/>
      <c r="K738" s="3"/>
      <c r="L738" s="3"/>
      <c r="M738" s="3"/>
      <c r="N738" s="3"/>
      <c r="O738" s="3"/>
      <c r="P738" s="3"/>
      <c r="Q738" s="3"/>
      <c r="R738" s="3"/>
      <c r="S738" s="3"/>
      <c r="T738" s="3"/>
      <c r="U738" s="3"/>
      <c r="V738" s="3"/>
      <c r="W738" s="3"/>
      <c r="X738" s="3"/>
      <c r="Y738" s="3"/>
      <c r="Z738" s="3"/>
    </row>
    <row r="739" spans="1:26" ht="14.25" customHeight="1">
      <c r="A739" s="1"/>
      <c r="B739" s="1"/>
      <c r="C739" s="1"/>
      <c r="D739" s="1"/>
      <c r="E739" s="19"/>
      <c r="F739" s="3"/>
      <c r="G739" s="3"/>
      <c r="H739" s="3"/>
      <c r="I739" s="3"/>
      <c r="J739" s="3"/>
      <c r="K739" s="3"/>
      <c r="L739" s="3"/>
      <c r="M739" s="3"/>
      <c r="N739" s="3"/>
      <c r="O739" s="3"/>
      <c r="P739" s="3"/>
      <c r="Q739" s="3"/>
      <c r="R739" s="3"/>
      <c r="S739" s="3"/>
      <c r="T739" s="3"/>
      <c r="U739" s="3"/>
      <c r="V739" s="3"/>
      <c r="W739" s="3"/>
      <c r="X739" s="3"/>
      <c r="Y739" s="3"/>
      <c r="Z739" s="3"/>
    </row>
    <row r="740" spans="1:26" ht="14.25" customHeight="1">
      <c r="A740" s="1"/>
      <c r="B740" s="1"/>
      <c r="C740" s="1"/>
      <c r="D740" s="1"/>
      <c r="E740" s="19"/>
      <c r="F740" s="3"/>
      <c r="G740" s="3"/>
      <c r="H740" s="3"/>
      <c r="I740" s="3"/>
      <c r="J740" s="3"/>
      <c r="K740" s="3"/>
      <c r="L740" s="3"/>
      <c r="M740" s="3"/>
      <c r="N740" s="3"/>
      <c r="O740" s="3"/>
      <c r="P740" s="3"/>
      <c r="Q740" s="3"/>
      <c r="R740" s="3"/>
      <c r="S740" s="3"/>
      <c r="T740" s="3"/>
      <c r="U740" s="3"/>
      <c r="V740" s="3"/>
      <c r="W740" s="3"/>
      <c r="X740" s="3"/>
      <c r="Y740" s="3"/>
      <c r="Z740" s="3"/>
    </row>
    <row r="741" spans="1:26" ht="14.25" customHeight="1">
      <c r="A741" s="1"/>
      <c r="B741" s="1"/>
      <c r="C741" s="1"/>
      <c r="D741" s="1"/>
      <c r="E741" s="19"/>
      <c r="F741" s="3"/>
      <c r="G741" s="3"/>
      <c r="H741" s="3"/>
      <c r="I741" s="3"/>
      <c r="J741" s="3"/>
      <c r="K741" s="3"/>
      <c r="L741" s="3"/>
      <c r="M741" s="3"/>
      <c r="N741" s="3"/>
      <c r="O741" s="3"/>
      <c r="P741" s="3"/>
      <c r="Q741" s="3"/>
      <c r="R741" s="3"/>
      <c r="S741" s="3"/>
      <c r="T741" s="3"/>
      <c r="U741" s="3"/>
      <c r="V741" s="3"/>
      <c r="W741" s="3"/>
      <c r="X741" s="3"/>
      <c r="Y741" s="3"/>
      <c r="Z741" s="3"/>
    </row>
    <row r="742" spans="1:26" ht="14.25" customHeight="1">
      <c r="A742" s="1"/>
      <c r="B742" s="1"/>
      <c r="C742" s="1"/>
      <c r="D742" s="1"/>
      <c r="E742" s="19"/>
      <c r="F742" s="3"/>
      <c r="G742" s="3"/>
      <c r="H742" s="3"/>
      <c r="I742" s="3"/>
      <c r="J742" s="3"/>
      <c r="K742" s="3"/>
      <c r="L742" s="3"/>
      <c r="M742" s="3"/>
      <c r="N742" s="3"/>
      <c r="O742" s="3"/>
      <c r="P742" s="3"/>
      <c r="Q742" s="3"/>
      <c r="R742" s="3"/>
      <c r="S742" s="3"/>
      <c r="T742" s="3"/>
      <c r="U742" s="3"/>
      <c r="V742" s="3"/>
      <c r="W742" s="3"/>
      <c r="X742" s="3"/>
      <c r="Y742" s="3"/>
      <c r="Z742" s="3"/>
    </row>
    <row r="743" spans="1:26" ht="14.25" customHeight="1">
      <c r="A743" s="1"/>
      <c r="B743" s="1"/>
      <c r="C743" s="1"/>
      <c r="D743" s="1"/>
      <c r="E743" s="19"/>
      <c r="F743" s="3"/>
      <c r="G743" s="3"/>
      <c r="H743" s="3"/>
      <c r="I743" s="3"/>
      <c r="J743" s="3"/>
      <c r="K743" s="3"/>
      <c r="L743" s="3"/>
      <c r="M743" s="3"/>
      <c r="N743" s="3"/>
      <c r="O743" s="3"/>
      <c r="P743" s="3"/>
      <c r="Q743" s="3"/>
      <c r="R743" s="3"/>
      <c r="S743" s="3"/>
      <c r="T743" s="3"/>
      <c r="U743" s="3"/>
      <c r="V743" s="3"/>
      <c r="W743" s="3"/>
      <c r="X743" s="3"/>
      <c r="Y743" s="3"/>
      <c r="Z743" s="3"/>
    </row>
    <row r="744" spans="1:26" ht="14.25" customHeight="1">
      <c r="A744" s="1"/>
      <c r="B744" s="1"/>
      <c r="C744" s="1"/>
      <c r="D744" s="1"/>
      <c r="E744" s="19"/>
      <c r="F744" s="3"/>
      <c r="G744" s="3"/>
      <c r="H744" s="3"/>
      <c r="I744" s="3"/>
      <c r="J744" s="3"/>
      <c r="K744" s="3"/>
      <c r="L744" s="3"/>
      <c r="M744" s="3"/>
      <c r="N744" s="3"/>
      <c r="O744" s="3"/>
      <c r="P744" s="3"/>
      <c r="Q744" s="3"/>
      <c r="R744" s="3"/>
      <c r="S744" s="3"/>
      <c r="T744" s="3"/>
      <c r="U744" s="3"/>
      <c r="V744" s="3"/>
      <c r="W744" s="3"/>
      <c r="X744" s="3"/>
      <c r="Y744" s="3"/>
      <c r="Z744" s="3"/>
    </row>
    <row r="745" spans="1:26" ht="14.25" customHeight="1">
      <c r="A745" s="1"/>
      <c r="B745" s="1"/>
      <c r="C745" s="1"/>
      <c r="D745" s="1"/>
      <c r="E745" s="19"/>
      <c r="F745" s="3"/>
      <c r="G745" s="3"/>
      <c r="H745" s="3"/>
      <c r="I745" s="3"/>
      <c r="J745" s="3"/>
      <c r="K745" s="3"/>
      <c r="L745" s="3"/>
      <c r="M745" s="3"/>
      <c r="N745" s="3"/>
      <c r="O745" s="3"/>
      <c r="P745" s="3"/>
      <c r="Q745" s="3"/>
      <c r="R745" s="3"/>
      <c r="S745" s="3"/>
      <c r="T745" s="3"/>
      <c r="U745" s="3"/>
      <c r="V745" s="3"/>
      <c r="W745" s="3"/>
      <c r="X745" s="3"/>
      <c r="Y745" s="3"/>
      <c r="Z745" s="3"/>
    </row>
    <row r="746" spans="1:26" ht="14.25" customHeight="1">
      <c r="A746" s="1"/>
      <c r="B746" s="1"/>
      <c r="C746" s="1"/>
      <c r="D746" s="1"/>
      <c r="E746" s="19"/>
      <c r="F746" s="3"/>
      <c r="G746" s="3"/>
      <c r="H746" s="3"/>
      <c r="I746" s="3"/>
      <c r="J746" s="3"/>
      <c r="K746" s="3"/>
      <c r="L746" s="3"/>
      <c r="M746" s="3"/>
      <c r="N746" s="3"/>
      <c r="O746" s="3"/>
      <c r="P746" s="3"/>
      <c r="Q746" s="3"/>
      <c r="R746" s="3"/>
      <c r="S746" s="3"/>
      <c r="T746" s="3"/>
      <c r="U746" s="3"/>
      <c r="V746" s="3"/>
      <c r="W746" s="3"/>
      <c r="X746" s="3"/>
      <c r="Y746" s="3"/>
      <c r="Z746" s="3"/>
    </row>
    <row r="747" spans="1:26" ht="14.25" customHeight="1">
      <c r="A747" s="1"/>
      <c r="B747" s="1"/>
      <c r="C747" s="1"/>
      <c r="D747" s="1"/>
      <c r="E747" s="19"/>
      <c r="F747" s="3"/>
      <c r="G747" s="3"/>
      <c r="H747" s="3"/>
      <c r="I747" s="3"/>
      <c r="J747" s="3"/>
      <c r="K747" s="3"/>
      <c r="L747" s="3"/>
      <c r="M747" s="3"/>
      <c r="N747" s="3"/>
      <c r="O747" s="3"/>
      <c r="P747" s="3"/>
      <c r="Q747" s="3"/>
      <c r="R747" s="3"/>
      <c r="S747" s="3"/>
      <c r="T747" s="3"/>
      <c r="U747" s="3"/>
      <c r="V747" s="3"/>
      <c r="W747" s="3"/>
      <c r="X747" s="3"/>
      <c r="Y747" s="3"/>
      <c r="Z747" s="3"/>
    </row>
    <row r="748" spans="1:26" ht="14.25" customHeight="1">
      <c r="A748" s="1"/>
      <c r="B748" s="1"/>
      <c r="C748" s="1"/>
      <c r="D748" s="1"/>
      <c r="E748" s="19"/>
      <c r="F748" s="3"/>
      <c r="G748" s="3"/>
      <c r="H748" s="3"/>
      <c r="I748" s="3"/>
      <c r="J748" s="3"/>
      <c r="K748" s="3"/>
      <c r="L748" s="3"/>
      <c r="M748" s="3"/>
      <c r="N748" s="3"/>
      <c r="O748" s="3"/>
      <c r="P748" s="3"/>
      <c r="Q748" s="3"/>
      <c r="R748" s="3"/>
      <c r="S748" s="3"/>
      <c r="T748" s="3"/>
      <c r="U748" s="3"/>
      <c r="V748" s="3"/>
      <c r="W748" s="3"/>
      <c r="X748" s="3"/>
      <c r="Y748" s="3"/>
      <c r="Z748" s="3"/>
    </row>
    <row r="749" spans="1:26" ht="14.25" customHeight="1">
      <c r="A749" s="1"/>
      <c r="B749" s="1"/>
      <c r="C749" s="1"/>
      <c r="D749" s="1"/>
      <c r="E749" s="19"/>
      <c r="F749" s="3"/>
      <c r="G749" s="3"/>
      <c r="H749" s="3"/>
      <c r="I749" s="3"/>
      <c r="J749" s="3"/>
      <c r="K749" s="3"/>
      <c r="L749" s="3"/>
      <c r="M749" s="3"/>
      <c r="N749" s="3"/>
      <c r="O749" s="3"/>
      <c r="P749" s="3"/>
      <c r="Q749" s="3"/>
      <c r="R749" s="3"/>
      <c r="S749" s="3"/>
      <c r="T749" s="3"/>
      <c r="U749" s="3"/>
      <c r="V749" s="3"/>
      <c r="W749" s="3"/>
      <c r="X749" s="3"/>
      <c r="Y749" s="3"/>
      <c r="Z749" s="3"/>
    </row>
    <row r="750" spans="1:26" ht="14.25" customHeight="1">
      <c r="A750" s="1"/>
      <c r="B750" s="1"/>
      <c r="C750" s="1"/>
      <c r="D750" s="1"/>
      <c r="E750" s="19"/>
      <c r="F750" s="3"/>
      <c r="G750" s="3"/>
      <c r="H750" s="3"/>
      <c r="I750" s="3"/>
      <c r="J750" s="3"/>
      <c r="K750" s="3"/>
      <c r="L750" s="3"/>
      <c r="M750" s="3"/>
      <c r="N750" s="3"/>
      <c r="O750" s="3"/>
      <c r="P750" s="3"/>
      <c r="Q750" s="3"/>
      <c r="R750" s="3"/>
      <c r="S750" s="3"/>
      <c r="T750" s="3"/>
      <c r="U750" s="3"/>
      <c r="V750" s="3"/>
      <c r="W750" s="3"/>
      <c r="X750" s="3"/>
      <c r="Y750" s="3"/>
      <c r="Z750" s="3"/>
    </row>
    <row r="751" spans="1:26" ht="14.25" customHeight="1">
      <c r="A751" s="1"/>
      <c r="B751" s="1"/>
      <c r="C751" s="1"/>
      <c r="D751" s="1"/>
      <c r="E751" s="19"/>
      <c r="F751" s="3"/>
      <c r="G751" s="3"/>
      <c r="H751" s="3"/>
      <c r="I751" s="3"/>
      <c r="J751" s="3"/>
      <c r="K751" s="3"/>
      <c r="L751" s="3"/>
      <c r="M751" s="3"/>
      <c r="N751" s="3"/>
      <c r="O751" s="3"/>
      <c r="P751" s="3"/>
      <c r="Q751" s="3"/>
      <c r="R751" s="3"/>
      <c r="S751" s="3"/>
      <c r="T751" s="3"/>
      <c r="U751" s="3"/>
      <c r="V751" s="3"/>
      <c r="W751" s="3"/>
      <c r="X751" s="3"/>
      <c r="Y751" s="3"/>
      <c r="Z751" s="3"/>
    </row>
    <row r="752" spans="1:26" ht="14.25" customHeight="1">
      <c r="A752" s="1"/>
      <c r="B752" s="1"/>
      <c r="C752" s="1"/>
      <c r="D752" s="1"/>
      <c r="E752" s="19"/>
      <c r="F752" s="3"/>
      <c r="G752" s="3"/>
      <c r="H752" s="3"/>
      <c r="I752" s="3"/>
      <c r="J752" s="3"/>
      <c r="K752" s="3"/>
      <c r="L752" s="3"/>
      <c r="M752" s="3"/>
      <c r="N752" s="3"/>
      <c r="O752" s="3"/>
      <c r="P752" s="3"/>
      <c r="Q752" s="3"/>
      <c r="R752" s="3"/>
      <c r="S752" s="3"/>
      <c r="T752" s="3"/>
      <c r="U752" s="3"/>
      <c r="V752" s="3"/>
      <c r="W752" s="3"/>
      <c r="X752" s="3"/>
      <c r="Y752" s="3"/>
      <c r="Z752" s="3"/>
    </row>
    <row r="753" spans="1:26" ht="14.25" customHeight="1">
      <c r="A753" s="1"/>
      <c r="B753" s="1"/>
      <c r="C753" s="1"/>
      <c r="D753" s="1"/>
      <c r="E753" s="19"/>
      <c r="F753" s="3"/>
      <c r="G753" s="3"/>
      <c r="H753" s="3"/>
      <c r="I753" s="3"/>
      <c r="J753" s="3"/>
      <c r="K753" s="3"/>
      <c r="L753" s="3"/>
      <c r="M753" s="3"/>
      <c r="N753" s="3"/>
      <c r="O753" s="3"/>
      <c r="P753" s="3"/>
      <c r="Q753" s="3"/>
      <c r="R753" s="3"/>
      <c r="S753" s="3"/>
      <c r="T753" s="3"/>
      <c r="U753" s="3"/>
      <c r="V753" s="3"/>
      <c r="W753" s="3"/>
      <c r="X753" s="3"/>
      <c r="Y753" s="3"/>
      <c r="Z753" s="3"/>
    </row>
    <row r="754" spans="1:26" ht="14.25" customHeight="1">
      <c r="A754" s="1"/>
      <c r="B754" s="1"/>
      <c r="C754" s="1"/>
      <c r="D754" s="1"/>
      <c r="E754" s="19"/>
      <c r="F754" s="3"/>
      <c r="G754" s="3"/>
      <c r="H754" s="3"/>
      <c r="I754" s="3"/>
      <c r="J754" s="3"/>
      <c r="K754" s="3"/>
      <c r="L754" s="3"/>
      <c r="M754" s="3"/>
      <c r="N754" s="3"/>
      <c r="O754" s="3"/>
      <c r="P754" s="3"/>
      <c r="Q754" s="3"/>
      <c r="R754" s="3"/>
      <c r="S754" s="3"/>
      <c r="T754" s="3"/>
      <c r="U754" s="3"/>
      <c r="V754" s="3"/>
      <c r="W754" s="3"/>
      <c r="X754" s="3"/>
      <c r="Y754" s="3"/>
      <c r="Z754" s="3"/>
    </row>
    <row r="755" spans="1:26" ht="14.25" customHeight="1">
      <c r="A755" s="1"/>
      <c r="B755" s="1"/>
      <c r="C755" s="1"/>
      <c r="D755" s="1"/>
      <c r="E755" s="19"/>
      <c r="F755" s="3"/>
      <c r="G755" s="3"/>
      <c r="H755" s="3"/>
      <c r="I755" s="3"/>
      <c r="J755" s="3"/>
      <c r="K755" s="3"/>
      <c r="L755" s="3"/>
      <c r="M755" s="3"/>
      <c r="N755" s="3"/>
      <c r="O755" s="3"/>
      <c r="P755" s="3"/>
      <c r="Q755" s="3"/>
      <c r="R755" s="3"/>
      <c r="S755" s="3"/>
      <c r="T755" s="3"/>
      <c r="U755" s="3"/>
      <c r="V755" s="3"/>
      <c r="W755" s="3"/>
      <c r="X755" s="3"/>
      <c r="Y755" s="3"/>
      <c r="Z755" s="3"/>
    </row>
    <row r="756" spans="1:26" ht="14.25" customHeight="1">
      <c r="A756" s="1"/>
      <c r="B756" s="1"/>
      <c r="C756" s="1"/>
      <c r="D756" s="1"/>
      <c r="E756" s="19"/>
      <c r="F756" s="3"/>
      <c r="G756" s="3"/>
      <c r="H756" s="3"/>
      <c r="I756" s="3"/>
      <c r="J756" s="3"/>
      <c r="K756" s="3"/>
      <c r="L756" s="3"/>
      <c r="M756" s="3"/>
      <c r="N756" s="3"/>
      <c r="O756" s="3"/>
      <c r="P756" s="3"/>
      <c r="Q756" s="3"/>
      <c r="R756" s="3"/>
      <c r="S756" s="3"/>
      <c r="T756" s="3"/>
      <c r="U756" s="3"/>
      <c r="V756" s="3"/>
      <c r="W756" s="3"/>
      <c r="X756" s="3"/>
      <c r="Y756" s="3"/>
      <c r="Z756" s="3"/>
    </row>
    <row r="757" spans="1:26" ht="14.25" customHeight="1">
      <c r="A757" s="1"/>
      <c r="B757" s="1"/>
      <c r="C757" s="1"/>
      <c r="D757" s="1"/>
      <c r="E757" s="19"/>
      <c r="F757" s="3"/>
      <c r="G757" s="3"/>
      <c r="H757" s="3"/>
      <c r="I757" s="3"/>
      <c r="J757" s="3"/>
      <c r="K757" s="3"/>
      <c r="L757" s="3"/>
      <c r="M757" s="3"/>
      <c r="N757" s="3"/>
      <c r="O757" s="3"/>
      <c r="P757" s="3"/>
      <c r="Q757" s="3"/>
      <c r="R757" s="3"/>
      <c r="S757" s="3"/>
      <c r="T757" s="3"/>
      <c r="U757" s="3"/>
      <c r="V757" s="3"/>
      <c r="W757" s="3"/>
      <c r="X757" s="3"/>
      <c r="Y757" s="3"/>
      <c r="Z757" s="3"/>
    </row>
    <row r="758" spans="1:26" ht="14.25" customHeight="1">
      <c r="A758" s="1"/>
      <c r="B758" s="1"/>
      <c r="C758" s="1"/>
      <c r="D758" s="1"/>
      <c r="E758" s="19"/>
      <c r="F758" s="3"/>
      <c r="G758" s="3"/>
      <c r="H758" s="3"/>
      <c r="I758" s="3"/>
      <c r="J758" s="3"/>
      <c r="K758" s="3"/>
      <c r="L758" s="3"/>
      <c r="M758" s="3"/>
      <c r="N758" s="3"/>
      <c r="O758" s="3"/>
      <c r="P758" s="3"/>
      <c r="Q758" s="3"/>
      <c r="R758" s="3"/>
      <c r="S758" s="3"/>
      <c r="T758" s="3"/>
      <c r="U758" s="3"/>
      <c r="V758" s="3"/>
      <c r="W758" s="3"/>
      <c r="X758" s="3"/>
      <c r="Y758" s="3"/>
      <c r="Z758" s="3"/>
    </row>
    <row r="759" spans="1:26" ht="14.25" customHeight="1">
      <c r="A759" s="1"/>
      <c r="B759" s="1"/>
      <c r="C759" s="1"/>
      <c r="D759" s="1"/>
      <c r="E759" s="19"/>
      <c r="F759" s="3"/>
      <c r="G759" s="3"/>
      <c r="H759" s="3"/>
      <c r="I759" s="3"/>
      <c r="J759" s="3"/>
      <c r="K759" s="3"/>
      <c r="L759" s="3"/>
      <c r="M759" s="3"/>
      <c r="N759" s="3"/>
      <c r="O759" s="3"/>
      <c r="P759" s="3"/>
      <c r="Q759" s="3"/>
      <c r="R759" s="3"/>
      <c r="S759" s="3"/>
      <c r="T759" s="3"/>
      <c r="U759" s="3"/>
      <c r="V759" s="3"/>
      <c r="W759" s="3"/>
      <c r="X759" s="3"/>
      <c r="Y759" s="3"/>
      <c r="Z759" s="3"/>
    </row>
    <row r="760" spans="1:26" ht="14.25" customHeight="1">
      <c r="A760" s="1"/>
      <c r="B760" s="1"/>
      <c r="C760" s="1"/>
      <c r="D760" s="1"/>
      <c r="E760" s="19"/>
      <c r="F760" s="3"/>
      <c r="G760" s="3"/>
      <c r="H760" s="3"/>
      <c r="I760" s="3"/>
      <c r="J760" s="3"/>
      <c r="K760" s="3"/>
      <c r="L760" s="3"/>
      <c r="M760" s="3"/>
      <c r="N760" s="3"/>
      <c r="O760" s="3"/>
      <c r="P760" s="3"/>
      <c r="Q760" s="3"/>
      <c r="R760" s="3"/>
      <c r="S760" s="3"/>
      <c r="T760" s="3"/>
      <c r="U760" s="3"/>
      <c r="V760" s="3"/>
      <c r="W760" s="3"/>
      <c r="X760" s="3"/>
      <c r="Y760" s="3"/>
      <c r="Z760" s="3"/>
    </row>
    <row r="761" spans="1:26" ht="14.25" customHeight="1">
      <c r="A761" s="1"/>
      <c r="B761" s="1"/>
      <c r="C761" s="1"/>
      <c r="D761" s="1"/>
      <c r="E761" s="19"/>
      <c r="F761" s="3"/>
      <c r="G761" s="3"/>
      <c r="H761" s="3"/>
      <c r="I761" s="3"/>
      <c r="J761" s="3"/>
      <c r="K761" s="3"/>
      <c r="L761" s="3"/>
      <c r="M761" s="3"/>
      <c r="N761" s="3"/>
      <c r="O761" s="3"/>
      <c r="P761" s="3"/>
      <c r="Q761" s="3"/>
      <c r="R761" s="3"/>
      <c r="S761" s="3"/>
      <c r="T761" s="3"/>
      <c r="U761" s="3"/>
      <c r="V761" s="3"/>
      <c r="W761" s="3"/>
      <c r="X761" s="3"/>
      <c r="Y761" s="3"/>
      <c r="Z761" s="3"/>
    </row>
    <row r="762" spans="1:26" ht="14.25" customHeight="1">
      <c r="A762" s="1"/>
      <c r="B762" s="1"/>
      <c r="C762" s="1"/>
      <c r="D762" s="1"/>
      <c r="E762" s="19"/>
      <c r="F762" s="3"/>
      <c r="G762" s="3"/>
      <c r="H762" s="3"/>
      <c r="I762" s="3"/>
      <c r="J762" s="3"/>
      <c r="K762" s="3"/>
      <c r="L762" s="3"/>
      <c r="M762" s="3"/>
      <c r="N762" s="3"/>
      <c r="O762" s="3"/>
      <c r="P762" s="3"/>
      <c r="Q762" s="3"/>
      <c r="R762" s="3"/>
      <c r="S762" s="3"/>
      <c r="T762" s="3"/>
      <c r="U762" s="3"/>
      <c r="V762" s="3"/>
      <c r="W762" s="3"/>
      <c r="X762" s="3"/>
      <c r="Y762" s="3"/>
      <c r="Z762" s="3"/>
    </row>
    <row r="763" spans="1:26" ht="14.25" customHeight="1">
      <c r="A763" s="1"/>
      <c r="B763" s="1"/>
      <c r="C763" s="1"/>
      <c r="D763" s="1"/>
      <c r="E763" s="19"/>
      <c r="F763" s="3"/>
      <c r="G763" s="3"/>
      <c r="H763" s="3"/>
      <c r="I763" s="3"/>
      <c r="J763" s="3"/>
      <c r="K763" s="3"/>
      <c r="L763" s="3"/>
      <c r="M763" s="3"/>
      <c r="N763" s="3"/>
      <c r="O763" s="3"/>
      <c r="P763" s="3"/>
      <c r="Q763" s="3"/>
      <c r="R763" s="3"/>
      <c r="S763" s="3"/>
      <c r="T763" s="3"/>
      <c r="U763" s="3"/>
      <c r="V763" s="3"/>
      <c r="W763" s="3"/>
      <c r="X763" s="3"/>
      <c r="Y763" s="3"/>
      <c r="Z763" s="3"/>
    </row>
    <row r="764" spans="1:26" ht="14.25" customHeight="1">
      <c r="A764" s="1"/>
      <c r="B764" s="1"/>
      <c r="C764" s="1"/>
      <c r="D764" s="1"/>
      <c r="E764" s="19"/>
      <c r="F764" s="3"/>
      <c r="G764" s="3"/>
      <c r="H764" s="3"/>
      <c r="I764" s="3"/>
      <c r="J764" s="3"/>
      <c r="K764" s="3"/>
      <c r="L764" s="3"/>
      <c r="M764" s="3"/>
      <c r="N764" s="3"/>
      <c r="O764" s="3"/>
      <c r="P764" s="3"/>
      <c r="Q764" s="3"/>
      <c r="R764" s="3"/>
      <c r="S764" s="3"/>
      <c r="T764" s="3"/>
      <c r="U764" s="3"/>
      <c r="V764" s="3"/>
      <c r="W764" s="3"/>
      <c r="X764" s="3"/>
      <c r="Y764" s="3"/>
      <c r="Z764" s="3"/>
    </row>
    <row r="765" spans="1:26" ht="14.25" customHeight="1">
      <c r="A765" s="1"/>
      <c r="B765" s="1"/>
      <c r="C765" s="1"/>
      <c r="D765" s="1"/>
      <c r="E765" s="19"/>
      <c r="F765" s="3"/>
      <c r="G765" s="3"/>
      <c r="H765" s="3"/>
      <c r="I765" s="3"/>
      <c r="J765" s="3"/>
      <c r="K765" s="3"/>
      <c r="L765" s="3"/>
      <c r="M765" s="3"/>
      <c r="N765" s="3"/>
      <c r="O765" s="3"/>
      <c r="P765" s="3"/>
      <c r="Q765" s="3"/>
      <c r="R765" s="3"/>
      <c r="S765" s="3"/>
      <c r="T765" s="3"/>
      <c r="U765" s="3"/>
      <c r="V765" s="3"/>
      <c r="W765" s="3"/>
      <c r="X765" s="3"/>
      <c r="Y765" s="3"/>
      <c r="Z765" s="3"/>
    </row>
    <row r="766" spans="1:26" ht="14.25" customHeight="1">
      <c r="A766" s="1"/>
      <c r="B766" s="1"/>
      <c r="C766" s="1"/>
      <c r="D766" s="1"/>
      <c r="E766" s="19"/>
      <c r="F766" s="3"/>
      <c r="G766" s="3"/>
      <c r="H766" s="3"/>
      <c r="I766" s="3"/>
      <c r="J766" s="3"/>
      <c r="K766" s="3"/>
      <c r="L766" s="3"/>
      <c r="M766" s="3"/>
      <c r="N766" s="3"/>
      <c r="O766" s="3"/>
      <c r="P766" s="3"/>
      <c r="Q766" s="3"/>
      <c r="R766" s="3"/>
      <c r="S766" s="3"/>
      <c r="T766" s="3"/>
      <c r="U766" s="3"/>
      <c r="V766" s="3"/>
      <c r="W766" s="3"/>
      <c r="X766" s="3"/>
      <c r="Y766" s="3"/>
      <c r="Z766" s="3"/>
    </row>
    <row r="767" spans="1:26" ht="14.25" customHeight="1">
      <c r="A767" s="1"/>
      <c r="B767" s="1"/>
      <c r="C767" s="1"/>
      <c r="D767" s="1"/>
      <c r="E767" s="19"/>
      <c r="F767" s="3"/>
      <c r="G767" s="3"/>
      <c r="H767" s="3"/>
      <c r="I767" s="3"/>
      <c r="J767" s="3"/>
      <c r="K767" s="3"/>
      <c r="L767" s="3"/>
      <c r="M767" s="3"/>
      <c r="N767" s="3"/>
      <c r="O767" s="3"/>
      <c r="P767" s="3"/>
      <c r="Q767" s="3"/>
      <c r="R767" s="3"/>
      <c r="S767" s="3"/>
      <c r="T767" s="3"/>
      <c r="U767" s="3"/>
      <c r="V767" s="3"/>
      <c r="W767" s="3"/>
      <c r="X767" s="3"/>
      <c r="Y767" s="3"/>
      <c r="Z767" s="3"/>
    </row>
    <row r="768" spans="1:26" ht="14.25" customHeight="1">
      <c r="A768" s="1"/>
      <c r="B768" s="1"/>
      <c r="C768" s="1"/>
      <c r="D768" s="1"/>
      <c r="E768" s="19"/>
      <c r="F768" s="3"/>
      <c r="G768" s="3"/>
      <c r="H768" s="3"/>
      <c r="I768" s="3"/>
      <c r="J768" s="3"/>
      <c r="K768" s="3"/>
      <c r="L768" s="3"/>
      <c r="M768" s="3"/>
      <c r="N768" s="3"/>
      <c r="O768" s="3"/>
      <c r="P768" s="3"/>
      <c r="Q768" s="3"/>
      <c r="R768" s="3"/>
      <c r="S768" s="3"/>
      <c r="T768" s="3"/>
      <c r="U768" s="3"/>
      <c r="V768" s="3"/>
      <c r="W768" s="3"/>
      <c r="X768" s="3"/>
      <c r="Y768" s="3"/>
      <c r="Z768" s="3"/>
    </row>
    <row r="769" spans="1:26" ht="14.25" customHeight="1">
      <c r="A769" s="1"/>
      <c r="B769" s="1"/>
      <c r="C769" s="1"/>
      <c r="D769" s="1"/>
      <c r="E769" s="19"/>
      <c r="F769" s="3"/>
      <c r="G769" s="3"/>
      <c r="H769" s="3"/>
      <c r="I769" s="3"/>
      <c r="J769" s="3"/>
      <c r="K769" s="3"/>
      <c r="L769" s="3"/>
      <c r="M769" s="3"/>
      <c r="N769" s="3"/>
      <c r="O769" s="3"/>
      <c r="P769" s="3"/>
      <c r="Q769" s="3"/>
      <c r="R769" s="3"/>
      <c r="S769" s="3"/>
      <c r="T769" s="3"/>
      <c r="U769" s="3"/>
      <c r="V769" s="3"/>
      <c r="W769" s="3"/>
      <c r="X769" s="3"/>
      <c r="Y769" s="3"/>
      <c r="Z769" s="3"/>
    </row>
    <row r="770" spans="1:26" ht="14.25" customHeight="1">
      <c r="A770" s="1"/>
      <c r="B770" s="1"/>
      <c r="C770" s="1"/>
      <c r="D770" s="1"/>
      <c r="E770" s="19"/>
      <c r="F770" s="3"/>
      <c r="G770" s="3"/>
      <c r="H770" s="3"/>
      <c r="I770" s="3"/>
      <c r="J770" s="3"/>
      <c r="K770" s="3"/>
      <c r="L770" s="3"/>
      <c r="M770" s="3"/>
      <c r="N770" s="3"/>
      <c r="O770" s="3"/>
      <c r="P770" s="3"/>
      <c r="Q770" s="3"/>
      <c r="R770" s="3"/>
      <c r="S770" s="3"/>
      <c r="T770" s="3"/>
      <c r="U770" s="3"/>
      <c r="V770" s="3"/>
      <c r="W770" s="3"/>
      <c r="X770" s="3"/>
      <c r="Y770" s="3"/>
      <c r="Z770" s="3"/>
    </row>
    <row r="771" spans="1:26" ht="14.25" customHeight="1">
      <c r="A771" s="1"/>
      <c r="B771" s="1"/>
      <c r="C771" s="1"/>
      <c r="D771" s="1"/>
      <c r="E771" s="19"/>
      <c r="F771" s="3"/>
      <c r="G771" s="3"/>
      <c r="H771" s="3"/>
      <c r="I771" s="3"/>
      <c r="J771" s="3"/>
      <c r="K771" s="3"/>
      <c r="L771" s="3"/>
      <c r="M771" s="3"/>
      <c r="N771" s="3"/>
      <c r="O771" s="3"/>
      <c r="P771" s="3"/>
      <c r="Q771" s="3"/>
      <c r="R771" s="3"/>
      <c r="S771" s="3"/>
      <c r="T771" s="3"/>
      <c r="U771" s="3"/>
      <c r="V771" s="3"/>
      <c r="W771" s="3"/>
      <c r="X771" s="3"/>
      <c r="Y771" s="3"/>
      <c r="Z771" s="3"/>
    </row>
    <row r="772" spans="1:26" ht="14.25" customHeight="1">
      <c r="A772" s="1"/>
      <c r="B772" s="1"/>
      <c r="C772" s="1"/>
      <c r="D772" s="1"/>
      <c r="E772" s="19"/>
      <c r="F772" s="3"/>
      <c r="G772" s="3"/>
      <c r="H772" s="3"/>
      <c r="I772" s="3"/>
      <c r="J772" s="3"/>
      <c r="K772" s="3"/>
      <c r="L772" s="3"/>
      <c r="M772" s="3"/>
      <c r="N772" s="3"/>
      <c r="O772" s="3"/>
      <c r="P772" s="3"/>
      <c r="Q772" s="3"/>
      <c r="R772" s="3"/>
      <c r="S772" s="3"/>
      <c r="T772" s="3"/>
      <c r="U772" s="3"/>
      <c r="V772" s="3"/>
      <c r="W772" s="3"/>
      <c r="X772" s="3"/>
      <c r="Y772" s="3"/>
      <c r="Z772" s="3"/>
    </row>
    <row r="773" spans="1:26" ht="14.25" customHeight="1">
      <c r="A773" s="1"/>
      <c r="B773" s="1"/>
      <c r="C773" s="1"/>
      <c r="D773" s="1"/>
      <c r="E773" s="19"/>
      <c r="F773" s="3"/>
      <c r="G773" s="3"/>
      <c r="H773" s="3"/>
      <c r="I773" s="3"/>
      <c r="J773" s="3"/>
      <c r="K773" s="3"/>
      <c r="L773" s="3"/>
      <c r="M773" s="3"/>
      <c r="N773" s="3"/>
      <c r="O773" s="3"/>
      <c r="P773" s="3"/>
      <c r="Q773" s="3"/>
      <c r="R773" s="3"/>
      <c r="S773" s="3"/>
      <c r="T773" s="3"/>
      <c r="U773" s="3"/>
      <c r="V773" s="3"/>
      <c r="W773" s="3"/>
      <c r="X773" s="3"/>
      <c r="Y773" s="3"/>
      <c r="Z773" s="3"/>
    </row>
    <row r="774" spans="1:26" ht="14.25" customHeight="1">
      <c r="A774" s="1"/>
      <c r="B774" s="1"/>
      <c r="C774" s="1"/>
      <c r="D774" s="1"/>
      <c r="E774" s="19"/>
      <c r="F774" s="3"/>
      <c r="G774" s="3"/>
      <c r="H774" s="3"/>
      <c r="I774" s="3"/>
      <c r="J774" s="3"/>
      <c r="K774" s="3"/>
      <c r="L774" s="3"/>
      <c r="M774" s="3"/>
      <c r="N774" s="3"/>
      <c r="O774" s="3"/>
      <c r="P774" s="3"/>
      <c r="Q774" s="3"/>
      <c r="R774" s="3"/>
      <c r="S774" s="3"/>
      <c r="T774" s="3"/>
      <c r="U774" s="3"/>
      <c r="V774" s="3"/>
      <c r="W774" s="3"/>
      <c r="X774" s="3"/>
      <c r="Y774" s="3"/>
      <c r="Z774" s="3"/>
    </row>
    <row r="775" spans="1:26" ht="14.25" customHeight="1">
      <c r="A775" s="1"/>
      <c r="B775" s="1"/>
      <c r="C775" s="1"/>
      <c r="D775" s="1"/>
      <c r="E775" s="19"/>
      <c r="F775" s="3"/>
      <c r="G775" s="3"/>
      <c r="H775" s="3"/>
      <c r="I775" s="3"/>
      <c r="J775" s="3"/>
      <c r="K775" s="3"/>
      <c r="L775" s="3"/>
      <c r="M775" s="3"/>
      <c r="N775" s="3"/>
      <c r="O775" s="3"/>
      <c r="P775" s="3"/>
      <c r="Q775" s="3"/>
      <c r="R775" s="3"/>
      <c r="S775" s="3"/>
      <c r="T775" s="3"/>
      <c r="U775" s="3"/>
      <c r="V775" s="3"/>
      <c r="W775" s="3"/>
      <c r="X775" s="3"/>
      <c r="Y775" s="3"/>
      <c r="Z775" s="3"/>
    </row>
    <row r="776" spans="1:26" ht="14.25" customHeight="1">
      <c r="A776" s="1"/>
      <c r="B776" s="1"/>
      <c r="C776" s="1"/>
      <c r="D776" s="1"/>
      <c r="E776" s="19"/>
      <c r="F776" s="3"/>
      <c r="G776" s="3"/>
      <c r="H776" s="3"/>
      <c r="I776" s="3"/>
      <c r="J776" s="3"/>
      <c r="K776" s="3"/>
      <c r="L776" s="3"/>
      <c r="M776" s="3"/>
      <c r="N776" s="3"/>
      <c r="O776" s="3"/>
      <c r="P776" s="3"/>
      <c r="Q776" s="3"/>
      <c r="R776" s="3"/>
      <c r="S776" s="3"/>
      <c r="T776" s="3"/>
      <c r="U776" s="3"/>
      <c r="V776" s="3"/>
      <c r="W776" s="3"/>
      <c r="X776" s="3"/>
      <c r="Y776" s="3"/>
      <c r="Z776" s="3"/>
    </row>
    <row r="777" spans="1:26" ht="14.25" customHeight="1">
      <c r="A777" s="1"/>
      <c r="B777" s="1"/>
      <c r="C777" s="1"/>
      <c r="D777" s="1"/>
      <c r="E777" s="19"/>
      <c r="F777" s="3"/>
      <c r="G777" s="3"/>
      <c r="H777" s="3"/>
      <c r="I777" s="3"/>
      <c r="J777" s="3"/>
      <c r="K777" s="3"/>
      <c r="L777" s="3"/>
      <c r="M777" s="3"/>
      <c r="N777" s="3"/>
      <c r="O777" s="3"/>
      <c r="P777" s="3"/>
      <c r="Q777" s="3"/>
      <c r="R777" s="3"/>
      <c r="S777" s="3"/>
      <c r="T777" s="3"/>
      <c r="U777" s="3"/>
      <c r="V777" s="3"/>
      <c r="W777" s="3"/>
      <c r="X777" s="3"/>
      <c r="Y777" s="3"/>
      <c r="Z777" s="3"/>
    </row>
    <row r="778" spans="1:26" ht="14.25" customHeight="1">
      <c r="A778" s="1"/>
      <c r="B778" s="1"/>
      <c r="C778" s="1"/>
      <c r="D778" s="1"/>
      <c r="E778" s="19"/>
      <c r="F778" s="3"/>
      <c r="G778" s="3"/>
      <c r="H778" s="3"/>
      <c r="I778" s="3"/>
      <c r="J778" s="3"/>
      <c r="K778" s="3"/>
      <c r="L778" s="3"/>
      <c r="M778" s="3"/>
      <c r="N778" s="3"/>
      <c r="O778" s="3"/>
      <c r="P778" s="3"/>
      <c r="Q778" s="3"/>
      <c r="R778" s="3"/>
      <c r="S778" s="3"/>
      <c r="T778" s="3"/>
      <c r="U778" s="3"/>
      <c r="V778" s="3"/>
      <c r="W778" s="3"/>
      <c r="X778" s="3"/>
      <c r="Y778" s="3"/>
      <c r="Z778" s="3"/>
    </row>
    <row r="779" spans="1:26" ht="14.25" customHeight="1">
      <c r="A779" s="1"/>
      <c r="B779" s="1"/>
      <c r="C779" s="1"/>
      <c r="D779" s="1"/>
      <c r="E779" s="19"/>
      <c r="F779" s="3"/>
      <c r="G779" s="3"/>
      <c r="H779" s="3"/>
      <c r="I779" s="3"/>
      <c r="J779" s="3"/>
      <c r="K779" s="3"/>
      <c r="L779" s="3"/>
      <c r="M779" s="3"/>
      <c r="N779" s="3"/>
      <c r="O779" s="3"/>
      <c r="P779" s="3"/>
      <c r="Q779" s="3"/>
      <c r="R779" s="3"/>
      <c r="S779" s="3"/>
      <c r="T779" s="3"/>
      <c r="U779" s="3"/>
      <c r="V779" s="3"/>
      <c r="W779" s="3"/>
      <c r="X779" s="3"/>
      <c r="Y779" s="3"/>
      <c r="Z779" s="3"/>
    </row>
    <row r="780" spans="1:26" ht="14.25" customHeight="1">
      <c r="A780" s="1"/>
      <c r="B780" s="1"/>
      <c r="C780" s="1"/>
      <c r="D780" s="1"/>
      <c r="E780" s="19"/>
      <c r="F780" s="3"/>
      <c r="G780" s="3"/>
      <c r="H780" s="3"/>
      <c r="I780" s="3"/>
      <c r="J780" s="3"/>
      <c r="K780" s="3"/>
      <c r="L780" s="3"/>
      <c r="M780" s="3"/>
      <c r="N780" s="3"/>
      <c r="O780" s="3"/>
      <c r="P780" s="3"/>
      <c r="Q780" s="3"/>
      <c r="R780" s="3"/>
      <c r="S780" s="3"/>
      <c r="T780" s="3"/>
      <c r="U780" s="3"/>
      <c r="V780" s="3"/>
      <c r="W780" s="3"/>
      <c r="X780" s="3"/>
      <c r="Y780" s="3"/>
      <c r="Z780" s="3"/>
    </row>
    <row r="781" spans="1:26" ht="14.25" customHeight="1">
      <c r="A781" s="1"/>
      <c r="B781" s="1"/>
      <c r="C781" s="1"/>
      <c r="D781" s="1"/>
      <c r="E781" s="19"/>
      <c r="F781" s="3"/>
      <c r="G781" s="3"/>
      <c r="H781" s="3"/>
      <c r="I781" s="3"/>
      <c r="J781" s="3"/>
      <c r="K781" s="3"/>
      <c r="L781" s="3"/>
      <c r="M781" s="3"/>
      <c r="N781" s="3"/>
      <c r="O781" s="3"/>
      <c r="P781" s="3"/>
      <c r="Q781" s="3"/>
      <c r="R781" s="3"/>
      <c r="S781" s="3"/>
      <c r="T781" s="3"/>
      <c r="U781" s="3"/>
      <c r="V781" s="3"/>
      <c r="W781" s="3"/>
      <c r="X781" s="3"/>
      <c r="Y781" s="3"/>
      <c r="Z781" s="3"/>
    </row>
    <row r="782" spans="1:26" ht="14.25" customHeight="1">
      <c r="A782" s="1"/>
      <c r="B782" s="1"/>
      <c r="C782" s="1"/>
      <c r="D782" s="1"/>
      <c r="E782" s="19"/>
      <c r="F782" s="3"/>
      <c r="G782" s="3"/>
      <c r="H782" s="3"/>
      <c r="I782" s="3"/>
      <c r="J782" s="3"/>
      <c r="K782" s="3"/>
      <c r="L782" s="3"/>
      <c r="M782" s="3"/>
      <c r="N782" s="3"/>
      <c r="O782" s="3"/>
      <c r="P782" s="3"/>
      <c r="Q782" s="3"/>
      <c r="R782" s="3"/>
      <c r="S782" s="3"/>
      <c r="T782" s="3"/>
      <c r="U782" s="3"/>
      <c r="V782" s="3"/>
      <c r="W782" s="3"/>
      <c r="X782" s="3"/>
      <c r="Y782" s="3"/>
      <c r="Z782" s="3"/>
    </row>
    <row r="783" spans="1:26" ht="14.25" customHeight="1">
      <c r="A783" s="1"/>
      <c r="B783" s="1"/>
      <c r="C783" s="1"/>
      <c r="D783" s="1"/>
      <c r="E783" s="19"/>
      <c r="F783" s="3"/>
      <c r="G783" s="3"/>
      <c r="H783" s="3"/>
      <c r="I783" s="3"/>
      <c r="J783" s="3"/>
      <c r="K783" s="3"/>
      <c r="L783" s="3"/>
      <c r="M783" s="3"/>
      <c r="N783" s="3"/>
      <c r="O783" s="3"/>
      <c r="P783" s="3"/>
      <c r="Q783" s="3"/>
      <c r="R783" s="3"/>
      <c r="S783" s="3"/>
      <c r="T783" s="3"/>
      <c r="U783" s="3"/>
      <c r="V783" s="3"/>
      <c r="W783" s="3"/>
      <c r="X783" s="3"/>
      <c r="Y783" s="3"/>
      <c r="Z783" s="3"/>
    </row>
    <row r="784" spans="1:26" ht="14.25" customHeight="1">
      <c r="A784" s="1"/>
      <c r="B784" s="1"/>
      <c r="C784" s="1"/>
      <c r="D784" s="1"/>
      <c r="E784" s="19"/>
      <c r="F784" s="3"/>
      <c r="G784" s="3"/>
      <c r="H784" s="3"/>
      <c r="I784" s="3"/>
      <c r="J784" s="3"/>
      <c r="K784" s="3"/>
      <c r="L784" s="3"/>
      <c r="M784" s="3"/>
      <c r="N784" s="3"/>
      <c r="O784" s="3"/>
      <c r="P784" s="3"/>
      <c r="Q784" s="3"/>
      <c r="R784" s="3"/>
      <c r="S784" s="3"/>
      <c r="T784" s="3"/>
      <c r="U784" s="3"/>
      <c r="V784" s="3"/>
      <c r="W784" s="3"/>
      <c r="X784" s="3"/>
      <c r="Y784" s="3"/>
      <c r="Z784" s="3"/>
    </row>
    <row r="785" spans="1:26" ht="14.25" customHeight="1">
      <c r="A785" s="1"/>
      <c r="B785" s="1"/>
      <c r="C785" s="1"/>
      <c r="D785" s="1"/>
      <c r="E785" s="19"/>
      <c r="F785" s="3"/>
      <c r="G785" s="3"/>
      <c r="H785" s="3"/>
      <c r="I785" s="3"/>
      <c r="J785" s="3"/>
      <c r="K785" s="3"/>
      <c r="L785" s="3"/>
      <c r="M785" s="3"/>
      <c r="N785" s="3"/>
      <c r="O785" s="3"/>
      <c r="P785" s="3"/>
      <c r="Q785" s="3"/>
      <c r="R785" s="3"/>
      <c r="S785" s="3"/>
      <c r="T785" s="3"/>
      <c r="U785" s="3"/>
      <c r="V785" s="3"/>
      <c r="W785" s="3"/>
      <c r="X785" s="3"/>
      <c r="Y785" s="3"/>
      <c r="Z785" s="3"/>
    </row>
    <row r="786" spans="1:26" ht="14.25" customHeight="1">
      <c r="A786" s="1"/>
      <c r="B786" s="1"/>
      <c r="C786" s="1"/>
      <c r="D786" s="1"/>
      <c r="E786" s="19"/>
      <c r="F786" s="3"/>
      <c r="G786" s="3"/>
      <c r="H786" s="3"/>
      <c r="I786" s="3"/>
      <c r="J786" s="3"/>
      <c r="K786" s="3"/>
      <c r="L786" s="3"/>
      <c r="M786" s="3"/>
      <c r="N786" s="3"/>
      <c r="O786" s="3"/>
      <c r="P786" s="3"/>
      <c r="Q786" s="3"/>
      <c r="R786" s="3"/>
      <c r="S786" s="3"/>
      <c r="T786" s="3"/>
      <c r="U786" s="3"/>
      <c r="V786" s="3"/>
      <c r="W786" s="3"/>
      <c r="X786" s="3"/>
      <c r="Y786" s="3"/>
      <c r="Z786" s="3"/>
    </row>
    <row r="787" spans="1:26" ht="14.25" customHeight="1">
      <c r="A787" s="1"/>
      <c r="B787" s="1"/>
      <c r="C787" s="1"/>
      <c r="D787" s="1"/>
      <c r="E787" s="19"/>
      <c r="F787" s="3"/>
      <c r="G787" s="3"/>
      <c r="H787" s="3"/>
      <c r="I787" s="3"/>
      <c r="J787" s="3"/>
      <c r="K787" s="3"/>
      <c r="L787" s="3"/>
      <c r="M787" s="3"/>
      <c r="N787" s="3"/>
      <c r="O787" s="3"/>
      <c r="P787" s="3"/>
      <c r="Q787" s="3"/>
      <c r="R787" s="3"/>
      <c r="S787" s="3"/>
      <c r="T787" s="3"/>
      <c r="U787" s="3"/>
      <c r="V787" s="3"/>
      <c r="W787" s="3"/>
      <c r="X787" s="3"/>
      <c r="Y787" s="3"/>
      <c r="Z787" s="3"/>
    </row>
    <row r="788" spans="1:26" ht="14.25" customHeight="1">
      <c r="A788" s="1"/>
      <c r="B788" s="1"/>
      <c r="C788" s="1"/>
      <c r="D788" s="1"/>
      <c r="E788" s="19"/>
      <c r="F788" s="3"/>
      <c r="G788" s="3"/>
      <c r="H788" s="3"/>
      <c r="I788" s="3"/>
      <c r="J788" s="3"/>
      <c r="K788" s="3"/>
      <c r="L788" s="3"/>
      <c r="M788" s="3"/>
      <c r="N788" s="3"/>
      <c r="O788" s="3"/>
      <c r="P788" s="3"/>
      <c r="Q788" s="3"/>
      <c r="R788" s="3"/>
      <c r="S788" s="3"/>
      <c r="T788" s="3"/>
      <c r="U788" s="3"/>
      <c r="V788" s="3"/>
      <c r="W788" s="3"/>
      <c r="X788" s="3"/>
      <c r="Y788" s="3"/>
      <c r="Z788" s="3"/>
    </row>
    <row r="789" spans="1:26" ht="14.25" customHeight="1">
      <c r="A789" s="1"/>
      <c r="B789" s="1"/>
      <c r="C789" s="1"/>
      <c r="D789" s="1"/>
      <c r="E789" s="19"/>
      <c r="F789" s="3"/>
      <c r="G789" s="3"/>
      <c r="H789" s="3"/>
      <c r="I789" s="3"/>
      <c r="J789" s="3"/>
      <c r="K789" s="3"/>
      <c r="L789" s="3"/>
      <c r="M789" s="3"/>
      <c r="N789" s="3"/>
      <c r="O789" s="3"/>
      <c r="P789" s="3"/>
      <c r="Q789" s="3"/>
      <c r="R789" s="3"/>
      <c r="S789" s="3"/>
      <c r="T789" s="3"/>
      <c r="U789" s="3"/>
      <c r="V789" s="3"/>
      <c r="W789" s="3"/>
      <c r="X789" s="3"/>
      <c r="Y789" s="3"/>
      <c r="Z789" s="3"/>
    </row>
    <row r="790" spans="1:26" ht="14.25" customHeight="1">
      <c r="A790" s="1"/>
      <c r="B790" s="1"/>
      <c r="C790" s="1"/>
      <c r="D790" s="1"/>
      <c r="E790" s="19"/>
      <c r="F790" s="3"/>
      <c r="G790" s="3"/>
      <c r="H790" s="3"/>
      <c r="I790" s="3"/>
      <c r="J790" s="3"/>
      <c r="K790" s="3"/>
      <c r="L790" s="3"/>
      <c r="M790" s="3"/>
      <c r="N790" s="3"/>
      <c r="O790" s="3"/>
      <c r="P790" s="3"/>
      <c r="Q790" s="3"/>
      <c r="R790" s="3"/>
      <c r="S790" s="3"/>
      <c r="T790" s="3"/>
      <c r="U790" s="3"/>
      <c r="V790" s="3"/>
      <c r="W790" s="3"/>
      <c r="X790" s="3"/>
      <c r="Y790" s="3"/>
      <c r="Z790" s="3"/>
    </row>
    <row r="791" spans="1:26" ht="14.25" customHeight="1">
      <c r="A791" s="1"/>
      <c r="B791" s="1"/>
      <c r="C791" s="1"/>
      <c r="D791" s="1"/>
      <c r="E791" s="19"/>
      <c r="F791" s="3"/>
      <c r="G791" s="3"/>
      <c r="H791" s="3"/>
      <c r="I791" s="3"/>
      <c r="J791" s="3"/>
      <c r="K791" s="3"/>
      <c r="L791" s="3"/>
      <c r="M791" s="3"/>
      <c r="N791" s="3"/>
      <c r="O791" s="3"/>
      <c r="P791" s="3"/>
      <c r="Q791" s="3"/>
      <c r="R791" s="3"/>
      <c r="S791" s="3"/>
      <c r="T791" s="3"/>
      <c r="U791" s="3"/>
      <c r="V791" s="3"/>
      <c r="W791" s="3"/>
      <c r="X791" s="3"/>
      <c r="Y791" s="3"/>
      <c r="Z791" s="3"/>
    </row>
    <row r="792" spans="1:26" ht="14.25" customHeight="1">
      <c r="A792" s="1"/>
      <c r="B792" s="1"/>
      <c r="C792" s="1"/>
      <c r="D792" s="1"/>
      <c r="E792" s="19"/>
      <c r="F792" s="3"/>
      <c r="G792" s="3"/>
      <c r="H792" s="3"/>
      <c r="I792" s="3"/>
      <c r="J792" s="3"/>
      <c r="K792" s="3"/>
      <c r="L792" s="3"/>
      <c r="M792" s="3"/>
      <c r="N792" s="3"/>
      <c r="O792" s="3"/>
      <c r="P792" s="3"/>
      <c r="Q792" s="3"/>
      <c r="R792" s="3"/>
      <c r="S792" s="3"/>
      <c r="T792" s="3"/>
      <c r="U792" s="3"/>
      <c r="V792" s="3"/>
      <c r="W792" s="3"/>
      <c r="X792" s="3"/>
      <c r="Y792" s="3"/>
      <c r="Z792" s="3"/>
    </row>
    <row r="793" spans="1:26" ht="14.25" customHeight="1">
      <c r="A793" s="1"/>
      <c r="B793" s="1"/>
      <c r="C793" s="1"/>
      <c r="D793" s="1"/>
      <c r="E793" s="19"/>
      <c r="F793" s="3"/>
      <c r="G793" s="3"/>
      <c r="H793" s="3"/>
      <c r="I793" s="3"/>
      <c r="J793" s="3"/>
      <c r="K793" s="3"/>
      <c r="L793" s="3"/>
      <c r="M793" s="3"/>
      <c r="N793" s="3"/>
      <c r="O793" s="3"/>
      <c r="P793" s="3"/>
      <c r="Q793" s="3"/>
      <c r="R793" s="3"/>
      <c r="S793" s="3"/>
      <c r="T793" s="3"/>
      <c r="U793" s="3"/>
      <c r="V793" s="3"/>
      <c r="W793" s="3"/>
      <c r="X793" s="3"/>
      <c r="Y793" s="3"/>
      <c r="Z793" s="3"/>
    </row>
    <row r="794" spans="1:26" ht="14.25" customHeight="1">
      <c r="A794" s="1"/>
      <c r="B794" s="1"/>
      <c r="C794" s="1"/>
      <c r="D794" s="1"/>
      <c r="E794" s="19"/>
      <c r="F794" s="3"/>
      <c r="G794" s="3"/>
      <c r="H794" s="3"/>
      <c r="I794" s="3"/>
      <c r="J794" s="3"/>
      <c r="K794" s="3"/>
      <c r="L794" s="3"/>
      <c r="M794" s="3"/>
      <c r="N794" s="3"/>
      <c r="O794" s="3"/>
      <c r="P794" s="3"/>
      <c r="Q794" s="3"/>
      <c r="R794" s="3"/>
      <c r="S794" s="3"/>
      <c r="T794" s="3"/>
      <c r="U794" s="3"/>
      <c r="V794" s="3"/>
      <c r="W794" s="3"/>
      <c r="X794" s="3"/>
      <c r="Y794" s="3"/>
      <c r="Z794" s="3"/>
    </row>
    <row r="795" spans="1:26" ht="14.25" customHeight="1">
      <c r="A795" s="1"/>
      <c r="B795" s="1"/>
      <c r="C795" s="1"/>
      <c r="D795" s="1"/>
      <c r="E795" s="19"/>
      <c r="F795" s="3"/>
      <c r="G795" s="3"/>
      <c r="H795" s="3"/>
      <c r="I795" s="3"/>
      <c r="J795" s="3"/>
      <c r="K795" s="3"/>
      <c r="L795" s="3"/>
      <c r="M795" s="3"/>
      <c r="N795" s="3"/>
      <c r="O795" s="3"/>
      <c r="P795" s="3"/>
      <c r="Q795" s="3"/>
      <c r="R795" s="3"/>
      <c r="S795" s="3"/>
      <c r="T795" s="3"/>
      <c r="U795" s="3"/>
      <c r="V795" s="3"/>
      <c r="W795" s="3"/>
      <c r="X795" s="3"/>
      <c r="Y795" s="3"/>
      <c r="Z795" s="3"/>
    </row>
    <row r="796" spans="1:26" ht="14.25" customHeight="1">
      <c r="A796" s="1"/>
      <c r="B796" s="1"/>
      <c r="C796" s="1"/>
      <c r="D796" s="1"/>
      <c r="E796" s="19"/>
      <c r="F796" s="3"/>
      <c r="G796" s="3"/>
      <c r="H796" s="3"/>
      <c r="I796" s="3"/>
      <c r="J796" s="3"/>
      <c r="K796" s="3"/>
      <c r="L796" s="3"/>
      <c r="M796" s="3"/>
      <c r="N796" s="3"/>
      <c r="O796" s="3"/>
      <c r="P796" s="3"/>
      <c r="Q796" s="3"/>
      <c r="R796" s="3"/>
      <c r="S796" s="3"/>
      <c r="T796" s="3"/>
      <c r="U796" s="3"/>
      <c r="V796" s="3"/>
      <c r="W796" s="3"/>
      <c r="X796" s="3"/>
      <c r="Y796" s="3"/>
      <c r="Z796" s="3"/>
    </row>
    <row r="797" spans="1:26" ht="14.25" customHeight="1">
      <c r="A797" s="1"/>
      <c r="B797" s="1"/>
      <c r="C797" s="1"/>
      <c r="D797" s="1"/>
      <c r="E797" s="19"/>
      <c r="F797" s="3"/>
      <c r="G797" s="3"/>
      <c r="H797" s="3"/>
      <c r="I797" s="3"/>
      <c r="J797" s="3"/>
      <c r="K797" s="3"/>
      <c r="L797" s="3"/>
      <c r="M797" s="3"/>
      <c r="N797" s="3"/>
      <c r="O797" s="3"/>
      <c r="P797" s="3"/>
      <c r="Q797" s="3"/>
      <c r="R797" s="3"/>
      <c r="S797" s="3"/>
      <c r="T797" s="3"/>
      <c r="U797" s="3"/>
      <c r="V797" s="3"/>
      <c r="W797" s="3"/>
      <c r="X797" s="3"/>
      <c r="Y797" s="3"/>
      <c r="Z797" s="3"/>
    </row>
    <row r="798" spans="1:26" ht="14.25" customHeight="1">
      <c r="A798" s="1"/>
      <c r="B798" s="1"/>
      <c r="C798" s="1"/>
      <c r="D798" s="1"/>
      <c r="E798" s="19"/>
      <c r="F798" s="3"/>
      <c r="G798" s="3"/>
      <c r="H798" s="3"/>
      <c r="I798" s="3"/>
      <c r="J798" s="3"/>
      <c r="K798" s="3"/>
      <c r="L798" s="3"/>
      <c r="M798" s="3"/>
      <c r="N798" s="3"/>
      <c r="O798" s="3"/>
      <c r="P798" s="3"/>
      <c r="Q798" s="3"/>
      <c r="R798" s="3"/>
      <c r="S798" s="3"/>
      <c r="T798" s="3"/>
      <c r="U798" s="3"/>
      <c r="V798" s="3"/>
      <c r="W798" s="3"/>
      <c r="X798" s="3"/>
      <c r="Y798" s="3"/>
      <c r="Z798" s="3"/>
    </row>
    <row r="799" spans="1:26" ht="14.25" customHeight="1">
      <c r="A799" s="1"/>
      <c r="B799" s="1"/>
      <c r="C799" s="1"/>
      <c r="D799" s="1"/>
      <c r="E799" s="19"/>
      <c r="F799" s="3"/>
      <c r="G799" s="3"/>
      <c r="H799" s="3"/>
      <c r="I799" s="3"/>
      <c r="J799" s="3"/>
      <c r="K799" s="3"/>
      <c r="L799" s="3"/>
      <c r="M799" s="3"/>
      <c r="N799" s="3"/>
      <c r="O799" s="3"/>
      <c r="P799" s="3"/>
      <c r="Q799" s="3"/>
      <c r="R799" s="3"/>
      <c r="S799" s="3"/>
      <c r="T799" s="3"/>
      <c r="U799" s="3"/>
      <c r="V799" s="3"/>
      <c r="W799" s="3"/>
      <c r="X799" s="3"/>
      <c r="Y799" s="3"/>
      <c r="Z799" s="3"/>
    </row>
    <row r="800" spans="1:26" ht="14.25" customHeight="1">
      <c r="A800" s="1"/>
      <c r="B800" s="1"/>
      <c r="C800" s="1"/>
      <c r="D800" s="1"/>
      <c r="E800" s="19"/>
      <c r="F800" s="3"/>
      <c r="G800" s="3"/>
      <c r="H800" s="3"/>
      <c r="I800" s="3"/>
      <c r="J800" s="3"/>
      <c r="K800" s="3"/>
      <c r="L800" s="3"/>
      <c r="M800" s="3"/>
      <c r="N800" s="3"/>
      <c r="O800" s="3"/>
      <c r="P800" s="3"/>
      <c r="Q800" s="3"/>
      <c r="R800" s="3"/>
      <c r="S800" s="3"/>
      <c r="T800" s="3"/>
      <c r="U800" s="3"/>
      <c r="V800" s="3"/>
      <c r="W800" s="3"/>
      <c r="X800" s="3"/>
      <c r="Y800" s="3"/>
      <c r="Z800" s="3"/>
    </row>
    <row r="801" spans="1:26" ht="14.25" customHeight="1">
      <c r="A801" s="1"/>
      <c r="B801" s="1"/>
      <c r="C801" s="1"/>
      <c r="D801" s="1"/>
      <c r="E801" s="19"/>
      <c r="F801" s="3"/>
      <c r="G801" s="3"/>
      <c r="H801" s="3"/>
      <c r="I801" s="3"/>
      <c r="J801" s="3"/>
      <c r="K801" s="3"/>
      <c r="L801" s="3"/>
      <c r="M801" s="3"/>
      <c r="N801" s="3"/>
      <c r="O801" s="3"/>
      <c r="P801" s="3"/>
      <c r="Q801" s="3"/>
      <c r="R801" s="3"/>
      <c r="S801" s="3"/>
      <c r="T801" s="3"/>
      <c r="U801" s="3"/>
      <c r="V801" s="3"/>
      <c r="W801" s="3"/>
      <c r="X801" s="3"/>
      <c r="Y801" s="3"/>
      <c r="Z801" s="3"/>
    </row>
    <row r="802" spans="1:26" ht="14.25" customHeight="1">
      <c r="A802" s="1"/>
      <c r="B802" s="1"/>
      <c r="C802" s="1"/>
      <c r="D802" s="1"/>
      <c r="E802" s="19"/>
      <c r="F802" s="3"/>
      <c r="G802" s="3"/>
      <c r="H802" s="3"/>
      <c r="I802" s="3"/>
      <c r="J802" s="3"/>
      <c r="K802" s="3"/>
      <c r="L802" s="3"/>
      <c r="M802" s="3"/>
      <c r="N802" s="3"/>
      <c r="O802" s="3"/>
      <c r="P802" s="3"/>
      <c r="Q802" s="3"/>
      <c r="R802" s="3"/>
      <c r="S802" s="3"/>
      <c r="T802" s="3"/>
      <c r="U802" s="3"/>
      <c r="V802" s="3"/>
      <c r="W802" s="3"/>
      <c r="X802" s="3"/>
      <c r="Y802" s="3"/>
      <c r="Z802" s="3"/>
    </row>
    <row r="803" spans="1:26" ht="14.25" customHeight="1">
      <c r="A803" s="1"/>
      <c r="B803" s="1"/>
      <c r="C803" s="1"/>
      <c r="D803" s="1"/>
      <c r="E803" s="19"/>
      <c r="F803" s="3"/>
      <c r="G803" s="3"/>
      <c r="H803" s="3"/>
      <c r="I803" s="3"/>
      <c r="J803" s="3"/>
      <c r="K803" s="3"/>
      <c r="L803" s="3"/>
      <c r="M803" s="3"/>
      <c r="N803" s="3"/>
      <c r="O803" s="3"/>
      <c r="P803" s="3"/>
      <c r="Q803" s="3"/>
      <c r="R803" s="3"/>
      <c r="S803" s="3"/>
      <c r="T803" s="3"/>
      <c r="U803" s="3"/>
      <c r="V803" s="3"/>
      <c r="W803" s="3"/>
      <c r="X803" s="3"/>
      <c r="Y803" s="3"/>
      <c r="Z803" s="3"/>
    </row>
    <row r="804" spans="1:26" ht="14.25" customHeight="1">
      <c r="A804" s="1"/>
      <c r="B804" s="1"/>
      <c r="C804" s="1"/>
      <c r="D804" s="1"/>
      <c r="E804" s="19"/>
      <c r="F804" s="3"/>
      <c r="G804" s="3"/>
      <c r="H804" s="3"/>
      <c r="I804" s="3"/>
      <c r="J804" s="3"/>
      <c r="K804" s="3"/>
      <c r="L804" s="3"/>
      <c r="M804" s="3"/>
      <c r="N804" s="3"/>
      <c r="O804" s="3"/>
      <c r="P804" s="3"/>
      <c r="Q804" s="3"/>
      <c r="R804" s="3"/>
      <c r="S804" s="3"/>
      <c r="T804" s="3"/>
      <c r="U804" s="3"/>
      <c r="V804" s="3"/>
      <c r="W804" s="3"/>
      <c r="X804" s="3"/>
      <c r="Y804" s="3"/>
      <c r="Z804" s="3"/>
    </row>
    <row r="805" spans="1:26" ht="14.25" customHeight="1">
      <c r="A805" s="1"/>
      <c r="B805" s="1"/>
      <c r="C805" s="1"/>
      <c r="D805" s="1"/>
      <c r="E805" s="19"/>
      <c r="F805" s="3"/>
      <c r="G805" s="3"/>
      <c r="H805" s="3"/>
      <c r="I805" s="3"/>
      <c r="J805" s="3"/>
      <c r="K805" s="3"/>
      <c r="L805" s="3"/>
      <c r="M805" s="3"/>
      <c r="N805" s="3"/>
      <c r="O805" s="3"/>
      <c r="P805" s="3"/>
      <c r="Q805" s="3"/>
      <c r="R805" s="3"/>
      <c r="S805" s="3"/>
      <c r="T805" s="3"/>
      <c r="U805" s="3"/>
      <c r="V805" s="3"/>
      <c r="W805" s="3"/>
      <c r="X805" s="3"/>
      <c r="Y805" s="3"/>
      <c r="Z805" s="3"/>
    </row>
    <row r="806" spans="1:26" ht="14.25" customHeight="1">
      <c r="A806" s="1"/>
      <c r="B806" s="1"/>
      <c r="C806" s="1"/>
      <c r="D806" s="1"/>
      <c r="E806" s="19"/>
      <c r="F806" s="3"/>
      <c r="G806" s="3"/>
      <c r="H806" s="3"/>
      <c r="I806" s="3"/>
      <c r="J806" s="3"/>
      <c r="K806" s="3"/>
      <c r="L806" s="3"/>
      <c r="M806" s="3"/>
      <c r="N806" s="3"/>
      <c r="O806" s="3"/>
      <c r="P806" s="3"/>
      <c r="Q806" s="3"/>
      <c r="R806" s="3"/>
      <c r="S806" s="3"/>
      <c r="T806" s="3"/>
      <c r="U806" s="3"/>
      <c r="V806" s="3"/>
      <c r="W806" s="3"/>
      <c r="X806" s="3"/>
      <c r="Y806" s="3"/>
      <c r="Z806" s="3"/>
    </row>
    <row r="807" spans="1:26" ht="14.25" customHeight="1">
      <c r="A807" s="1"/>
      <c r="B807" s="1"/>
      <c r="C807" s="1"/>
      <c r="D807" s="1"/>
      <c r="E807" s="19"/>
      <c r="F807" s="3"/>
      <c r="G807" s="3"/>
      <c r="H807" s="3"/>
      <c r="I807" s="3"/>
      <c r="J807" s="3"/>
      <c r="K807" s="3"/>
      <c r="L807" s="3"/>
      <c r="M807" s="3"/>
      <c r="N807" s="3"/>
      <c r="O807" s="3"/>
      <c r="P807" s="3"/>
      <c r="Q807" s="3"/>
      <c r="R807" s="3"/>
      <c r="S807" s="3"/>
      <c r="T807" s="3"/>
      <c r="U807" s="3"/>
      <c r="V807" s="3"/>
      <c r="W807" s="3"/>
      <c r="X807" s="3"/>
      <c r="Y807" s="3"/>
      <c r="Z807" s="3"/>
    </row>
    <row r="808" spans="1:26" ht="14.25" customHeight="1">
      <c r="A808" s="1"/>
      <c r="B808" s="1"/>
      <c r="C808" s="1"/>
      <c r="D808" s="1"/>
      <c r="E808" s="19"/>
      <c r="F808" s="3"/>
      <c r="G808" s="3"/>
      <c r="H808" s="3"/>
      <c r="I808" s="3"/>
      <c r="J808" s="3"/>
      <c r="K808" s="3"/>
      <c r="L808" s="3"/>
      <c r="M808" s="3"/>
      <c r="N808" s="3"/>
      <c r="O808" s="3"/>
      <c r="P808" s="3"/>
      <c r="Q808" s="3"/>
      <c r="R808" s="3"/>
      <c r="S808" s="3"/>
      <c r="T808" s="3"/>
      <c r="U808" s="3"/>
      <c r="V808" s="3"/>
      <c r="W808" s="3"/>
      <c r="X808" s="3"/>
      <c r="Y808" s="3"/>
      <c r="Z808" s="3"/>
    </row>
    <row r="809" spans="1:26" ht="14.25" customHeight="1">
      <c r="A809" s="1"/>
      <c r="B809" s="1"/>
      <c r="C809" s="1"/>
      <c r="D809" s="1"/>
      <c r="E809" s="19"/>
      <c r="F809" s="3"/>
      <c r="G809" s="3"/>
      <c r="H809" s="3"/>
      <c r="I809" s="3"/>
      <c r="J809" s="3"/>
      <c r="K809" s="3"/>
      <c r="L809" s="3"/>
      <c r="M809" s="3"/>
      <c r="N809" s="3"/>
      <c r="O809" s="3"/>
      <c r="P809" s="3"/>
      <c r="Q809" s="3"/>
      <c r="R809" s="3"/>
      <c r="S809" s="3"/>
      <c r="T809" s="3"/>
      <c r="U809" s="3"/>
      <c r="V809" s="3"/>
      <c r="W809" s="3"/>
      <c r="X809" s="3"/>
      <c r="Y809" s="3"/>
      <c r="Z809" s="3"/>
    </row>
    <row r="810" spans="1:26" ht="14.25" customHeight="1">
      <c r="A810" s="1"/>
      <c r="B810" s="1"/>
      <c r="C810" s="1"/>
      <c r="D810" s="1"/>
      <c r="E810" s="19"/>
      <c r="F810" s="3"/>
      <c r="G810" s="3"/>
      <c r="H810" s="3"/>
      <c r="I810" s="3"/>
      <c r="J810" s="3"/>
      <c r="K810" s="3"/>
      <c r="L810" s="3"/>
      <c r="M810" s="3"/>
      <c r="N810" s="3"/>
      <c r="O810" s="3"/>
      <c r="P810" s="3"/>
      <c r="Q810" s="3"/>
      <c r="R810" s="3"/>
      <c r="S810" s="3"/>
      <c r="T810" s="3"/>
      <c r="U810" s="3"/>
      <c r="V810" s="3"/>
      <c r="W810" s="3"/>
      <c r="X810" s="3"/>
      <c r="Y810" s="3"/>
      <c r="Z810" s="3"/>
    </row>
    <row r="811" spans="1:26" ht="14.25" customHeight="1">
      <c r="A811" s="1"/>
      <c r="B811" s="1"/>
      <c r="C811" s="1"/>
      <c r="D811" s="1"/>
      <c r="E811" s="19"/>
      <c r="F811" s="3"/>
      <c r="G811" s="3"/>
      <c r="H811" s="3"/>
      <c r="I811" s="3"/>
      <c r="J811" s="3"/>
      <c r="K811" s="3"/>
      <c r="L811" s="3"/>
      <c r="M811" s="3"/>
      <c r="N811" s="3"/>
      <c r="O811" s="3"/>
      <c r="P811" s="3"/>
      <c r="Q811" s="3"/>
      <c r="R811" s="3"/>
      <c r="S811" s="3"/>
      <c r="T811" s="3"/>
      <c r="U811" s="3"/>
      <c r="V811" s="3"/>
      <c r="W811" s="3"/>
      <c r="X811" s="3"/>
      <c r="Y811" s="3"/>
      <c r="Z811" s="3"/>
    </row>
    <row r="812" spans="1:26" ht="14.25" customHeight="1">
      <c r="A812" s="1"/>
      <c r="B812" s="1"/>
      <c r="C812" s="1"/>
      <c r="D812" s="1"/>
      <c r="E812" s="19"/>
      <c r="F812" s="3"/>
      <c r="G812" s="3"/>
      <c r="H812" s="3"/>
      <c r="I812" s="3"/>
      <c r="J812" s="3"/>
      <c r="K812" s="3"/>
      <c r="L812" s="3"/>
      <c r="M812" s="3"/>
      <c r="N812" s="3"/>
      <c r="O812" s="3"/>
      <c r="P812" s="3"/>
      <c r="Q812" s="3"/>
      <c r="R812" s="3"/>
      <c r="S812" s="3"/>
      <c r="T812" s="3"/>
      <c r="U812" s="3"/>
      <c r="V812" s="3"/>
      <c r="W812" s="3"/>
      <c r="X812" s="3"/>
      <c r="Y812" s="3"/>
      <c r="Z812" s="3"/>
    </row>
    <row r="813" spans="1:26" ht="14.25" customHeight="1">
      <c r="A813" s="1"/>
      <c r="B813" s="1"/>
      <c r="C813" s="1"/>
      <c r="D813" s="1"/>
      <c r="E813" s="19"/>
      <c r="F813" s="3"/>
      <c r="G813" s="3"/>
      <c r="H813" s="3"/>
      <c r="I813" s="3"/>
      <c r="J813" s="3"/>
      <c r="K813" s="3"/>
      <c r="L813" s="3"/>
      <c r="M813" s="3"/>
      <c r="N813" s="3"/>
      <c r="O813" s="3"/>
      <c r="P813" s="3"/>
      <c r="Q813" s="3"/>
      <c r="R813" s="3"/>
      <c r="S813" s="3"/>
      <c r="T813" s="3"/>
      <c r="U813" s="3"/>
      <c r="V813" s="3"/>
      <c r="W813" s="3"/>
      <c r="X813" s="3"/>
      <c r="Y813" s="3"/>
      <c r="Z813" s="3"/>
    </row>
    <row r="814" spans="1:26" ht="14.25" customHeight="1">
      <c r="A814" s="1"/>
      <c r="B814" s="1"/>
      <c r="C814" s="1"/>
      <c r="D814" s="1"/>
      <c r="E814" s="19"/>
      <c r="F814" s="3"/>
      <c r="G814" s="3"/>
      <c r="H814" s="3"/>
      <c r="I814" s="3"/>
      <c r="J814" s="3"/>
      <c r="K814" s="3"/>
      <c r="L814" s="3"/>
      <c r="M814" s="3"/>
      <c r="N814" s="3"/>
      <c r="O814" s="3"/>
      <c r="P814" s="3"/>
      <c r="Q814" s="3"/>
      <c r="R814" s="3"/>
      <c r="S814" s="3"/>
      <c r="T814" s="3"/>
      <c r="U814" s="3"/>
      <c r="V814" s="3"/>
      <c r="W814" s="3"/>
      <c r="X814" s="3"/>
      <c r="Y814" s="3"/>
      <c r="Z814" s="3"/>
    </row>
    <row r="815" spans="1:26" ht="14.25" customHeight="1">
      <c r="A815" s="1"/>
      <c r="B815" s="1"/>
      <c r="C815" s="1"/>
      <c r="D815" s="1"/>
      <c r="E815" s="19"/>
      <c r="F815" s="3"/>
      <c r="G815" s="3"/>
      <c r="H815" s="3"/>
      <c r="I815" s="3"/>
      <c r="J815" s="3"/>
      <c r="K815" s="3"/>
      <c r="L815" s="3"/>
      <c r="M815" s="3"/>
      <c r="N815" s="3"/>
      <c r="O815" s="3"/>
      <c r="P815" s="3"/>
      <c r="Q815" s="3"/>
      <c r="R815" s="3"/>
      <c r="S815" s="3"/>
      <c r="T815" s="3"/>
      <c r="U815" s="3"/>
      <c r="V815" s="3"/>
      <c r="W815" s="3"/>
      <c r="X815" s="3"/>
      <c r="Y815" s="3"/>
      <c r="Z815" s="3"/>
    </row>
    <row r="816" spans="1:26" ht="14.25" customHeight="1">
      <c r="A816" s="1"/>
      <c r="B816" s="1"/>
      <c r="C816" s="1"/>
      <c r="D816" s="1"/>
      <c r="E816" s="19"/>
      <c r="F816" s="3"/>
      <c r="G816" s="3"/>
      <c r="H816" s="3"/>
      <c r="I816" s="3"/>
      <c r="J816" s="3"/>
      <c r="K816" s="3"/>
      <c r="L816" s="3"/>
      <c r="M816" s="3"/>
      <c r="N816" s="3"/>
      <c r="O816" s="3"/>
      <c r="P816" s="3"/>
      <c r="Q816" s="3"/>
      <c r="R816" s="3"/>
      <c r="S816" s="3"/>
      <c r="T816" s="3"/>
      <c r="U816" s="3"/>
      <c r="V816" s="3"/>
      <c r="W816" s="3"/>
      <c r="X816" s="3"/>
      <c r="Y816" s="3"/>
      <c r="Z816" s="3"/>
    </row>
    <row r="817" spans="1:26" ht="14.25" customHeight="1">
      <c r="A817" s="1"/>
      <c r="B817" s="1"/>
      <c r="C817" s="1"/>
      <c r="D817" s="1"/>
      <c r="E817" s="19"/>
      <c r="F817" s="3"/>
      <c r="G817" s="3"/>
      <c r="H817" s="3"/>
      <c r="I817" s="3"/>
      <c r="J817" s="3"/>
      <c r="K817" s="3"/>
      <c r="L817" s="3"/>
      <c r="M817" s="3"/>
      <c r="N817" s="3"/>
      <c r="O817" s="3"/>
      <c r="P817" s="3"/>
      <c r="Q817" s="3"/>
      <c r="R817" s="3"/>
      <c r="S817" s="3"/>
      <c r="T817" s="3"/>
      <c r="U817" s="3"/>
      <c r="V817" s="3"/>
      <c r="W817" s="3"/>
      <c r="X817" s="3"/>
      <c r="Y817" s="3"/>
      <c r="Z817" s="3"/>
    </row>
    <row r="818" spans="1:26" ht="14.25" customHeight="1">
      <c r="A818" s="1"/>
      <c r="B818" s="1"/>
      <c r="C818" s="1"/>
      <c r="D818" s="1"/>
      <c r="E818" s="19"/>
      <c r="F818" s="3"/>
      <c r="G818" s="3"/>
      <c r="H818" s="3"/>
      <c r="I818" s="3"/>
      <c r="J818" s="3"/>
      <c r="K818" s="3"/>
      <c r="L818" s="3"/>
      <c r="M818" s="3"/>
      <c r="N818" s="3"/>
      <c r="O818" s="3"/>
      <c r="P818" s="3"/>
      <c r="Q818" s="3"/>
      <c r="R818" s="3"/>
      <c r="S818" s="3"/>
      <c r="T818" s="3"/>
      <c r="U818" s="3"/>
      <c r="V818" s="3"/>
      <c r="W818" s="3"/>
      <c r="X818" s="3"/>
      <c r="Y818" s="3"/>
      <c r="Z818" s="3"/>
    </row>
    <row r="819" spans="1:26" ht="14.25" customHeight="1">
      <c r="A819" s="1"/>
      <c r="B819" s="1"/>
      <c r="C819" s="1"/>
      <c r="D819" s="1"/>
      <c r="E819" s="19"/>
      <c r="F819" s="3"/>
      <c r="G819" s="3"/>
      <c r="H819" s="3"/>
      <c r="I819" s="3"/>
      <c r="J819" s="3"/>
      <c r="K819" s="3"/>
      <c r="L819" s="3"/>
      <c r="M819" s="3"/>
      <c r="N819" s="3"/>
      <c r="O819" s="3"/>
      <c r="P819" s="3"/>
      <c r="Q819" s="3"/>
      <c r="R819" s="3"/>
      <c r="S819" s="3"/>
      <c r="T819" s="3"/>
      <c r="U819" s="3"/>
      <c r="V819" s="3"/>
      <c r="W819" s="3"/>
      <c r="X819" s="3"/>
      <c r="Y819" s="3"/>
      <c r="Z819" s="3"/>
    </row>
    <row r="820" spans="1:26" ht="14.25" customHeight="1">
      <c r="A820" s="1"/>
      <c r="B820" s="1"/>
      <c r="C820" s="1"/>
      <c r="D820" s="1"/>
      <c r="E820" s="19"/>
      <c r="F820" s="3"/>
      <c r="G820" s="3"/>
      <c r="H820" s="3"/>
      <c r="I820" s="3"/>
      <c r="J820" s="3"/>
      <c r="K820" s="3"/>
      <c r="L820" s="3"/>
      <c r="M820" s="3"/>
      <c r="N820" s="3"/>
      <c r="O820" s="3"/>
      <c r="P820" s="3"/>
      <c r="Q820" s="3"/>
      <c r="R820" s="3"/>
      <c r="S820" s="3"/>
      <c r="T820" s="3"/>
      <c r="U820" s="3"/>
      <c r="V820" s="3"/>
      <c r="W820" s="3"/>
      <c r="X820" s="3"/>
      <c r="Y820" s="3"/>
      <c r="Z820" s="3"/>
    </row>
    <row r="821" spans="1:26" ht="14.25" customHeight="1">
      <c r="A821" s="1"/>
      <c r="B821" s="1"/>
      <c r="C821" s="1"/>
      <c r="D821" s="1"/>
      <c r="E821" s="19"/>
      <c r="F821" s="3"/>
      <c r="G821" s="3"/>
      <c r="H821" s="3"/>
      <c r="I821" s="3"/>
      <c r="J821" s="3"/>
      <c r="K821" s="3"/>
      <c r="L821" s="3"/>
      <c r="M821" s="3"/>
      <c r="N821" s="3"/>
      <c r="O821" s="3"/>
      <c r="P821" s="3"/>
      <c r="Q821" s="3"/>
      <c r="R821" s="3"/>
      <c r="S821" s="3"/>
      <c r="T821" s="3"/>
      <c r="U821" s="3"/>
      <c r="V821" s="3"/>
      <c r="W821" s="3"/>
      <c r="X821" s="3"/>
      <c r="Y821" s="3"/>
      <c r="Z821" s="3"/>
    </row>
    <row r="822" spans="1:26" ht="14.25" customHeight="1">
      <c r="A822" s="1"/>
      <c r="B822" s="1"/>
      <c r="C822" s="1"/>
      <c r="D822" s="1"/>
      <c r="E822" s="19"/>
      <c r="F822" s="3"/>
      <c r="G822" s="3"/>
      <c r="H822" s="3"/>
      <c r="I822" s="3"/>
      <c r="J822" s="3"/>
      <c r="K822" s="3"/>
      <c r="L822" s="3"/>
      <c r="M822" s="3"/>
      <c r="N822" s="3"/>
      <c r="O822" s="3"/>
      <c r="P822" s="3"/>
      <c r="Q822" s="3"/>
      <c r="R822" s="3"/>
      <c r="S822" s="3"/>
      <c r="T822" s="3"/>
      <c r="U822" s="3"/>
      <c r="V822" s="3"/>
      <c r="W822" s="3"/>
      <c r="X822" s="3"/>
      <c r="Y822" s="3"/>
      <c r="Z822" s="3"/>
    </row>
    <row r="823" spans="1:26" ht="14.25" customHeight="1">
      <c r="A823" s="1"/>
      <c r="B823" s="1"/>
      <c r="C823" s="1"/>
      <c r="D823" s="1"/>
      <c r="E823" s="19"/>
      <c r="F823" s="3"/>
      <c r="G823" s="3"/>
      <c r="H823" s="3"/>
      <c r="I823" s="3"/>
      <c r="J823" s="3"/>
      <c r="K823" s="3"/>
      <c r="L823" s="3"/>
      <c r="M823" s="3"/>
      <c r="N823" s="3"/>
      <c r="O823" s="3"/>
      <c r="P823" s="3"/>
      <c r="Q823" s="3"/>
      <c r="R823" s="3"/>
      <c r="S823" s="3"/>
      <c r="T823" s="3"/>
      <c r="U823" s="3"/>
      <c r="V823" s="3"/>
      <c r="W823" s="3"/>
      <c r="X823" s="3"/>
      <c r="Y823" s="3"/>
      <c r="Z823" s="3"/>
    </row>
    <row r="824" spans="1:26" ht="14.25" customHeight="1">
      <c r="A824" s="1"/>
      <c r="B824" s="1"/>
      <c r="C824" s="1"/>
      <c r="D824" s="1"/>
      <c r="E824" s="19"/>
      <c r="F824" s="3"/>
      <c r="G824" s="3"/>
      <c r="H824" s="3"/>
      <c r="I824" s="3"/>
      <c r="J824" s="3"/>
      <c r="K824" s="3"/>
      <c r="L824" s="3"/>
      <c r="M824" s="3"/>
      <c r="N824" s="3"/>
      <c r="O824" s="3"/>
      <c r="P824" s="3"/>
      <c r="Q824" s="3"/>
      <c r="R824" s="3"/>
      <c r="S824" s="3"/>
      <c r="T824" s="3"/>
      <c r="U824" s="3"/>
      <c r="V824" s="3"/>
      <c r="W824" s="3"/>
      <c r="X824" s="3"/>
      <c r="Y824" s="3"/>
      <c r="Z824" s="3"/>
    </row>
    <row r="825" spans="1:26" ht="14.25" customHeight="1">
      <c r="A825" s="1"/>
      <c r="B825" s="1"/>
      <c r="C825" s="1"/>
      <c r="D825" s="1"/>
      <c r="E825" s="19"/>
      <c r="F825" s="3"/>
      <c r="G825" s="3"/>
      <c r="H825" s="3"/>
      <c r="I825" s="3"/>
      <c r="J825" s="3"/>
      <c r="K825" s="3"/>
      <c r="L825" s="3"/>
      <c r="M825" s="3"/>
      <c r="N825" s="3"/>
      <c r="O825" s="3"/>
      <c r="P825" s="3"/>
      <c r="Q825" s="3"/>
      <c r="R825" s="3"/>
      <c r="S825" s="3"/>
      <c r="T825" s="3"/>
      <c r="U825" s="3"/>
      <c r="V825" s="3"/>
      <c r="W825" s="3"/>
      <c r="X825" s="3"/>
      <c r="Y825" s="3"/>
      <c r="Z825" s="3"/>
    </row>
    <row r="826" spans="1:26" ht="14.25" customHeight="1">
      <c r="A826" s="1"/>
      <c r="B826" s="1"/>
      <c r="C826" s="1"/>
      <c r="D826" s="1"/>
      <c r="E826" s="19"/>
      <c r="F826" s="3"/>
      <c r="G826" s="3"/>
      <c r="H826" s="3"/>
      <c r="I826" s="3"/>
      <c r="J826" s="3"/>
      <c r="K826" s="3"/>
      <c r="L826" s="3"/>
      <c r="M826" s="3"/>
      <c r="N826" s="3"/>
      <c r="O826" s="3"/>
      <c r="P826" s="3"/>
      <c r="Q826" s="3"/>
      <c r="R826" s="3"/>
      <c r="S826" s="3"/>
      <c r="T826" s="3"/>
      <c r="U826" s="3"/>
      <c r="V826" s="3"/>
      <c r="W826" s="3"/>
      <c r="X826" s="3"/>
      <c r="Y826" s="3"/>
      <c r="Z826" s="3"/>
    </row>
    <row r="827" spans="1:26" ht="14.25" customHeight="1">
      <c r="A827" s="1"/>
      <c r="B827" s="1"/>
      <c r="C827" s="1"/>
      <c r="D827" s="1"/>
      <c r="E827" s="19"/>
      <c r="F827" s="3"/>
      <c r="G827" s="3"/>
      <c r="H827" s="3"/>
      <c r="I827" s="3"/>
      <c r="J827" s="3"/>
      <c r="K827" s="3"/>
      <c r="L827" s="3"/>
      <c r="M827" s="3"/>
      <c r="N827" s="3"/>
      <c r="O827" s="3"/>
      <c r="P827" s="3"/>
      <c r="Q827" s="3"/>
      <c r="R827" s="3"/>
      <c r="S827" s="3"/>
      <c r="T827" s="3"/>
      <c r="U827" s="3"/>
      <c r="V827" s="3"/>
      <c r="W827" s="3"/>
      <c r="X827" s="3"/>
      <c r="Y827" s="3"/>
      <c r="Z827" s="3"/>
    </row>
    <row r="828" spans="1:26" ht="14.25" customHeight="1">
      <c r="A828" s="1"/>
      <c r="B828" s="1"/>
      <c r="C828" s="1"/>
      <c r="D828" s="1"/>
      <c r="E828" s="19"/>
      <c r="F828" s="3"/>
      <c r="G828" s="3"/>
      <c r="H828" s="3"/>
      <c r="I828" s="3"/>
      <c r="J828" s="3"/>
      <c r="K828" s="3"/>
      <c r="L828" s="3"/>
      <c r="M828" s="3"/>
      <c r="N828" s="3"/>
      <c r="O828" s="3"/>
      <c r="P828" s="3"/>
      <c r="Q828" s="3"/>
      <c r="R828" s="3"/>
      <c r="S828" s="3"/>
      <c r="T828" s="3"/>
      <c r="U828" s="3"/>
      <c r="V828" s="3"/>
      <c r="W828" s="3"/>
      <c r="X828" s="3"/>
      <c r="Y828" s="3"/>
      <c r="Z828" s="3"/>
    </row>
    <row r="829" spans="1:26" ht="14.25" customHeight="1">
      <c r="A829" s="1"/>
      <c r="B829" s="1"/>
      <c r="C829" s="1"/>
      <c r="D829" s="1"/>
      <c r="E829" s="19"/>
      <c r="F829" s="3"/>
      <c r="G829" s="3"/>
      <c r="H829" s="3"/>
      <c r="I829" s="3"/>
      <c r="J829" s="3"/>
      <c r="K829" s="3"/>
      <c r="L829" s="3"/>
      <c r="M829" s="3"/>
      <c r="N829" s="3"/>
      <c r="O829" s="3"/>
      <c r="P829" s="3"/>
      <c r="Q829" s="3"/>
      <c r="R829" s="3"/>
      <c r="S829" s="3"/>
      <c r="T829" s="3"/>
      <c r="U829" s="3"/>
      <c r="V829" s="3"/>
      <c r="W829" s="3"/>
      <c r="X829" s="3"/>
      <c r="Y829" s="3"/>
      <c r="Z829" s="3"/>
    </row>
    <row r="830" spans="1:26" ht="14.25" customHeight="1">
      <c r="A830" s="1"/>
      <c r="B830" s="1"/>
      <c r="C830" s="1"/>
      <c r="D830" s="1"/>
      <c r="E830" s="19"/>
      <c r="F830" s="3"/>
      <c r="G830" s="3"/>
      <c r="H830" s="3"/>
      <c r="I830" s="3"/>
      <c r="J830" s="3"/>
      <c r="K830" s="3"/>
      <c r="L830" s="3"/>
      <c r="M830" s="3"/>
      <c r="N830" s="3"/>
      <c r="O830" s="3"/>
      <c r="P830" s="3"/>
      <c r="Q830" s="3"/>
      <c r="R830" s="3"/>
      <c r="S830" s="3"/>
      <c r="T830" s="3"/>
      <c r="U830" s="3"/>
      <c r="V830" s="3"/>
      <c r="W830" s="3"/>
      <c r="X830" s="3"/>
      <c r="Y830" s="3"/>
      <c r="Z830" s="3"/>
    </row>
    <row r="831" spans="1:26" ht="14.25" customHeight="1">
      <c r="A831" s="1"/>
      <c r="B831" s="1"/>
      <c r="C831" s="1"/>
      <c r="D831" s="1"/>
      <c r="E831" s="19"/>
      <c r="F831" s="3"/>
      <c r="G831" s="3"/>
      <c r="H831" s="3"/>
      <c r="I831" s="3"/>
      <c r="J831" s="3"/>
      <c r="K831" s="3"/>
      <c r="L831" s="3"/>
      <c r="M831" s="3"/>
      <c r="N831" s="3"/>
      <c r="O831" s="3"/>
      <c r="P831" s="3"/>
      <c r="Q831" s="3"/>
      <c r="R831" s="3"/>
      <c r="S831" s="3"/>
      <c r="T831" s="3"/>
      <c r="U831" s="3"/>
      <c r="V831" s="3"/>
      <c r="W831" s="3"/>
      <c r="X831" s="3"/>
      <c r="Y831" s="3"/>
      <c r="Z831" s="3"/>
    </row>
    <row r="832" spans="1:26" ht="14.25" customHeight="1">
      <c r="A832" s="1"/>
      <c r="B832" s="1"/>
      <c r="C832" s="1"/>
      <c r="D832" s="1"/>
      <c r="E832" s="19"/>
      <c r="F832" s="3"/>
      <c r="G832" s="3"/>
      <c r="H832" s="3"/>
      <c r="I832" s="3"/>
      <c r="J832" s="3"/>
      <c r="K832" s="3"/>
      <c r="L832" s="3"/>
      <c r="M832" s="3"/>
      <c r="N832" s="3"/>
      <c r="O832" s="3"/>
      <c r="P832" s="3"/>
      <c r="Q832" s="3"/>
      <c r="R832" s="3"/>
      <c r="S832" s="3"/>
      <c r="T832" s="3"/>
      <c r="U832" s="3"/>
      <c r="V832" s="3"/>
      <c r="W832" s="3"/>
      <c r="X832" s="3"/>
      <c r="Y832" s="3"/>
      <c r="Z832" s="3"/>
    </row>
    <row r="833" spans="1:26" ht="14.25" customHeight="1">
      <c r="A833" s="1"/>
      <c r="B833" s="1"/>
      <c r="C833" s="1"/>
      <c r="D833" s="1"/>
      <c r="E833" s="19"/>
      <c r="F833" s="3"/>
      <c r="G833" s="3"/>
      <c r="H833" s="3"/>
      <c r="I833" s="3"/>
      <c r="J833" s="3"/>
      <c r="K833" s="3"/>
      <c r="L833" s="3"/>
      <c r="M833" s="3"/>
      <c r="N833" s="3"/>
      <c r="O833" s="3"/>
      <c r="P833" s="3"/>
      <c r="Q833" s="3"/>
      <c r="R833" s="3"/>
      <c r="S833" s="3"/>
      <c r="T833" s="3"/>
      <c r="U833" s="3"/>
      <c r="V833" s="3"/>
      <c r="W833" s="3"/>
      <c r="X833" s="3"/>
      <c r="Y833" s="3"/>
      <c r="Z833" s="3"/>
    </row>
    <row r="834" spans="1:26" ht="14.25" customHeight="1">
      <c r="A834" s="1"/>
      <c r="B834" s="1"/>
      <c r="C834" s="1"/>
      <c r="D834" s="1"/>
      <c r="E834" s="19"/>
      <c r="F834" s="3"/>
      <c r="G834" s="3"/>
      <c r="H834" s="3"/>
      <c r="I834" s="3"/>
      <c r="J834" s="3"/>
      <c r="K834" s="3"/>
      <c r="L834" s="3"/>
      <c r="M834" s="3"/>
      <c r="N834" s="3"/>
      <c r="O834" s="3"/>
      <c r="P834" s="3"/>
      <c r="Q834" s="3"/>
      <c r="R834" s="3"/>
      <c r="S834" s="3"/>
      <c r="T834" s="3"/>
      <c r="U834" s="3"/>
      <c r="V834" s="3"/>
      <c r="W834" s="3"/>
      <c r="X834" s="3"/>
      <c r="Y834" s="3"/>
      <c r="Z834" s="3"/>
    </row>
    <row r="835" spans="1:26" ht="14.25" customHeight="1">
      <c r="A835" s="1"/>
      <c r="B835" s="1"/>
      <c r="C835" s="1"/>
      <c r="D835" s="1"/>
      <c r="E835" s="19"/>
      <c r="F835" s="3"/>
      <c r="G835" s="3"/>
      <c r="H835" s="3"/>
      <c r="I835" s="3"/>
      <c r="J835" s="3"/>
      <c r="K835" s="3"/>
      <c r="L835" s="3"/>
      <c r="M835" s="3"/>
      <c r="N835" s="3"/>
      <c r="O835" s="3"/>
      <c r="P835" s="3"/>
      <c r="Q835" s="3"/>
      <c r="R835" s="3"/>
      <c r="S835" s="3"/>
      <c r="T835" s="3"/>
      <c r="U835" s="3"/>
      <c r="V835" s="3"/>
      <c r="W835" s="3"/>
      <c r="X835" s="3"/>
      <c r="Y835" s="3"/>
      <c r="Z835" s="3"/>
    </row>
    <row r="836" spans="1:26" ht="14.25" customHeight="1">
      <c r="A836" s="1"/>
      <c r="B836" s="1"/>
      <c r="C836" s="1"/>
      <c r="D836" s="1"/>
      <c r="E836" s="19"/>
      <c r="F836" s="3"/>
      <c r="G836" s="3"/>
      <c r="H836" s="3"/>
      <c r="I836" s="3"/>
      <c r="J836" s="3"/>
      <c r="K836" s="3"/>
      <c r="L836" s="3"/>
      <c r="M836" s="3"/>
      <c r="N836" s="3"/>
      <c r="O836" s="3"/>
      <c r="P836" s="3"/>
      <c r="Q836" s="3"/>
      <c r="R836" s="3"/>
      <c r="S836" s="3"/>
      <c r="T836" s="3"/>
      <c r="U836" s="3"/>
      <c r="V836" s="3"/>
      <c r="W836" s="3"/>
      <c r="X836" s="3"/>
      <c r="Y836" s="3"/>
      <c r="Z836" s="3"/>
    </row>
    <row r="837" spans="1:26" ht="14.25" customHeight="1">
      <c r="A837" s="1"/>
      <c r="B837" s="1"/>
      <c r="C837" s="1"/>
      <c r="D837" s="1"/>
      <c r="E837" s="19"/>
      <c r="F837" s="3"/>
      <c r="G837" s="3"/>
      <c r="H837" s="3"/>
      <c r="I837" s="3"/>
      <c r="J837" s="3"/>
      <c r="K837" s="3"/>
      <c r="L837" s="3"/>
      <c r="M837" s="3"/>
      <c r="N837" s="3"/>
      <c r="O837" s="3"/>
      <c r="P837" s="3"/>
      <c r="Q837" s="3"/>
      <c r="R837" s="3"/>
      <c r="S837" s="3"/>
      <c r="T837" s="3"/>
      <c r="U837" s="3"/>
      <c r="V837" s="3"/>
      <c r="W837" s="3"/>
      <c r="X837" s="3"/>
      <c r="Y837" s="3"/>
      <c r="Z837" s="3"/>
    </row>
    <row r="838" spans="1:26" ht="14.25" customHeight="1">
      <c r="A838" s="1"/>
      <c r="B838" s="1"/>
      <c r="C838" s="1"/>
      <c r="D838" s="1"/>
      <c r="E838" s="19"/>
      <c r="F838" s="3"/>
      <c r="G838" s="3"/>
      <c r="H838" s="3"/>
      <c r="I838" s="3"/>
      <c r="J838" s="3"/>
      <c r="K838" s="3"/>
      <c r="L838" s="3"/>
      <c r="M838" s="3"/>
      <c r="N838" s="3"/>
      <c r="O838" s="3"/>
      <c r="P838" s="3"/>
      <c r="Q838" s="3"/>
      <c r="R838" s="3"/>
      <c r="S838" s="3"/>
      <c r="T838" s="3"/>
      <c r="U838" s="3"/>
      <c r="V838" s="3"/>
      <c r="W838" s="3"/>
      <c r="X838" s="3"/>
      <c r="Y838" s="3"/>
      <c r="Z838" s="3"/>
    </row>
    <row r="839" spans="1:26" ht="14.25" customHeight="1">
      <c r="A839" s="1"/>
      <c r="B839" s="1"/>
      <c r="C839" s="1"/>
      <c r="D839" s="1"/>
      <c r="E839" s="19"/>
      <c r="F839" s="3"/>
      <c r="G839" s="3"/>
      <c r="H839" s="3"/>
      <c r="I839" s="3"/>
      <c r="J839" s="3"/>
      <c r="K839" s="3"/>
      <c r="L839" s="3"/>
      <c r="M839" s="3"/>
      <c r="N839" s="3"/>
      <c r="O839" s="3"/>
      <c r="P839" s="3"/>
      <c r="Q839" s="3"/>
      <c r="R839" s="3"/>
      <c r="S839" s="3"/>
      <c r="T839" s="3"/>
      <c r="U839" s="3"/>
      <c r="V839" s="3"/>
      <c r="W839" s="3"/>
      <c r="X839" s="3"/>
      <c r="Y839" s="3"/>
      <c r="Z839" s="3"/>
    </row>
    <row r="840" spans="1:26" ht="14.25" customHeight="1">
      <c r="A840" s="1"/>
      <c r="B840" s="1"/>
      <c r="C840" s="1"/>
      <c r="D840" s="1"/>
      <c r="E840" s="19"/>
      <c r="F840" s="3"/>
      <c r="G840" s="3"/>
      <c r="H840" s="3"/>
      <c r="I840" s="3"/>
      <c r="J840" s="3"/>
      <c r="K840" s="3"/>
      <c r="L840" s="3"/>
      <c r="M840" s="3"/>
      <c r="N840" s="3"/>
      <c r="O840" s="3"/>
      <c r="P840" s="3"/>
      <c r="Q840" s="3"/>
      <c r="R840" s="3"/>
      <c r="S840" s="3"/>
      <c r="T840" s="3"/>
      <c r="U840" s="3"/>
      <c r="V840" s="3"/>
      <c r="W840" s="3"/>
      <c r="X840" s="3"/>
      <c r="Y840" s="3"/>
      <c r="Z840" s="3"/>
    </row>
    <row r="841" spans="1:26" ht="14.25" customHeight="1">
      <c r="A841" s="1"/>
      <c r="B841" s="1"/>
      <c r="C841" s="1"/>
      <c r="D841" s="1"/>
      <c r="E841" s="19"/>
      <c r="F841" s="3"/>
      <c r="G841" s="3"/>
      <c r="H841" s="3"/>
      <c r="I841" s="3"/>
      <c r="J841" s="3"/>
      <c r="K841" s="3"/>
      <c r="L841" s="3"/>
      <c r="M841" s="3"/>
      <c r="N841" s="3"/>
      <c r="O841" s="3"/>
      <c r="P841" s="3"/>
      <c r="Q841" s="3"/>
      <c r="R841" s="3"/>
      <c r="S841" s="3"/>
      <c r="T841" s="3"/>
      <c r="U841" s="3"/>
      <c r="V841" s="3"/>
      <c r="W841" s="3"/>
      <c r="X841" s="3"/>
      <c r="Y841" s="3"/>
      <c r="Z841" s="3"/>
    </row>
    <row r="842" spans="1:26" ht="14.25" customHeight="1">
      <c r="A842" s="1"/>
      <c r="B842" s="1"/>
      <c r="C842" s="1"/>
      <c r="D842" s="1"/>
      <c r="E842" s="19"/>
      <c r="F842" s="3"/>
      <c r="G842" s="3"/>
      <c r="H842" s="3"/>
      <c r="I842" s="3"/>
      <c r="J842" s="3"/>
      <c r="K842" s="3"/>
      <c r="L842" s="3"/>
      <c r="M842" s="3"/>
      <c r="N842" s="3"/>
      <c r="O842" s="3"/>
      <c r="P842" s="3"/>
      <c r="Q842" s="3"/>
      <c r="R842" s="3"/>
      <c r="S842" s="3"/>
      <c r="T842" s="3"/>
      <c r="U842" s="3"/>
      <c r="V842" s="3"/>
      <c r="W842" s="3"/>
      <c r="X842" s="3"/>
      <c r="Y842" s="3"/>
      <c r="Z842" s="3"/>
    </row>
    <row r="843" spans="1:26" ht="14.25" customHeight="1">
      <c r="A843" s="1"/>
      <c r="B843" s="1"/>
      <c r="C843" s="1"/>
      <c r="D843" s="1"/>
      <c r="E843" s="19"/>
      <c r="F843" s="3"/>
      <c r="G843" s="3"/>
      <c r="H843" s="3"/>
      <c r="I843" s="3"/>
      <c r="J843" s="3"/>
      <c r="K843" s="3"/>
      <c r="L843" s="3"/>
      <c r="M843" s="3"/>
      <c r="N843" s="3"/>
      <c r="O843" s="3"/>
      <c r="P843" s="3"/>
      <c r="Q843" s="3"/>
      <c r="R843" s="3"/>
      <c r="S843" s="3"/>
      <c r="T843" s="3"/>
      <c r="U843" s="3"/>
      <c r="V843" s="3"/>
      <c r="W843" s="3"/>
      <c r="X843" s="3"/>
      <c r="Y843" s="3"/>
      <c r="Z843" s="3"/>
    </row>
    <row r="844" spans="1:26" ht="14.25" customHeight="1">
      <c r="A844" s="1"/>
      <c r="B844" s="1"/>
      <c r="C844" s="1"/>
      <c r="D844" s="1"/>
      <c r="E844" s="19"/>
      <c r="F844" s="3"/>
      <c r="G844" s="3"/>
      <c r="H844" s="3"/>
      <c r="I844" s="3"/>
      <c r="J844" s="3"/>
      <c r="K844" s="3"/>
      <c r="L844" s="3"/>
      <c r="M844" s="3"/>
      <c r="N844" s="3"/>
      <c r="O844" s="3"/>
      <c r="P844" s="3"/>
      <c r="Q844" s="3"/>
      <c r="R844" s="3"/>
      <c r="S844" s="3"/>
      <c r="T844" s="3"/>
      <c r="U844" s="3"/>
      <c r="V844" s="3"/>
      <c r="W844" s="3"/>
      <c r="X844" s="3"/>
      <c r="Y844" s="3"/>
      <c r="Z844" s="3"/>
    </row>
    <row r="845" spans="1:26" ht="14.25" customHeight="1">
      <c r="A845" s="1"/>
      <c r="B845" s="1"/>
      <c r="C845" s="1"/>
      <c r="D845" s="1"/>
      <c r="E845" s="19"/>
      <c r="F845" s="3"/>
      <c r="G845" s="3"/>
      <c r="H845" s="3"/>
      <c r="I845" s="3"/>
      <c r="J845" s="3"/>
      <c r="K845" s="3"/>
      <c r="L845" s="3"/>
      <c r="M845" s="3"/>
      <c r="N845" s="3"/>
      <c r="O845" s="3"/>
      <c r="P845" s="3"/>
      <c r="Q845" s="3"/>
      <c r="R845" s="3"/>
      <c r="S845" s="3"/>
      <c r="T845" s="3"/>
      <c r="U845" s="3"/>
      <c r="V845" s="3"/>
      <c r="W845" s="3"/>
      <c r="X845" s="3"/>
      <c r="Y845" s="3"/>
      <c r="Z845" s="3"/>
    </row>
    <row r="846" spans="1:26" ht="14.25" customHeight="1">
      <c r="A846" s="1"/>
      <c r="B846" s="1"/>
      <c r="C846" s="1"/>
      <c r="D846" s="1"/>
      <c r="E846" s="19"/>
      <c r="F846" s="3"/>
      <c r="G846" s="3"/>
      <c r="H846" s="3"/>
      <c r="I846" s="3"/>
      <c r="J846" s="3"/>
      <c r="K846" s="3"/>
      <c r="L846" s="3"/>
      <c r="M846" s="3"/>
      <c r="N846" s="3"/>
      <c r="O846" s="3"/>
      <c r="P846" s="3"/>
      <c r="Q846" s="3"/>
      <c r="R846" s="3"/>
      <c r="S846" s="3"/>
      <c r="T846" s="3"/>
      <c r="U846" s="3"/>
      <c r="V846" s="3"/>
      <c r="W846" s="3"/>
      <c r="X846" s="3"/>
      <c r="Y846" s="3"/>
      <c r="Z846" s="3"/>
    </row>
    <row r="847" spans="1:26" ht="14.25" customHeight="1">
      <c r="A847" s="1"/>
      <c r="B847" s="1"/>
      <c r="C847" s="1"/>
      <c r="D847" s="1"/>
      <c r="E847" s="19"/>
      <c r="F847" s="3"/>
      <c r="G847" s="3"/>
      <c r="H847" s="3"/>
      <c r="I847" s="3"/>
      <c r="J847" s="3"/>
      <c r="K847" s="3"/>
      <c r="L847" s="3"/>
      <c r="M847" s="3"/>
      <c r="N847" s="3"/>
      <c r="O847" s="3"/>
      <c r="P847" s="3"/>
      <c r="Q847" s="3"/>
      <c r="R847" s="3"/>
      <c r="S847" s="3"/>
      <c r="T847" s="3"/>
      <c r="U847" s="3"/>
      <c r="V847" s="3"/>
      <c r="W847" s="3"/>
      <c r="X847" s="3"/>
      <c r="Y847" s="3"/>
      <c r="Z847" s="3"/>
    </row>
    <row r="848" spans="1:26" ht="14.25" customHeight="1">
      <c r="A848" s="1"/>
      <c r="B848" s="1"/>
      <c r="C848" s="1"/>
      <c r="D848" s="1"/>
      <c r="E848" s="19"/>
      <c r="F848" s="3"/>
      <c r="G848" s="3"/>
      <c r="H848" s="3"/>
      <c r="I848" s="3"/>
      <c r="J848" s="3"/>
      <c r="K848" s="3"/>
      <c r="L848" s="3"/>
      <c r="M848" s="3"/>
      <c r="N848" s="3"/>
      <c r="O848" s="3"/>
      <c r="P848" s="3"/>
      <c r="Q848" s="3"/>
      <c r="R848" s="3"/>
      <c r="S848" s="3"/>
      <c r="T848" s="3"/>
      <c r="U848" s="3"/>
      <c r="V848" s="3"/>
      <c r="W848" s="3"/>
      <c r="X848" s="3"/>
      <c r="Y848" s="3"/>
      <c r="Z848" s="3"/>
    </row>
    <row r="849" spans="1:26" ht="14.25" customHeight="1">
      <c r="A849" s="1"/>
      <c r="B849" s="1"/>
      <c r="C849" s="1"/>
      <c r="D849" s="1"/>
      <c r="E849" s="19"/>
      <c r="F849" s="3"/>
      <c r="G849" s="3"/>
      <c r="H849" s="3"/>
      <c r="I849" s="3"/>
      <c r="J849" s="3"/>
      <c r="K849" s="3"/>
      <c r="L849" s="3"/>
      <c r="M849" s="3"/>
      <c r="N849" s="3"/>
      <c r="O849" s="3"/>
      <c r="P849" s="3"/>
      <c r="Q849" s="3"/>
      <c r="R849" s="3"/>
      <c r="S849" s="3"/>
      <c r="T849" s="3"/>
      <c r="U849" s="3"/>
      <c r="V849" s="3"/>
      <c r="W849" s="3"/>
      <c r="X849" s="3"/>
      <c r="Y849" s="3"/>
      <c r="Z849" s="3"/>
    </row>
    <row r="850" spans="1:26" ht="14.25" customHeight="1">
      <c r="A850" s="1"/>
      <c r="B850" s="1"/>
      <c r="C850" s="1"/>
      <c r="D850" s="1"/>
      <c r="E850" s="19"/>
      <c r="F850" s="3"/>
      <c r="G850" s="3"/>
      <c r="H850" s="3"/>
      <c r="I850" s="3"/>
      <c r="J850" s="3"/>
      <c r="K850" s="3"/>
      <c r="L850" s="3"/>
      <c r="M850" s="3"/>
      <c r="N850" s="3"/>
      <c r="O850" s="3"/>
      <c r="P850" s="3"/>
      <c r="Q850" s="3"/>
      <c r="R850" s="3"/>
      <c r="S850" s="3"/>
      <c r="T850" s="3"/>
      <c r="U850" s="3"/>
      <c r="V850" s="3"/>
      <c r="W850" s="3"/>
      <c r="X850" s="3"/>
      <c r="Y850" s="3"/>
      <c r="Z850" s="3"/>
    </row>
    <row r="851" spans="1:26" ht="14.25" customHeight="1">
      <c r="A851" s="1"/>
      <c r="B851" s="1"/>
      <c r="C851" s="1"/>
      <c r="D851" s="1"/>
      <c r="E851" s="19"/>
      <c r="F851" s="3"/>
      <c r="G851" s="3"/>
      <c r="H851" s="3"/>
      <c r="I851" s="3"/>
      <c r="J851" s="3"/>
      <c r="K851" s="3"/>
      <c r="L851" s="3"/>
      <c r="M851" s="3"/>
      <c r="N851" s="3"/>
      <c r="O851" s="3"/>
      <c r="P851" s="3"/>
      <c r="Q851" s="3"/>
      <c r="R851" s="3"/>
      <c r="S851" s="3"/>
      <c r="T851" s="3"/>
      <c r="U851" s="3"/>
      <c r="V851" s="3"/>
      <c r="W851" s="3"/>
      <c r="X851" s="3"/>
      <c r="Y851" s="3"/>
      <c r="Z851" s="3"/>
    </row>
    <row r="852" spans="1:26" ht="14.25" customHeight="1">
      <c r="A852" s="1"/>
      <c r="B852" s="1"/>
      <c r="C852" s="1"/>
      <c r="D852" s="1"/>
      <c r="E852" s="19"/>
      <c r="F852" s="3"/>
      <c r="G852" s="3"/>
      <c r="H852" s="3"/>
      <c r="I852" s="3"/>
      <c r="J852" s="3"/>
      <c r="K852" s="3"/>
      <c r="L852" s="3"/>
      <c r="M852" s="3"/>
      <c r="N852" s="3"/>
      <c r="O852" s="3"/>
      <c r="P852" s="3"/>
      <c r="Q852" s="3"/>
      <c r="R852" s="3"/>
      <c r="S852" s="3"/>
      <c r="T852" s="3"/>
      <c r="U852" s="3"/>
      <c r="V852" s="3"/>
      <c r="W852" s="3"/>
      <c r="X852" s="3"/>
      <c r="Y852" s="3"/>
      <c r="Z852" s="3"/>
    </row>
    <row r="853" spans="1:26" ht="14.25" customHeight="1">
      <c r="A853" s="1"/>
      <c r="B853" s="1"/>
      <c r="C853" s="1"/>
      <c r="D853" s="1"/>
      <c r="E853" s="19"/>
      <c r="F853" s="3"/>
      <c r="G853" s="3"/>
      <c r="H853" s="3"/>
      <c r="I853" s="3"/>
      <c r="J853" s="3"/>
      <c r="K853" s="3"/>
      <c r="L853" s="3"/>
      <c r="M853" s="3"/>
      <c r="N853" s="3"/>
      <c r="O853" s="3"/>
      <c r="P853" s="3"/>
      <c r="Q853" s="3"/>
      <c r="R853" s="3"/>
      <c r="S853" s="3"/>
      <c r="T853" s="3"/>
      <c r="U853" s="3"/>
      <c r="V853" s="3"/>
      <c r="W853" s="3"/>
      <c r="X853" s="3"/>
      <c r="Y853" s="3"/>
      <c r="Z853" s="3"/>
    </row>
    <row r="854" spans="1:26" ht="14.25" customHeight="1">
      <c r="A854" s="1"/>
      <c r="B854" s="1"/>
      <c r="C854" s="1"/>
      <c r="D854" s="1"/>
      <c r="E854" s="19"/>
      <c r="F854" s="3"/>
      <c r="G854" s="3"/>
      <c r="H854" s="3"/>
      <c r="I854" s="3"/>
      <c r="J854" s="3"/>
      <c r="K854" s="3"/>
      <c r="L854" s="3"/>
      <c r="M854" s="3"/>
      <c r="N854" s="3"/>
      <c r="O854" s="3"/>
      <c r="P854" s="3"/>
      <c r="Q854" s="3"/>
      <c r="R854" s="3"/>
      <c r="S854" s="3"/>
      <c r="T854" s="3"/>
      <c r="U854" s="3"/>
      <c r="V854" s="3"/>
      <c r="W854" s="3"/>
      <c r="X854" s="3"/>
      <c r="Y854" s="3"/>
      <c r="Z854" s="3"/>
    </row>
    <row r="855" spans="1:26" ht="14.25" customHeight="1">
      <c r="A855" s="1"/>
      <c r="B855" s="1"/>
      <c r="C855" s="1"/>
      <c r="D855" s="1"/>
      <c r="E855" s="19"/>
      <c r="F855" s="3"/>
      <c r="G855" s="3"/>
      <c r="H855" s="3"/>
      <c r="I855" s="3"/>
      <c r="J855" s="3"/>
      <c r="K855" s="3"/>
      <c r="L855" s="3"/>
      <c r="M855" s="3"/>
      <c r="N855" s="3"/>
      <c r="O855" s="3"/>
      <c r="P855" s="3"/>
      <c r="Q855" s="3"/>
      <c r="R855" s="3"/>
      <c r="S855" s="3"/>
      <c r="T855" s="3"/>
      <c r="U855" s="3"/>
      <c r="V855" s="3"/>
      <c r="W855" s="3"/>
      <c r="X855" s="3"/>
      <c r="Y855" s="3"/>
      <c r="Z855" s="3"/>
    </row>
    <row r="856" spans="1:26" ht="14.25" customHeight="1">
      <c r="A856" s="1"/>
      <c r="B856" s="1"/>
      <c r="C856" s="1"/>
      <c r="D856" s="1"/>
      <c r="E856" s="19"/>
      <c r="F856" s="3"/>
      <c r="G856" s="3"/>
      <c r="H856" s="3"/>
      <c r="I856" s="3"/>
      <c r="J856" s="3"/>
      <c r="K856" s="3"/>
      <c r="L856" s="3"/>
      <c r="M856" s="3"/>
      <c r="N856" s="3"/>
      <c r="O856" s="3"/>
      <c r="P856" s="3"/>
      <c r="Q856" s="3"/>
      <c r="R856" s="3"/>
      <c r="S856" s="3"/>
      <c r="T856" s="3"/>
      <c r="U856" s="3"/>
      <c r="V856" s="3"/>
      <c r="W856" s="3"/>
      <c r="X856" s="3"/>
      <c r="Y856" s="3"/>
      <c r="Z856" s="3"/>
    </row>
    <row r="857" spans="1:26" ht="14.25" customHeight="1">
      <c r="A857" s="1"/>
      <c r="B857" s="1"/>
      <c r="C857" s="1"/>
      <c r="D857" s="1"/>
      <c r="E857" s="19"/>
      <c r="F857" s="3"/>
      <c r="G857" s="3"/>
      <c r="H857" s="3"/>
      <c r="I857" s="3"/>
      <c r="J857" s="3"/>
      <c r="K857" s="3"/>
      <c r="L857" s="3"/>
      <c r="M857" s="3"/>
      <c r="N857" s="3"/>
      <c r="O857" s="3"/>
      <c r="P857" s="3"/>
      <c r="Q857" s="3"/>
      <c r="R857" s="3"/>
      <c r="S857" s="3"/>
      <c r="T857" s="3"/>
      <c r="U857" s="3"/>
      <c r="V857" s="3"/>
      <c r="W857" s="3"/>
      <c r="X857" s="3"/>
      <c r="Y857" s="3"/>
      <c r="Z857" s="3"/>
    </row>
    <row r="858" spans="1:26" ht="14.25" customHeight="1">
      <c r="A858" s="1"/>
      <c r="B858" s="1"/>
      <c r="C858" s="1"/>
      <c r="D858" s="1"/>
      <c r="E858" s="19"/>
      <c r="F858" s="3"/>
      <c r="G858" s="3"/>
      <c r="H858" s="3"/>
      <c r="I858" s="3"/>
      <c r="J858" s="3"/>
      <c r="K858" s="3"/>
      <c r="L858" s="3"/>
      <c r="M858" s="3"/>
      <c r="N858" s="3"/>
      <c r="O858" s="3"/>
      <c r="P858" s="3"/>
      <c r="Q858" s="3"/>
      <c r="R858" s="3"/>
      <c r="S858" s="3"/>
      <c r="T858" s="3"/>
      <c r="U858" s="3"/>
      <c r="V858" s="3"/>
      <c r="W858" s="3"/>
      <c r="X858" s="3"/>
      <c r="Y858" s="3"/>
      <c r="Z858" s="3"/>
    </row>
    <row r="859" spans="1:26" ht="14.25" customHeight="1">
      <c r="A859" s="1"/>
      <c r="B859" s="1"/>
      <c r="C859" s="1"/>
      <c r="D859" s="1"/>
      <c r="E859" s="19"/>
      <c r="F859" s="3"/>
      <c r="G859" s="3"/>
      <c r="H859" s="3"/>
      <c r="I859" s="3"/>
      <c r="J859" s="3"/>
      <c r="K859" s="3"/>
      <c r="L859" s="3"/>
      <c r="M859" s="3"/>
      <c r="N859" s="3"/>
      <c r="O859" s="3"/>
      <c r="P859" s="3"/>
      <c r="Q859" s="3"/>
      <c r="R859" s="3"/>
      <c r="S859" s="3"/>
      <c r="T859" s="3"/>
      <c r="U859" s="3"/>
      <c r="V859" s="3"/>
      <c r="W859" s="3"/>
      <c r="X859" s="3"/>
      <c r="Y859" s="3"/>
      <c r="Z859" s="3"/>
    </row>
    <row r="860" spans="1:26" ht="14.25" customHeight="1">
      <c r="A860" s="1"/>
      <c r="B860" s="1"/>
      <c r="C860" s="1"/>
      <c r="D860" s="1"/>
      <c r="E860" s="19"/>
      <c r="F860" s="3"/>
      <c r="G860" s="3"/>
      <c r="H860" s="3"/>
      <c r="I860" s="3"/>
      <c r="J860" s="3"/>
      <c r="K860" s="3"/>
      <c r="L860" s="3"/>
      <c r="M860" s="3"/>
      <c r="N860" s="3"/>
      <c r="O860" s="3"/>
      <c r="P860" s="3"/>
      <c r="Q860" s="3"/>
      <c r="R860" s="3"/>
      <c r="S860" s="3"/>
      <c r="T860" s="3"/>
      <c r="U860" s="3"/>
      <c r="V860" s="3"/>
      <c r="W860" s="3"/>
      <c r="X860" s="3"/>
      <c r="Y860" s="3"/>
      <c r="Z860" s="3"/>
    </row>
    <row r="861" spans="1:26" ht="14.25" customHeight="1">
      <c r="A861" s="1"/>
      <c r="B861" s="1"/>
      <c r="C861" s="1"/>
      <c r="D861" s="1"/>
      <c r="E861" s="19"/>
      <c r="F861" s="3"/>
      <c r="G861" s="3"/>
      <c r="H861" s="3"/>
      <c r="I861" s="3"/>
      <c r="J861" s="3"/>
      <c r="K861" s="3"/>
      <c r="L861" s="3"/>
      <c r="M861" s="3"/>
      <c r="N861" s="3"/>
      <c r="O861" s="3"/>
      <c r="P861" s="3"/>
      <c r="Q861" s="3"/>
      <c r="R861" s="3"/>
      <c r="S861" s="3"/>
      <c r="T861" s="3"/>
      <c r="U861" s="3"/>
      <c r="V861" s="3"/>
      <c r="W861" s="3"/>
      <c r="X861" s="3"/>
      <c r="Y861" s="3"/>
      <c r="Z861" s="3"/>
    </row>
    <row r="862" spans="1:26" ht="14.25" customHeight="1">
      <c r="A862" s="1"/>
      <c r="B862" s="1"/>
      <c r="C862" s="1"/>
      <c r="D862" s="1"/>
      <c r="E862" s="19"/>
      <c r="F862" s="3"/>
      <c r="G862" s="3"/>
      <c r="H862" s="3"/>
      <c r="I862" s="3"/>
      <c r="J862" s="3"/>
      <c r="K862" s="3"/>
      <c r="L862" s="3"/>
      <c r="M862" s="3"/>
      <c r="N862" s="3"/>
      <c r="O862" s="3"/>
      <c r="P862" s="3"/>
      <c r="Q862" s="3"/>
      <c r="R862" s="3"/>
      <c r="S862" s="3"/>
      <c r="T862" s="3"/>
      <c r="U862" s="3"/>
      <c r="V862" s="3"/>
      <c r="W862" s="3"/>
      <c r="X862" s="3"/>
      <c r="Y862" s="3"/>
      <c r="Z862" s="3"/>
    </row>
    <row r="863" spans="1:26" ht="14.25" customHeight="1">
      <c r="A863" s="1"/>
      <c r="B863" s="1"/>
      <c r="C863" s="1"/>
      <c r="D863" s="1"/>
      <c r="E863" s="19"/>
      <c r="F863" s="3"/>
      <c r="G863" s="3"/>
      <c r="H863" s="3"/>
      <c r="I863" s="3"/>
      <c r="J863" s="3"/>
      <c r="K863" s="3"/>
      <c r="L863" s="3"/>
      <c r="M863" s="3"/>
      <c r="N863" s="3"/>
      <c r="O863" s="3"/>
      <c r="P863" s="3"/>
      <c r="Q863" s="3"/>
      <c r="R863" s="3"/>
      <c r="S863" s="3"/>
      <c r="T863" s="3"/>
      <c r="U863" s="3"/>
      <c r="V863" s="3"/>
      <c r="W863" s="3"/>
      <c r="X863" s="3"/>
      <c r="Y863" s="3"/>
      <c r="Z863" s="3"/>
    </row>
    <row r="864" spans="1:26" ht="14.25" customHeight="1">
      <c r="A864" s="1"/>
      <c r="B864" s="1"/>
      <c r="C864" s="1"/>
      <c r="D864" s="1"/>
      <c r="E864" s="19"/>
      <c r="F864" s="3"/>
      <c r="G864" s="3"/>
      <c r="H864" s="3"/>
      <c r="I864" s="3"/>
      <c r="J864" s="3"/>
      <c r="K864" s="3"/>
      <c r="L864" s="3"/>
      <c r="M864" s="3"/>
      <c r="N864" s="3"/>
      <c r="O864" s="3"/>
      <c r="P864" s="3"/>
      <c r="Q864" s="3"/>
      <c r="R864" s="3"/>
      <c r="S864" s="3"/>
      <c r="T864" s="3"/>
      <c r="U864" s="3"/>
      <c r="V864" s="3"/>
      <c r="W864" s="3"/>
      <c r="X864" s="3"/>
      <c r="Y864" s="3"/>
      <c r="Z864" s="3"/>
    </row>
    <row r="865" spans="1:26" ht="14.25" customHeight="1">
      <c r="A865" s="1"/>
      <c r="B865" s="1"/>
      <c r="C865" s="1"/>
      <c r="D865" s="1"/>
      <c r="E865" s="19"/>
      <c r="F865" s="3"/>
      <c r="G865" s="3"/>
      <c r="H865" s="3"/>
      <c r="I865" s="3"/>
      <c r="J865" s="3"/>
      <c r="K865" s="3"/>
      <c r="L865" s="3"/>
      <c r="M865" s="3"/>
      <c r="N865" s="3"/>
      <c r="O865" s="3"/>
      <c r="P865" s="3"/>
      <c r="Q865" s="3"/>
      <c r="R865" s="3"/>
      <c r="S865" s="3"/>
      <c r="T865" s="3"/>
      <c r="U865" s="3"/>
      <c r="V865" s="3"/>
      <c r="W865" s="3"/>
      <c r="X865" s="3"/>
      <c r="Y865" s="3"/>
      <c r="Z865" s="3"/>
    </row>
    <row r="866" spans="1:26" ht="14.25" customHeight="1">
      <c r="A866" s="1"/>
      <c r="B866" s="1"/>
      <c r="C866" s="1"/>
      <c r="D866" s="1"/>
      <c r="E866" s="19"/>
      <c r="F866" s="3"/>
      <c r="G866" s="3"/>
      <c r="H866" s="3"/>
      <c r="I866" s="3"/>
      <c r="J866" s="3"/>
      <c r="K866" s="3"/>
      <c r="L866" s="3"/>
      <c r="M866" s="3"/>
      <c r="N866" s="3"/>
      <c r="O866" s="3"/>
      <c r="P866" s="3"/>
      <c r="Q866" s="3"/>
      <c r="R866" s="3"/>
      <c r="S866" s="3"/>
      <c r="T866" s="3"/>
      <c r="U866" s="3"/>
      <c r="V866" s="3"/>
      <c r="W866" s="3"/>
      <c r="X866" s="3"/>
      <c r="Y866" s="3"/>
      <c r="Z866" s="3"/>
    </row>
    <row r="867" spans="1:26" ht="14.25" customHeight="1">
      <c r="A867" s="1"/>
      <c r="B867" s="1"/>
      <c r="C867" s="1"/>
      <c r="D867" s="1"/>
      <c r="E867" s="19"/>
      <c r="F867" s="3"/>
      <c r="G867" s="3"/>
      <c r="H867" s="3"/>
      <c r="I867" s="3"/>
      <c r="J867" s="3"/>
      <c r="K867" s="3"/>
      <c r="L867" s="3"/>
      <c r="M867" s="3"/>
      <c r="N867" s="3"/>
      <c r="O867" s="3"/>
      <c r="P867" s="3"/>
      <c r="Q867" s="3"/>
      <c r="R867" s="3"/>
      <c r="S867" s="3"/>
      <c r="T867" s="3"/>
      <c r="U867" s="3"/>
      <c r="V867" s="3"/>
      <c r="W867" s="3"/>
      <c r="X867" s="3"/>
      <c r="Y867" s="3"/>
      <c r="Z867" s="3"/>
    </row>
    <row r="868" spans="1:26" ht="14.25" customHeight="1">
      <c r="A868" s="1"/>
      <c r="B868" s="1"/>
      <c r="C868" s="1"/>
      <c r="D868" s="1"/>
      <c r="E868" s="19"/>
      <c r="F868" s="3"/>
      <c r="G868" s="3"/>
      <c r="H868" s="3"/>
      <c r="I868" s="3"/>
      <c r="J868" s="3"/>
      <c r="K868" s="3"/>
      <c r="L868" s="3"/>
      <c r="M868" s="3"/>
      <c r="N868" s="3"/>
      <c r="O868" s="3"/>
      <c r="P868" s="3"/>
      <c r="Q868" s="3"/>
      <c r="R868" s="3"/>
      <c r="S868" s="3"/>
      <c r="T868" s="3"/>
      <c r="U868" s="3"/>
      <c r="V868" s="3"/>
      <c r="W868" s="3"/>
      <c r="X868" s="3"/>
      <c r="Y868" s="3"/>
      <c r="Z868" s="3"/>
    </row>
    <row r="869" spans="1:26" ht="14.25" customHeight="1">
      <c r="A869" s="1"/>
      <c r="B869" s="1"/>
      <c r="C869" s="1"/>
      <c r="D869" s="1"/>
      <c r="E869" s="19"/>
      <c r="F869" s="3"/>
      <c r="G869" s="3"/>
      <c r="H869" s="3"/>
      <c r="I869" s="3"/>
      <c r="J869" s="3"/>
      <c r="K869" s="3"/>
      <c r="L869" s="3"/>
      <c r="M869" s="3"/>
      <c r="N869" s="3"/>
      <c r="O869" s="3"/>
      <c r="P869" s="3"/>
      <c r="Q869" s="3"/>
      <c r="R869" s="3"/>
      <c r="S869" s="3"/>
      <c r="T869" s="3"/>
      <c r="U869" s="3"/>
      <c r="V869" s="3"/>
      <c r="W869" s="3"/>
      <c r="X869" s="3"/>
      <c r="Y869" s="3"/>
      <c r="Z869" s="3"/>
    </row>
    <row r="870" spans="1:26" ht="14.25" customHeight="1">
      <c r="A870" s="1"/>
      <c r="B870" s="1"/>
      <c r="C870" s="1"/>
      <c r="D870" s="1"/>
      <c r="E870" s="19"/>
      <c r="F870" s="3"/>
      <c r="G870" s="3"/>
      <c r="H870" s="3"/>
      <c r="I870" s="3"/>
      <c r="J870" s="3"/>
      <c r="K870" s="3"/>
      <c r="L870" s="3"/>
      <c r="M870" s="3"/>
      <c r="N870" s="3"/>
      <c r="O870" s="3"/>
      <c r="P870" s="3"/>
      <c r="Q870" s="3"/>
      <c r="R870" s="3"/>
      <c r="S870" s="3"/>
      <c r="T870" s="3"/>
      <c r="U870" s="3"/>
      <c r="V870" s="3"/>
      <c r="W870" s="3"/>
      <c r="X870" s="3"/>
      <c r="Y870" s="3"/>
      <c r="Z870" s="3"/>
    </row>
    <row r="871" spans="1:26" ht="14.25" customHeight="1">
      <c r="A871" s="1"/>
      <c r="B871" s="1"/>
      <c r="C871" s="1"/>
      <c r="D871" s="1"/>
      <c r="E871" s="19"/>
      <c r="F871" s="3"/>
      <c r="G871" s="3"/>
      <c r="H871" s="3"/>
      <c r="I871" s="3"/>
      <c r="J871" s="3"/>
      <c r="K871" s="3"/>
      <c r="L871" s="3"/>
      <c r="M871" s="3"/>
      <c r="N871" s="3"/>
      <c r="O871" s="3"/>
      <c r="P871" s="3"/>
      <c r="Q871" s="3"/>
      <c r="R871" s="3"/>
      <c r="S871" s="3"/>
      <c r="T871" s="3"/>
      <c r="U871" s="3"/>
      <c r="V871" s="3"/>
      <c r="W871" s="3"/>
      <c r="X871" s="3"/>
      <c r="Y871" s="3"/>
      <c r="Z871" s="3"/>
    </row>
    <row r="872" spans="1:26" ht="14.25" customHeight="1">
      <c r="A872" s="1"/>
      <c r="B872" s="1"/>
      <c r="C872" s="1"/>
      <c r="D872" s="1"/>
      <c r="E872" s="19"/>
      <c r="F872" s="3"/>
      <c r="G872" s="3"/>
      <c r="H872" s="3"/>
      <c r="I872" s="3"/>
      <c r="J872" s="3"/>
      <c r="K872" s="3"/>
      <c r="L872" s="3"/>
      <c r="M872" s="3"/>
      <c r="N872" s="3"/>
      <c r="O872" s="3"/>
      <c r="P872" s="3"/>
      <c r="Q872" s="3"/>
      <c r="R872" s="3"/>
      <c r="S872" s="3"/>
      <c r="T872" s="3"/>
      <c r="U872" s="3"/>
      <c r="V872" s="3"/>
      <c r="W872" s="3"/>
      <c r="X872" s="3"/>
      <c r="Y872" s="3"/>
      <c r="Z872" s="3"/>
    </row>
    <row r="873" spans="1:26" ht="14.25" customHeight="1">
      <c r="A873" s="1"/>
      <c r="B873" s="1"/>
      <c r="C873" s="1"/>
      <c r="D873" s="1"/>
      <c r="E873" s="19"/>
      <c r="F873" s="3"/>
      <c r="G873" s="3"/>
      <c r="H873" s="3"/>
      <c r="I873" s="3"/>
      <c r="J873" s="3"/>
      <c r="K873" s="3"/>
      <c r="L873" s="3"/>
      <c r="M873" s="3"/>
      <c r="N873" s="3"/>
      <c r="O873" s="3"/>
      <c r="P873" s="3"/>
      <c r="Q873" s="3"/>
      <c r="R873" s="3"/>
      <c r="S873" s="3"/>
      <c r="T873" s="3"/>
      <c r="U873" s="3"/>
      <c r="V873" s="3"/>
      <c r="W873" s="3"/>
      <c r="X873" s="3"/>
      <c r="Y873" s="3"/>
      <c r="Z873" s="3"/>
    </row>
    <row r="874" spans="1:26" ht="14.25" customHeight="1">
      <c r="A874" s="1"/>
      <c r="B874" s="1"/>
      <c r="C874" s="1"/>
      <c r="D874" s="1"/>
      <c r="E874" s="19"/>
      <c r="F874" s="3"/>
      <c r="G874" s="3"/>
      <c r="H874" s="3"/>
      <c r="I874" s="3"/>
      <c r="J874" s="3"/>
      <c r="K874" s="3"/>
      <c r="L874" s="3"/>
      <c r="M874" s="3"/>
      <c r="N874" s="3"/>
      <c r="O874" s="3"/>
      <c r="P874" s="3"/>
      <c r="Q874" s="3"/>
      <c r="R874" s="3"/>
      <c r="S874" s="3"/>
      <c r="T874" s="3"/>
      <c r="U874" s="3"/>
      <c r="V874" s="3"/>
      <c r="W874" s="3"/>
      <c r="X874" s="3"/>
      <c r="Y874" s="3"/>
      <c r="Z874" s="3"/>
    </row>
    <row r="875" spans="1:26" ht="14.25" customHeight="1">
      <c r="A875" s="1"/>
      <c r="B875" s="1"/>
      <c r="C875" s="1"/>
      <c r="D875" s="1"/>
      <c r="E875" s="19"/>
      <c r="F875" s="3"/>
      <c r="G875" s="3"/>
      <c r="H875" s="3"/>
      <c r="I875" s="3"/>
      <c r="J875" s="3"/>
      <c r="K875" s="3"/>
      <c r="L875" s="3"/>
      <c r="M875" s="3"/>
      <c r="N875" s="3"/>
      <c r="O875" s="3"/>
      <c r="P875" s="3"/>
      <c r="Q875" s="3"/>
      <c r="R875" s="3"/>
      <c r="S875" s="3"/>
      <c r="T875" s="3"/>
      <c r="U875" s="3"/>
      <c r="V875" s="3"/>
      <c r="W875" s="3"/>
      <c r="X875" s="3"/>
      <c r="Y875" s="3"/>
      <c r="Z875" s="3"/>
    </row>
    <row r="876" spans="1:26" ht="14.25" customHeight="1">
      <c r="A876" s="1"/>
      <c r="B876" s="1"/>
      <c r="C876" s="1"/>
      <c r="D876" s="1"/>
      <c r="E876" s="19"/>
      <c r="F876" s="3"/>
      <c r="G876" s="3"/>
      <c r="H876" s="3"/>
      <c r="I876" s="3"/>
      <c r="J876" s="3"/>
      <c r="K876" s="3"/>
      <c r="L876" s="3"/>
      <c r="M876" s="3"/>
      <c r="N876" s="3"/>
      <c r="O876" s="3"/>
      <c r="P876" s="3"/>
      <c r="Q876" s="3"/>
      <c r="R876" s="3"/>
      <c r="S876" s="3"/>
      <c r="T876" s="3"/>
      <c r="U876" s="3"/>
      <c r="V876" s="3"/>
      <c r="W876" s="3"/>
      <c r="X876" s="3"/>
      <c r="Y876" s="3"/>
      <c r="Z876" s="3"/>
    </row>
    <row r="877" spans="1:26" ht="14.25" customHeight="1">
      <c r="A877" s="1"/>
      <c r="B877" s="1"/>
      <c r="C877" s="1"/>
      <c r="D877" s="1"/>
      <c r="E877" s="19"/>
      <c r="F877" s="3"/>
      <c r="G877" s="3"/>
      <c r="H877" s="3"/>
      <c r="I877" s="3"/>
      <c r="J877" s="3"/>
      <c r="K877" s="3"/>
      <c r="L877" s="3"/>
      <c r="M877" s="3"/>
      <c r="N877" s="3"/>
      <c r="O877" s="3"/>
      <c r="P877" s="3"/>
      <c r="Q877" s="3"/>
      <c r="R877" s="3"/>
      <c r="S877" s="3"/>
      <c r="T877" s="3"/>
      <c r="U877" s="3"/>
      <c r="V877" s="3"/>
      <c r="W877" s="3"/>
      <c r="X877" s="3"/>
      <c r="Y877" s="3"/>
      <c r="Z877" s="3"/>
    </row>
    <row r="878" spans="1:26" ht="14.25" customHeight="1">
      <c r="A878" s="1"/>
      <c r="B878" s="1"/>
      <c r="C878" s="1"/>
      <c r="D878" s="1"/>
      <c r="E878" s="19"/>
      <c r="F878" s="3"/>
      <c r="G878" s="3"/>
      <c r="H878" s="3"/>
      <c r="I878" s="3"/>
      <c r="J878" s="3"/>
      <c r="K878" s="3"/>
      <c r="L878" s="3"/>
      <c r="M878" s="3"/>
      <c r="N878" s="3"/>
      <c r="O878" s="3"/>
      <c r="P878" s="3"/>
      <c r="Q878" s="3"/>
      <c r="R878" s="3"/>
      <c r="S878" s="3"/>
      <c r="T878" s="3"/>
      <c r="U878" s="3"/>
      <c r="V878" s="3"/>
      <c r="W878" s="3"/>
      <c r="X878" s="3"/>
      <c r="Y878" s="3"/>
      <c r="Z878" s="3"/>
    </row>
    <row r="879" spans="1:26" ht="14.25" customHeight="1">
      <c r="A879" s="1"/>
      <c r="B879" s="1"/>
      <c r="C879" s="1"/>
      <c r="D879" s="1"/>
      <c r="E879" s="19"/>
      <c r="F879" s="3"/>
      <c r="G879" s="3"/>
      <c r="H879" s="3"/>
      <c r="I879" s="3"/>
      <c r="J879" s="3"/>
      <c r="K879" s="3"/>
      <c r="L879" s="3"/>
      <c r="M879" s="3"/>
      <c r="N879" s="3"/>
      <c r="O879" s="3"/>
      <c r="P879" s="3"/>
      <c r="Q879" s="3"/>
      <c r="R879" s="3"/>
      <c r="S879" s="3"/>
      <c r="T879" s="3"/>
      <c r="U879" s="3"/>
      <c r="V879" s="3"/>
      <c r="W879" s="3"/>
      <c r="X879" s="3"/>
      <c r="Y879" s="3"/>
      <c r="Z879" s="3"/>
    </row>
    <row r="880" spans="1:26" ht="14.25" customHeight="1">
      <c r="A880" s="1"/>
      <c r="B880" s="1"/>
      <c r="C880" s="1"/>
      <c r="D880" s="1"/>
      <c r="E880" s="19"/>
      <c r="F880" s="3"/>
      <c r="G880" s="3"/>
      <c r="H880" s="3"/>
      <c r="I880" s="3"/>
      <c r="J880" s="3"/>
      <c r="K880" s="3"/>
      <c r="L880" s="3"/>
      <c r="M880" s="3"/>
      <c r="N880" s="3"/>
      <c r="O880" s="3"/>
      <c r="P880" s="3"/>
      <c r="Q880" s="3"/>
      <c r="R880" s="3"/>
      <c r="S880" s="3"/>
      <c r="T880" s="3"/>
      <c r="U880" s="3"/>
      <c r="V880" s="3"/>
      <c r="W880" s="3"/>
      <c r="X880" s="3"/>
      <c r="Y880" s="3"/>
      <c r="Z880" s="3"/>
    </row>
    <row r="881" spans="1:26" ht="14.25" customHeight="1">
      <c r="A881" s="1"/>
      <c r="B881" s="1"/>
      <c r="C881" s="1"/>
      <c r="D881" s="1"/>
      <c r="E881" s="19"/>
      <c r="F881" s="3"/>
      <c r="G881" s="3"/>
      <c r="H881" s="3"/>
      <c r="I881" s="3"/>
      <c r="J881" s="3"/>
      <c r="K881" s="3"/>
      <c r="L881" s="3"/>
      <c r="M881" s="3"/>
      <c r="N881" s="3"/>
      <c r="O881" s="3"/>
      <c r="P881" s="3"/>
      <c r="Q881" s="3"/>
      <c r="R881" s="3"/>
      <c r="S881" s="3"/>
      <c r="T881" s="3"/>
      <c r="U881" s="3"/>
      <c r="V881" s="3"/>
      <c r="W881" s="3"/>
      <c r="X881" s="3"/>
      <c r="Y881" s="3"/>
      <c r="Z881" s="3"/>
    </row>
    <row r="882" spans="1:26" ht="14.25" customHeight="1">
      <c r="A882" s="1"/>
      <c r="B882" s="1"/>
      <c r="C882" s="1"/>
      <c r="D882" s="1"/>
      <c r="E882" s="19"/>
      <c r="F882" s="3"/>
      <c r="G882" s="3"/>
      <c r="H882" s="3"/>
      <c r="I882" s="3"/>
      <c r="J882" s="3"/>
      <c r="K882" s="3"/>
      <c r="L882" s="3"/>
      <c r="M882" s="3"/>
      <c r="N882" s="3"/>
      <c r="O882" s="3"/>
      <c r="P882" s="3"/>
      <c r="Q882" s="3"/>
      <c r="R882" s="3"/>
      <c r="S882" s="3"/>
      <c r="T882" s="3"/>
      <c r="U882" s="3"/>
      <c r="V882" s="3"/>
      <c r="W882" s="3"/>
      <c r="X882" s="3"/>
      <c r="Y882" s="3"/>
      <c r="Z882" s="3"/>
    </row>
    <row r="883" spans="1:26" ht="14.25" customHeight="1">
      <c r="A883" s="1"/>
      <c r="B883" s="1"/>
      <c r="C883" s="1"/>
      <c r="D883" s="1"/>
      <c r="E883" s="19"/>
      <c r="F883" s="3"/>
      <c r="G883" s="3"/>
      <c r="H883" s="3"/>
      <c r="I883" s="3"/>
      <c r="J883" s="3"/>
      <c r="K883" s="3"/>
      <c r="L883" s="3"/>
      <c r="M883" s="3"/>
      <c r="N883" s="3"/>
      <c r="O883" s="3"/>
      <c r="P883" s="3"/>
      <c r="Q883" s="3"/>
      <c r="R883" s="3"/>
      <c r="S883" s="3"/>
      <c r="T883" s="3"/>
      <c r="U883" s="3"/>
      <c r="V883" s="3"/>
      <c r="W883" s="3"/>
      <c r="X883" s="3"/>
      <c r="Y883" s="3"/>
      <c r="Z883" s="3"/>
    </row>
    <row r="884" spans="1:26" ht="14.25" customHeight="1">
      <c r="A884" s="1"/>
      <c r="B884" s="1"/>
      <c r="C884" s="1"/>
      <c r="D884" s="1"/>
      <c r="E884" s="19"/>
      <c r="F884" s="3"/>
      <c r="G884" s="3"/>
      <c r="H884" s="3"/>
      <c r="I884" s="3"/>
      <c r="J884" s="3"/>
      <c r="K884" s="3"/>
      <c r="L884" s="3"/>
      <c r="M884" s="3"/>
      <c r="N884" s="3"/>
      <c r="O884" s="3"/>
      <c r="P884" s="3"/>
      <c r="Q884" s="3"/>
      <c r="R884" s="3"/>
      <c r="S884" s="3"/>
      <c r="T884" s="3"/>
      <c r="U884" s="3"/>
      <c r="V884" s="3"/>
      <c r="W884" s="3"/>
      <c r="X884" s="3"/>
      <c r="Y884" s="3"/>
      <c r="Z884" s="3"/>
    </row>
    <row r="885" spans="1:26" ht="14.25" customHeight="1">
      <c r="A885" s="1"/>
      <c r="B885" s="1"/>
      <c r="C885" s="1"/>
      <c r="D885" s="1"/>
      <c r="E885" s="19"/>
      <c r="F885" s="3"/>
      <c r="G885" s="3"/>
      <c r="H885" s="3"/>
      <c r="I885" s="3"/>
      <c r="J885" s="3"/>
      <c r="K885" s="3"/>
      <c r="L885" s="3"/>
      <c r="M885" s="3"/>
      <c r="N885" s="3"/>
      <c r="O885" s="3"/>
      <c r="P885" s="3"/>
      <c r="Q885" s="3"/>
      <c r="R885" s="3"/>
      <c r="S885" s="3"/>
      <c r="T885" s="3"/>
      <c r="U885" s="3"/>
      <c r="V885" s="3"/>
      <c r="W885" s="3"/>
      <c r="X885" s="3"/>
      <c r="Y885" s="3"/>
      <c r="Z885" s="3"/>
    </row>
    <row r="886" spans="1:26" ht="14.25" customHeight="1">
      <c r="A886" s="1"/>
      <c r="B886" s="1"/>
      <c r="C886" s="1"/>
      <c r="D886" s="1"/>
      <c r="E886" s="19"/>
      <c r="F886" s="3"/>
      <c r="G886" s="3"/>
      <c r="H886" s="3"/>
      <c r="I886" s="3"/>
      <c r="J886" s="3"/>
      <c r="K886" s="3"/>
      <c r="L886" s="3"/>
      <c r="M886" s="3"/>
      <c r="N886" s="3"/>
      <c r="O886" s="3"/>
      <c r="P886" s="3"/>
      <c r="Q886" s="3"/>
      <c r="R886" s="3"/>
      <c r="S886" s="3"/>
      <c r="T886" s="3"/>
      <c r="U886" s="3"/>
      <c r="V886" s="3"/>
      <c r="W886" s="3"/>
      <c r="X886" s="3"/>
      <c r="Y886" s="3"/>
      <c r="Z886" s="3"/>
    </row>
    <row r="887" spans="1:26" ht="14.25" customHeight="1">
      <c r="A887" s="1"/>
      <c r="B887" s="1"/>
      <c r="C887" s="1"/>
      <c r="D887" s="1"/>
      <c r="E887" s="19"/>
      <c r="F887" s="3"/>
      <c r="G887" s="3"/>
      <c r="H887" s="3"/>
      <c r="I887" s="3"/>
      <c r="J887" s="3"/>
      <c r="K887" s="3"/>
      <c r="L887" s="3"/>
      <c r="M887" s="3"/>
      <c r="N887" s="3"/>
      <c r="O887" s="3"/>
      <c r="P887" s="3"/>
      <c r="Q887" s="3"/>
      <c r="R887" s="3"/>
      <c r="S887" s="3"/>
      <c r="T887" s="3"/>
      <c r="U887" s="3"/>
      <c r="V887" s="3"/>
      <c r="W887" s="3"/>
      <c r="X887" s="3"/>
      <c r="Y887" s="3"/>
      <c r="Z887" s="3"/>
    </row>
    <row r="888" spans="1:26" ht="14.25" customHeight="1">
      <c r="A888" s="1"/>
      <c r="B888" s="1"/>
      <c r="C888" s="1"/>
      <c r="D888" s="1"/>
      <c r="E888" s="19"/>
      <c r="F888" s="3"/>
      <c r="G888" s="3"/>
      <c r="H888" s="3"/>
      <c r="I888" s="3"/>
      <c r="J888" s="3"/>
      <c r="K888" s="3"/>
      <c r="L888" s="3"/>
      <c r="M888" s="3"/>
      <c r="N888" s="3"/>
      <c r="O888" s="3"/>
      <c r="P888" s="3"/>
      <c r="Q888" s="3"/>
      <c r="R888" s="3"/>
      <c r="S888" s="3"/>
      <c r="T888" s="3"/>
      <c r="U888" s="3"/>
      <c r="V888" s="3"/>
      <c r="W888" s="3"/>
      <c r="X888" s="3"/>
      <c r="Y888" s="3"/>
      <c r="Z888" s="3"/>
    </row>
    <row r="889" spans="1:26" ht="14.25" customHeight="1">
      <c r="A889" s="1"/>
      <c r="B889" s="1"/>
      <c r="C889" s="1"/>
      <c r="D889" s="1"/>
      <c r="E889" s="19"/>
      <c r="F889" s="3"/>
      <c r="G889" s="3"/>
      <c r="H889" s="3"/>
      <c r="I889" s="3"/>
      <c r="J889" s="3"/>
      <c r="K889" s="3"/>
      <c r="L889" s="3"/>
      <c r="M889" s="3"/>
      <c r="N889" s="3"/>
      <c r="O889" s="3"/>
      <c r="P889" s="3"/>
      <c r="Q889" s="3"/>
      <c r="R889" s="3"/>
      <c r="S889" s="3"/>
      <c r="T889" s="3"/>
      <c r="U889" s="3"/>
      <c r="V889" s="3"/>
      <c r="W889" s="3"/>
      <c r="X889" s="3"/>
      <c r="Y889" s="3"/>
      <c r="Z889" s="3"/>
    </row>
    <row r="890" spans="1:26" ht="14.25" customHeight="1">
      <c r="A890" s="1"/>
      <c r="B890" s="1"/>
      <c r="C890" s="1"/>
      <c r="D890" s="1"/>
      <c r="E890" s="19"/>
      <c r="F890" s="3"/>
      <c r="G890" s="3"/>
      <c r="H890" s="3"/>
      <c r="I890" s="3"/>
      <c r="J890" s="3"/>
      <c r="K890" s="3"/>
      <c r="L890" s="3"/>
      <c r="M890" s="3"/>
      <c r="N890" s="3"/>
      <c r="O890" s="3"/>
      <c r="P890" s="3"/>
      <c r="Q890" s="3"/>
      <c r="R890" s="3"/>
      <c r="S890" s="3"/>
      <c r="T890" s="3"/>
      <c r="U890" s="3"/>
      <c r="V890" s="3"/>
      <c r="W890" s="3"/>
      <c r="X890" s="3"/>
      <c r="Y890" s="3"/>
      <c r="Z890" s="3"/>
    </row>
    <row r="891" spans="1:26" ht="14.25" customHeight="1">
      <c r="A891" s="1"/>
      <c r="B891" s="1"/>
      <c r="C891" s="1"/>
      <c r="D891" s="1"/>
      <c r="E891" s="19"/>
      <c r="F891" s="3"/>
      <c r="G891" s="3"/>
      <c r="H891" s="3"/>
      <c r="I891" s="3"/>
      <c r="J891" s="3"/>
      <c r="K891" s="3"/>
      <c r="L891" s="3"/>
      <c r="M891" s="3"/>
      <c r="N891" s="3"/>
      <c r="O891" s="3"/>
      <c r="P891" s="3"/>
      <c r="Q891" s="3"/>
      <c r="R891" s="3"/>
      <c r="S891" s="3"/>
      <c r="T891" s="3"/>
      <c r="U891" s="3"/>
      <c r="V891" s="3"/>
      <c r="W891" s="3"/>
      <c r="X891" s="3"/>
      <c r="Y891" s="3"/>
      <c r="Z891" s="3"/>
    </row>
    <row r="892" spans="1:26" ht="14.25" customHeight="1">
      <c r="A892" s="1"/>
      <c r="B892" s="1"/>
      <c r="C892" s="1"/>
      <c r="D892" s="1"/>
      <c r="E892" s="19"/>
      <c r="F892" s="3"/>
      <c r="G892" s="3"/>
      <c r="H892" s="3"/>
      <c r="I892" s="3"/>
      <c r="J892" s="3"/>
      <c r="K892" s="3"/>
      <c r="L892" s="3"/>
      <c r="M892" s="3"/>
      <c r="N892" s="3"/>
      <c r="O892" s="3"/>
      <c r="P892" s="3"/>
      <c r="Q892" s="3"/>
      <c r="R892" s="3"/>
      <c r="S892" s="3"/>
      <c r="T892" s="3"/>
      <c r="U892" s="3"/>
      <c r="V892" s="3"/>
      <c r="W892" s="3"/>
      <c r="X892" s="3"/>
      <c r="Y892" s="3"/>
      <c r="Z892" s="3"/>
    </row>
    <row r="893" spans="1:26" ht="14.25" customHeight="1">
      <c r="A893" s="1"/>
      <c r="B893" s="1"/>
      <c r="C893" s="1"/>
      <c r="D893" s="1"/>
      <c r="E893" s="19"/>
      <c r="F893" s="3"/>
      <c r="G893" s="3"/>
      <c r="H893" s="3"/>
      <c r="I893" s="3"/>
      <c r="J893" s="3"/>
      <c r="K893" s="3"/>
      <c r="L893" s="3"/>
      <c r="M893" s="3"/>
      <c r="N893" s="3"/>
      <c r="O893" s="3"/>
      <c r="P893" s="3"/>
      <c r="Q893" s="3"/>
      <c r="R893" s="3"/>
      <c r="S893" s="3"/>
      <c r="T893" s="3"/>
      <c r="U893" s="3"/>
      <c r="V893" s="3"/>
      <c r="W893" s="3"/>
      <c r="X893" s="3"/>
      <c r="Y893" s="3"/>
      <c r="Z893" s="3"/>
    </row>
    <row r="894" spans="1:26" ht="14.25" customHeight="1">
      <c r="A894" s="1"/>
      <c r="B894" s="1"/>
      <c r="C894" s="1"/>
      <c r="D894" s="1"/>
      <c r="E894" s="19"/>
      <c r="F894" s="3"/>
      <c r="G894" s="3"/>
      <c r="H894" s="3"/>
      <c r="I894" s="3"/>
      <c r="J894" s="3"/>
      <c r="K894" s="3"/>
      <c r="L894" s="3"/>
      <c r="M894" s="3"/>
      <c r="N894" s="3"/>
      <c r="O894" s="3"/>
      <c r="P894" s="3"/>
      <c r="Q894" s="3"/>
      <c r="R894" s="3"/>
      <c r="S894" s="3"/>
      <c r="T894" s="3"/>
      <c r="U894" s="3"/>
      <c r="V894" s="3"/>
      <c r="W894" s="3"/>
      <c r="X894" s="3"/>
      <c r="Y894" s="3"/>
      <c r="Z894" s="3"/>
    </row>
    <row r="895" spans="1:26" ht="14.25" customHeight="1">
      <c r="A895" s="1"/>
      <c r="B895" s="1"/>
      <c r="C895" s="1"/>
      <c r="D895" s="1"/>
      <c r="E895" s="19"/>
      <c r="F895" s="3"/>
      <c r="G895" s="3"/>
      <c r="H895" s="3"/>
      <c r="I895" s="3"/>
      <c r="J895" s="3"/>
      <c r="K895" s="3"/>
      <c r="L895" s="3"/>
      <c r="M895" s="3"/>
      <c r="N895" s="3"/>
      <c r="O895" s="3"/>
      <c r="P895" s="3"/>
      <c r="Q895" s="3"/>
      <c r="R895" s="3"/>
      <c r="S895" s="3"/>
      <c r="T895" s="3"/>
      <c r="U895" s="3"/>
      <c r="V895" s="3"/>
      <c r="W895" s="3"/>
      <c r="X895" s="3"/>
      <c r="Y895" s="3"/>
      <c r="Z895" s="3"/>
    </row>
    <row r="896" spans="1:26" ht="14.25" customHeight="1">
      <c r="A896" s="1"/>
      <c r="B896" s="1"/>
      <c r="C896" s="1"/>
      <c r="D896" s="1"/>
      <c r="E896" s="19"/>
      <c r="F896" s="3"/>
      <c r="G896" s="3"/>
      <c r="H896" s="3"/>
      <c r="I896" s="3"/>
      <c r="J896" s="3"/>
      <c r="K896" s="3"/>
      <c r="L896" s="3"/>
      <c r="M896" s="3"/>
      <c r="N896" s="3"/>
      <c r="O896" s="3"/>
      <c r="P896" s="3"/>
      <c r="Q896" s="3"/>
      <c r="R896" s="3"/>
      <c r="S896" s="3"/>
      <c r="T896" s="3"/>
      <c r="U896" s="3"/>
      <c r="V896" s="3"/>
      <c r="W896" s="3"/>
      <c r="X896" s="3"/>
      <c r="Y896" s="3"/>
      <c r="Z896" s="3"/>
    </row>
    <row r="897" spans="1:26" ht="14.25" customHeight="1">
      <c r="A897" s="1"/>
      <c r="B897" s="1"/>
      <c r="C897" s="1"/>
      <c r="D897" s="1"/>
      <c r="E897" s="19"/>
      <c r="F897" s="3"/>
      <c r="G897" s="3"/>
      <c r="H897" s="3"/>
      <c r="I897" s="3"/>
      <c r="J897" s="3"/>
      <c r="K897" s="3"/>
      <c r="L897" s="3"/>
      <c r="M897" s="3"/>
      <c r="N897" s="3"/>
      <c r="O897" s="3"/>
      <c r="P897" s="3"/>
      <c r="Q897" s="3"/>
      <c r="R897" s="3"/>
      <c r="S897" s="3"/>
      <c r="T897" s="3"/>
      <c r="U897" s="3"/>
      <c r="V897" s="3"/>
      <c r="W897" s="3"/>
      <c r="X897" s="3"/>
      <c r="Y897" s="3"/>
      <c r="Z897" s="3"/>
    </row>
    <row r="898" spans="1:26" ht="14.25" customHeight="1">
      <c r="A898" s="1"/>
      <c r="B898" s="1"/>
      <c r="C898" s="1"/>
      <c r="D898" s="1"/>
      <c r="E898" s="19"/>
      <c r="F898" s="3"/>
      <c r="G898" s="3"/>
      <c r="H898" s="3"/>
      <c r="I898" s="3"/>
      <c r="J898" s="3"/>
      <c r="K898" s="3"/>
      <c r="L898" s="3"/>
      <c r="M898" s="3"/>
      <c r="N898" s="3"/>
      <c r="O898" s="3"/>
      <c r="P898" s="3"/>
      <c r="Q898" s="3"/>
      <c r="R898" s="3"/>
      <c r="S898" s="3"/>
      <c r="T898" s="3"/>
      <c r="U898" s="3"/>
      <c r="V898" s="3"/>
      <c r="W898" s="3"/>
      <c r="X898" s="3"/>
      <c r="Y898" s="3"/>
      <c r="Z898" s="3"/>
    </row>
    <row r="899" spans="1:26" ht="14.25" customHeight="1">
      <c r="A899" s="1"/>
      <c r="B899" s="1"/>
      <c r="C899" s="1"/>
      <c r="D899" s="1"/>
      <c r="E899" s="19"/>
      <c r="F899" s="3"/>
      <c r="G899" s="3"/>
      <c r="H899" s="3"/>
      <c r="I899" s="3"/>
      <c r="J899" s="3"/>
      <c r="K899" s="3"/>
      <c r="L899" s="3"/>
      <c r="M899" s="3"/>
      <c r="N899" s="3"/>
      <c r="O899" s="3"/>
      <c r="P899" s="3"/>
      <c r="Q899" s="3"/>
      <c r="R899" s="3"/>
      <c r="S899" s="3"/>
      <c r="T899" s="3"/>
      <c r="U899" s="3"/>
      <c r="V899" s="3"/>
      <c r="W899" s="3"/>
      <c r="X899" s="3"/>
      <c r="Y899" s="3"/>
      <c r="Z899" s="3"/>
    </row>
    <row r="900" spans="1:26" ht="14.25" customHeight="1">
      <c r="A900" s="1"/>
      <c r="B900" s="1"/>
      <c r="C900" s="1"/>
      <c r="D900" s="1"/>
      <c r="E900" s="19"/>
      <c r="F900" s="3"/>
      <c r="G900" s="3"/>
      <c r="H900" s="3"/>
      <c r="I900" s="3"/>
      <c r="J900" s="3"/>
      <c r="K900" s="3"/>
      <c r="L900" s="3"/>
      <c r="M900" s="3"/>
      <c r="N900" s="3"/>
      <c r="O900" s="3"/>
      <c r="P900" s="3"/>
      <c r="Q900" s="3"/>
      <c r="R900" s="3"/>
      <c r="S900" s="3"/>
      <c r="T900" s="3"/>
      <c r="U900" s="3"/>
      <c r="V900" s="3"/>
      <c r="W900" s="3"/>
      <c r="X900" s="3"/>
      <c r="Y900" s="3"/>
      <c r="Z900" s="3"/>
    </row>
    <row r="901" spans="1:26" ht="14.25" customHeight="1">
      <c r="A901" s="1"/>
      <c r="B901" s="1"/>
      <c r="C901" s="1"/>
      <c r="D901" s="1"/>
      <c r="E901" s="19"/>
      <c r="F901" s="3"/>
      <c r="G901" s="3"/>
      <c r="H901" s="3"/>
      <c r="I901" s="3"/>
      <c r="J901" s="3"/>
      <c r="K901" s="3"/>
      <c r="L901" s="3"/>
      <c r="M901" s="3"/>
      <c r="N901" s="3"/>
      <c r="O901" s="3"/>
      <c r="P901" s="3"/>
      <c r="Q901" s="3"/>
      <c r="R901" s="3"/>
      <c r="S901" s="3"/>
      <c r="T901" s="3"/>
      <c r="U901" s="3"/>
      <c r="V901" s="3"/>
      <c r="W901" s="3"/>
      <c r="X901" s="3"/>
      <c r="Y901" s="3"/>
      <c r="Z901" s="3"/>
    </row>
    <row r="902" spans="1:26" ht="14.25" customHeight="1">
      <c r="A902" s="1"/>
      <c r="B902" s="1"/>
      <c r="C902" s="1"/>
      <c r="D902" s="1"/>
      <c r="E902" s="19"/>
      <c r="F902" s="3"/>
      <c r="G902" s="3"/>
      <c r="H902" s="3"/>
      <c r="I902" s="3"/>
      <c r="J902" s="3"/>
      <c r="K902" s="3"/>
      <c r="L902" s="3"/>
      <c r="M902" s="3"/>
      <c r="N902" s="3"/>
      <c r="O902" s="3"/>
      <c r="P902" s="3"/>
      <c r="Q902" s="3"/>
      <c r="R902" s="3"/>
      <c r="S902" s="3"/>
      <c r="T902" s="3"/>
      <c r="U902" s="3"/>
      <c r="V902" s="3"/>
      <c r="W902" s="3"/>
      <c r="X902" s="3"/>
      <c r="Y902" s="3"/>
      <c r="Z902" s="3"/>
    </row>
    <row r="903" spans="1:26" ht="14.25" customHeight="1">
      <c r="A903" s="1"/>
      <c r="B903" s="1"/>
      <c r="C903" s="1"/>
      <c r="D903" s="1"/>
      <c r="E903" s="19"/>
      <c r="F903" s="3"/>
      <c r="G903" s="3"/>
      <c r="H903" s="3"/>
      <c r="I903" s="3"/>
      <c r="J903" s="3"/>
      <c r="K903" s="3"/>
      <c r="L903" s="3"/>
      <c r="M903" s="3"/>
      <c r="N903" s="3"/>
      <c r="O903" s="3"/>
      <c r="P903" s="3"/>
      <c r="Q903" s="3"/>
      <c r="R903" s="3"/>
      <c r="S903" s="3"/>
      <c r="T903" s="3"/>
      <c r="U903" s="3"/>
      <c r="V903" s="3"/>
      <c r="W903" s="3"/>
      <c r="X903" s="3"/>
      <c r="Y903" s="3"/>
      <c r="Z903" s="3"/>
    </row>
    <row r="904" spans="1:26" ht="14.25" customHeight="1">
      <c r="A904" s="1"/>
      <c r="B904" s="1"/>
      <c r="C904" s="1"/>
      <c r="D904" s="1"/>
      <c r="E904" s="19"/>
      <c r="F904" s="3"/>
      <c r="G904" s="3"/>
      <c r="H904" s="3"/>
      <c r="I904" s="3"/>
      <c r="J904" s="3"/>
      <c r="K904" s="3"/>
      <c r="L904" s="3"/>
      <c r="M904" s="3"/>
      <c r="N904" s="3"/>
      <c r="O904" s="3"/>
      <c r="P904" s="3"/>
      <c r="Q904" s="3"/>
      <c r="R904" s="3"/>
      <c r="S904" s="3"/>
      <c r="T904" s="3"/>
      <c r="U904" s="3"/>
      <c r="V904" s="3"/>
      <c r="W904" s="3"/>
      <c r="X904" s="3"/>
      <c r="Y904" s="3"/>
      <c r="Z904" s="3"/>
    </row>
    <row r="905" spans="1:26" ht="14.25" customHeight="1">
      <c r="A905" s="1"/>
      <c r="B905" s="1"/>
      <c r="C905" s="1"/>
      <c r="D905" s="1"/>
      <c r="E905" s="19"/>
      <c r="F905" s="3"/>
      <c r="G905" s="3"/>
      <c r="H905" s="3"/>
      <c r="I905" s="3"/>
      <c r="J905" s="3"/>
      <c r="K905" s="3"/>
      <c r="L905" s="3"/>
      <c r="M905" s="3"/>
      <c r="N905" s="3"/>
      <c r="O905" s="3"/>
      <c r="P905" s="3"/>
      <c r="Q905" s="3"/>
      <c r="R905" s="3"/>
      <c r="S905" s="3"/>
      <c r="T905" s="3"/>
      <c r="U905" s="3"/>
      <c r="V905" s="3"/>
      <c r="W905" s="3"/>
      <c r="X905" s="3"/>
      <c r="Y905" s="3"/>
      <c r="Z905" s="3"/>
    </row>
    <row r="906" spans="1:26" ht="14.25" customHeight="1">
      <c r="A906" s="1"/>
      <c r="B906" s="1"/>
      <c r="C906" s="1"/>
      <c r="D906" s="1"/>
      <c r="E906" s="19"/>
      <c r="F906" s="3"/>
      <c r="G906" s="3"/>
      <c r="H906" s="3"/>
      <c r="I906" s="3"/>
      <c r="J906" s="3"/>
      <c r="K906" s="3"/>
      <c r="L906" s="3"/>
      <c r="M906" s="3"/>
      <c r="N906" s="3"/>
      <c r="O906" s="3"/>
      <c r="P906" s="3"/>
      <c r="Q906" s="3"/>
      <c r="R906" s="3"/>
      <c r="S906" s="3"/>
      <c r="T906" s="3"/>
      <c r="U906" s="3"/>
      <c r="V906" s="3"/>
      <c r="W906" s="3"/>
      <c r="X906" s="3"/>
      <c r="Y906" s="3"/>
      <c r="Z906" s="3"/>
    </row>
    <row r="907" spans="1:26" ht="14.25" customHeight="1">
      <c r="A907" s="1"/>
      <c r="B907" s="1"/>
      <c r="C907" s="1"/>
      <c r="D907" s="1"/>
      <c r="E907" s="19"/>
      <c r="F907" s="3"/>
      <c r="G907" s="3"/>
      <c r="H907" s="3"/>
      <c r="I907" s="3"/>
      <c r="J907" s="3"/>
      <c r="K907" s="3"/>
      <c r="L907" s="3"/>
      <c r="M907" s="3"/>
      <c r="N907" s="3"/>
      <c r="O907" s="3"/>
      <c r="P907" s="3"/>
      <c r="Q907" s="3"/>
      <c r="R907" s="3"/>
      <c r="S907" s="3"/>
      <c r="T907" s="3"/>
      <c r="U907" s="3"/>
      <c r="V907" s="3"/>
      <c r="W907" s="3"/>
      <c r="X907" s="3"/>
      <c r="Y907" s="3"/>
      <c r="Z907" s="3"/>
    </row>
    <row r="908" spans="1:26" ht="14.25" customHeight="1">
      <c r="A908" s="1"/>
      <c r="B908" s="1"/>
      <c r="C908" s="1"/>
      <c r="D908" s="1"/>
      <c r="E908" s="19"/>
      <c r="F908" s="3"/>
      <c r="G908" s="3"/>
      <c r="H908" s="3"/>
      <c r="I908" s="3"/>
      <c r="J908" s="3"/>
      <c r="K908" s="3"/>
      <c r="L908" s="3"/>
      <c r="M908" s="3"/>
      <c r="N908" s="3"/>
      <c r="O908" s="3"/>
      <c r="P908" s="3"/>
      <c r="Q908" s="3"/>
      <c r="R908" s="3"/>
      <c r="S908" s="3"/>
      <c r="T908" s="3"/>
      <c r="U908" s="3"/>
      <c r="V908" s="3"/>
      <c r="W908" s="3"/>
      <c r="X908" s="3"/>
      <c r="Y908" s="3"/>
      <c r="Z908" s="3"/>
    </row>
    <row r="909" spans="1:26" ht="14.25" customHeight="1">
      <c r="A909" s="1"/>
      <c r="B909" s="1"/>
      <c r="C909" s="1"/>
      <c r="D909" s="1"/>
      <c r="E909" s="19"/>
      <c r="F909" s="3"/>
      <c r="G909" s="3"/>
      <c r="H909" s="3"/>
      <c r="I909" s="3"/>
      <c r="J909" s="3"/>
      <c r="K909" s="3"/>
      <c r="L909" s="3"/>
      <c r="M909" s="3"/>
      <c r="N909" s="3"/>
      <c r="O909" s="3"/>
      <c r="P909" s="3"/>
      <c r="Q909" s="3"/>
      <c r="R909" s="3"/>
      <c r="S909" s="3"/>
      <c r="T909" s="3"/>
      <c r="U909" s="3"/>
      <c r="V909" s="3"/>
      <c r="W909" s="3"/>
      <c r="X909" s="3"/>
      <c r="Y909" s="3"/>
      <c r="Z909" s="3"/>
    </row>
    <row r="910" spans="1:26" ht="14.25" customHeight="1">
      <c r="A910" s="1"/>
      <c r="B910" s="1"/>
      <c r="C910" s="1"/>
      <c r="D910" s="1"/>
      <c r="E910" s="19"/>
      <c r="F910" s="3"/>
      <c r="G910" s="3"/>
      <c r="H910" s="3"/>
      <c r="I910" s="3"/>
      <c r="J910" s="3"/>
      <c r="K910" s="3"/>
      <c r="L910" s="3"/>
      <c r="M910" s="3"/>
      <c r="N910" s="3"/>
      <c r="O910" s="3"/>
      <c r="P910" s="3"/>
      <c r="Q910" s="3"/>
      <c r="R910" s="3"/>
      <c r="S910" s="3"/>
      <c r="T910" s="3"/>
      <c r="U910" s="3"/>
      <c r="V910" s="3"/>
      <c r="W910" s="3"/>
      <c r="X910" s="3"/>
      <c r="Y910" s="3"/>
      <c r="Z910" s="3"/>
    </row>
    <row r="911" spans="1:26" ht="14.25" customHeight="1">
      <c r="A911" s="1"/>
      <c r="B911" s="1"/>
      <c r="C911" s="1"/>
      <c r="D911" s="1"/>
      <c r="E911" s="19"/>
      <c r="F911" s="3"/>
      <c r="G911" s="3"/>
      <c r="H911" s="3"/>
      <c r="I911" s="3"/>
      <c r="J911" s="3"/>
      <c r="K911" s="3"/>
      <c r="L911" s="3"/>
      <c r="M911" s="3"/>
      <c r="N911" s="3"/>
      <c r="O911" s="3"/>
      <c r="P911" s="3"/>
      <c r="Q911" s="3"/>
      <c r="R911" s="3"/>
      <c r="S911" s="3"/>
      <c r="T911" s="3"/>
      <c r="U911" s="3"/>
      <c r="V911" s="3"/>
      <c r="W911" s="3"/>
      <c r="X911" s="3"/>
      <c r="Y911" s="3"/>
      <c r="Z911" s="3"/>
    </row>
    <row r="912" spans="1:26" ht="14.25" customHeight="1">
      <c r="A912" s="1"/>
      <c r="B912" s="1"/>
      <c r="C912" s="1"/>
      <c r="D912" s="1"/>
      <c r="E912" s="19"/>
      <c r="F912" s="3"/>
      <c r="G912" s="3"/>
      <c r="H912" s="3"/>
      <c r="I912" s="3"/>
      <c r="J912" s="3"/>
      <c r="K912" s="3"/>
      <c r="L912" s="3"/>
      <c r="M912" s="3"/>
      <c r="N912" s="3"/>
      <c r="O912" s="3"/>
      <c r="P912" s="3"/>
      <c r="Q912" s="3"/>
      <c r="R912" s="3"/>
      <c r="S912" s="3"/>
      <c r="T912" s="3"/>
      <c r="U912" s="3"/>
      <c r="V912" s="3"/>
      <c r="W912" s="3"/>
      <c r="X912" s="3"/>
      <c r="Y912" s="3"/>
      <c r="Z912" s="3"/>
    </row>
    <row r="913" spans="1:26" ht="14.25" customHeight="1">
      <c r="A913" s="1"/>
      <c r="B913" s="1"/>
      <c r="C913" s="1"/>
      <c r="D913" s="1"/>
      <c r="E913" s="19"/>
      <c r="F913" s="3"/>
      <c r="G913" s="3"/>
      <c r="H913" s="3"/>
      <c r="I913" s="3"/>
      <c r="J913" s="3"/>
      <c r="K913" s="3"/>
      <c r="L913" s="3"/>
      <c r="M913" s="3"/>
      <c r="N913" s="3"/>
      <c r="O913" s="3"/>
      <c r="P913" s="3"/>
      <c r="Q913" s="3"/>
      <c r="R913" s="3"/>
      <c r="S913" s="3"/>
      <c r="T913" s="3"/>
      <c r="U913" s="3"/>
      <c r="V913" s="3"/>
      <c r="W913" s="3"/>
      <c r="X913" s="3"/>
      <c r="Y913" s="3"/>
      <c r="Z913" s="3"/>
    </row>
    <row r="914" spans="1:26" ht="14.25" customHeight="1">
      <c r="A914" s="1"/>
      <c r="B914" s="1"/>
      <c r="C914" s="1"/>
      <c r="D914" s="1"/>
      <c r="E914" s="19"/>
      <c r="F914" s="3"/>
      <c r="G914" s="3"/>
      <c r="H914" s="3"/>
      <c r="I914" s="3"/>
      <c r="J914" s="3"/>
      <c r="K914" s="3"/>
      <c r="L914" s="3"/>
      <c r="M914" s="3"/>
      <c r="N914" s="3"/>
      <c r="O914" s="3"/>
      <c r="P914" s="3"/>
      <c r="Q914" s="3"/>
      <c r="R914" s="3"/>
      <c r="S914" s="3"/>
      <c r="T914" s="3"/>
      <c r="U914" s="3"/>
      <c r="V914" s="3"/>
      <c r="W914" s="3"/>
      <c r="X914" s="3"/>
      <c r="Y914" s="3"/>
      <c r="Z914" s="3"/>
    </row>
    <row r="915" spans="1:26" ht="14.25" customHeight="1">
      <c r="A915" s="1"/>
      <c r="B915" s="1"/>
      <c r="C915" s="1"/>
      <c r="D915" s="1"/>
      <c r="E915" s="19"/>
      <c r="F915" s="3"/>
      <c r="G915" s="3"/>
      <c r="H915" s="3"/>
      <c r="I915" s="3"/>
      <c r="J915" s="3"/>
      <c r="K915" s="3"/>
      <c r="L915" s="3"/>
      <c r="M915" s="3"/>
      <c r="N915" s="3"/>
      <c r="O915" s="3"/>
      <c r="P915" s="3"/>
      <c r="Q915" s="3"/>
      <c r="R915" s="3"/>
      <c r="S915" s="3"/>
      <c r="T915" s="3"/>
      <c r="U915" s="3"/>
      <c r="V915" s="3"/>
      <c r="W915" s="3"/>
      <c r="X915" s="3"/>
      <c r="Y915" s="3"/>
      <c r="Z915" s="3"/>
    </row>
    <row r="916" spans="1:26" ht="14.25" customHeight="1">
      <c r="A916" s="1"/>
      <c r="B916" s="1"/>
      <c r="C916" s="1"/>
      <c r="D916" s="1"/>
      <c r="E916" s="19"/>
      <c r="F916" s="3"/>
      <c r="G916" s="3"/>
      <c r="H916" s="3"/>
      <c r="I916" s="3"/>
      <c r="J916" s="3"/>
      <c r="K916" s="3"/>
      <c r="L916" s="3"/>
      <c r="M916" s="3"/>
      <c r="N916" s="3"/>
      <c r="O916" s="3"/>
      <c r="P916" s="3"/>
      <c r="Q916" s="3"/>
      <c r="R916" s="3"/>
      <c r="S916" s="3"/>
      <c r="T916" s="3"/>
      <c r="U916" s="3"/>
      <c r="V916" s="3"/>
      <c r="W916" s="3"/>
      <c r="X916" s="3"/>
      <c r="Y916" s="3"/>
      <c r="Z916" s="3"/>
    </row>
    <row r="917" spans="1:26" ht="14.25" customHeight="1">
      <c r="A917" s="1"/>
      <c r="B917" s="1"/>
      <c r="C917" s="1"/>
      <c r="D917" s="1"/>
      <c r="E917" s="19"/>
      <c r="F917" s="3"/>
      <c r="G917" s="3"/>
      <c r="H917" s="3"/>
      <c r="I917" s="3"/>
      <c r="J917" s="3"/>
      <c r="K917" s="3"/>
      <c r="L917" s="3"/>
      <c r="M917" s="3"/>
      <c r="N917" s="3"/>
      <c r="O917" s="3"/>
      <c r="P917" s="3"/>
      <c r="Q917" s="3"/>
      <c r="R917" s="3"/>
      <c r="S917" s="3"/>
      <c r="T917" s="3"/>
      <c r="U917" s="3"/>
      <c r="V917" s="3"/>
      <c r="W917" s="3"/>
      <c r="X917" s="3"/>
      <c r="Y917" s="3"/>
      <c r="Z917" s="3"/>
    </row>
    <row r="918" spans="1:26" ht="14.25" customHeight="1">
      <c r="A918" s="1"/>
      <c r="B918" s="1"/>
      <c r="C918" s="1"/>
      <c r="D918" s="1"/>
      <c r="E918" s="19"/>
      <c r="F918" s="3"/>
      <c r="G918" s="3"/>
      <c r="H918" s="3"/>
      <c r="I918" s="3"/>
      <c r="J918" s="3"/>
      <c r="K918" s="3"/>
      <c r="L918" s="3"/>
      <c r="M918" s="3"/>
      <c r="N918" s="3"/>
      <c r="O918" s="3"/>
      <c r="P918" s="3"/>
      <c r="Q918" s="3"/>
      <c r="R918" s="3"/>
      <c r="S918" s="3"/>
      <c r="T918" s="3"/>
      <c r="U918" s="3"/>
      <c r="V918" s="3"/>
      <c r="W918" s="3"/>
      <c r="X918" s="3"/>
      <c r="Y918" s="3"/>
      <c r="Z918" s="3"/>
    </row>
    <row r="919" spans="1:26" ht="14.25" customHeight="1">
      <c r="A919" s="1"/>
      <c r="B919" s="1"/>
      <c r="C919" s="1"/>
      <c r="D919" s="1"/>
      <c r="E919" s="19"/>
      <c r="F919" s="3"/>
      <c r="G919" s="3"/>
      <c r="H919" s="3"/>
      <c r="I919" s="3"/>
      <c r="J919" s="3"/>
      <c r="K919" s="3"/>
      <c r="L919" s="3"/>
      <c r="M919" s="3"/>
      <c r="N919" s="3"/>
      <c r="O919" s="3"/>
      <c r="P919" s="3"/>
      <c r="Q919" s="3"/>
      <c r="R919" s="3"/>
      <c r="S919" s="3"/>
      <c r="T919" s="3"/>
      <c r="U919" s="3"/>
      <c r="V919" s="3"/>
      <c r="W919" s="3"/>
      <c r="X919" s="3"/>
      <c r="Y919" s="3"/>
      <c r="Z919" s="3"/>
    </row>
    <row r="920" spans="1:26" ht="14.25" customHeight="1">
      <c r="A920" s="1"/>
      <c r="B920" s="1"/>
      <c r="C920" s="1"/>
      <c r="D920" s="1"/>
      <c r="E920" s="19"/>
      <c r="F920" s="3"/>
      <c r="G920" s="3"/>
      <c r="H920" s="3"/>
      <c r="I920" s="3"/>
      <c r="J920" s="3"/>
      <c r="K920" s="3"/>
      <c r="L920" s="3"/>
      <c r="M920" s="3"/>
      <c r="N920" s="3"/>
      <c r="O920" s="3"/>
      <c r="P920" s="3"/>
      <c r="Q920" s="3"/>
      <c r="R920" s="3"/>
      <c r="S920" s="3"/>
      <c r="T920" s="3"/>
      <c r="U920" s="3"/>
      <c r="V920" s="3"/>
      <c r="W920" s="3"/>
      <c r="X920" s="3"/>
      <c r="Y920" s="3"/>
      <c r="Z920" s="3"/>
    </row>
    <row r="921" spans="1:26" ht="14.25" customHeight="1">
      <c r="A921" s="1"/>
      <c r="B921" s="1"/>
      <c r="C921" s="1"/>
      <c r="D921" s="1"/>
      <c r="E921" s="19"/>
      <c r="F921" s="3"/>
      <c r="G921" s="3"/>
      <c r="H921" s="3"/>
      <c r="I921" s="3"/>
      <c r="J921" s="3"/>
      <c r="K921" s="3"/>
      <c r="L921" s="3"/>
      <c r="M921" s="3"/>
      <c r="N921" s="3"/>
      <c r="O921" s="3"/>
      <c r="P921" s="3"/>
      <c r="Q921" s="3"/>
      <c r="R921" s="3"/>
      <c r="S921" s="3"/>
      <c r="T921" s="3"/>
      <c r="U921" s="3"/>
      <c r="V921" s="3"/>
      <c r="W921" s="3"/>
      <c r="X921" s="3"/>
      <c r="Y921" s="3"/>
      <c r="Z921" s="3"/>
    </row>
    <row r="922" spans="1:26" ht="14.25" customHeight="1">
      <c r="A922" s="1"/>
      <c r="B922" s="1"/>
      <c r="C922" s="1"/>
      <c r="D922" s="1"/>
      <c r="E922" s="19"/>
      <c r="F922" s="3"/>
      <c r="G922" s="3"/>
      <c r="H922" s="3"/>
      <c r="I922" s="3"/>
      <c r="J922" s="3"/>
      <c r="K922" s="3"/>
      <c r="L922" s="3"/>
      <c r="M922" s="3"/>
      <c r="N922" s="3"/>
      <c r="O922" s="3"/>
      <c r="P922" s="3"/>
      <c r="Q922" s="3"/>
      <c r="R922" s="3"/>
      <c r="S922" s="3"/>
      <c r="T922" s="3"/>
      <c r="U922" s="3"/>
      <c r="V922" s="3"/>
      <c r="W922" s="3"/>
      <c r="X922" s="3"/>
      <c r="Y922" s="3"/>
      <c r="Z922" s="3"/>
    </row>
    <row r="923" spans="1:26" ht="14.25" customHeight="1">
      <c r="A923" s="1"/>
      <c r="B923" s="1"/>
      <c r="C923" s="1"/>
      <c r="D923" s="1"/>
      <c r="E923" s="19"/>
      <c r="F923" s="3"/>
      <c r="G923" s="3"/>
      <c r="H923" s="3"/>
      <c r="I923" s="3"/>
      <c r="J923" s="3"/>
      <c r="K923" s="3"/>
      <c r="L923" s="3"/>
      <c r="M923" s="3"/>
      <c r="N923" s="3"/>
      <c r="O923" s="3"/>
      <c r="P923" s="3"/>
      <c r="Q923" s="3"/>
      <c r="R923" s="3"/>
      <c r="S923" s="3"/>
      <c r="T923" s="3"/>
      <c r="U923" s="3"/>
      <c r="V923" s="3"/>
      <c r="W923" s="3"/>
      <c r="X923" s="3"/>
      <c r="Y923" s="3"/>
      <c r="Z923" s="3"/>
    </row>
    <row r="924" spans="1:26" ht="14.25" customHeight="1">
      <c r="A924" s="1"/>
      <c r="B924" s="1"/>
      <c r="C924" s="1"/>
      <c r="D924" s="1"/>
      <c r="E924" s="19"/>
      <c r="F924" s="3"/>
      <c r="G924" s="3"/>
      <c r="H924" s="3"/>
      <c r="I924" s="3"/>
      <c r="J924" s="3"/>
      <c r="K924" s="3"/>
      <c r="L924" s="3"/>
      <c r="M924" s="3"/>
      <c r="N924" s="3"/>
      <c r="O924" s="3"/>
      <c r="P924" s="3"/>
      <c r="Q924" s="3"/>
      <c r="R924" s="3"/>
      <c r="S924" s="3"/>
      <c r="T924" s="3"/>
      <c r="U924" s="3"/>
      <c r="V924" s="3"/>
      <c r="W924" s="3"/>
      <c r="X924" s="3"/>
      <c r="Y924" s="3"/>
      <c r="Z924" s="3"/>
    </row>
    <row r="925" spans="1:26" ht="14.25" customHeight="1">
      <c r="A925" s="1"/>
      <c r="B925" s="1"/>
      <c r="C925" s="1"/>
      <c r="D925" s="1"/>
      <c r="E925" s="19"/>
      <c r="F925" s="3"/>
      <c r="G925" s="3"/>
      <c r="H925" s="3"/>
      <c r="I925" s="3"/>
      <c r="J925" s="3"/>
      <c r="K925" s="3"/>
      <c r="L925" s="3"/>
      <c r="M925" s="3"/>
      <c r="N925" s="3"/>
      <c r="O925" s="3"/>
      <c r="P925" s="3"/>
      <c r="Q925" s="3"/>
      <c r="R925" s="3"/>
      <c r="S925" s="3"/>
      <c r="T925" s="3"/>
      <c r="U925" s="3"/>
      <c r="V925" s="3"/>
      <c r="W925" s="3"/>
      <c r="X925" s="3"/>
      <c r="Y925" s="3"/>
      <c r="Z925" s="3"/>
    </row>
    <row r="926" spans="1:26" ht="14.25" customHeight="1">
      <c r="A926" s="1"/>
      <c r="B926" s="1"/>
      <c r="C926" s="1"/>
      <c r="D926" s="1"/>
      <c r="E926" s="19"/>
      <c r="F926" s="3"/>
      <c r="G926" s="3"/>
      <c r="H926" s="3"/>
      <c r="I926" s="3"/>
      <c r="J926" s="3"/>
      <c r="K926" s="3"/>
      <c r="L926" s="3"/>
      <c r="M926" s="3"/>
      <c r="N926" s="3"/>
      <c r="O926" s="3"/>
      <c r="P926" s="3"/>
      <c r="Q926" s="3"/>
      <c r="R926" s="3"/>
      <c r="S926" s="3"/>
      <c r="T926" s="3"/>
      <c r="U926" s="3"/>
      <c r="V926" s="3"/>
      <c r="W926" s="3"/>
      <c r="X926" s="3"/>
      <c r="Y926" s="3"/>
      <c r="Z926" s="3"/>
    </row>
    <row r="927" spans="1:26" ht="14.25" customHeight="1">
      <c r="A927" s="1"/>
      <c r="B927" s="1"/>
      <c r="C927" s="1"/>
      <c r="D927" s="1"/>
      <c r="E927" s="19"/>
      <c r="F927" s="3"/>
      <c r="G927" s="3"/>
      <c r="H927" s="3"/>
      <c r="I927" s="3"/>
      <c r="J927" s="3"/>
      <c r="K927" s="3"/>
      <c r="L927" s="3"/>
      <c r="M927" s="3"/>
      <c r="N927" s="3"/>
      <c r="O927" s="3"/>
      <c r="P927" s="3"/>
      <c r="Q927" s="3"/>
      <c r="R927" s="3"/>
      <c r="S927" s="3"/>
      <c r="T927" s="3"/>
      <c r="U927" s="3"/>
      <c r="V927" s="3"/>
      <c r="W927" s="3"/>
      <c r="X927" s="3"/>
      <c r="Y927" s="3"/>
      <c r="Z927" s="3"/>
    </row>
    <row r="928" spans="1:26" ht="14.25" customHeight="1">
      <c r="A928" s="1"/>
      <c r="B928" s="1"/>
      <c r="C928" s="1"/>
      <c r="D928" s="1"/>
      <c r="E928" s="19"/>
      <c r="F928" s="3"/>
      <c r="G928" s="3"/>
      <c r="H928" s="3"/>
      <c r="I928" s="3"/>
      <c r="J928" s="3"/>
      <c r="K928" s="3"/>
      <c r="L928" s="3"/>
      <c r="M928" s="3"/>
      <c r="N928" s="3"/>
      <c r="O928" s="3"/>
      <c r="P928" s="3"/>
      <c r="Q928" s="3"/>
      <c r="R928" s="3"/>
      <c r="S928" s="3"/>
      <c r="T928" s="3"/>
      <c r="U928" s="3"/>
      <c r="V928" s="3"/>
      <c r="W928" s="3"/>
      <c r="X928" s="3"/>
      <c r="Y928" s="3"/>
      <c r="Z928" s="3"/>
    </row>
    <row r="929" spans="1:26" ht="14.25" customHeight="1">
      <c r="A929" s="1"/>
      <c r="B929" s="1"/>
      <c r="C929" s="1"/>
      <c r="D929" s="1"/>
      <c r="E929" s="19"/>
      <c r="F929" s="3"/>
      <c r="G929" s="3"/>
      <c r="H929" s="3"/>
      <c r="I929" s="3"/>
      <c r="J929" s="3"/>
      <c r="K929" s="3"/>
      <c r="L929" s="3"/>
      <c r="M929" s="3"/>
      <c r="N929" s="3"/>
      <c r="O929" s="3"/>
      <c r="P929" s="3"/>
      <c r="Q929" s="3"/>
      <c r="R929" s="3"/>
      <c r="S929" s="3"/>
      <c r="T929" s="3"/>
      <c r="U929" s="3"/>
      <c r="V929" s="3"/>
      <c r="W929" s="3"/>
      <c r="X929" s="3"/>
      <c r="Y929" s="3"/>
      <c r="Z929" s="3"/>
    </row>
    <row r="930" spans="1:26" ht="14.25" customHeight="1">
      <c r="A930" s="1"/>
      <c r="B930" s="1"/>
      <c r="C930" s="1"/>
      <c r="D930" s="1"/>
      <c r="E930" s="19"/>
      <c r="F930" s="3"/>
      <c r="G930" s="3"/>
      <c r="H930" s="3"/>
      <c r="I930" s="3"/>
      <c r="J930" s="3"/>
      <c r="K930" s="3"/>
      <c r="L930" s="3"/>
      <c r="M930" s="3"/>
      <c r="N930" s="3"/>
      <c r="O930" s="3"/>
      <c r="P930" s="3"/>
      <c r="Q930" s="3"/>
      <c r="R930" s="3"/>
      <c r="S930" s="3"/>
      <c r="T930" s="3"/>
      <c r="U930" s="3"/>
      <c r="V930" s="3"/>
      <c r="W930" s="3"/>
      <c r="X930" s="3"/>
      <c r="Y930" s="3"/>
      <c r="Z930" s="3"/>
    </row>
    <row r="931" spans="1:26" ht="14.25" customHeight="1">
      <c r="A931" s="1"/>
      <c r="B931" s="1"/>
      <c r="C931" s="1"/>
      <c r="D931" s="1"/>
      <c r="E931" s="19"/>
      <c r="F931" s="3"/>
      <c r="G931" s="3"/>
      <c r="H931" s="3"/>
      <c r="I931" s="3"/>
      <c r="J931" s="3"/>
      <c r="K931" s="3"/>
      <c r="L931" s="3"/>
      <c r="M931" s="3"/>
      <c r="N931" s="3"/>
      <c r="O931" s="3"/>
      <c r="P931" s="3"/>
      <c r="Q931" s="3"/>
      <c r="R931" s="3"/>
      <c r="S931" s="3"/>
      <c r="T931" s="3"/>
      <c r="U931" s="3"/>
      <c r="V931" s="3"/>
      <c r="W931" s="3"/>
      <c r="X931" s="3"/>
      <c r="Y931" s="3"/>
      <c r="Z931" s="3"/>
    </row>
    <row r="932" spans="1:26" ht="14.25" customHeight="1">
      <c r="A932" s="1"/>
      <c r="B932" s="1"/>
      <c r="C932" s="1"/>
      <c r="D932" s="1"/>
      <c r="E932" s="19"/>
      <c r="F932" s="3"/>
      <c r="G932" s="3"/>
      <c r="H932" s="3"/>
      <c r="I932" s="3"/>
      <c r="J932" s="3"/>
      <c r="K932" s="3"/>
      <c r="L932" s="3"/>
      <c r="M932" s="3"/>
      <c r="N932" s="3"/>
      <c r="O932" s="3"/>
      <c r="P932" s="3"/>
      <c r="Q932" s="3"/>
      <c r="R932" s="3"/>
      <c r="S932" s="3"/>
      <c r="T932" s="3"/>
      <c r="U932" s="3"/>
      <c r="V932" s="3"/>
      <c r="W932" s="3"/>
      <c r="X932" s="3"/>
      <c r="Y932" s="3"/>
      <c r="Z932" s="3"/>
    </row>
    <row r="933" spans="1:26" ht="14.25" customHeight="1">
      <c r="A933" s="1"/>
      <c r="B933" s="1"/>
      <c r="C933" s="1"/>
      <c r="D933" s="1"/>
      <c r="E933" s="19"/>
      <c r="F933" s="3"/>
      <c r="G933" s="3"/>
      <c r="H933" s="3"/>
      <c r="I933" s="3"/>
      <c r="J933" s="3"/>
      <c r="K933" s="3"/>
      <c r="L933" s="3"/>
      <c r="M933" s="3"/>
      <c r="N933" s="3"/>
      <c r="O933" s="3"/>
      <c r="P933" s="3"/>
      <c r="Q933" s="3"/>
      <c r="R933" s="3"/>
      <c r="S933" s="3"/>
      <c r="T933" s="3"/>
      <c r="U933" s="3"/>
      <c r="V933" s="3"/>
      <c r="W933" s="3"/>
      <c r="X933" s="3"/>
      <c r="Y933" s="3"/>
      <c r="Z933" s="3"/>
    </row>
    <row r="934" spans="1:26" ht="14.25" customHeight="1">
      <c r="A934" s="1"/>
      <c r="B934" s="1"/>
      <c r="C934" s="1"/>
      <c r="D934" s="1"/>
      <c r="E934" s="19"/>
      <c r="F934" s="3"/>
      <c r="G934" s="3"/>
      <c r="H934" s="3"/>
      <c r="I934" s="3"/>
      <c r="J934" s="3"/>
      <c r="K934" s="3"/>
      <c r="L934" s="3"/>
      <c r="M934" s="3"/>
      <c r="N934" s="3"/>
      <c r="O934" s="3"/>
      <c r="P934" s="3"/>
      <c r="Q934" s="3"/>
      <c r="R934" s="3"/>
      <c r="S934" s="3"/>
      <c r="T934" s="3"/>
      <c r="U934" s="3"/>
      <c r="V934" s="3"/>
      <c r="W934" s="3"/>
      <c r="X934" s="3"/>
      <c r="Y934" s="3"/>
      <c r="Z934" s="3"/>
    </row>
    <row r="935" spans="1:26" ht="14.25" customHeight="1">
      <c r="A935" s="1"/>
      <c r="B935" s="1"/>
      <c r="C935" s="1"/>
      <c r="D935" s="1"/>
      <c r="E935" s="19"/>
      <c r="F935" s="3"/>
      <c r="G935" s="3"/>
      <c r="H935" s="3"/>
      <c r="I935" s="3"/>
      <c r="J935" s="3"/>
      <c r="K935" s="3"/>
      <c r="L935" s="3"/>
      <c r="M935" s="3"/>
      <c r="N935" s="3"/>
      <c r="O935" s="3"/>
      <c r="P935" s="3"/>
      <c r="Q935" s="3"/>
      <c r="R935" s="3"/>
      <c r="S935" s="3"/>
      <c r="T935" s="3"/>
      <c r="U935" s="3"/>
      <c r="V935" s="3"/>
      <c r="W935" s="3"/>
      <c r="X935" s="3"/>
      <c r="Y935" s="3"/>
      <c r="Z935" s="3"/>
    </row>
    <row r="936" spans="1:26" ht="14.25" customHeight="1">
      <c r="A936" s="1"/>
      <c r="B936" s="1"/>
      <c r="C936" s="1"/>
      <c r="D936" s="1"/>
      <c r="E936" s="19"/>
      <c r="F936" s="3"/>
      <c r="G936" s="3"/>
      <c r="H936" s="3"/>
      <c r="I936" s="3"/>
      <c r="J936" s="3"/>
      <c r="K936" s="3"/>
      <c r="L936" s="3"/>
      <c r="M936" s="3"/>
      <c r="N936" s="3"/>
      <c r="O936" s="3"/>
      <c r="P936" s="3"/>
      <c r="Q936" s="3"/>
      <c r="R936" s="3"/>
      <c r="S936" s="3"/>
      <c r="T936" s="3"/>
      <c r="U936" s="3"/>
      <c r="V936" s="3"/>
      <c r="W936" s="3"/>
      <c r="X936" s="3"/>
      <c r="Y936" s="3"/>
      <c r="Z936" s="3"/>
    </row>
    <row r="937" spans="1:26" ht="14.25" customHeight="1">
      <c r="A937" s="1"/>
      <c r="B937" s="1"/>
      <c r="C937" s="1"/>
      <c r="D937" s="1"/>
      <c r="E937" s="19"/>
      <c r="F937" s="3"/>
      <c r="G937" s="3"/>
      <c r="H937" s="3"/>
      <c r="I937" s="3"/>
      <c r="J937" s="3"/>
      <c r="K937" s="3"/>
      <c r="L937" s="3"/>
      <c r="M937" s="3"/>
      <c r="N937" s="3"/>
      <c r="O937" s="3"/>
      <c r="P937" s="3"/>
      <c r="Q937" s="3"/>
      <c r="R937" s="3"/>
      <c r="S937" s="3"/>
      <c r="T937" s="3"/>
      <c r="U937" s="3"/>
      <c r="V937" s="3"/>
      <c r="W937" s="3"/>
      <c r="X937" s="3"/>
      <c r="Y937" s="3"/>
      <c r="Z937" s="3"/>
    </row>
    <row r="938" spans="1:26" ht="14.25" customHeight="1">
      <c r="A938" s="1"/>
      <c r="B938" s="1"/>
      <c r="C938" s="1"/>
      <c r="D938" s="1"/>
      <c r="E938" s="19"/>
      <c r="F938" s="3"/>
      <c r="G938" s="3"/>
      <c r="H938" s="3"/>
      <c r="I938" s="3"/>
      <c r="J938" s="3"/>
      <c r="K938" s="3"/>
      <c r="L938" s="3"/>
      <c r="M938" s="3"/>
      <c r="N938" s="3"/>
      <c r="O938" s="3"/>
      <c r="P938" s="3"/>
      <c r="Q938" s="3"/>
      <c r="R938" s="3"/>
      <c r="S938" s="3"/>
      <c r="T938" s="3"/>
      <c r="U938" s="3"/>
      <c r="V938" s="3"/>
      <c r="W938" s="3"/>
      <c r="X938" s="3"/>
      <c r="Y938" s="3"/>
      <c r="Z938" s="3"/>
    </row>
    <row r="939" spans="1:26" ht="14.25" customHeight="1">
      <c r="A939" s="1"/>
      <c r="B939" s="1"/>
      <c r="C939" s="1"/>
      <c r="D939" s="1"/>
      <c r="E939" s="19"/>
      <c r="F939" s="3"/>
      <c r="G939" s="3"/>
      <c r="H939" s="3"/>
      <c r="I939" s="3"/>
      <c r="J939" s="3"/>
      <c r="K939" s="3"/>
      <c r="L939" s="3"/>
      <c r="M939" s="3"/>
      <c r="N939" s="3"/>
      <c r="O939" s="3"/>
      <c r="P939" s="3"/>
      <c r="Q939" s="3"/>
      <c r="R939" s="3"/>
      <c r="S939" s="3"/>
      <c r="T939" s="3"/>
      <c r="U939" s="3"/>
      <c r="V939" s="3"/>
      <c r="W939" s="3"/>
      <c r="X939" s="3"/>
      <c r="Y939" s="3"/>
      <c r="Z939" s="3"/>
    </row>
    <row r="940" spans="1:26" ht="14.25" customHeight="1">
      <c r="A940" s="1"/>
      <c r="B940" s="1"/>
      <c r="C940" s="1"/>
      <c r="D940" s="1"/>
      <c r="E940" s="19"/>
      <c r="F940" s="3"/>
      <c r="G940" s="3"/>
      <c r="H940" s="3"/>
      <c r="I940" s="3"/>
      <c r="J940" s="3"/>
      <c r="K940" s="3"/>
      <c r="L940" s="3"/>
      <c r="M940" s="3"/>
      <c r="N940" s="3"/>
      <c r="O940" s="3"/>
      <c r="P940" s="3"/>
      <c r="Q940" s="3"/>
      <c r="R940" s="3"/>
      <c r="S940" s="3"/>
      <c r="T940" s="3"/>
      <c r="U940" s="3"/>
      <c r="V940" s="3"/>
      <c r="W940" s="3"/>
      <c r="X940" s="3"/>
      <c r="Y940" s="3"/>
      <c r="Z940" s="3"/>
    </row>
    <row r="941" spans="1:26" ht="14.25" customHeight="1">
      <c r="A941" s="1"/>
      <c r="B941" s="1"/>
      <c r="C941" s="1"/>
      <c r="D941" s="1"/>
      <c r="E941" s="19"/>
      <c r="F941" s="3"/>
      <c r="G941" s="3"/>
      <c r="H941" s="3"/>
      <c r="I941" s="3"/>
      <c r="J941" s="3"/>
      <c r="K941" s="3"/>
      <c r="L941" s="3"/>
      <c r="M941" s="3"/>
      <c r="N941" s="3"/>
      <c r="O941" s="3"/>
      <c r="P941" s="3"/>
      <c r="Q941" s="3"/>
      <c r="R941" s="3"/>
      <c r="S941" s="3"/>
      <c r="T941" s="3"/>
      <c r="U941" s="3"/>
      <c r="V941" s="3"/>
      <c r="W941" s="3"/>
      <c r="X941" s="3"/>
      <c r="Y941" s="3"/>
      <c r="Z941" s="3"/>
    </row>
    <row r="942" spans="1:26" ht="14.25" customHeight="1">
      <c r="A942" s="1"/>
      <c r="B942" s="1"/>
      <c r="C942" s="1"/>
      <c r="D942" s="1"/>
      <c r="E942" s="19"/>
      <c r="F942" s="3"/>
      <c r="G942" s="3"/>
      <c r="H942" s="3"/>
      <c r="I942" s="3"/>
      <c r="J942" s="3"/>
      <c r="K942" s="3"/>
      <c r="L942" s="3"/>
      <c r="M942" s="3"/>
      <c r="N942" s="3"/>
      <c r="O942" s="3"/>
      <c r="P942" s="3"/>
      <c r="Q942" s="3"/>
      <c r="R942" s="3"/>
      <c r="S942" s="3"/>
      <c r="T942" s="3"/>
      <c r="U942" s="3"/>
      <c r="V942" s="3"/>
      <c r="W942" s="3"/>
      <c r="X942" s="3"/>
      <c r="Y942" s="3"/>
      <c r="Z942" s="3"/>
    </row>
    <row r="943" spans="1:26" ht="14.25" customHeight="1">
      <c r="A943" s="1"/>
      <c r="B943" s="1"/>
      <c r="C943" s="1"/>
      <c r="D943" s="1"/>
      <c r="E943" s="19"/>
      <c r="F943" s="3"/>
      <c r="G943" s="3"/>
      <c r="H943" s="3"/>
      <c r="I943" s="3"/>
      <c r="J943" s="3"/>
      <c r="K943" s="3"/>
      <c r="L943" s="3"/>
      <c r="M943" s="3"/>
      <c r="N943" s="3"/>
      <c r="O943" s="3"/>
      <c r="P943" s="3"/>
      <c r="Q943" s="3"/>
      <c r="R943" s="3"/>
      <c r="S943" s="3"/>
      <c r="T943" s="3"/>
      <c r="U943" s="3"/>
      <c r="V943" s="3"/>
      <c r="W943" s="3"/>
      <c r="X943" s="3"/>
      <c r="Y943" s="3"/>
      <c r="Z943" s="3"/>
    </row>
    <row r="944" spans="1:26" ht="14.25" customHeight="1">
      <c r="A944" s="1"/>
      <c r="B944" s="1"/>
      <c r="C944" s="1"/>
      <c r="D944" s="1"/>
      <c r="E944" s="19"/>
      <c r="F944" s="3"/>
      <c r="G944" s="3"/>
      <c r="H944" s="3"/>
      <c r="I944" s="3"/>
      <c r="J944" s="3"/>
      <c r="K944" s="3"/>
      <c r="L944" s="3"/>
      <c r="M944" s="3"/>
      <c r="N944" s="3"/>
      <c r="O944" s="3"/>
      <c r="P944" s="3"/>
      <c r="Q944" s="3"/>
      <c r="R944" s="3"/>
      <c r="S944" s="3"/>
      <c r="T944" s="3"/>
      <c r="U944" s="3"/>
      <c r="V944" s="3"/>
      <c r="W944" s="3"/>
      <c r="X944" s="3"/>
      <c r="Y944" s="3"/>
      <c r="Z944" s="3"/>
    </row>
    <row r="945" spans="1:26" ht="14.25" customHeight="1">
      <c r="A945" s="1"/>
      <c r="B945" s="1"/>
      <c r="C945" s="1"/>
      <c r="D945" s="1"/>
      <c r="E945" s="19"/>
      <c r="F945" s="3"/>
      <c r="G945" s="3"/>
      <c r="H945" s="3"/>
      <c r="I945" s="3"/>
      <c r="J945" s="3"/>
      <c r="K945" s="3"/>
      <c r="L945" s="3"/>
      <c r="M945" s="3"/>
      <c r="N945" s="3"/>
      <c r="O945" s="3"/>
      <c r="P945" s="3"/>
      <c r="Q945" s="3"/>
      <c r="R945" s="3"/>
      <c r="S945" s="3"/>
      <c r="T945" s="3"/>
      <c r="U945" s="3"/>
      <c r="V945" s="3"/>
      <c r="W945" s="3"/>
      <c r="X945" s="3"/>
      <c r="Y945" s="3"/>
      <c r="Z945" s="3"/>
    </row>
    <row r="946" spans="1:26" ht="14.25" customHeight="1">
      <c r="A946" s="1"/>
      <c r="B946" s="1"/>
      <c r="C946" s="1"/>
      <c r="D946" s="1"/>
      <c r="E946" s="19"/>
      <c r="F946" s="3"/>
      <c r="G946" s="3"/>
      <c r="H946" s="3"/>
      <c r="I946" s="3"/>
      <c r="J946" s="3"/>
      <c r="K946" s="3"/>
      <c r="L946" s="3"/>
      <c r="M946" s="3"/>
      <c r="N946" s="3"/>
      <c r="O946" s="3"/>
      <c r="P946" s="3"/>
      <c r="Q946" s="3"/>
      <c r="R946" s="3"/>
      <c r="S946" s="3"/>
      <c r="T946" s="3"/>
      <c r="U946" s="3"/>
      <c r="V946" s="3"/>
      <c r="W946" s="3"/>
      <c r="X946" s="3"/>
      <c r="Y946" s="3"/>
      <c r="Z946" s="3"/>
    </row>
    <row r="947" spans="1:26" ht="14.25" customHeight="1">
      <c r="A947" s="1"/>
      <c r="B947" s="1"/>
      <c r="C947" s="1"/>
      <c r="D947" s="1"/>
      <c r="E947" s="19"/>
      <c r="F947" s="3"/>
      <c r="G947" s="3"/>
      <c r="H947" s="3"/>
      <c r="I947" s="3"/>
      <c r="J947" s="3"/>
      <c r="K947" s="3"/>
      <c r="L947" s="3"/>
      <c r="M947" s="3"/>
      <c r="N947" s="3"/>
      <c r="O947" s="3"/>
      <c r="P947" s="3"/>
      <c r="Q947" s="3"/>
      <c r="R947" s="3"/>
      <c r="S947" s="3"/>
      <c r="T947" s="3"/>
      <c r="U947" s="3"/>
      <c r="V947" s="3"/>
      <c r="W947" s="3"/>
      <c r="X947" s="3"/>
      <c r="Y947" s="3"/>
      <c r="Z947" s="3"/>
    </row>
    <row r="948" spans="1:26" ht="14.25" customHeight="1">
      <c r="A948" s="1"/>
      <c r="B948" s="1"/>
      <c r="C948" s="1"/>
      <c r="D948" s="1"/>
      <c r="E948" s="19"/>
      <c r="F948" s="3"/>
      <c r="G948" s="3"/>
      <c r="H948" s="3"/>
      <c r="I948" s="3"/>
      <c r="J948" s="3"/>
      <c r="K948" s="3"/>
      <c r="L948" s="3"/>
      <c r="M948" s="3"/>
      <c r="N948" s="3"/>
      <c r="O948" s="3"/>
      <c r="P948" s="3"/>
      <c r="Q948" s="3"/>
      <c r="R948" s="3"/>
      <c r="S948" s="3"/>
      <c r="T948" s="3"/>
      <c r="U948" s="3"/>
      <c r="V948" s="3"/>
      <c r="W948" s="3"/>
      <c r="X948" s="3"/>
      <c r="Y948" s="3"/>
      <c r="Z948" s="3"/>
    </row>
    <row r="949" spans="1:26" ht="14.25" customHeight="1">
      <c r="A949" s="1"/>
      <c r="B949" s="1"/>
      <c r="C949" s="1"/>
      <c r="D949" s="1"/>
      <c r="E949" s="19"/>
      <c r="F949" s="3"/>
      <c r="G949" s="3"/>
      <c r="H949" s="3"/>
      <c r="I949" s="3"/>
      <c r="J949" s="3"/>
      <c r="K949" s="3"/>
      <c r="L949" s="3"/>
      <c r="M949" s="3"/>
      <c r="N949" s="3"/>
      <c r="O949" s="3"/>
      <c r="P949" s="3"/>
      <c r="Q949" s="3"/>
      <c r="R949" s="3"/>
      <c r="S949" s="3"/>
      <c r="T949" s="3"/>
      <c r="U949" s="3"/>
      <c r="V949" s="3"/>
      <c r="W949" s="3"/>
      <c r="X949" s="3"/>
      <c r="Y949" s="3"/>
      <c r="Z949" s="3"/>
    </row>
    <row r="950" spans="1:26" ht="14.25" customHeight="1">
      <c r="A950" s="1"/>
      <c r="B950" s="1"/>
      <c r="C950" s="1"/>
      <c r="D950" s="1"/>
      <c r="E950" s="19"/>
      <c r="F950" s="3"/>
      <c r="G950" s="3"/>
      <c r="H950" s="3"/>
      <c r="I950" s="3"/>
      <c r="J950" s="3"/>
      <c r="K950" s="3"/>
      <c r="L950" s="3"/>
      <c r="M950" s="3"/>
      <c r="N950" s="3"/>
      <c r="O950" s="3"/>
      <c r="P950" s="3"/>
      <c r="Q950" s="3"/>
      <c r="R950" s="3"/>
      <c r="S950" s="3"/>
      <c r="T950" s="3"/>
      <c r="U950" s="3"/>
      <c r="V950" s="3"/>
      <c r="W950" s="3"/>
      <c r="X950" s="3"/>
      <c r="Y950" s="3"/>
      <c r="Z950" s="3"/>
    </row>
    <row r="951" spans="1:26" ht="14.25" customHeight="1">
      <c r="A951" s="1"/>
      <c r="B951" s="1"/>
      <c r="C951" s="1"/>
      <c r="D951" s="1"/>
      <c r="E951" s="19"/>
      <c r="F951" s="3"/>
      <c r="G951" s="3"/>
      <c r="H951" s="3"/>
      <c r="I951" s="3"/>
      <c r="J951" s="3"/>
      <c r="K951" s="3"/>
      <c r="L951" s="3"/>
      <c r="M951" s="3"/>
      <c r="N951" s="3"/>
      <c r="O951" s="3"/>
      <c r="P951" s="3"/>
      <c r="Q951" s="3"/>
      <c r="R951" s="3"/>
      <c r="S951" s="3"/>
      <c r="T951" s="3"/>
      <c r="U951" s="3"/>
      <c r="V951" s="3"/>
      <c r="W951" s="3"/>
      <c r="X951" s="3"/>
      <c r="Y951" s="3"/>
      <c r="Z951" s="3"/>
    </row>
    <row r="952" spans="1:26" ht="14.25" customHeight="1">
      <c r="A952" s="1"/>
      <c r="B952" s="1"/>
      <c r="C952" s="1"/>
      <c r="D952" s="1"/>
      <c r="E952" s="19"/>
      <c r="F952" s="3"/>
      <c r="G952" s="3"/>
      <c r="H952" s="3"/>
      <c r="I952" s="3"/>
      <c r="J952" s="3"/>
      <c r="K952" s="3"/>
      <c r="L952" s="3"/>
      <c r="M952" s="3"/>
      <c r="N952" s="3"/>
      <c r="O952" s="3"/>
      <c r="P952" s="3"/>
      <c r="Q952" s="3"/>
      <c r="R952" s="3"/>
      <c r="S952" s="3"/>
      <c r="T952" s="3"/>
      <c r="U952" s="3"/>
      <c r="V952" s="3"/>
      <c r="W952" s="3"/>
      <c r="X952" s="3"/>
      <c r="Y952" s="3"/>
      <c r="Z952" s="3"/>
    </row>
    <row r="953" spans="1:26" ht="14.25" customHeight="1">
      <c r="A953" s="1"/>
      <c r="B953" s="1"/>
      <c r="C953" s="1"/>
      <c r="D953" s="1"/>
      <c r="E953" s="19"/>
      <c r="F953" s="3"/>
      <c r="G953" s="3"/>
      <c r="H953" s="3"/>
      <c r="I953" s="3"/>
      <c r="J953" s="3"/>
      <c r="K953" s="3"/>
      <c r="L953" s="3"/>
      <c r="M953" s="3"/>
      <c r="N953" s="3"/>
      <c r="O953" s="3"/>
      <c r="P953" s="3"/>
      <c r="Q953" s="3"/>
      <c r="R953" s="3"/>
      <c r="S953" s="3"/>
      <c r="T953" s="3"/>
      <c r="U953" s="3"/>
      <c r="V953" s="3"/>
      <c r="W953" s="3"/>
      <c r="X953" s="3"/>
      <c r="Y953" s="3"/>
      <c r="Z953" s="3"/>
    </row>
    <row r="954" spans="1:26" ht="14.25" customHeight="1">
      <c r="A954" s="1"/>
      <c r="B954" s="1"/>
      <c r="C954" s="1"/>
      <c r="D954" s="1"/>
      <c r="E954" s="19"/>
      <c r="F954" s="3"/>
      <c r="G954" s="3"/>
      <c r="H954" s="3"/>
      <c r="I954" s="3"/>
      <c r="J954" s="3"/>
      <c r="K954" s="3"/>
      <c r="L954" s="3"/>
      <c r="M954" s="3"/>
      <c r="N954" s="3"/>
      <c r="O954" s="3"/>
      <c r="P954" s="3"/>
      <c r="Q954" s="3"/>
      <c r="R954" s="3"/>
      <c r="S954" s="3"/>
      <c r="T954" s="3"/>
      <c r="U954" s="3"/>
      <c r="V954" s="3"/>
      <c r="W954" s="3"/>
      <c r="X954" s="3"/>
      <c r="Y954" s="3"/>
      <c r="Z954" s="3"/>
    </row>
    <row r="955" spans="1:26" ht="14.25" customHeight="1">
      <c r="A955" s="1"/>
      <c r="B955" s="1"/>
      <c r="C955" s="1"/>
      <c r="D955" s="1"/>
      <c r="E955" s="19"/>
      <c r="F955" s="3"/>
      <c r="G955" s="3"/>
      <c r="H955" s="3"/>
      <c r="I955" s="3"/>
      <c r="J955" s="3"/>
      <c r="K955" s="3"/>
      <c r="L955" s="3"/>
      <c r="M955" s="3"/>
      <c r="N955" s="3"/>
      <c r="O955" s="3"/>
      <c r="P955" s="3"/>
      <c r="Q955" s="3"/>
      <c r="R955" s="3"/>
      <c r="S955" s="3"/>
      <c r="T955" s="3"/>
      <c r="U955" s="3"/>
      <c r="V955" s="3"/>
      <c r="W955" s="3"/>
      <c r="X955" s="3"/>
      <c r="Y955" s="3"/>
      <c r="Z955" s="3"/>
    </row>
    <row r="956" spans="1:26" ht="14.25" customHeight="1">
      <c r="A956" s="1"/>
      <c r="B956" s="1"/>
      <c r="C956" s="1"/>
      <c r="D956" s="1"/>
      <c r="E956" s="19"/>
      <c r="F956" s="3"/>
      <c r="G956" s="3"/>
      <c r="H956" s="3"/>
      <c r="I956" s="3"/>
      <c r="J956" s="3"/>
      <c r="K956" s="3"/>
      <c r="L956" s="3"/>
      <c r="M956" s="3"/>
      <c r="N956" s="3"/>
      <c r="O956" s="3"/>
      <c r="P956" s="3"/>
      <c r="Q956" s="3"/>
      <c r="R956" s="3"/>
      <c r="S956" s="3"/>
      <c r="T956" s="3"/>
      <c r="U956" s="3"/>
      <c r="V956" s="3"/>
      <c r="W956" s="3"/>
      <c r="X956" s="3"/>
      <c r="Y956" s="3"/>
      <c r="Z956" s="3"/>
    </row>
    <row r="957" spans="1:26" ht="14.25" customHeight="1">
      <c r="A957" s="1"/>
      <c r="B957" s="1"/>
      <c r="C957" s="1"/>
      <c r="D957" s="1"/>
      <c r="E957" s="19"/>
      <c r="F957" s="3"/>
      <c r="G957" s="3"/>
      <c r="H957" s="3"/>
      <c r="I957" s="3"/>
      <c r="J957" s="3"/>
      <c r="K957" s="3"/>
      <c r="L957" s="3"/>
      <c r="M957" s="3"/>
      <c r="N957" s="3"/>
      <c r="O957" s="3"/>
      <c r="P957" s="3"/>
      <c r="Q957" s="3"/>
      <c r="R957" s="3"/>
      <c r="S957" s="3"/>
      <c r="T957" s="3"/>
      <c r="U957" s="3"/>
      <c r="V957" s="3"/>
      <c r="W957" s="3"/>
      <c r="X957" s="3"/>
      <c r="Y957" s="3"/>
      <c r="Z957" s="3"/>
    </row>
    <row r="958" spans="1:26" ht="14.25" customHeight="1">
      <c r="A958" s="1"/>
      <c r="B958" s="1"/>
      <c r="C958" s="1"/>
      <c r="D958" s="1"/>
      <c r="E958" s="19"/>
      <c r="F958" s="3"/>
      <c r="G958" s="3"/>
      <c r="H958" s="3"/>
      <c r="I958" s="3"/>
      <c r="J958" s="3"/>
      <c r="K958" s="3"/>
      <c r="L958" s="3"/>
      <c r="M958" s="3"/>
      <c r="N958" s="3"/>
      <c r="O958" s="3"/>
      <c r="P958" s="3"/>
      <c r="Q958" s="3"/>
      <c r="R958" s="3"/>
      <c r="S958" s="3"/>
      <c r="T958" s="3"/>
      <c r="U958" s="3"/>
      <c r="V958" s="3"/>
      <c r="W958" s="3"/>
      <c r="X958" s="3"/>
      <c r="Y958" s="3"/>
      <c r="Z958" s="3"/>
    </row>
    <row r="959" spans="1:26" ht="14.25" customHeight="1">
      <c r="A959" s="1"/>
      <c r="B959" s="1"/>
      <c r="C959" s="1"/>
      <c r="D959" s="1"/>
      <c r="E959" s="19"/>
      <c r="F959" s="3"/>
      <c r="G959" s="3"/>
      <c r="H959" s="3"/>
      <c r="I959" s="3"/>
      <c r="J959" s="3"/>
      <c r="K959" s="3"/>
      <c r="L959" s="3"/>
      <c r="M959" s="3"/>
      <c r="N959" s="3"/>
      <c r="O959" s="3"/>
      <c r="P959" s="3"/>
      <c r="Q959" s="3"/>
      <c r="R959" s="3"/>
      <c r="S959" s="3"/>
      <c r="T959" s="3"/>
      <c r="U959" s="3"/>
      <c r="V959" s="3"/>
      <c r="W959" s="3"/>
      <c r="X959" s="3"/>
      <c r="Y959" s="3"/>
      <c r="Z959" s="3"/>
    </row>
    <row r="960" spans="1:26" ht="14.25" customHeight="1">
      <c r="A960" s="1"/>
      <c r="B960" s="1"/>
      <c r="C960" s="1"/>
      <c r="D960" s="1"/>
      <c r="E960" s="19"/>
      <c r="F960" s="3"/>
      <c r="G960" s="3"/>
      <c r="H960" s="3"/>
      <c r="I960" s="3"/>
      <c r="J960" s="3"/>
      <c r="K960" s="3"/>
      <c r="L960" s="3"/>
      <c r="M960" s="3"/>
      <c r="N960" s="3"/>
      <c r="O960" s="3"/>
      <c r="P960" s="3"/>
      <c r="Q960" s="3"/>
      <c r="R960" s="3"/>
      <c r="S960" s="3"/>
      <c r="T960" s="3"/>
      <c r="U960" s="3"/>
      <c r="V960" s="3"/>
      <c r="W960" s="3"/>
      <c r="X960" s="3"/>
      <c r="Y960" s="3"/>
      <c r="Z960" s="3"/>
    </row>
    <row r="961" spans="1:26" ht="14.25" customHeight="1">
      <c r="A961" s="1"/>
      <c r="B961" s="1"/>
      <c r="C961" s="1"/>
      <c r="D961" s="1"/>
      <c r="E961" s="19"/>
      <c r="F961" s="3"/>
      <c r="G961" s="3"/>
      <c r="H961" s="3"/>
      <c r="I961" s="3"/>
      <c r="J961" s="3"/>
      <c r="K961" s="3"/>
      <c r="L961" s="3"/>
      <c r="M961" s="3"/>
      <c r="N961" s="3"/>
      <c r="O961" s="3"/>
      <c r="P961" s="3"/>
      <c r="Q961" s="3"/>
      <c r="R961" s="3"/>
      <c r="S961" s="3"/>
      <c r="T961" s="3"/>
      <c r="U961" s="3"/>
      <c r="V961" s="3"/>
      <c r="W961" s="3"/>
      <c r="X961" s="3"/>
      <c r="Y961" s="3"/>
      <c r="Z961" s="3"/>
    </row>
    <row r="962" spans="1:26" ht="14.25" customHeight="1">
      <c r="A962" s="1"/>
      <c r="B962" s="1"/>
      <c r="C962" s="1"/>
      <c r="D962" s="1"/>
      <c r="E962" s="19"/>
      <c r="F962" s="3"/>
      <c r="G962" s="3"/>
      <c r="H962" s="3"/>
      <c r="I962" s="3"/>
      <c r="J962" s="3"/>
      <c r="K962" s="3"/>
      <c r="L962" s="3"/>
      <c r="M962" s="3"/>
      <c r="N962" s="3"/>
      <c r="O962" s="3"/>
      <c r="P962" s="3"/>
      <c r="Q962" s="3"/>
      <c r="R962" s="3"/>
      <c r="S962" s="3"/>
      <c r="T962" s="3"/>
      <c r="U962" s="3"/>
      <c r="V962" s="3"/>
      <c r="W962" s="3"/>
      <c r="X962" s="3"/>
      <c r="Y962" s="3"/>
      <c r="Z962" s="3"/>
    </row>
    <row r="963" spans="1:26" ht="14.25" customHeight="1">
      <c r="A963" s="1"/>
      <c r="B963" s="1"/>
      <c r="C963" s="1"/>
      <c r="D963" s="1"/>
      <c r="E963" s="19"/>
      <c r="F963" s="3"/>
      <c r="G963" s="3"/>
      <c r="H963" s="3"/>
      <c r="I963" s="3"/>
      <c r="J963" s="3"/>
      <c r="K963" s="3"/>
      <c r="L963" s="3"/>
      <c r="M963" s="3"/>
      <c r="N963" s="3"/>
      <c r="O963" s="3"/>
      <c r="P963" s="3"/>
      <c r="Q963" s="3"/>
      <c r="R963" s="3"/>
      <c r="S963" s="3"/>
      <c r="T963" s="3"/>
      <c r="U963" s="3"/>
      <c r="V963" s="3"/>
      <c r="W963" s="3"/>
      <c r="X963" s="3"/>
      <c r="Y963" s="3"/>
      <c r="Z963" s="3"/>
    </row>
    <row r="964" spans="1:26" ht="14.25" customHeight="1">
      <c r="A964" s="1"/>
      <c r="B964" s="1"/>
      <c r="C964" s="1"/>
      <c r="D964" s="1"/>
      <c r="E964" s="19"/>
      <c r="F964" s="3"/>
      <c r="G964" s="3"/>
      <c r="H964" s="3"/>
      <c r="I964" s="3"/>
      <c r="J964" s="3"/>
      <c r="K964" s="3"/>
      <c r="L964" s="3"/>
      <c r="M964" s="3"/>
      <c r="N964" s="3"/>
      <c r="O964" s="3"/>
      <c r="P964" s="3"/>
      <c r="Q964" s="3"/>
      <c r="R964" s="3"/>
      <c r="S964" s="3"/>
      <c r="T964" s="3"/>
      <c r="U964" s="3"/>
      <c r="V964" s="3"/>
      <c r="W964" s="3"/>
      <c r="X964" s="3"/>
      <c r="Y964" s="3"/>
      <c r="Z964" s="3"/>
    </row>
    <row r="965" spans="1:26" ht="14.25" customHeight="1">
      <c r="A965" s="1"/>
      <c r="B965" s="1"/>
      <c r="C965" s="1"/>
      <c r="D965" s="1"/>
      <c r="E965" s="19"/>
      <c r="F965" s="3"/>
      <c r="G965" s="3"/>
      <c r="H965" s="3"/>
      <c r="I965" s="3"/>
      <c r="J965" s="3"/>
      <c r="K965" s="3"/>
      <c r="L965" s="3"/>
      <c r="M965" s="3"/>
      <c r="N965" s="3"/>
      <c r="O965" s="3"/>
      <c r="P965" s="3"/>
      <c r="Q965" s="3"/>
      <c r="R965" s="3"/>
      <c r="S965" s="3"/>
      <c r="T965" s="3"/>
      <c r="U965" s="3"/>
      <c r="V965" s="3"/>
      <c r="W965" s="3"/>
      <c r="X965" s="3"/>
      <c r="Y965" s="3"/>
      <c r="Z965" s="3"/>
    </row>
    <row r="966" spans="1:26" ht="14.25" customHeight="1">
      <c r="A966" s="1"/>
      <c r="B966" s="1"/>
      <c r="C966" s="1"/>
      <c r="D966" s="1"/>
      <c r="E966" s="19"/>
      <c r="F966" s="3"/>
      <c r="G966" s="3"/>
      <c r="H966" s="3"/>
      <c r="I966" s="3"/>
      <c r="J966" s="3"/>
      <c r="K966" s="3"/>
      <c r="L966" s="3"/>
      <c r="M966" s="3"/>
      <c r="N966" s="3"/>
      <c r="O966" s="3"/>
      <c r="P966" s="3"/>
      <c r="Q966" s="3"/>
      <c r="R966" s="3"/>
      <c r="S966" s="3"/>
      <c r="T966" s="3"/>
      <c r="U966" s="3"/>
      <c r="V966" s="3"/>
      <c r="W966" s="3"/>
      <c r="X966" s="3"/>
      <c r="Y966" s="3"/>
      <c r="Z966" s="3"/>
    </row>
    <row r="967" spans="1:26" ht="14.25" customHeight="1">
      <c r="A967" s="1"/>
      <c r="B967" s="1"/>
      <c r="C967" s="1"/>
      <c r="D967" s="1"/>
      <c r="E967" s="19"/>
      <c r="F967" s="3"/>
      <c r="G967" s="3"/>
      <c r="H967" s="3"/>
      <c r="I967" s="3"/>
      <c r="J967" s="3"/>
      <c r="K967" s="3"/>
      <c r="L967" s="3"/>
      <c r="M967" s="3"/>
      <c r="N967" s="3"/>
      <c r="O967" s="3"/>
      <c r="P967" s="3"/>
      <c r="Q967" s="3"/>
      <c r="R967" s="3"/>
      <c r="S967" s="3"/>
      <c r="T967" s="3"/>
      <c r="U967" s="3"/>
      <c r="V967" s="3"/>
      <c r="W967" s="3"/>
      <c r="X967" s="3"/>
      <c r="Y967" s="3"/>
      <c r="Z967" s="3"/>
    </row>
    <row r="968" spans="1:26" ht="14.25" customHeight="1">
      <c r="A968" s="1"/>
      <c r="B968" s="1"/>
      <c r="C968" s="1"/>
      <c r="D968" s="1"/>
      <c r="E968" s="19"/>
      <c r="F968" s="3"/>
      <c r="G968" s="3"/>
      <c r="H968" s="3"/>
      <c r="I968" s="3"/>
      <c r="J968" s="3"/>
      <c r="K968" s="3"/>
      <c r="L968" s="3"/>
      <c r="M968" s="3"/>
      <c r="N968" s="3"/>
      <c r="O968" s="3"/>
      <c r="P968" s="3"/>
      <c r="Q968" s="3"/>
      <c r="R968" s="3"/>
      <c r="S968" s="3"/>
      <c r="T968" s="3"/>
      <c r="U968" s="3"/>
      <c r="V968" s="3"/>
      <c r="W968" s="3"/>
      <c r="X968" s="3"/>
      <c r="Y968" s="3"/>
      <c r="Z968" s="3"/>
    </row>
    <row r="969" spans="1:26" ht="14.25" customHeight="1">
      <c r="A969" s="1"/>
      <c r="B969" s="1"/>
      <c r="C969" s="1"/>
      <c r="D969" s="1"/>
      <c r="E969" s="19"/>
      <c r="F969" s="3"/>
      <c r="G969" s="3"/>
      <c r="H969" s="3"/>
      <c r="I969" s="3"/>
      <c r="J969" s="3"/>
      <c r="K969" s="3"/>
      <c r="L969" s="3"/>
      <c r="M969" s="3"/>
      <c r="N969" s="3"/>
      <c r="O969" s="3"/>
      <c r="P969" s="3"/>
      <c r="Q969" s="3"/>
      <c r="R969" s="3"/>
      <c r="S969" s="3"/>
      <c r="T969" s="3"/>
      <c r="U969" s="3"/>
      <c r="V969" s="3"/>
      <c r="W969" s="3"/>
      <c r="X969" s="3"/>
      <c r="Y969" s="3"/>
      <c r="Z969" s="3"/>
    </row>
    <row r="970" spans="1:26" ht="14.25" customHeight="1">
      <c r="A970" s="1"/>
      <c r="B970" s="1"/>
      <c r="C970" s="1"/>
      <c r="D970" s="1"/>
      <c r="E970" s="19"/>
      <c r="F970" s="3"/>
      <c r="G970" s="3"/>
      <c r="H970" s="3"/>
      <c r="I970" s="3"/>
      <c r="J970" s="3"/>
      <c r="K970" s="3"/>
      <c r="L970" s="3"/>
      <c r="M970" s="3"/>
      <c r="N970" s="3"/>
      <c r="O970" s="3"/>
      <c r="P970" s="3"/>
      <c r="Q970" s="3"/>
      <c r="R970" s="3"/>
      <c r="S970" s="3"/>
      <c r="T970" s="3"/>
      <c r="U970" s="3"/>
      <c r="V970" s="3"/>
      <c r="W970" s="3"/>
      <c r="X970" s="3"/>
      <c r="Y970" s="3"/>
      <c r="Z970" s="3"/>
    </row>
    <row r="971" spans="1:26" ht="14.25" customHeight="1">
      <c r="A971" s="1"/>
      <c r="B971" s="1"/>
      <c r="C971" s="1"/>
      <c r="D971" s="1"/>
      <c r="E971" s="19"/>
      <c r="F971" s="3"/>
      <c r="G971" s="3"/>
      <c r="H971" s="3"/>
      <c r="I971" s="3"/>
      <c r="J971" s="3"/>
      <c r="K971" s="3"/>
      <c r="L971" s="3"/>
      <c r="M971" s="3"/>
      <c r="N971" s="3"/>
      <c r="O971" s="3"/>
      <c r="P971" s="3"/>
      <c r="Q971" s="3"/>
      <c r="R971" s="3"/>
      <c r="S971" s="3"/>
      <c r="T971" s="3"/>
      <c r="U971" s="3"/>
      <c r="V971" s="3"/>
      <c r="W971" s="3"/>
      <c r="X971" s="3"/>
      <c r="Y971" s="3"/>
      <c r="Z971" s="3"/>
    </row>
    <row r="972" spans="1:26" ht="14.25" customHeight="1">
      <c r="A972" s="1"/>
      <c r="B972" s="1"/>
      <c r="C972" s="1"/>
      <c r="D972" s="1"/>
      <c r="E972" s="19"/>
      <c r="F972" s="3"/>
      <c r="G972" s="3"/>
      <c r="H972" s="3"/>
      <c r="I972" s="3"/>
      <c r="J972" s="3"/>
      <c r="K972" s="3"/>
      <c r="L972" s="3"/>
      <c r="M972" s="3"/>
      <c r="N972" s="3"/>
      <c r="O972" s="3"/>
      <c r="P972" s="3"/>
      <c r="Q972" s="3"/>
      <c r="R972" s="3"/>
      <c r="S972" s="3"/>
      <c r="T972" s="3"/>
      <c r="U972" s="3"/>
      <c r="V972" s="3"/>
      <c r="W972" s="3"/>
      <c r="X972" s="3"/>
      <c r="Y972" s="3"/>
      <c r="Z972" s="3"/>
    </row>
    <row r="973" spans="1:26" ht="14.25" customHeight="1">
      <c r="A973" s="1"/>
      <c r="B973" s="1"/>
      <c r="C973" s="1"/>
      <c r="D973" s="1"/>
      <c r="E973" s="19"/>
      <c r="F973" s="3"/>
      <c r="G973" s="3"/>
      <c r="H973" s="3"/>
      <c r="I973" s="3"/>
      <c r="J973" s="3"/>
      <c r="K973" s="3"/>
      <c r="L973" s="3"/>
      <c r="M973" s="3"/>
      <c r="N973" s="3"/>
      <c r="O973" s="3"/>
      <c r="P973" s="3"/>
      <c r="Q973" s="3"/>
      <c r="R973" s="3"/>
      <c r="S973" s="3"/>
      <c r="T973" s="3"/>
      <c r="U973" s="3"/>
      <c r="V973" s="3"/>
      <c r="W973" s="3"/>
      <c r="X973" s="3"/>
      <c r="Y973" s="3"/>
      <c r="Z973" s="3"/>
    </row>
    <row r="974" spans="1:26" ht="14.25" customHeight="1">
      <c r="A974" s="1"/>
      <c r="B974" s="1"/>
      <c r="C974" s="1"/>
      <c r="D974" s="1"/>
      <c r="E974" s="19"/>
      <c r="F974" s="3"/>
      <c r="G974" s="3"/>
      <c r="H974" s="3"/>
      <c r="I974" s="3"/>
      <c r="J974" s="3"/>
      <c r="K974" s="3"/>
      <c r="L974" s="3"/>
      <c r="M974" s="3"/>
      <c r="N974" s="3"/>
      <c r="O974" s="3"/>
      <c r="P974" s="3"/>
      <c r="Q974" s="3"/>
      <c r="R974" s="3"/>
      <c r="S974" s="3"/>
      <c r="T974" s="3"/>
      <c r="U974" s="3"/>
      <c r="V974" s="3"/>
      <c r="W974" s="3"/>
      <c r="X974" s="3"/>
      <c r="Y974" s="3"/>
      <c r="Z974" s="3"/>
    </row>
    <row r="975" spans="1:26" ht="14.25" customHeight="1">
      <c r="A975" s="1"/>
      <c r="B975" s="1"/>
      <c r="C975" s="1"/>
      <c r="D975" s="1"/>
      <c r="E975" s="19"/>
      <c r="F975" s="3"/>
      <c r="G975" s="3"/>
      <c r="H975" s="3"/>
      <c r="I975" s="3"/>
      <c r="J975" s="3"/>
      <c r="K975" s="3"/>
      <c r="L975" s="3"/>
      <c r="M975" s="3"/>
      <c r="N975" s="3"/>
      <c r="O975" s="3"/>
      <c r="P975" s="3"/>
      <c r="Q975" s="3"/>
      <c r="R975" s="3"/>
      <c r="S975" s="3"/>
      <c r="T975" s="3"/>
      <c r="U975" s="3"/>
      <c r="V975" s="3"/>
      <c r="W975" s="3"/>
      <c r="X975" s="3"/>
      <c r="Y975" s="3"/>
      <c r="Z975" s="3"/>
    </row>
    <row r="976" spans="1:26" ht="14.25" customHeight="1">
      <c r="A976" s="1"/>
      <c r="B976" s="1"/>
      <c r="C976" s="1"/>
      <c r="D976" s="1"/>
      <c r="E976" s="19"/>
      <c r="F976" s="3"/>
      <c r="G976" s="3"/>
      <c r="H976" s="3"/>
      <c r="I976" s="3"/>
      <c r="J976" s="3"/>
      <c r="K976" s="3"/>
      <c r="L976" s="3"/>
      <c r="M976" s="3"/>
      <c r="N976" s="3"/>
      <c r="O976" s="3"/>
      <c r="P976" s="3"/>
      <c r="Q976" s="3"/>
      <c r="R976" s="3"/>
      <c r="S976" s="3"/>
      <c r="T976" s="3"/>
      <c r="U976" s="3"/>
      <c r="V976" s="3"/>
      <c r="W976" s="3"/>
      <c r="X976" s="3"/>
      <c r="Y976" s="3"/>
      <c r="Z976" s="3"/>
    </row>
    <row r="977" spans="1:26" ht="14.25" customHeight="1">
      <c r="A977" s="1"/>
      <c r="B977" s="1"/>
      <c r="C977" s="1"/>
      <c r="D977" s="1"/>
      <c r="E977" s="19"/>
      <c r="F977" s="3"/>
      <c r="G977" s="3"/>
      <c r="H977" s="3"/>
      <c r="I977" s="3"/>
      <c r="J977" s="3"/>
      <c r="K977" s="3"/>
      <c r="L977" s="3"/>
      <c r="M977" s="3"/>
      <c r="N977" s="3"/>
      <c r="O977" s="3"/>
      <c r="P977" s="3"/>
      <c r="Q977" s="3"/>
      <c r="R977" s="3"/>
      <c r="S977" s="3"/>
      <c r="T977" s="3"/>
      <c r="U977" s="3"/>
      <c r="V977" s="3"/>
      <c r="W977" s="3"/>
      <c r="X977" s="3"/>
      <c r="Y977" s="3"/>
      <c r="Z977" s="3"/>
    </row>
    <row r="978" spans="1:26" ht="14.25" customHeight="1">
      <c r="A978" s="1"/>
      <c r="B978" s="1"/>
      <c r="C978" s="1"/>
      <c r="D978" s="1"/>
      <c r="E978" s="19"/>
      <c r="F978" s="3"/>
      <c r="G978" s="3"/>
      <c r="H978" s="3"/>
      <c r="I978" s="3"/>
      <c r="J978" s="3"/>
      <c r="K978" s="3"/>
      <c r="L978" s="3"/>
      <c r="M978" s="3"/>
      <c r="N978" s="3"/>
      <c r="O978" s="3"/>
      <c r="P978" s="3"/>
      <c r="Q978" s="3"/>
      <c r="R978" s="3"/>
      <c r="S978" s="3"/>
      <c r="T978" s="3"/>
      <c r="U978" s="3"/>
      <c r="V978" s="3"/>
      <c r="W978" s="3"/>
      <c r="X978" s="3"/>
      <c r="Y978" s="3"/>
      <c r="Z978" s="3"/>
    </row>
    <row r="979" spans="1:26" ht="14.25" customHeight="1">
      <c r="A979" s="1"/>
      <c r="B979" s="1"/>
      <c r="C979" s="1"/>
      <c r="D979" s="1"/>
      <c r="E979" s="19"/>
      <c r="F979" s="3"/>
      <c r="G979" s="3"/>
      <c r="H979" s="3"/>
      <c r="I979" s="3"/>
      <c r="J979" s="3"/>
      <c r="K979" s="3"/>
      <c r="L979" s="3"/>
      <c r="M979" s="3"/>
      <c r="N979" s="3"/>
      <c r="O979" s="3"/>
      <c r="P979" s="3"/>
      <c r="Q979" s="3"/>
      <c r="R979" s="3"/>
      <c r="S979" s="3"/>
      <c r="T979" s="3"/>
      <c r="U979" s="3"/>
      <c r="V979" s="3"/>
      <c r="W979" s="3"/>
      <c r="X979" s="3"/>
      <c r="Y979" s="3"/>
      <c r="Z979" s="3"/>
    </row>
    <row r="980" spans="1:26" ht="14.25" customHeight="1">
      <c r="A980" s="1"/>
      <c r="B980" s="1"/>
      <c r="C980" s="1"/>
      <c r="D980" s="1"/>
      <c r="E980" s="19"/>
      <c r="F980" s="3"/>
      <c r="G980" s="3"/>
      <c r="H980" s="3"/>
      <c r="I980" s="3"/>
      <c r="J980" s="3"/>
      <c r="K980" s="3"/>
      <c r="L980" s="3"/>
      <c r="M980" s="3"/>
      <c r="N980" s="3"/>
      <c r="O980" s="3"/>
      <c r="P980" s="3"/>
      <c r="Q980" s="3"/>
      <c r="R980" s="3"/>
      <c r="S980" s="3"/>
      <c r="T980" s="3"/>
      <c r="U980" s="3"/>
      <c r="V980" s="3"/>
      <c r="W980" s="3"/>
      <c r="X980" s="3"/>
      <c r="Y980" s="3"/>
      <c r="Z980" s="3"/>
    </row>
    <row r="981" spans="1:26" ht="14.25" customHeight="1">
      <c r="A981" s="1"/>
      <c r="B981" s="1"/>
      <c r="C981" s="1"/>
      <c r="D981" s="1"/>
      <c r="E981" s="19"/>
      <c r="F981" s="3"/>
      <c r="G981" s="3"/>
      <c r="H981" s="3"/>
      <c r="I981" s="3"/>
      <c r="J981" s="3"/>
      <c r="K981" s="3"/>
      <c r="L981" s="3"/>
      <c r="M981" s="3"/>
      <c r="N981" s="3"/>
      <c r="O981" s="3"/>
      <c r="P981" s="3"/>
      <c r="Q981" s="3"/>
      <c r="R981" s="3"/>
      <c r="S981" s="3"/>
      <c r="T981" s="3"/>
      <c r="U981" s="3"/>
      <c r="V981" s="3"/>
      <c r="W981" s="3"/>
      <c r="X981" s="3"/>
      <c r="Y981" s="3"/>
      <c r="Z981" s="3"/>
    </row>
    <row r="982" spans="1:26" ht="14.25" customHeight="1">
      <c r="A982" s="1"/>
      <c r="B982" s="1"/>
      <c r="C982" s="1"/>
      <c r="D982" s="1"/>
      <c r="E982" s="19"/>
      <c r="F982" s="3"/>
      <c r="G982" s="3"/>
      <c r="H982" s="3"/>
      <c r="I982" s="3"/>
      <c r="J982" s="3"/>
      <c r="K982" s="3"/>
      <c r="L982" s="3"/>
      <c r="M982" s="3"/>
      <c r="N982" s="3"/>
      <c r="O982" s="3"/>
      <c r="P982" s="3"/>
      <c r="Q982" s="3"/>
      <c r="R982" s="3"/>
      <c r="S982" s="3"/>
      <c r="T982" s="3"/>
      <c r="U982" s="3"/>
      <c r="V982" s="3"/>
      <c r="W982" s="3"/>
      <c r="X982" s="3"/>
      <c r="Y982" s="3"/>
      <c r="Z982" s="3"/>
    </row>
    <row r="983" spans="1:26" ht="14.25" customHeight="1">
      <c r="A983" s="1"/>
      <c r="B983" s="1"/>
      <c r="C983" s="1"/>
      <c r="D983" s="1"/>
      <c r="E983" s="19"/>
      <c r="F983" s="3"/>
      <c r="G983" s="3"/>
      <c r="H983" s="3"/>
      <c r="I983" s="3"/>
      <c r="J983" s="3"/>
      <c r="K983" s="3"/>
      <c r="L983" s="3"/>
      <c r="M983" s="3"/>
      <c r="N983" s="3"/>
      <c r="O983" s="3"/>
      <c r="P983" s="3"/>
      <c r="Q983" s="3"/>
      <c r="R983" s="3"/>
      <c r="S983" s="3"/>
      <c r="T983" s="3"/>
      <c r="U983" s="3"/>
      <c r="V983" s="3"/>
      <c r="W983" s="3"/>
      <c r="X983" s="3"/>
      <c r="Y983" s="3"/>
      <c r="Z983" s="3"/>
    </row>
    <row r="984" spans="1:26" ht="14.25" customHeight="1">
      <c r="A984" s="1"/>
      <c r="B984" s="1"/>
      <c r="C984" s="1"/>
      <c r="D984" s="1"/>
      <c r="E984" s="19"/>
      <c r="F984" s="3"/>
      <c r="G984" s="3"/>
      <c r="H984" s="3"/>
      <c r="I984" s="3"/>
      <c r="J984" s="3"/>
      <c r="K984" s="3"/>
      <c r="L984" s="3"/>
      <c r="M984" s="3"/>
      <c r="N984" s="3"/>
      <c r="O984" s="3"/>
      <c r="P984" s="3"/>
      <c r="Q984" s="3"/>
      <c r="R984" s="3"/>
      <c r="S984" s="3"/>
      <c r="T984" s="3"/>
      <c r="U984" s="3"/>
      <c r="V984" s="3"/>
      <c r="W984" s="3"/>
      <c r="X984" s="3"/>
      <c r="Y984" s="3"/>
      <c r="Z984" s="3"/>
    </row>
    <row r="985" spans="1:26" ht="14.25" customHeight="1">
      <c r="A985" s="1"/>
      <c r="B985" s="1"/>
      <c r="C985" s="1"/>
      <c r="D985" s="1"/>
      <c r="E985" s="19"/>
      <c r="F985" s="3"/>
      <c r="G985" s="3"/>
      <c r="H985" s="3"/>
      <c r="I985" s="3"/>
      <c r="J985" s="3"/>
      <c r="K985" s="3"/>
      <c r="L985" s="3"/>
      <c r="M985" s="3"/>
      <c r="N985" s="3"/>
      <c r="O985" s="3"/>
      <c r="P985" s="3"/>
      <c r="Q985" s="3"/>
      <c r="R985" s="3"/>
      <c r="S985" s="3"/>
      <c r="T985" s="3"/>
      <c r="U985" s="3"/>
      <c r="V985" s="3"/>
      <c r="W985" s="3"/>
      <c r="X985" s="3"/>
      <c r="Y985" s="3"/>
      <c r="Z985" s="3"/>
    </row>
    <row r="986" spans="1:26" ht="14.25" customHeight="1">
      <c r="A986" s="1"/>
      <c r="B986" s="1"/>
      <c r="C986" s="1"/>
      <c r="D986" s="1"/>
      <c r="E986" s="19"/>
      <c r="F986" s="3"/>
      <c r="G986" s="3"/>
      <c r="H986" s="3"/>
      <c r="I986" s="3"/>
      <c r="J986" s="3"/>
      <c r="K986" s="3"/>
      <c r="L986" s="3"/>
      <c r="M986" s="3"/>
      <c r="N986" s="3"/>
      <c r="O986" s="3"/>
      <c r="P986" s="3"/>
      <c r="Q986" s="3"/>
      <c r="R986" s="3"/>
      <c r="S986" s="3"/>
      <c r="T986" s="3"/>
      <c r="U986" s="3"/>
      <c r="V986" s="3"/>
      <c r="W986" s="3"/>
      <c r="X986" s="3"/>
      <c r="Y986" s="3"/>
      <c r="Z986" s="3"/>
    </row>
    <row r="987" spans="1:26" ht="14.25" customHeight="1">
      <c r="A987" s="1"/>
      <c r="B987" s="1"/>
      <c r="C987" s="1"/>
      <c r="D987" s="1"/>
      <c r="E987" s="19"/>
      <c r="F987" s="3"/>
      <c r="G987" s="3"/>
      <c r="H987" s="3"/>
      <c r="I987" s="3"/>
      <c r="J987" s="3"/>
      <c r="K987" s="3"/>
      <c r="L987" s="3"/>
      <c r="M987" s="3"/>
      <c r="N987" s="3"/>
      <c r="O987" s="3"/>
      <c r="P987" s="3"/>
      <c r="Q987" s="3"/>
      <c r="R987" s="3"/>
      <c r="S987" s="3"/>
      <c r="T987" s="3"/>
      <c r="U987" s="3"/>
      <c r="V987" s="3"/>
      <c r="W987" s="3"/>
      <c r="X987" s="3"/>
      <c r="Y987" s="3"/>
      <c r="Z987" s="3"/>
    </row>
    <row r="988" spans="1:26" ht="14.25" customHeight="1">
      <c r="A988" s="1"/>
      <c r="B988" s="1"/>
      <c r="C988" s="1"/>
      <c r="D988" s="1"/>
      <c r="E988" s="19"/>
      <c r="F988" s="3"/>
      <c r="G988" s="3"/>
      <c r="H988" s="3"/>
      <c r="I988" s="3"/>
      <c r="J988" s="3"/>
      <c r="K988" s="3"/>
      <c r="L988" s="3"/>
      <c r="M988" s="3"/>
      <c r="N988" s="3"/>
      <c r="O988" s="3"/>
      <c r="P988" s="3"/>
      <c r="Q988" s="3"/>
      <c r="R988" s="3"/>
      <c r="S988" s="3"/>
      <c r="T988" s="3"/>
      <c r="U988" s="3"/>
      <c r="V988" s="3"/>
      <c r="W988" s="3"/>
      <c r="X988" s="3"/>
      <c r="Y988" s="3"/>
      <c r="Z988" s="3"/>
    </row>
    <row r="989" spans="1:26" ht="14.25" customHeight="1">
      <c r="A989" s="1"/>
      <c r="B989" s="1"/>
      <c r="C989" s="1"/>
      <c r="D989" s="1"/>
      <c r="E989" s="19"/>
      <c r="F989" s="3"/>
      <c r="G989" s="3"/>
      <c r="H989" s="3"/>
      <c r="I989" s="3"/>
      <c r="J989" s="3"/>
      <c r="K989" s="3"/>
      <c r="L989" s="3"/>
      <c r="M989" s="3"/>
      <c r="N989" s="3"/>
      <c r="O989" s="3"/>
      <c r="P989" s="3"/>
      <c r="Q989" s="3"/>
      <c r="R989" s="3"/>
      <c r="S989" s="3"/>
      <c r="T989" s="3"/>
      <c r="U989" s="3"/>
      <c r="V989" s="3"/>
      <c r="W989" s="3"/>
      <c r="X989" s="3"/>
      <c r="Y989" s="3"/>
      <c r="Z989" s="3"/>
    </row>
    <row r="990" spans="1:26" ht="14.25" customHeight="1">
      <c r="A990" s="1"/>
      <c r="B990" s="1"/>
      <c r="C990" s="1"/>
      <c r="D990" s="1"/>
      <c r="E990" s="19"/>
      <c r="F990" s="3"/>
      <c r="G990" s="3"/>
      <c r="H990" s="3"/>
      <c r="I990" s="3"/>
      <c r="J990" s="3"/>
      <c r="K990" s="3"/>
      <c r="L990" s="3"/>
      <c r="M990" s="3"/>
      <c r="N990" s="3"/>
      <c r="O990" s="3"/>
      <c r="P990" s="3"/>
      <c r="Q990" s="3"/>
      <c r="R990" s="3"/>
      <c r="S990" s="3"/>
      <c r="T990" s="3"/>
      <c r="U990" s="3"/>
      <c r="V990" s="3"/>
      <c r="W990" s="3"/>
      <c r="X990" s="3"/>
      <c r="Y990" s="3"/>
      <c r="Z990" s="3"/>
    </row>
    <row r="991" spans="1:26" ht="14.25" customHeight="1">
      <c r="A991" s="1"/>
      <c r="B991" s="1"/>
      <c r="C991" s="1"/>
      <c r="D991" s="1"/>
      <c r="E991" s="19"/>
      <c r="F991" s="3"/>
      <c r="G991" s="3"/>
      <c r="H991" s="3"/>
      <c r="I991" s="3"/>
      <c r="J991" s="3"/>
      <c r="K991" s="3"/>
      <c r="L991" s="3"/>
      <c r="M991" s="3"/>
      <c r="N991" s="3"/>
      <c r="O991" s="3"/>
      <c r="P991" s="3"/>
      <c r="Q991" s="3"/>
      <c r="R991" s="3"/>
      <c r="S991" s="3"/>
      <c r="T991" s="3"/>
      <c r="U991" s="3"/>
      <c r="V991" s="3"/>
      <c r="W991" s="3"/>
      <c r="X991" s="3"/>
      <c r="Y991" s="3"/>
      <c r="Z991" s="3"/>
    </row>
    <row r="992" spans="1:26" ht="14.25" customHeight="1">
      <c r="A992" s="1"/>
      <c r="B992" s="1"/>
      <c r="C992" s="1"/>
      <c r="D992" s="1"/>
      <c r="E992" s="19"/>
      <c r="F992" s="3"/>
      <c r="G992" s="3"/>
      <c r="H992" s="3"/>
      <c r="I992" s="3"/>
      <c r="J992" s="3"/>
      <c r="K992" s="3"/>
      <c r="L992" s="3"/>
      <c r="M992" s="3"/>
      <c r="N992" s="3"/>
      <c r="O992" s="3"/>
      <c r="P992" s="3"/>
      <c r="Q992" s="3"/>
      <c r="R992" s="3"/>
      <c r="S992" s="3"/>
      <c r="T992" s="3"/>
      <c r="U992" s="3"/>
      <c r="V992" s="3"/>
      <c r="W992" s="3"/>
      <c r="X992" s="3"/>
      <c r="Y992" s="3"/>
      <c r="Z992" s="3"/>
    </row>
    <row r="993" spans="1:26" ht="14.25" customHeight="1">
      <c r="A993" s="1"/>
      <c r="B993" s="1"/>
      <c r="C993" s="1"/>
      <c r="D993" s="1"/>
      <c r="E993" s="19"/>
      <c r="F993" s="3"/>
      <c r="G993" s="3"/>
      <c r="H993" s="3"/>
      <c r="I993" s="3"/>
      <c r="J993" s="3"/>
      <c r="K993" s="3"/>
      <c r="L993" s="3"/>
      <c r="M993" s="3"/>
      <c r="N993" s="3"/>
      <c r="O993" s="3"/>
      <c r="P993" s="3"/>
      <c r="Q993" s="3"/>
      <c r="R993" s="3"/>
      <c r="S993" s="3"/>
      <c r="T993" s="3"/>
      <c r="U993" s="3"/>
      <c r="V993" s="3"/>
      <c r="W993" s="3"/>
      <c r="X993" s="3"/>
      <c r="Y993" s="3"/>
      <c r="Z993" s="3"/>
    </row>
    <row r="994" spans="1:26" ht="14.25" customHeight="1">
      <c r="A994" s="1"/>
      <c r="B994" s="1"/>
      <c r="C994" s="1"/>
      <c r="D994" s="1"/>
      <c r="E994" s="19"/>
      <c r="F994" s="3"/>
      <c r="G994" s="3"/>
      <c r="H994" s="3"/>
      <c r="I994" s="3"/>
      <c r="J994" s="3"/>
      <c r="K994" s="3"/>
      <c r="L994" s="3"/>
      <c r="M994" s="3"/>
      <c r="N994" s="3"/>
      <c r="O994" s="3"/>
      <c r="P994" s="3"/>
      <c r="Q994" s="3"/>
      <c r="R994" s="3"/>
      <c r="S994" s="3"/>
      <c r="T994" s="3"/>
      <c r="U994" s="3"/>
      <c r="V994" s="3"/>
      <c r="W994" s="3"/>
      <c r="X994" s="3"/>
      <c r="Y994" s="3"/>
      <c r="Z994" s="3"/>
    </row>
    <row r="995" spans="1:26" ht="14.25" customHeight="1">
      <c r="A995" s="1"/>
      <c r="B995" s="1"/>
      <c r="C995" s="1"/>
      <c r="D995" s="1"/>
      <c r="E995" s="19"/>
      <c r="F995" s="3"/>
      <c r="G995" s="3"/>
      <c r="H995" s="3"/>
      <c r="I995" s="3"/>
      <c r="J995" s="3"/>
      <c r="K995" s="3"/>
      <c r="L995" s="3"/>
      <c r="M995" s="3"/>
      <c r="N995" s="3"/>
      <c r="O995" s="3"/>
      <c r="P995" s="3"/>
      <c r="Q995" s="3"/>
      <c r="R995" s="3"/>
      <c r="S995" s="3"/>
      <c r="T995" s="3"/>
      <c r="U995" s="3"/>
      <c r="V995" s="3"/>
      <c r="W995" s="3"/>
      <c r="X995" s="3"/>
      <c r="Y995" s="3"/>
      <c r="Z995" s="3"/>
    </row>
    <row r="996" spans="1:26" ht="14.25" customHeight="1">
      <c r="A996" s="1"/>
      <c r="B996" s="1"/>
      <c r="C996" s="1"/>
      <c r="D996" s="1"/>
      <c r="E996" s="19"/>
      <c r="F996" s="3"/>
      <c r="G996" s="3"/>
      <c r="H996" s="3"/>
      <c r="I996" s="3"/>
      <c r="J996" s="3"/>
      <c r="K996" s="3"/>
      <c r="L996" s="3"/>
      <c r="M996" s="3"/>
      <c r="N996" s="3"/>
      <c r="O996" s="3"/>
      <c r="P996" s="3"/>
      <c r="Q996" s="3"/>
      <c r="R996" s="3"/>
      <c r="S996" s="3"/>
      <c r="T996" s="3"/>
      <c r="U996" s="3"/>
      <c r="V996" s="3"/>
      <c r="W996" s="3"/>
      <c r="X996" s="3"/>
      <c r="Y996" s="3"/>
      <c r="Z996" s="3"/>
    </row>
    <row r="997" spans="1:26" ht="14.25" customHeight="1">
      <c r="A997" s="1"/>
      <c r="B997" s="1"/>
      <c r="C997" s="1"/>
      <c r="D997" s="1"/>
      <c r="E997" s="19"/>
      <c r="F997" s="3"/>
      <c r="G997" s="3"/>
      <c r="H997" s="3"/>
      <c r="I997" s="3"/>
      <c r="J997" s="3"/>
      <c r="K997" s="3"/>
      <c r="L997" s="3"/>
      <c r="M997" s="3"/>
      <c r="N997" s="3"/>
      <c r="O997" s="3"/>
      <c r="P997" s="3"/>
      <c r="Q997" s="3"/>
      <c r="R997" s="3"/>
      <c r="S997" s="3"/>
      <c r="T997" s="3"/>
      <c r="U997" s="3"/>
      <c r="V997" s="3"/>
      <c r="W997" s="3"/>
      <c r="X997" s="3"/>
      <c r="Y997" s="3"/>
      <c r="Z997" s="3"/>
    </row>
    <row r="998" spans="1:26" ht="14.25" customHeight="1">
      <c r="A998" s="1"/>
      <c r="B998" s="1"/>
      <c r="C998" s="1"/>
      <c r="D998" s="1"/>
      <c r="E998" s="19"/>
      <c r="F998" s="3"/>
      <c r="G998" s="3"/>
      <c r="H998" s="3"/>
      <c r="I998" s="3"/>
      <c r="J998" s="3"/>
      <c r="K998" s="3"/>
      <c r="L998" s="3"/>
      <c r="M998" s="3"/>
      <c r="N998" s="3"/>
      <c r="O998" s="3"/>
      <c r="P998" s="3"/>
      <c r="Q998" s="3"/>
      <c r="R998" s="3"/>
      <c r="S998" s="3"/>
      <c r="T998" s="3"/>
      <c r="U998" s="3"/>
      <c r="V998" s="3"/>
      <c r="W998" s="3"/>
      <c r="X998" s="3"/>
      <c r="Y998" s="3"/>
      <c r="Z998" s="3"/>
    </row>
  </sheetData>
  <mergeCells count="4">
    <mergeCell ref="A1:E1"/>
    <mergeCell ref="A4:E4"/>
    <mergeCell ref="B8:C9"/>
    <mergeCell ref="C42:C43"/>
  </mergeCells>
  <printOptions horizontalCentered="1"/>
  <pageMargins left="0.66929133858267698" right="0.23622047244094499" top="0.70866141732283505" bottom="0.70866141732283505" header="0" footer="0"/>
  <pageSetup paperSize="9" orientation="portrait" r:id="rId1"/>
  <headerFooter>
    <oddFooter>&amp;C GS/&amp;P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A714"/>
  <sheetViews>
    <sheetView view="pageBreakPreview" zoomScale="60" zoomScaleNormal="100" workbookViewId="0">
      <pane ySplit="5" topLeftCell="A180" activePane="bottomLeft" state="frozen"/>
      <selection pane="bottomLeft" activeCell="M210" sqref="M210"/>
    </sheetView>
  </sheetViews>
  <sheetFormatPr defaultColWidth="12.5546875" defaultRowHeight="15" customHeight="1"/>
  <cols>
    <col min="1" max="1" width="7.44140625" customWidth="1"/>
    <col min="2" max="2" width="2.109375" customWidth="1"/>
    <col min="3" max="3" width="40.44140625" customWidth="1"/>
    <col min="4" max="4" width="2.88671875" customWidth="1"/>
    <col min="5" max="5" width="13.33203125" customWidth="1"/>
    <col min="6" max="6" width="7.33203125" customWidth="1"/>
    <col min="7" max="7" width="13.33203125" customWidth="1"/>
    <col min="8" max="8" width="18.33203125" customWidth="1"/>
    <col min="9" max="9" width="18.33203125" style="379" customWidth="1"/>
    <col min="10" max="10" width="9.33203125" customWidth="1"/>
    <col min="11" max="11" width="17" customWidth="1"/>
    <col min="12" max="13" width="9.33203125" customWidth="1"/>
    <col min="14" max="14" width="13.109375" bestFit="1" customWidth="1"/>
    <col min="15" max="15" width="9.33203125" customWidth="1"/>
    <col min="16" max="16" width="31.5546875" customWidth="1"/>
    <col min="17" max="27" width="9.33203125" customWidth="1"/>
  </cols>
  <sheetData>
    <row r="1" spans="1:27" ht="14.25" customHeight="1">
      <c r="A1" s="501"/>
      <c r="B1" s="502"/>
      <c r="C1" s="502"/>
      <c r="D1" s="502"/>
      <c r="E1" s="503"/>
      <c r="F1" s="504"/>
      <c r="G1" s="504"/>
      <c r="H1" s="505"/>
      <c r="I1" s="373"/>
      <c r="J1" s="1"/>
      <c r="K1" s="22"/>
      <c r="L1" s="1"/>
      <c r="M1" s="1"/>
      <c r="N1" s="1"/>
      <c r="O1" s="1"/>
      <c r="P1" s="1"/>
      <c r="Q1" s="1"/>
      <c r="R1" s="1"/>
      <c r="S1" s="1"/>
      <c r="T1" s="1"/>
      <c r="U1" s="1"/>
      <c r="V1" s="1"/>
      <c r="W1" s="1"/>
      <c r="X1" s="1"/>
      <c r="Y1" s="1"/>
      <c r="Z1" s="1"/>
      <c r="AA1" s="1"/>
    </row>
    <row r="2" spans="1:27" ht="14.25" customHeight="1">
      <c r="A2" s="776" t="s">
        <v>1263</v>
      </c>
      <c r="B2" s="777"/>
      <c r="C2" s="777"/>
      <c r="D2" s="777"/>
      <c r="E2" s="777"/>
      <c r="F2" s="777"/>
      <c r="G2" s="777"/>
      <c r="H2" s="778"/>
      <c r="I2" s="497"/>
      <c r="J2" s="1"/>
      <c r="K2" s="22"/>
      <c r="L2" s="1"/>
      <c r="M2" s="1"/>
      <c r="N2" s="1"/>
      <c r="O2" s="1"/>
      <c r="P2" s="1"/>
      <c r="Q2" s="1"/>
      <c r="R2" s="1"/>
      <c r="S2" s="1"/>
      <c r="T2" s="1"/>
      <c r="U2" s="1"/>
      <c r="V2" s="1"/>
      <c r="W2" s="1"/>
      <c r="X2" s="1"/>
      <c r="Y2" s="1"/>
      <c r="Z2" s="1"/>
      <c r="AA2" s="1"/>
    </row>
    <row r="3" spans="1:27" ht="14.25" customHeight="1">
      <c r="A3" s="458"/>
      <c r="B3" s="450"/>
      <c r="C3" s="450"/>
      <c r="D3" s="450"/>
      <c r="E3" s="372"/>
      <c r="F3" s="373"/>
      <c r="G3" s="506"/>
      <c r="H3" s="507"/>
      <c r="I3" s="373"/>
      <c r="J3" s="3"/>
      <c r="K3" s="24"/>
      <c r="L3" s="3"/>
      <c r="M3" s="3"/>
      <c r="N3" s="3"/>
      <c r="O3" s="3"/>
      <c r="P3" s="3"/>
      <c r="Q3" s="3"/>
      <c r="R3" s="3"/>
      <c r="S3" s="3"/>
      <c r="T3" s="3"/>
      <c r="U3" s="3"/>
      <c r="V3" s="3"/>
      <c r="W3" s="3"/>
      <c r="X3" s="3"/>
      <c r="Y3" s="3"/>
      <c r="Z3" s="3"/>
      <c r="AA3" s="3"/>
    </row>
    <row r="4" spans="1:27" ht="14.25" customHeight="1">
      <c r="A4" s="508" t="s">
        <v>1</v>
      </c>
      <c r="B4" s="766" t="s">
        <v>2</v>
      </c>
      <c r="C4" s="767"/>
      <c r="D4" s="4"/>
      <c r="E4" s="779" t="s">
        <v>14</v>
      </c>
      <c r="F4" s="781" t="s">
        <v>15</v>
      </c>
      <c r="G4" s="782" t="s">
        <v>16</v>
      </c>
      <c r="H4" s="509" t="s">
        <v>3</v>
      </c>
      <c r="I4" s="381"/>
      <c r="J4" s="3"/>
      <c r="K4" s="787" t="s">
        <v>17</v>
      </c>
      <c r="L4" s="3"/>
      <c r="M4" s="3"/>
      <c r="N4" s="3"/>
      <c r="O4" s="3"/>
      <c r="P4" s="3"/>
      <c r="Q4" s="3"/>
      <c r="R4" s="3"/>
      <c r="S4" s="3"/>
      <c r="T4" s="3"/>
      <c r="U4" s="3"/>
      <c r="V4" s="3"/>
      <c r="W4" s="3"/>
      <c r="X4" s="3"/>
      <c r="Y4" s="3"/>
      <c r="Z4" s="3"/>
      <c r="AA4" s="3"/>
    </row>
    <row r="5" spans="1:27" ht="14.25" customHeight="1">
      <c r="A5" s="510" t="s">
        <v>4</v>
      </c>
      <c r="B5" s="768"/>
      <c r="C5" s="769"/>
      <c r="D5" s="5"/>
      <c r="E5" s="780"/>
      <c r="F5" s="780"/>
      <c r="G5" s="780"/>
      <c r="H5" s="511" t="s">
        <v>5</v>
      </c>
      <c r="I5" s="381"/>
      <c r="J5" s="3"/>
      <c r="K5" s="780"/>
      <c r="L5" s="3"/>
      <c r="M5" s="3"/>
      <c r="N5" s="3"/>
      <c r="O5" s="3"/>
      <c r="P5" s="3"/>
      <c r="Q5" s="3"/>
      <c r="R5" s="3"/>
      <c r="S5" s="3"/>
      <c r="T5" s="3"/>
      <c r="U5" s="3"/>
      <c r="V5" s="3"/>
      <c r="W5" s="3"/>
      <c r="X5" s="3"/>
      <c r="Y5" s="3"/>
      <c r="Z5" s="3"/>
      <c r="AA5" s="3"/>
    </row>
    <row r="6" spans="1:27" ht="14.25" customHeight="1">
      <c r="A6" s="465"/>
      <c r="B6" s="369"/>
      <c r="C6" s="373"/>
      <c r="D6" s="371"/>
      <c r="E6" s="512"/>
      <c r="F6" s="25"/>
      <c r="G6" s="500"/>
      <c r="H6" s="513"/>
      <c r="I6" s="375"/>
      <c r="J6" s="1"/>
      <c r="K6" s="22"/>
      <c r="L6" s="1"/>
      <c r="M6" s="1"/>
      <c r="N6" s="1"/>
      <c r="O6" s="1"/>
      <c r="P6" s="1"/>
      <c r="Q6" s="1"/>
      <c r="R6" s="1"/>
      <c r="S6" s="1"/>
      <c r="T6" s="1"/>
      <c r="U6" s="1"/>
      <c r="V6" s="1"/>
      <c r="W6" s="1"/>
      <c r="X6" s="1"/>
      <c r="Y6" s="1"/>
      <c r="Z6" s="1"/>
      <c r="AA6" s="1"/>
    </row>
    <row r="7" spans="1:27" ht="14.25" customHeight="1">
      <c r="A7" s="465"/>
      <c r="B7" s="369"/>
      <c r="C7" s="514" t="s">
        <v>18</v>
      </c>
      <c r="D7" s="371"/>
      <c r="E7" s="512"/>
      <c r="F7" s="378"/>
      <c r="G7" s="500"/>
      <c r="H7" s="513"/>
      <c r="I7" s="375"/>
      <c r="J7" s="1"/>
      <c r="K7" s="22"/>
      <c r="L7" s="1"/>
      <c r="M7" s="1"/>
      <c r="N7" s="1"/>
      <c r="O7" s="1"/>
      <c r="P7" s="1"/>
      <c r="Q7" s="1"/>
      <c r="R7" s="1"/>
      <c r="S7" s="1"/>
      <c r="T7" s="1"/>
      <c r="U7" s="1"/>
      <c r="V7" s="1"/>
      <c r="W7" s="1"/>
      <c r="X7" s="1"/>
      <c r="Y7" s="1"/>
      <c r="Z7" s="1"/>
      <c r="AA7" s="1"/>
    </row>
    <row r="8" spans="1:27" ht="14.25" customHeight="1">
      <c r="A8" s="465"/>
      <c r="B8" s="369"/>
      <c r="C8" s="514"/>
      <c r="D8" s="371"/>
      <c r="E8" s="512"/>
      <c r="F8" s="378"/>
      <c r="G8" s="500"/>
      <c r="H8" s="513"/>
      <c r="I8" s="375"/>
      <c r="J8" s="1"/>
      <c r="K8" s="22"/>
      <c r="L8" s="1"/>
      <c r="M8" s="1"/>
      <c r="N8" s="1"/>
      <c r="O8" s="1"/>
      <c r="P8" s="1"/>
      <c r="Q8" s="1"/>
      <c r="R8" s="1"/>
      <c r="S8" s="1"/>
      <c r="T8" s="1"/>
      <c r="U8" s="1"/>
      <c r="V8" s="1"/>
      <c r="W8" s="1"/>
      <c r="X8" s="1"/>
      <c r="Y8" s="1"/>
      <c r="Z8" s="1"/>
      <c r="AA8" s="1"/>
    </row>
    <row r="9" spans="1:27" ht="14.25" customHeight="1">
      <c r="A9" s="465"/>
      <c r="B9" s="369"/>
      <c r="C9" s="466" t="s">
        <v>19</v>
      </c>
      <c r="D9" s="467"/>
      <c r="E9" s="390"/>
      <c r="F9" s="378"/>
      <c r="G9" s="368"/>
      <c r="H9" s="513"/>
      <c r="I9" s="375"/>
      <c r="J9" s="1"/>
      <c r="K9" s="22"/>
      <c r="L9" s="1"/>
      <c r="M9" s="1"/>
      <c r="N9" s="1"/>
      <c r="O9" s="1"/>
      <c r="P9" s="1"/>
      <c r="Q9" s="1"/>
      <c r="R9" s="1"/>
      <c r="S9" s="1"/>
      <c r="T9" s="1"/>
      <c r="U9" s="1"/>
      <c r="V9" s="1"/>
      <c r="W9" s="1"/>
      <c r="X9" s="1"/>
      <c r="Y9" s="1"/>
      <c r="Z9" s="1"/>
      <c r="AA9" s="1"/>
    </row>
    <row r="10" spans="1:27" ht="14.25" customHeight="1">
      <c r="A10" s="465"/>
      <c r="B10" s="476"/>
      <c r="C10" s="514"/>
      <c r="D10" s="467"/>
      <c r="E10" s="390"/>
      <c r="F10" s="378"/>
      <c r="G10" s="368"/>
      <c r="H10" s="513"/>
      <c r="I10" s="375"/>
      <c r="J10" s="1"/>
      <c r="K10" s="22"/>
      <c r="L10" s="1"/>
      <c r="M10" s="1"/>
      <c r="N10" s="1"/>
      <c r="O10" s="1"/>
      <c r="P10" s="1"/>
      <c r="Q10" s="1"/>
      <c r="R10" s="1"/>
      <c r="S10" s="1"/>
      <c r="T10" s="1"/>
      <c r="U10" s="1"/>
      <c r="V10" s="1"/>
      <c r="W10" s="1"/>
      <c r="X10" s="1"/>
      <c r="Y10" s="1"/>
      <c r="Z10" s="1"/>
      <c r="AA10" s="1"/>
    </row>
    <row r="11" spans="1:27" ht="14.25" customHeight="1">
      <c r="A11" s="515"/>
      <c r="B11" s="476"/>
      <c r="C11" s="466" t="s">
        <v>20</v>
      </c>
      <c r="D11" s="467"/>
      <c r="E11" s="366"/>
      <c r="F11" s="367"/>
      <c r="G11" s="368"/>
      <c r="H11" s="513"/>
      <c r="I11" s="375"/>
      <c r="J11" s="1"/>
      <c r="K11" s="22"/>
      <c r="L11" s="1"/>
      <c r="M11" s="1"/>
      <c r="N11" s="1"/>
      <c r="O11" s="1"/>
      <c r="P11" s="1"/>
      <c r="Q11" s="1"/>
      <c r="R11" s="1"/>
      <c r="S11" s="1"/>
      <c r="T11" s="1"/>
      <c r="U11" s="1"/>
      <c r="V11" s="1"/>
      <c r="W11" s="1"/>
      <c r="X11" s="1"/>
      <c r="Y11" s="1"/>
      <c r="Z11" s="1"/>
      <c r="AA11" s="1"/>
    </row>
    <row r="12" spans="1:27" ht="14.25" customHeight="1">
      <c r="A12" s="475"/>
      <c r="B12" s="476"/>
      <c r="C12" s="516"/>
      <c r="D12" s="467"/>
      <c r="E12" s="366"/>
      <c r="F12" s="367"/>
      <c r="G12" s="375"/>
      <c r="H12" s="513"/>
      <c r="I12" s="375"/>
      <c r="J12" s="1"/>
      <c r="K12" s="22"/>
      <c r="L12" s="1"/>
      <c r="M12" s="1"/>
      <c r="N12" s="1"/>
      <c r="O12" s="1"/>
      <c r="P12" s="1"/>
      <c r="Q12" s="1"/>
      <c r="R12" s="1"/>
      <c r="S12" s="1"/>
      <c r="T12" s="1"/>
      <c r="U12" s="1"/>
      <c r="V12" s="1"/>
      <c r="W12" s="1"/>
      <c r="X12" s="1"/>
      <c r="Y12" s="1"/>
      <c r="Z12" s="1"/>
      <c r="AA12" s="1"/>
    </row>
    <row r="13" spans="1:27" ht="14.25" customHeight="1">
      <c r="A13" s="515"/>
      <c r="B13" s="476"/>
      <c r="C13" s="466" t="s">
        <v>21</v>
      </c>
      <c r="D13" s="467"/>
      <c r="E13" s="366"/>
      <c r="F13" s="367"/>
      <c r="G13" s="368"/>
      <c r="H13" s="513"/>
      <c r="I13" s="375"/>
      <c r="J13" s="1"/>
      <c r="K13" s="22"/>
      <c r="L13" s="1"/>
      <c r="M13" s="1"/>
      <c r="N13" s="1"/>
      <c r="O13" s="1"/>
      <c r="P13" s="1"/>
      <c r="Q13" s="1"/>
      <c r="R13" s="1"/>
      <c r="S13" s="1"/>
      <c r="T13" s="1"/>
      <c r="U13" s="1"/>
      <c r="V13" s="1"/>
      <c r="W13" s="1"/>
      <c r="X13" s="1"/>
      <c r="Y13" s="1"/>
      <c r="Z13" s="1"/>
      <c r="AA13" s="1"/>
    </row>
    <row r="14" spans="1:27" ht="14.25" customHeight="1">
      <c r="A14" s="475"/>
      <c r="B14" s="476"/>
      <c r="C14" s="516"/>
      <c r="D14" s="467"/>
      <c r="E14" s="366"/>
      <c r="F14" s="367"/>
      <c r="G14" s="517"/>
      <c r="H14" s="513"/>
      <c r="I14" s="375"/>
      <c r="J14" s="1"/>
      <c r="K14" s="22"/>
      <c r="L14" s="1"/>
      <c r="M14" s="1"/>
      <c r="N14" s="1"/>
      <c r="O14" s="1"/>
      <c r="P14" s="1"/>
      <c r="Q14" s="1"/>
      <c r="R14" s="1"/>
      <c r="S14" s="1"/>
      <c r="T14" s="1"/>
      <c r="U14" s="1"/>
      <c r="V14" s="1"/>
      <c r="W14" s="1"/>
      <c r="X14" s="1"/>
      <c r="Y14" s="1"/>
      <c r="Z14" s="1"/>
      <c r="AA14" s="1"/>
    </row>
    <row r="15" spans="1:27" ht="14.25" customHeight="1">
      <c r="A15" s="475" t="s">
        <v>22</v>
      </c>
      <c r="B15" s="476"/>
      <c r="C15" s="474" t="s">
        <v>23</v>
      </c>
      <c r="D15" s="467"/>
      <c r="E15" s="366">
        <f>K15</f>
        <v>752.10300000000007</v>
      </c>
      <c r="F15" s="367" t="s">
        <v>24</v>
      </c>
      <c r="G15" s="368">
        <v>0</v>
      </c>
      <c r="H15" s="513">
        <f>+G15*E15</f>
        <v>0</v>
      </c>
      <c r="I15" s="375"/>
      <c r="J15" s="3"/>
      <c r="K15" s="24">
        <f>M.S!F8*M.S!G8</f>
        <v>752.10300000000007</v>
      </c>
      <c r="L15" s="3"/>
      <c r="M15" s="3"/>
      <c r="N15" s="3"/>
      <c r="O15" s="3"/>
      <c r="P15" s="3"/>
      <c r="Q15" s="3"/>
      <c r="R15" s="3"/>
      <c r="S15" s="3"/>
      <c r="T15" s="3"/>
      <c r="U15" s="3"/>
      <c r="V15" s="3"/>
      <c r="W15" s="3"/>
      <c r="X15" s="3"/>
      <c r="Y15" s="3"/>
      <c r="Z15" s="3"/>
      <c r="AA15" s="3"/>
    </row>
    <row r="16" spans="1:27" ht="14.25" customHeight="1">
      <c r="A16" s="475"/>
      <c r="B16" s="476"/>
      <c r="C16" s="474"/>
      <c r="D16" s="467"/>
      <c r="E16" s="374"/>
      <c r="F16" s="367"/>
      <c r="G16" s="368"/>
      <c r="H16" s="513"/>
      <c r="I16" s="375"/>
      <c r="J16" s="3"/>
      <c r="K16" s="24"/>
      <c r="L16" s="3"/>
      <c r="M16" s="3">
        <f>4100/5227</f>
        <v>0.78438875071742875</v>
      </c>
      <c r="N16" s="3"/>
      <c r="O16" s="3"/>
      <c r="P16" s="3"/>
      <c r="Q16" s="3"/>
      <c r="R16" s="3"/>
      <c r="S16" s="3"/>
      <c r="T16" s="3"/>
      <c r="U16" s="3"/>
      <c r="V16" s="3"/>
      <c r="W16" s="3"/>
      <c r="X16" s="3"/>
      <c r="Y16" s="3"/>
      <c r="Z16" s="3"/>
      <c r="AA16" s="3"/>
    </row>
    <row r="17" spans="1:27" ht="14.25" customHeight="1">
      <c r="A17" s="475" t="s">
        <v>25</v>
      </c>
      <c r="B17" s="476"/>
      <c r="C17" s="474" t="s">
        <v>26</v>
      </c>
      <c r="D17" s="467"/>
      <c r="E17" s="366">
        <f>K17</f>
        <v>5227.1158500000001</v>
      </c>
      <c r="F17" s="367" t="s">
        <v>27</v>
      </c>
      <c r="G17" s="368">
        <v>0.78439000000000003</v>
      </c>
      <c r="H17" s="513">
        <f>(G17*E17)</f>
        <v>4100.0974015815</v>
      </c>
      <c r="I17" s="375" t="s">
        <v>1169</v>
      </c>
      <c r="J17" s="1"/>
      <c r="K17" s="22">
        <f>M.S!I10</f>
        <v>5227.1158500000001</v>
      </c>
      <c r="L17" s="1"/>
      <c r="M17" s="1"/>
      <c r="N17" s="1"/>
      <c r="O17" s="1"/>
      <c r="P17" s="1"/>
      <c r="Q17" s="1"/>
      <c r="R17" s="1"/>
      <c r="S17" s="1"/>
      <c r="T17" s="1"/>
      <c r="U17" s="1"/>
      <c r="V17" s="1"/>
      <c r="W17" s="1"/>
      <c r="X17" s="1"/>
      <c r="Y17" s="1"/>
      <c r="Z17" s="1"/>
      <c r="AA17" s="1"/>
    </row>
    <row r="18" spans="1:27" ht="14.25" customHeight="1">
      <c r="A18" s="475"/>
      <c r="B18" s="476"/>
      <c r="C18" s="474"/>
      <c r="D18" s="467"/>
      <c r="E18" s="374"/>
      <c r="F18" s="367"/>
      <c r="G18" s="518"/>
      <c r="H18" s="513"/>
      <c r="I18" s="375"/>
      <c r="J18" s="1"/>
      <c r="K18" s="22"/>
      <c r="L18" s="1"/>
      <c r="M18" s="1"/>
      <c r="N18" s="1"/>
      <c r="O18" s="1"/>
      <c r="P18" s="1"/>
      <c r="Q18" s="1"/>
      <c r="R18" s="1"/>
      <c r="S18" s="1"/>
      <c r="T18" s="1"/>
      <c r="U18" s="1"/>
      <c r="V18" s="1"/>
      <c r="W18" s="1"/>
      <c r="X18" s="1"/>
      <c r="Y18" s="1"/>
      <c r="Z18" s="1"/>
      <c r="AA18" s="1"/>
    </row>
    <row r="19" spans="1:27" ht="14.25" customHeight="1">
      <c r="A19" s="475" t="s">
        <v>28</v>
      </c>
      <c r="B19" s="476"/>
      <c r="C19" s="474" t="s">
        <v>29</v>
      </c>
      <c r="D19" s="467"/>
      <c r="E19" s="366">
        <f>K19</f>
        <v>0</v>
      </c>
      <c r="F19" s="367" t="s">
        <v>27</v>
      </c>
      <c r="G19" s="368"/>
      <c r="H19" s="513">
        <f>+G19*E19</f>
        <v>0</v>
      </c>
      <c r="I19" s="498"/>
      <c r="J19" s="26"/>
      <c r="K19" s="22">
        <v>0</v>
      </c>
      <c r="L19" s="1"/>
      <c r="M19" s="1"/>
      <c r="N19" s="1"/>
      <c r="O19" s="1"/>
      <c r="P19" s="1"/>
      <c r="Q19" s="1"/>
      <c r="R19" s="1"/>
      <c r="S19" s="1"/>
      <c r="T19" s="1"/>
      <c r="U19" s="1"/>
      <c r="V19" s="1"/>
      <c r="W19" s="1"/>
      <c r="X19" s="1"/>
      <c r="Y19" s="1"/>
      <c r="Z19" s="1"/>
      <c r="AA19" s="1"/>
    </row>
    <row r="20" spans="1:27" ht="14.25" customHeight="1">
      <c r="A20" s="475"/>
      <c r="B20" s="476"/>
      <c r="C20" s="474"/>
      <c r="D20" s="467"/>
      <c r="E20" s="374"/>
      <c r="F20" s="367"/>
      <c r="G20" s="375"/>
      <c r="H20" s="513"/>
      <c r="I20" s="375"/>
      <c r="J20" s="1"/>
      <c r="K20" s="22"/>
      <c r="L20" s="1"/>
      <c r="M20" s="1"/>
      <c r="N20" s="1"/>
      <c r="O20" s="1"/>
      <c r="P20" s="1"/>
      <c r="Q20" s="1"/>
      <c r="R20" s="1"/>
      <c r="S20" s="1"/>
      <c r="T20" s="1"/>
      <c r="U20" s="1"/>
      <c r="V20" s="1"/>
      <c r="W20" s="1"/>
      <c r="X20" s="1"/>
      <c r="Y20" s="1"/>
      <c r="Z20" s="1"/>
      <c r="AA20" s="1"/>
    </row>
    <row r="21" spans="1:27" ht="14.25" customHeight="1">
      <c r="A21" s="475"/>
      <c r="B21" s="476"/>
      <c r="C21" s="466" t="s">
        <v>30</v>
      </c>
      <c r="D21" s="467"/>
      <c r="E21" s="519"/>
      <c r="F21" s="367"/>
      <c r="G21" s="375"/>
      <c r="H21" s="513"/>
      <c r="I21" s="375"/>
      <c r="J21" s="1"/>
      <c r="K21" s="22"/>
      <c r="L21" s="1"/>
      <c r="M21" s="1"/>
      <c r="N21" s="1"/>
      <c r="O21" s="1"/>
      <c r="P21" s="1"/>
      <c r="Q21" s="1"/>
      <c r="R21" s="1"/>
      <c r="S21" s="1"/>
      <c r="T21" s="1"/>
      <c r="U21" s="1"/>
      <c r="V21" s="1"/>
      <c r="W21" s="1"/>
      <c r="X21" s="1"/>
      <c r="Y21" s="1"/>
      <c r="Z21" s="1"/>
      <c r="AA21" s="1"/>
    </row>
    <row r="22" spans="1:27" ht="14.25" customHeight="1">
      <c r="A22" s="475"/>
      <c r="B22" s="476"/>
      <c r="C22" s="516"/>
      <c r="D22" s="467"/>
      <c r="E22" s="374"/>
      <c r="F22" s="367"/>
      <c r="G22" s="375"/>
      <c r="H22" s="513"/>
      <c r="I22" s="375"/>
      <c r="J22" s="1"/>
      <c r="K22" s="22"/>
      <c r="L22" s="1"/>
      <c r="M22" s="1"/>
      <c r="N22" s="1"/>
      <c r="O22" s="1"/>
      <c r="P22" s="1"/>
      <c r="Q22" s="1"/>
      <c r="R22" s="1"/>
      <c r="S22" s="1"/>
      <c r="T22" s="1"/>
      <c r="U22" s="1"/>
      <c r="V22" s="1"/>
      <c r="W22" s="1"/>
      <c r="X22" s="1"/>
      <c r="Y22" s="1"/>
      <c r="Z22" s="1"/>
      <c r="AA22" s="1"/>
    </row>
    <row r="23" spans="1:27" ht="120.6" customHeight="1">
      <c r="A23" s="475" t="s">
        <v>31</v>
      </c>
      <c r="B23" s="476"/>
      <c r="C23" s="474" t="s">
        <v>1257</v>
      </c>
      <c r="D23" s="467"/>
      <c r="E23" s="366">
        <v>1400</v>
      </c>
      <c r="F23" s="367" t="s">
        <v>27</v>
      </c>
      <c r="G23" s="368">
        <v>2</v>
      </c>
      <c r="H23" s="513">
        <f>(G23*E23)</f>
        <v>2800</v>
      </c>
      <c r="I23" s="375"/>
      <c r="J23" s="1"/>
      <c r="K23" s="22">
        <v>0</v>
      </c>
      <c r="L23" s="1"/>
      <c r="M23" s="1"/>
      <c r="N23" s="1"/>
      <c r="O23" s="1"/>
      <c r="P23" s="1"/>
      <c r="Q23" s="1"/>
      <c r="R23" s="1"/>
      <c r="S23" s="1"/>
      <c r="T23" s="1"/>
      <c r="U23" s="1"/>
      <c r="V23" s="1"/>
      <c r="W23" s="1"/>
      <c r="X23" s="1"/>
      <c r="Y23" s="1"/>
      <c r="Z23" s="1"/>
      <c r="AA23" s="1"/>
    </row>
    <row r="24" spans="1:27" ht="14.25" customHeight="1">
      <c r="A24" s="475"/>
      <c r="B24" s="476"/>
      <c r="C24" s="516"/>
      <c r="D24" s="467"/>
      <c r="E24" s="374"/>
      <c r="F24" s="367"/>
      <c r="G24" s="375"/>
      <c r="H24" s="513"/>
      <c r="I24" s="375"/>
      <c r="J24" s="1"/>
      <c r="K24" s="22"/>
      <c r="L24" s="1"/>
      <c r="M24" s="1"/>
      <c r="N24" s="1"/>
      <c r="O24" s="1"/>
      <c r="P24" s="1"/>
      <c r="Q24" s="1"/>
      <c r="R24" s="1"/>
      <c r="S24" s="1"/>
      <c r="T24" s="1"/>
      <c r="U24" s="1"/>
      <c r="V24" s="1"/>
      <c r="W24" s="1"/>
      <c r="X24" s="1"/>
      <c r="Y24" s="1"/>
      <c r="Z24" s="1"/>
      <c r="AA24" s="1"/>
    </row>
    <row r="25" spans="1:27" ht="14.25" customHeight="1">
      <c r="A25" s="475" t="s">
        <v>32</v>
      </c>
      <c r="B25" s="476"/>
      <c r="C25" s="474" t="s">
        <v>1256</v>
      </c>
      <c r="D25" s="467"/>
      <c r="E25" s="366">
        <f>K25</f>
        <v>0</v>
      </c>
      <c r="F25" s="367" t="s">
        <v>27</v>
      </c>
      <c r="G25" s="368"/>
      <c r="H25" s="513"/>
      <c r="I25" s="375"/>
      <c r="J25" s="1"/>
      <c r="K25" s="22">
        <v>0</v>
      </c>
      <c r="L25" s="1"/>
      <c r="M25" s="1"/>
      <c r="N25" s="1"/>
      <c r="O25" s="1"/>
      <c r="P25" s="1"/>
      <c r="Q25" s="1"/>
      <c r="R25" s="1"/>
      <c r="S25" s="1"/>
      <c r="T25" s="1"/>
      <c r="U25" s="1"/>
      <c r="V25" s="1"/>
      <c r="W25" s="1"/>
      <c r="X25" s="1"/>
      <c r="Y25" s="1"/>
      <c r="Z25" s="1"/>
      <c r="AA25" s="1"/>
    </row>
    <row r="26" spans="1:27" ht="14.25" customHeight="1">
      <c r="A26" s="475"/>
      <c r="B26" s="476"/>
      <c r="C26" s="516"/>
      <c r="D26" s="467"/>
      <c r="E26" s="374"/>
      <c r="F26" s="367"/>
      <c r="G26" s="375"/>
      <c r="H26" s="513"/>
      <c r="I26" s="375"/>
      <c r="J26" s="1"/>
      <c r="K26" s="22"/>
      <c r="L26" s="1"/>
      <c r="M26" s="1"/>
      <c r="N26" s="1"/>
      <c r="O26" s="1"/>
      <c r="P26" s="1"/>
      <c r="Q26" s="1"/>
      <c r="R26" s="1"/>
      <c r="S26" s="1"/>
      <c r="T26" s="1"/>
      <c r="U26" s="1"/>
      <c r="V26" s="1"/>
      <c r="W26" s="1"/>
      <c r="X26" s="1"/>
      <c r="Y26" s="1"/>
      <c r="Z26" s="1"/>
      <c r="AA26" s="1"/>
    </row>
    <row r="27" spans="1:27" ht="14.25" customHeight="1">
      <c r="A27" s="475" t="s">
        <v>33</v>
      </c>
      <c r="B27" s="476"/>
      <c r="C27" s="474" t="s">
        <v>34</v>
      </c>
      <c r="D27" s="467"/>
      <c r="E27" s="366">
        <f>K27</f>
        <v>5227.1158500000001</v>
      </c>
      <c r="F27" s="367" t="s">
        <v>27</v>
      </c>
      <c r="G27" s="368"/>
      <c r="H27" s="513">
        <v>500</v>
      </c>
      <c r="I27" s="375"/>
      <c r="J27" s="1"/>
      <c r="K27" s="22">
        <f>M.S!I10</f>
        <v>5227.1158500000001</v>
      </c>
      <c r="L27" s="1"/>
      <c r="M27" s="1"/>
      <c r="N27" s="1"/>
      <c r="O27" s="1"/>
      <c r="P27" s="1"/>
      <c r="Q27" s="1"/>
      <c r="R27" s="1"/>
      <c r="S27" s="1"/>
      <c r="T27" s="1"/>
      <c r="U27" s="1"/>
      <c r="V27" s="1"/>
      <c r="W27" s="1"/>
      <c r="X27" s="1"/>
      <c r="Y27" s="1"/>
      <c r="Z27" s="1"/>
      <c r="AA27" s="1"/>
    </row>
    <row r="28" spans="1:27" ht="14.25" customHeight="1">
      <c r="A28" s="520"/>
      <c r="B28" s="16"/>
      <c r="C28" s="783" t="s">
        <v>35</v>
      </c>
      <c r="D28" s="17"/>
      <c r="E28" s="30"/>
      <c r="F28" s="424"/>
      <c r="G28" s="772" t="s">
        <v>36</v>
      </c>
      <c r="H28" s="521"/>
      <c r="I28" s="382"/>
      <c r="J28" s="1"/>
      <c r="K28" s="22"/>
      <c r="L28" s="1"/>
      <c r="M28" s="1"/>
      <c r="N28" s="1"/>
      <c r="O28" s="1"/>
      <c r="P28" s="1"/>
      <c r="Q28" s="1"/>
      <c r="R28" s="1"/>
      <c r="S28" s="1"/>
      <c r="T28" s="1"/>
      <c r="U28" s="1"/>
      <c r="V28" s="1"/>
      <c r="W28" s="1"/>
      <c r="X28" s="1"/>
      <c r="Y28" s="1"/>
      <c r="Z28" s="1"/>
      <c r="AA28" s="1"/>
    </row>
    <row r="29" spans="1:27" ht="14.25" customHeight="1">
      <c r="A29" s="522"/>
      <c r="B29" s="486"/>
      <c r="C29" s="784"/>
      <c r="D29" s="523"/>
      <c r="E29" s="524"/>
      <c r="F29" s="525"/>
      <c r="G29" s="785"/>
      <c r="H29" s="526">
        <f>SUM(H15:H28)</f>
        <v>7400.0974015815</v>
      </c>
      <c r="I29" s="383"/>
      <c r="J29" s="1"/>
      <c r="K29" s="22"/>
      <c r="L29" s="1"/>
      <c r="M29" s="1"/>
      <c r="N29" s="1"/>
      <c r="O29" s="1"/>
      <c r="P29" s="1"/>
      <c r="Q29" s="1"/>
      <c r="R29" s="1"/>
      <c r="S29" s="1"/>
      <c r="T29" s="1"/>
      <c r="U29" s="1"/>
      <c r="V29" s="1"/>
      <c r="W29" s="1"/>
      <c r="X29" s="1"/>
      <c r="Y29" s="1"/>
      <c r="Z29" s="1"/>
      <c r="AA29" s="1"/>
    </row>
    <row r="30" spans="1:27" ht="14.25" customHeight="1">
      <c r="A30" s="465"/>
      <c r="B30" s="369"/>
      <c r="C30" s="373"/>
      <c r="D30" s="371"/>
      <c r="E30" s="499"/>
      <c r="F30" s="25"/>
      <c r="G30" s="500"/>
      <c r="H30" s="513"/>
      <c r="I30" s="375"/>
      <c r="J30" s="1"/>
      <c r="K30" s="22"/>
      <c r="L30" s="1"/>
      <c r="M30" s="1"/>
      <c r="N30" s="1"/>
      <c r="O30" s="1"/>
      <c r="P30" s="1"/>
      <c r="Q30" s="1"/>
      <c r="R30" s="1"/>
      <c r="S30" s="1"/>
      <c r="T30" s="1"/>
      <c r="U30" s="1"/>
      <c r="V30" s="1"/>
      <c r="W30" s="1"/>
      <c r="X30" s="1"/>
      <c r="Y30" s="1"/>
      <c r="Z30" s="1"/>
      <c r="AA30" s="1"/>
    </row>
    <row r="31" spans="1:27" ht="14.25" customHeight="1">
      <c r="A31" s="475"/>
      <c r="B31" s="476"/>
      <c r="C31" s="514" t="s">
        <v>37</v>
      </c>
      <c r="D31" s="467"/>
      <c r="E31" s="374"/>
      <c r="F31" s="367"/>
      <c r="G31" s="368"/>
      <c r="H31" s="513"/>
      <c r="I31" s="375"/>
      <c r="J31" s="1"/>
      <c r="K31" s="22"/>
      <c r="L31" s="1"/>
      <c r="M31" s="1"/>
      <c r="N31" s="1"/>
      <c r="O31" s="1"/>
      <c r="P31" s="1"/>
      <c r="Q31" s="1"/>
      <c r="R31" s="1"/>
      <c r="S31" s="1"/>
      <c r="T31" s="1"/>
      <c r="U31" s="1"/>
      <c r="V31" s="1"/>
      <c r="W31" s="1"/>
      <c r="X31" s="1"/>
      <c r="Y31" s="1"/>
      <c r="Z31" s="1"/>
      <c r="AA31" s="1"/>
    </row>
    <row r="32" spans="1:27" ht="14.25" customHeight="1">
      <c r="A32" s="515"/>
      <c r="B32" s="476"/>
      <c r="C32" s="516"/>
      <c r="D32" s="467"/>
      <c r="E32" s="374"/>
      <c r="F32" s="367"/>
      <c r="G32" s="368"/>
      <c r="H32" s="513"/>
      <c r="I32" s="375"/>
      <c r="J32" s="1"/>
      <c r="K32" s="22"/>
      <c r="L32" s="1"/>
      <c r="M32" s="1"/>
      <c r="N32" s="1"/>
      <c r="O32" s="1"/>
      <c r="P32" s="1"/>
      <c r="Q32" s="1"/>
      <c r="R32" s="1"/>
      <c r="S32" s="1"/>
      <c r="T32" s="1"/>
      <c r="U32" s="1"/>
      <c r="V32" s="1"/>
      <c r="W32" s="1"/>
      <c r="X32" s="1"/>
      <c r="Y32" s="1"/>
      <c r="Z32" s="1"/>
      <c r="AA32" s="1"/>
    </row>
    <row r="33" spans="1:27" ht="14.25" customHeight="1">
      <c r="A33" s="475"/>
      <c r="B33" s="476"/>
      <c r="C33" s="514" t="s">
        <v>38</v>
      </c>
      <c r="D33" s="467"/>
      <c r="E33" s="374"/>
      <c r="F33" s="367"/>
      <c r="G33" s="375"/>
      <c r="H33" s="513"/>
      <c r="I33" s="375"/>
      <c r="J33" s="1"/>
      <c r="K33" s="22"/>
      <c r="L33" s="1"/>
      <c r="M33" s="1"/>
      <c r="N33" s="1"/>
      <c r="O33" s="1"/>
      <c r="P33" s="1"/>
      <c r="Q33" s="1"/>
      <c r="R33" s="1"/>
      <c r="S33" s="1"/>
      <c r="T33" s="1"/>
      <c r="U33" s="1"/>
      <c r="V33" s="1"/>
      <c r="W33" s="1"/>
      <c r="X33" s="1"/>
      <c r="Y33" s="1"/>
      <c r="Z33" s="1"/>
      <c r="AA33" s="1"/>
    </row>
    <row r="34" spans="1:27" ht="14.25" customHeight="1">
      <c r="A34" s="515"/>
      <c r="B34" s="476"/>
      <c r="C34" s="514"/>
      <c r="D34" s="467"/>
      <c r="E34" s="374"/>
      <c r="F34" s="367"/>
      <c r="G34" s="368"/>
      <c r="H34" s="513"/>
      <c r="I34" s="375"/>
      <c r="J34" s="1"/>
      <c r="K34" s="22"/>
      <c r="L34" s="1"/>
      <c r="M34" s="1"/>
      <c r="N34" s="1"/>
      <c r="O34" s="1"/>
      <c r="P34" s="702">
        <f>+E75+E130+'Bill No. 4 Ancillary'!E20</f>
        <v>492873.13949999999</v>
      </c>
      <c r="Q34" s="1"/>
      <c r="R34" s="1"/>
      <c r="S34" s="1"/>
      <c r="T34" s="1"/>
      <c r="U34" s="1"/>
      <c r="V34" s="1"/>
      <c r="W34" s="1"/>
      <c r="X34" s="1"/>
      <c r="Y34" s="1"/>
      <c r="Z34" s="1"/>
      <c r="AA34" s="1"/>
    </row>
    <row r="35" spans="1:27" ht="14.25" customHeight="1">
      <c r="A35" s="475" t="s">
        <v>22</v>
      </c>
      <c r="B35" s="476"/>
      <c r="C35" s="474" t="s">
        <v>1255</v>
      </c>
      <c r="D35" s="467"/>
      <c r="E35" s="366">
        <v>1500</v>
      </c>
      <c r="F35" s="367" t="s">
        <v>24</v>
      </c>
      <c r="G35" s="368">
        <v>0.26500000000000001</v>
      </c>
      <c r="H35" s="513">
        <f>+G35*E35</f>
        <v>397.5</v>
      </c>
      <c r="I35" s="375"/>
      <c r="J35" s="1"/>
      <c r="K35" s="22">
        <f>M.S!F8*M.S!G8</f>
        <v>752.10300000000007</v>
      </c>
      <c r="L35" s="1"/>
      <c r="M35" s="1"/>
      <c r="N35" s="1"/>
      <c r="O35" s="1"/>
      <c r="P35" s="1"/>
      <c r="Q35" s="1"/>
      <c r="R35" s="1"/>
      <c r="S35" s="1"/>
      <c r="T35" s="1"/>
      <c r="U35" s="1"/>
      <c r="V35" s="1"/>
      <c r="W35" s="1"/>
      <c r="X35" s="1"/>
      <c r="Y35" s="1"/>
      <c r="Z35" s="1"/>
      <c r="AA35" s="1"/>
    </row>
    <row r="36" spans="1:27" ht="14.25" customHeight="1">
      <c r="A36" s="475"/>
      <c r="B36" s="476"/>
      <c r="C36" s="474"/>
      <c r="D36" s="467"/>
      <c r="E36" s="374"/>
      <c r="F36" s="367"/>
      <c r="G36" s="375"/>
      <c r="H36" s="513"/>
      <c r="I36" s="375"/>
      <c r="J36" s="1"/>
      <c r="K36" s="22"/>
      <c r="L36" s="1"/>
      <c r="M36" s="1"/>
      <c r="N36" s="1"/>
      <c r="O36" s="1"/>
      <c r="P36" s="1"/>
      <c r="Q36" s="1"/>
      <c r="R36" s="1"/>
      <c r="S36" s="1"/>
      <c r="T36" s="1"/>
      <c r="U36" s="1"/>
      <c r="V36" s="1"/>
      <c r="W36" s="1"/>
      <c r="X36" s="1"/>
      <c r="Y36" s="1"/>
      <c r="Z36" s="1"/>
      <c r="AA36" s="1"/>
    </row>
    <row r="37" spans="1:27" ht="14.25" customHeight="1">
      <c r="A37" s="475"/>
      <c r="B37" s="476"/>
      <c r="C37" s="466" t="s">
        <v>39</v>
      </c>
      <c r="D37" s="467"/>
      <c r="E37" s="519"/>
      <c r="F37" s="367"/>
      <c r="G37" s="375"/>
      <c r="H37" s="513"/>
      <c r="I37" s="375"/>
      <c r="J37" s="1"/>
      <c r="K37" s="22"/>
      <c r="L37" s="1"/>
      <c r="M37" s="1"/>
      <c r="N37" s="1"/>
      <c r="O37" s="1"/>
      <c r="P37" s="1"/>
      <c r="Q37" s="1"/>
      <c r="R37" s="1"/>
      <c r="S37" s="1"/>
      <c r="T37" s="1"/>
      <c r="U37" s="1"/>
      <c r="V37" s="1"/>
      <c r="W37" s="1"/>
      <c r="X37" s="1"/>
      <c r="Y37" s="1"/>
      <c r="Z37" s="1"/>
      <c r="AA37" s="1"/>
    </row>
    <row r="38" spans="1:27" ht="14.25" customHeight="1">
      <c r="A38" s="475"/>
      <c r="B38" s="476"/>
      <c r="C38" s="516"/>
      <c r="D38" s="467"/>
      <c r="E38" s="374"/>
      <c r="F38" s="367"/>
      <c r="G38" s="368"/>
      <c r="H38" s="513"/>
      <c r="I38" s="375"/>
      <c r="J38" s="1"/>
      <c r="K38" s="22"/>
      <c r="L38" s="1"/>
      <c r="M38" s="1"/>
      <c r="N38" s="1"/>
      <c r="O38" s="1"/>
      <c r="P38" s="1"/>
      <c r="Q38" s="1"/>
      <c r="R38" s="1"/>
      <c r="S38" s="1"/>
      <c r="T38" s="1"/>
      <c r="U38" s="1"/>
      <c r="V38" s="1"/>
      <c r="W38" s="1"/>
      <c r="X38" s="1"/>
      <c r="Y38" s="1"/>
      <c r="Z38" s="1"/>
      <c r="AA38" s="1"/>
    </row>
    <row r="39" spans="1:27" ht="14.25" customHeight="1">
      <c r="A39" s="475"/>
      <c r="B39" s="476"/>
      <c r="C39" s="466" t="s">
        <v>40</v>
      </c>
      <c r="D39" s="467"/>
      <c r="E39" s="519"/>
      <c r="F39" s="367"/>
      <c r="G39" s="375"/>
      <c r="H39" s="513"/>
      <c r="I39" s="375"/>
      <c r="J39" s="1"/>
      <c r="K39" s="22"/>
      <c r="L39" s="1"/>
      <c r="M39" s="1"/>
      <c r="N39" s="1"/>
      <c r="O39" s="1"/>
      <c r="P39" s="1"/>
      <c r="Q39" s="1"/>
      <c r="R39" s="1"/>
      <c r="S39" s="1"/>
      <c r="T39" s="1"/>
      <c r="U39" s="1"/>
      <c r="V39" s="1"/>
      <c r="W39" s="1"/>
      <c r="X39" s="1"/>
      <c r="Y39" s="1"/>
      <c r="Z39" s="1"/>
      <c r="AA39" s="1"/>
    </row>
    <row r="40" spans="1:27" ht="14.25" customHeight="1">
      <c r="A40" s="475"/>
      <c r="B40" s="476"/>
      <c r="C40" s="516"/>
      <c r="D40" s="467"/>
      <c r="E40" s="374"/>
      <c r="F40" s="367"/>
      <c r="G40" s="368"/>
      <c r="H40" s="513"/>
      <c r="I40" s="375"/>
      <c r="J40" s="1"/>
      <c r="K40" s="22"/>
      <c r="L40" s="1"/>
      <c r="M40" s="1"/>
      <c r="N40" s="1"/>
      <c r="O40" s="1"/>
      <c r="P40" s="1"/>
      <c r="Q40" s="1"/>
      <c r="R40" s="1"/>
      <c r="S40" s="1"/>
      <c r="T40" s="1"/>
      <c r="U40" s="1"/>
      <c r="V40" s="1"/>
      <c r="W40" s="1"/>
      <c r="X40" s="1"/>
      <c r="Y40" s="1"/>
      <c r="Z40" s="1"/>
      <c r="AA40" s="1"/>
    </row>
    <row r="41" spans="1:27" ht="14.25" customHeight="1">
      <c r="A41" s="475" t="s">
        <v>25</v>
      </c>
      <c r="B41" s="476"/>
      <c r="C41" s="516" t="s">
        <v>41</v>
      </c>
      <c r="D41" s="467"/>
      <c r="E41" s="366">
        <f>K41</f>
        <v>165.36490000000001</v>
      </c>
      <c r="F41" s="367" t="s">
        <v>27</v>
      </c>
      <c r="G41" s="368">
        <v>17.5</v>
      </c>
      <c r="H41" s="513">
        <f>+G41*E41</f>
        <v>2893.8857499999999</v>
      </c>
      <c r="I41" s="375"/>
      <c r="J41" s="1"/>
      <c r="K41" s="22">
        <f>M.S!R27+M.S!S27</f>
        <v>165.36490000000001</v>
      </c>
      <c r="L41" s="1"/>
      <c r="M41" s="1"/>
      <c r="N41" s="1"/>
      <c r="O41" s="1"/>
      <c r="P41" s="1"/>
      <c r="Q41" s="1"/>
      <c r="R41" s="1"/>
      <c r="S41" s="1"/>
      <c r="T41" s="1"/>
      <c r="U41" s="1"/>
      <c r="V41" s="1"/>
      <c r="W41" s="1"/>
      <c r="X41" s="1"/>
      <c r="Y41" s="1"/>
      <c r="Z41" s="1"/>
      <c r="AA41" s="1"/>
    </row>
    <row r="42" spans="1:27" ht="14.25" customHeight="1">
      <c r="A42" s="527"/>
      <c r="B42" s="476"/>
      <c r="C42" s="516"/>
      <c r="D42" s="467"/>
      <c r="E42" s="374"/>
      <c r="F42" s="528"/>
      <c r="G42" s="375"/>
      <c r="H42" s="513"/>
      <c r="I42" s="375"/>
      <c r="J42" s="1"/>
      <c r="K42" s="22"/>
      <c r="L42" s="1"/>
      <c r="M42" s="1"/>
      <c r="N42" s="1"/>
      <c r="O42" s="1"/>
      <c r="P42" s="1"/>
      <c r="Q42" s="1"/>
      <c r="R42" s="1"/>
      <c r="S42" s="1"/>
      <c r="T42" s="1"/>
      <c r="U42" s="1"/>
      <c r="V42" s="1"/>
      <c r="W42" s="1"/>
      <c r="X42" s="1"/>
      <c r="Y42" s="1"/>
      <c r="Z42" s="1"/>
      <c r="AA42" s="1"/>
    </row>
    <row r="43" spans="1:27" ht="14.25" customHeight="1">
      <c r="A43" s="475"/>
      <c r="B43" s="476"/>
      <c r="C43" s="466" t="s">
        <v>42</v>
      </c>
      <c r="D43" s="467"/>
      <c r="E43" s="519"/>
      <c r="F43" s="367"/>
      <c r="G43" s="368"/>
      <c r="H43" s="513"/>
      <c r="I43" s="375"/>
      <c r="J43" s="1"/>
      <c r="K43" s="22"/>
      <c r="L43" s="1"/>
      <c r="M43" s="1"/>
      <c r="N43" s="1"/>
      <c r="O43" s="1"/>
      <c r="P43" s="1"/>
      <c r="Q43" s="1"/>
      <c r="R43" s="1"/>
      <c r="S43" s="1"/>
      <c r="T43" s="1"/>
      <c r="U43" s="1"/>
      <c r="V43" s="1"/>
      <c r="W43" s="1"/>
      <c r="X43" s="1"/>
      <c r="Y43" s="1"/>
      <c r="Z43" s="1"/>
      <c r="AA43" s="1"/>
    </row>
    <row r="44" spans="1:27" ht="14.25" customHeight="1">
      <c r="A44" s="475"/>
      <c r="B44" s="476"/>
      <c r="C44" s="474"/>
      <c r="D44" s="467"/>
      <c r="E44" s="374"/>
      <c r="F44" s="367"/>
      <c r="G44" s="375"/>
      <c r="H44" s="513"/>
      <c r="I44" s="375"/>
      <c r="J44" s="1"/>
      <c r="K44" s="22"/>
      <c r="L44" s="1"/>
      <c r="M44" s="1"/>
      <c r="N44" s="1"/>
      <c r="O44" s="1"/>
      <c r="P44" s="1"/>
      <c r="Q44" s="1"/>
      <c r="R44" s="1"/>
      <c r="S44" s="1"/>
      <c r="T44" s="1"/>
      <c r="U44" s="1"/>
      <c r="V44" s="1"/>
      <c r="W44" s="1"/>
      <c r="X44" s="1"/>
      <c r="Y44" s="1"/>
      <c r="Z44" s="1"/>
      <c r="AA44" s="1"/>
    </row>
    <row r="45" spans="1:27" ht="14.25" customHeight="1">
      <c r="A45" s="475" t="s">
        <v>28</v>
      </c>
      <c r="B45" s="476"/>
      <c r="C45" s="474" t="s">
        <v>1153</v>
      </c>
      <c r="D45" s="467"/>
      <c r="E45" s="366">
        <f>K45</f>
        <v>670.79410000000007</v>
      </c>
      <c r="F45" s="367" t="s">
        <v>27</v>
      </c>
      <c r="G45" s="368">
        <v>19.75</v>
      </c>
      <c r="H45" s="513">
        <f>+G45*E45</f>
        <v>13248.183475000002</v>
      </c>
      <c r="I45" s="375"/>
      <c r="J45" s="1"/>
      <c r="K45" s="22">
        <f>M.S!V31+M.S!H291+M.S!I293</f>
        <v>670.79410000000007</v>
      </c>
      <c r="L45" s="1"/>
      <c r="M45" s="1"/>
      <c r="N45" s="1"/>
      <c r="O45" s="1"/>
      <c r="P45" s="1"/>
      <c r="Q45" s="1"/>
      <c r="R45" s="1"/>
      <c r="S45" s="1"/>
      <c r="T45" s="1"/>
      <c r="U45" s="1"/>
      <c r="V45" s="1"/>
      <c r="W45" s="1"/>
      <c r="X45" s="1"/>
      <c r="Y45" s="1"/>
      <c r="Z45" s="1"/>
      <c r="AA45" s="1"/>
    </row>
    <row r="46" spans="1:27" ht="14.25" customHeight="1">
      <c r="A46" s="529"/>
      <c r="B46" s="476"/>
      <c r="C46" s="530"/>
      <c r="D46" s="467"/>
      <c r="E46" s="531"/>
      <c r="F46" s="532"/>
      <c r="G46" s="375"/>
      <c r="H46" s="513"/>
      <c r="I46" s="375"/>
      <c r="J46" s="1"/>
      <c r="K46" s="22"/>
      <c r="L46" s="1"/>
      <c r="M46" s="1"/>
      <c r="N46" s="1"/>
      <c r="O46" s="1"/>
      <c r="P46" s="1"/>
      <c r="Q46" s="1"/>
      <c r="R46" s="1"/>
      <c r="S46" s="1"/>
      <c r="T46" s="1"/>
      <c r="U46" s="1"/>
      <c r="V46" s="1"/>
      <c r="W46" s="1"/>
      <c r="X46" s="1"/>
      <c r="Y46" s="1"/>
      <c r="Z46" s="1"/>
      <c r="AA46" s="1"/>
    </row>
    <row r="47" spans="1:27" ht="14.25" customHeight="1">
      <c r="A47" s="475" t="s">
        <v>31</v>
      </c>
      <c r="B47" s="476"/>
      <c r="C47" s="474" t="s">
        <v>43</v>
      </c>
      <c r="D47" s="467"/>
      <c r="E47" s="366">
        <f>K47</f>
        <v>62.115000000000009</v>
      </c>
      <c r="F47" s="367" t="s">
        <v>27</v>
      </c>
      <c r="G47" s="368">
        <v>19.75</v>
      </c>
      <c r="H47" s="513">
        <f>+G47*E47</f>
        <v>1226.7712500000002</v>
      </c>
      <c r="I47" s="375"/>
      <c r="J47" s="1"/>
      <c r="K47" s="22">
        <f>M.S!V43</f>
        <v>62.115000000000009</v>
      </c>
      <c r="L47" s="1"/>
      <c r="M47" s="1"/>
      <c r="N47" s="1"/>
      <c r="O47" s="1"/>
      <c r="P47" s="1"/>
      <c r="Q47" s="1"/>
      <c r="R47" s="1"/>
      <c r="S47" s="1"/>
      <c r="T47" s="1"/>
      <c r="U47" s="1"/>
      <c r="V47" s="1"/>
      <c r="W47" s="1"/>
      <c r="X47" s="1"/>
      <c r="Y47" s="1"/>
      <c r="Z47" s="1"/>
      <c r="AA47" s="1"/>
    </row>
    <row r="48" spans="1:27" ht="14.25" customHeight="1">
      <c r="A48" s="529"/>
      <c r="B48" s="476"/>
      <c r="C48" s="530"/>
      <c r="D48" s="467"/>
      <c r="E48" s="531"/>
      <c r="F48" s="532"/>
      <c r="G48" s="375"/>
      <c r="H48" s="513"/>
      <c r="I48" s="375"/>
      <c r="J48" s="1"/>
      <c r="K48" s="22"/>
      <c r="L48" s="1"/>
      <c r="M48" s="1"/>
      <c r="N48" s="1"/>
      <c r="O48" s="1"/>
      <c r="P48" s="1"/>
      <c r="Q48" s="1"/>
      <c r="R48" s="1"/>
      <c r="S48" s="1"/>
      <c r="T48" s="1"/>
      <c r="U48" s="1"/>
      <c r="V48" s="1"/>
      <c r="W48" s="1"/>
      <c r="X48" s="1"/>
      <c r="Y48" s="1"/>
      <c r="Z48" s="1"/>
      <c r="AA48" s="1"/>
    </row>
    <row r="49" spans="1:27" ht="14.25" customHeight="1">
      <c r="A49" s="475" t="s">
        <v>32</v>
      </c>
      <c r="B49" s="476"/>
      <c r="C49" s="474" t="s">
        <v>44</v>
      </c>
      <c r="D49" s="467"/>
      <c r="E49" s="366">
        <f>K49</f>
        <v>35.8566</v>
      </c>
      <c r="F49" s="367" t="s">
        <v>27</v>
      </c>
      <c r="G49" s="368">
        <v>19.75</v>
      </c>
      <c r="H49" s="513">
        <f>+G49*E49</f>
        <v>708.16785000000004</v>
      </c>
      <c r="I49" s="375"/>
      <c r="J49" s="1"/>
      <c r="K49" s="22">
        <f>M.S!V89</f>
        <v>35.8566</v>
      </c>
      <c r="L49" s="1"/>
      <c r="M49" s="1"/>
      <c r="N49" s="1"/>
      <c r="O49" s="1"/>
      <c r="P49" s="1"/>
      <c r="Q49" s="1"/>
      <c r="R49" s="1"/>
      <c r="S49" s="1"/>
      <c r="T49" s="1"/>
      <c r="U49" s="1"/>
      <c r="V49" s="1"/>
      <c r="W49" s="1"/>
      <c r="X49" s="1"/>
      <c r="Y49" s="1"/>
      <c r="Z49" s="1"/>
      <c r="AA49" s="1"/>
    </row>
    <row r="50" spans="1:27" ht="14.25" customHeight="1">
      <c r="A50" s="475"/>
      <c r="B50" s="476"/>
      <c r="C50" s="516"/>
      <c r="D50" s="467"/>
      <c r="E50" s="374"/>
      <c r="F50" s="367"/>
      <c r="G50" s="518"/>
      <c r="H50" s="513"/>
      <c r="I50" s="375"/>
      <c r="J50" s="1"/>
      <c r="K50" s="22"/>
      <c r="L50" s="1"/>
      <c r="M50" s="1"/>
      <c r="N50" s="1"/>
      <c r="O50" s="1"/>
      <c r="P50" s="1"/>
      <c r="Q50" s="1"/>
      <c r="R50" s="1"/>
      <c r="S50" s="1"/>
      <c r="T50" s="1"/>
      <c r="U50" s="1"/>
      <c r="V50" s="1"/>
      <c r="W50" s="1"/>
      <c r="X50" s="1"/>
      <c r="Y50" s="1"/>
      <c r="Z50" s="1"/>
      <c r="AA50" s="1"/>
    </row>
    <row r="51" spans="1:27" ht="14.25" customHeight="1">
      <c r="A51" s="475" t="s">
        <v>33</v>
      </c>
      <c r="B51" s="476"/>
      <c r="C51" s="516" t="s">
        <v>45</v>
      </c>
      <c r="D51" s="467"/>
      <c r="E51" s="366">
        <f>+K51</f>
        <v>192.80430000000001</v>
      </c>
      <c r="F51" s="367" t="s">
        <v>27</v>
      </c>
      <c r="G51" s="368">
        <v>19.75</v>
      </c>
      <c r="H51" s="513">
        <f>+G51*E51</f>
        <v>3807.8849250000003</v>
      </c>
      <c r="I51" s="375"/>
      <c r="J51" s="1"/>
      <c r="K51" s="22">
        <f>M.S!V109</f>
        <v>192.80430000000001</v>
      </c>
      <c r="L51" s="1"/>
      <c r="M51" s="1"/>
      <c r="N51" s="1"/>
      <c r="O51" s="1"/>
      <c r="P51" s="1"/>
      <c r="Q51" s="1"/>
      <c r="R51" s="1"/>
      <c r="S51" s="1"/>
      <c r="T51" s="1"/>
      <c r="U51" s="1"/>
      <c r="V51" s="1"/>
      <c r="W51" s="1"/>
      <c r="X51" s="1"/>
      <c r="Y51" s="1"/>
      <c r="Z51" s="1"/>
      <c r="AA51" s="1"/>
    </row>
    <row r="52" spans="1:27" ht="14.25" customHeight="1">
      <c r="A52" s="483"/>
      <c r="B52" s="16"/>
      <c r="C52" s="783" t="s">
        <v>35</v>
      </c>
      <c r="D52" s="17"/>
      <c r="E52" s="30"/>
      <c r="F52" s="424"/>
      <c r="G52" s="772" t="s">
        <v>36</v>
      </c>
      <c r="H52" s="521"/>
      <c r="I52" s="382"/>
      <c r="J52" s="1"/>
      <c r="K52" s="22"/>
      <c r="L52" s="1"/>
      <c r="M52" s="1"/>
      <c r="N52" s="1"/>
      <c r="O52" s="1"/>
      <c r="P52" s="1"/>
      <c r="Q52" s="1"/>
      <c r="R52" s="1"/>
      <c r="S52" s="1"/>
      <c r="T52" s="1"/>
      <c r="U52" s="1"/>
      <c r="V52" s="1"/>
      <c r="W52" s="1"/>
      <c r="X52" s="1"/>
      <c r="Y52" s="1"/>
      <c r="Z52" s="1"/>
      <c r="AA52" s="1"/>
    </row>
    <row r="53" spans="1:27" ht="14.25" customHeight="1">
      <c r="A53" s="533" t="s">
        <v>13</v>
      </c>
      <c r="B53" s="534"/>
      <c r="C53" s="786"/>
      <c r="D53" s="535"/>
      <c r="E53" s="536"/>
      <c r="F53" s="537"/>
      <c r="G53" s="788"/>
      <c r="H53" s="538">
        <f>SUM(H35:H52)</f>
        <v>22282.393250000008</v>
      </c>
      <c r="I53" s="383"/>
      <c r="J53" s="1"/>
      <c r="K53" s="22"/>
      <c r="L53" s="1"/>
      <c r="M53" s="1"/>
      <c r="N53" s="1"/>
      <c r="O53" s="1"/>
      <c r="P53" s="1"/>
      <c r="Q53" s="1"/>
      <c r="R53" s="1"/>
      <c r="S53" s="1"/>
      <c r="T53" s="1"/>
      <c r="U53" s="1"/>
      <c r="V53" s="1"/>
      <c r="W53" s="1"/>
      <c r="X53" s="1"/>
      <c r="Y53" s="1"/>
      <c r="Z53" s="1"/>
      <c r="AA53" s="1"/>
    </row>
    <row r="54" spans="1:27" ht="14.25" customHeight="1">
      <c r="A54" s="539"/>
      <c r="B54" s="540"/>
      <c r="C54" s="504"/>
      <c r="D54" s="541"/>
      <c r="E54" s="542"/>
      <c r="F54" s="543"/>
      <c r="G54" s="544"/>
      <c r="H54" s="545"/>
      <c r="I54" s="375"/>
      <c r="J54" s="1"/>
      <c r="K54" s="22"/>
      <c r="L54" s="1"/>
      <c r="M54" s="1"/>
      <c r="N54" s="1"/>
      <c r="O54" s="1"/>
      <c r="P54" s="1"/>
      <c r="Q54" s="1"/>
      <c r="R54" s="1"/>
      <c r="S54" s="1"/>
      <c r="T54" s="1"/>
      <c r="U54" s="1"/>
      <c r="V54" s="1"/>
      <c r="W54" s="1"/>
      <c r="X54" s="1"/>
      <c r="Y54" s="1"/>
      <c r="Z54" s="1"/>
      <c r="AA54" s="1"/>
    </row>
    <row r="55" spans="1:27" ht="14.25" customHeight="1">
      <c r="A55" s="475"/>
      <c r="B55" s="476"/>
      <c r="C55" s="514" t="s">
        <v>37</v>
      </c>
      <c r="D55" s="467"/>
      <c r="E55" s="374"/>
      <c r="F55" s="367"/>
      <c r="G55" s="368"/>
      <c r="H55" s="513"/>
      <c r="I55" s="375"/>
      <c r="J55" s="1"/>
      <c r="K55" s="22"/>
      <c r="L55" s="1"/>
      <c r="M55" s="1"/>
      <c r="N55" s="1"/>
      <c r="O55" s="1"/>
      <c r="P55" s="1"/>
      <c r="Q55" s="1"/>
      <c r="R55" s="1"/>
      <c r="S55" s="1"/>
      <c r="T55" s="1"/>
      <c r="U55" s="1"/>
      <c r="V55" s="1"/>
      <c r="W55" s="1"/>
      <c r="X55" s="1"/>
      <c r="Y55" s="1"/>
      <c r="Z55" s="1"/>
      <c r="AA55" s="1"/>
    </row>
    <row r="56" spans="1:27" ht="14.25" customHeight="1">
      <c r="A56" s="515"/>
      <c r="B56" s="476"/>
      <c r="C56" s="516"/>
      <c r="D56" s="467"/>
      <c r="E56" s="374"/>
      <c r="F56" s="367"/>
      <c r="G56" s="375"/>
      <c r="H56" s="513"/>
      <c r="I56" s="375"/>
      <c r="J56" s="1"/>
      <c r="K56" s="22"/>
      <c r="L56" s="1"/>
      <c r="M56" s="1"/>
      <c r="N56" s="1"/>
      <c r="O56" s="1"/>
      <c r="P56" s="1"/>
      <c r="Q56" s="1"/>
      <c r="R56" s="1"/>
      <c r="S56" s="1"/>
      <c r="T56" s="1"/>
      <c r="U56" s="1"/>
      <c r="V56" s="1"/>
      <c r="W56" s="1"/>
      <c r="X56" s="1"/>
      <c r="Y56" s="1"/>
      <c r="Z56" s="1"/>
      <c r="AA56" s="1"/>
    </row>
    <row r="57" spans="1:27" ht="14.25" customHeight="1">
      <c r="A57" s="475"/>
      <c r="B57" s="476"/>
      <c r="C57" s="466" t="s">
        <v>46</v>
      </c>
      <c r="D57" s="467"/>
      <c r="E57" s="374"/>
      <c r="F57" s="367"/>
      <c r="G57" s="375"/>
      <c r="H57" s="513"/>
      <c r="I57" s="375"/>
      <c r="J57" s="1"/>
      <c r="K57" s="22"/>
      <c r="L57" s="1"/>
      <c r="M57" s="1"/>
      <c r="N57" s="1"/>
      <c r="O57" s="1"/>
      <c r="P57" s="1"/>
      <c r="Q57" s="1"/>
      <c r="R57" s="1"/>
      <c r="S57" s="1"/>
      <c r="T57" s="1"/>
      <c r="U57" s="1"/>
      <c r="V57" s="1"/>
      <c r="W57" s="1"/>
      <c r="X57" s="1"/>
      <c r="Y57" s="1"/>
      <c r="Z57" s="1"/>
      <c r="AA57" s="1"/>
    </row>
    <row r="58" spans="1:27" ht="14.25" customHeight="1">
      <c r="A58" s="515"/>
      <c r="B58" s="476"/>
      <c r="C58" s="516"/>
      <c r="D58" s="467"/>
      <c r="E58" s="374"/>
      <c r="F58" s="367"/>
      <c r="G58" s="368"/>
      <c r="H58" s="513"/>
      <c r="I58" s="375"/>
      <c r="J58" s="1"/>
      <c r="K58" s="22"/>
      <c r="L58" s="1"/>
      <c r="M58" s="1"/>
      <c r="N58" s="1"/>
      <c r="O58" s="1"/>
      <c r="P58" s="1"/>
      <c r="Q58" s="1"/>
      <c r="R58" s="1"/>
      <c r="S58" s="1"/>
      <c r="T58" s="1"/>
      <c r="U58" s="1"/>
      <c r="V58" s="1"/>
      <c r="W58" s="1"/>
      <c r="X58" s="1"/>
      <c r="Y58" s="1"/>
      <c r="Z58" s="1"/>
      <c r="AA58" s="1"/>
    </row>
    <row r="59" spans="1:27" ht="14.25" customHeight="1">
      <c r="A59" s="475" t="s">
        <v>22</v>
      </c>
      <c r="B59" s="476"/>
      <c r="C59" s="474" t="s">
        <v>47</v>
      </c>
      <c r="D59" s="467"/>
      <c r="E59" s="366">
        <f>K59</f>
        <v>88.848000000000013</v>
      </c>
      <c r="F59" s="367" t="s">
        <v>24</v>
      </c>
      <c r="G59" s="368">
        <v>2</v>
      </c>
      <c r="H59" s="513">
        <f>+G59*E59</f>
        <v>177.69600000000003</v>
      </c>
      <c r="I59" s="375"/>
      <c r="J59" s="1"/>
      <c r="K59" s="22">
        <f>M.S!X31</f>
        <v>88.848000000000013</v>
      </c>
      <c r="L59" s="1"/>
      <c r="M59" s="1"/>
      <c r="N59" s="1"/>
      <c r="O59" s="1"/>
      <c r="P59" s="1"/>
      <c r="Q59" s="1"/>
      <c r="R59" s="1"/>
      <c r="S59" s="1"/>
      <c r="T59" s="1"/>
      <c r="U59" s="1"/>
      <c r="V59" s="1"/>
      <c r="W59" s="1"/>
      <c r="X59" s="1"/>
      <c r="Y59" s="1"/>
      <c r="Z59" s="1"/>
      <c r="AA59" s="1"/>
    </row>
    <row r="60" spans="1:27" ht="14.25" customHeight="1">
      <c r="A60" s="529"/>
      <c r="B60" s="476"/>
      <c r="C60" s="530"/>
      <c r="D60" s="467"/>
      <c r="E60" s="531"/>
      <c r="F60" s="367"/>
      <c r="G60" s="368"/>
      <c r="H60" s="513"/>
      <c r="I60" s="375"/>
      <c r="J60" s="1"/>
      <c r="K60" s="22"/>
      <c r="L60" s="1"/>
      <c r="M60" s="1"/>
      <c r="N60" s="1"/>
      <c r="O60" s="1"/>
      <c r="P60" s="1"/>
      <c r="Q60" s="1"/>
      <c r="R60" s="1"/>
      <c r="S60" s="1"/>
      <c r="T60" s="1"/>
      <c r="U60" s="1"/>
      <c r="V60" s="1"/>
      <c r="W60" s="1"/>
      <c r="X60" s="1"/>
      <c r="Y60" s="1"/>
      <c r="Z60" s="1"/>
      <c r="AA60" s="1"/>
    </row>
    <row r="61" spans="1:27" ht="14.25" customHeight="1">
      <c r="A61" s="475" t="s">
        <v>25</v>
      </c>
      <c r="B61" s="476"/>
      <c r="C61" s="474" t="s">
        <v>43</v>
      </c>
      <c r="D61" s="467"/>
      <c r="E61" s="366">
        <f>K61</f>
        <v>62.115000000000009</v>
      </c>
      <c r="F61" s="367" t="s">
        <v>24</v>
      </c>
      <c r="G61" s="368">
        <v>2</v>
      </c>
      <c r="H61" s="513">
        <f>+G61*E61</f>
        <v>124.23000000000002</v>
      </c>
      <c r="I61" s="375"/>
      <c r="J61" s="1"/>
      <c r="K61" s="22">
        <f>M.S!V43</f>
        <v>62.115000000000009</v>
      </c>
      <c r="L61" s="1"/>
      <c r="M61" s="1"/>
      <c r="N61" s="1"/>
      <c r="O61" s="1"/>
      <c r="P61" s="1"/>
      <c r="Q61" s="1"/>
      <c r="R61" s="1"/>
      <c r="S61" s="1"/>
      <c r="T61" s="1"/>
      <c r="U61" s="1"/>
      <c r="V61" s="1"/>
      <c r="W61" s="1"/>
      <c r="X61" s="1"/>
      <c r="Y61" s="1"/>
      <c r="Z61" s="1"/>
      <c r="AA61" s="1"/>
    </row>
    <row r="62" spans="1:27" ht="14.25" customHeight="1">
      <c r="A62" s="475"/>
      <c r="B62" s="476"/>
      <c r="C62" s="530"/>
      <c r="D62" s="467"/>
      <c r="E62" s="531"/>
      <c r="F62" s="532"/>
      <c r="G62" s="368"/>
      <c r="H62" s="513"/>
      <c r="I62" s="375"/>
      <c r="J62" s="1"/>
      <c r="K62" s="22"/>
      <c r="L62" s="1"/>
      <c r="M62" s="1"/>
      <c r="N62" s="1"/>
      <c r="O62" s="1"/>
      <c r="P62" s="1"/>
      <c r="Q62" s="1"/>
      <c r="R62" s="1"/>
      <c r="S62" s="1"/>
      <c r="T62" s="1"/>
      <c r="U62" s="1"/>
      <c r="V62" s="1"/>
      <c r="W62" s="1"/>
      <c r="X62" s="1"/>
      <c r="Y62" s="1"/>
      <c r="Z62" s="1"/>
      <c r="AA62" s="1"/>
    </row>
    <row r="63" spans="1:27" ht="14.25" customHeight="1">
      <c r="A63" s="475" t="s">
        <v>28</v>
      </c>
      <c r="B63" s="476"/>
      <c r="C63" s="474" t="s">
        <v>44</v>
      </c>
      <c r="D63" s="467"/>
      <c r="E63" s="366">
        <f>K63</f>
        <v>1664.2080000000001</v>
      </c>
      <c r="F63" s="367" t="s">
        <v>24</v>
      </c>
      <c r="G63" s="368">
        <v>2</v>
      </c>
      <c r="H63" s="513">
        <f>+G63*E63</f>
        <v>3328.4160000000002</v>
      </c>
      <c r="I63" s="375"/>
      <c r="J63" s="1"/>
      <c r="K63" s="22">
        <f>M.S!X89+M.S!X109</f>
        <v>1664.2080000000001</v>
      </c>
      <c r="L63" s="1"/>
      <c r="M63" s="1"/>
      <c r="N63" s="1"/>
      <c r="O63" s="1"/>
      <c r="P63" s="1"/>
      <c r="Q63" s="1"/>
      <c r="R63" s="1"/>
      <c r="S63" s="1"/>
      <c r="T63" s="1"/>
      <c r="U63" s="1"/>
      <c r="V63" s="1"/>
      <c r="W63" s="1"/>
      <c r="X63" s="1"/>
      <c r="Y63" s="1"/>
      <c r="Z63" s="1"/>
      <c r="AA63" s="1"/>
    </row>
    <row r="64" spans="1:27" ht="14.25" customHeight="1">
      <c r="A64" s="475"/>
      <c r="B64" s="476"/>
      <c r="C64" s="530"/>
      <c r="D64" s="467"/>
      <c r="E64" s="531"/>
      <c r="F64" s="367"/>
      <c r="G64" s="368"/>
      <c r="H64" s="513"/>
      <c r="I64" s="375"/>
      <c r="J64" s="1"/>
      <c r="K64" s="22"/>
      <c r="L64" s="1"/>
      <c r="M64" s="1"/>
      <c r="N64" s="1"/>
      <c r="O64" s="1"/>
      <c r="P64" s="1"/>
      <c r="Q64" s="1"/>
      <c r="R64" s="1"/>
      <c r="S64" s="1"/>
      <c r="T64" s="1"/>
      <c r="U64" s="1"/>
      <c r="V64" s="1"/>
      <c r="W64" s="1"/>
      <c r="X64" s="1"/>
      <c r="Y64" s="1"/>
      <c r="Z64" s="1"/>
      <c r="AA64" s="1"/>
    </row>
    <row r="65" spans="1:27" ht="14.25" customHeight="1">
      <c r="A65" s="475" t="s">
        <v>31</v>
      </c>
      <c r="B65" s="476"/>
      <c r="C65" s="516" t="s">
        <v>48</v>
      </c>
      <c r="D65" s="467"/>
      <c r="E65" s="366">
        <f>K65</f>
        <v>10.552199999999999</v>
      </c>
      <c r="F65" s="367" t="s">
        <v>24</v>
      </c>
      <c r="G65" s="368">
        <v>2</v>
      </c>
      <c r="H65" s="513">
        <f>+G65*E65</f>
        <v>21.104399999999998</v>
      </c>
      <c r="I65" s="375"/>
      <c r="J65" s="1"/>
      <c r="K65" s="22">
        <f>M.S!V127</f>
        <v>10.552199999999999</v>
      </c>
      <c r="L65" s="1"/>
      <c r="M65" s="1"/>
      <c r="N65" s="1"/>
      <c r="O65" s="1"/>
      <c r="P65" s="1"/>
      <c r="Q65" s="1"/>
      <c r="R65" s="1"/>
      <c r="S65" s="1"/>
      <c r="T65" s="1"/>
      <c r="U65" s="1"/>
      <c r="V65" s="1"/>
      <c r="W65" s="1"/>
      <c r="X65" s="1"/>
      <c r="Y65" s="1"/>
      <c r="Z65" s="1"/>
      <c r="AA65" s="1"/>
    </row>
    <row r="66" spans="1:27" ht="14.25" customHeight="1">
      <c r="A66" s="475"/>
      <c r="B66" s="476"/>
      <c r="C66" s="516"/>
      <c r="D66" s="467"/>
      <c r="E66" s="374"/>
      <c r="F66" s="367"/>
      <c r="G66" s="518"/>
      <c r="H66" s="513"/>
      <c r="I66" s="375"/>
      <c r="J66" s="1"/>
      <c r="K66" s="22"/>
      <c r="L66" s="1"/>
      <c r="M66" s="1"/>
      <c r="N66" s="1"/>
      <c r="O66" s="1"/>
      <c r="P66" s="1"/>
      <c r="Q66" s="1"/>
      <c r="R66" s="1"/>
      <c r="S66" s="1"/>
      <c r="T66" s="1"/>
      <c r="U66" s="1"/>
      <c r="V66" s="1"/>
      <c r="W66" s="1"/>
      <c r="X66" s="1"/>
      <c r="Y66" s="1"/>
      <c r="Z66" s="1"/>
      <c r="AA66" s="1"/>
    </row>
    <row r="67" spans="1:27" ht="14.25" customHeight="1">
      <c r="A67" s="475" t="s">
        <v>32</v>
      </c>
      <c r="B67" s="476"/>
      <c r="C67" s="516" t="s">
        <v>49</v>
      </c>
      <c r="D67" s="467"/>
      <c r="E67" s="366">
        <f>K67</f>
        <v>5</v>
      </c>
      <c r="F67" s="367" t="s">
        <v>24</v>
      </c>
      <c r="G67" s="368">
        <v>2</v>
      </c>
      <c r="H67" s="513">
        <f>+G67*E67</f>
        <v>10</v>
      </c>
      <c r="I67" s="375"/>
      <c r="J67" s="1"/>
      <c r="K67" s="22">
        <v>5</v>
      </c>
      <c r="L67" s="1"/>
      <c r="M67" s="1"/>
      <c r="N67" s="1"/>
      <c r="O67" s="1"/>
      <c r="P67" s="1"/>
      <c r="Q67" s="1"/>
      <c r="R67" s="1"/>
      <c r="S67" s="1"/>
      <c r="T67" s="1"/>
      <c r="U67" s="1"/>
      <c r="V67" s="1"/>
      <c r="W67" s="1"/>
      <c r="X67" s="1"/>
      <c r="Y67" s="1"/>
      <c r="Z67" s="1"/>
      <c r="AA67" s="1"/>
    </row>
    <row r="68" spans="1:27" ht="14.25" customHeight="1">
      <c r="A68" s="475"/>
      <c r="B68" s="476"/>
      <c r="C68" s="516"/>
      <c r="D68" s="467"/>
      <c r="E68" s="366"/>
      <c r="F68" s="367"/>
      <c r="G68" s="368"/>
      <c r="H68" s="513"/>
      <c r="I68" s="375"/>
      <c r="J68" s="1"/>
      <c r="K68" s="22"/>
      <c r="L68" s="1"/>
      <c r="M68" s="1"/>
      <c r="N68" s="1"/>
      <c r="O68" s="1"/>
      <c r="P68" s="1"/>
      <c r="Q68" s="1"/>
      <c r="R68" s="1"/>
      <c r="S68" s="1"/>
      <c r="T68" s="1"/>
      <c r="U68" s="1"/>
      <c r="V68" s="1"/>
      <c r="W68" s="1"/>
      <c r="X68" s="1"/>
      <c r="Y68" s="1"/>
      <c r="Z68" s="1"/>
      <c r="AA68" s="1"/>
    </row>
    <row r="69" spans="1:27" ht="14.25" customHeight="1">
      <c r="A69" s="475" t="s">
        <v>33</v>
      </c>
      <c r="B69" s="476"/>
      <c r="C69" s="516" t="s">
        <v>45</v>
      </c>
      <c r="D69" s="467"/>
      <c r="E69" s="366">
        <f>+K69</f>
        <v>3156.3919999999998</v>
      </c>
      <c r="F69" s="367" t="s">
        <v>27</v>
      </c>
      <c r="G69" s="368">
        <v>2</v>
      </c>
      <c r="H69" s="513">
        <f>+G69*E69</f>
        <v>6312.7839999999997</v>
      </c>
      <c r="I69" s="375"/>
      <c r="J69" s="1"/>
      <c r="K69" s="22">
        <f>M.S!X100+M.S!X109</f>
        <v>3156.3919999999998</v>
      </c>
      <c r="L69" s="1"/>
      <c r="M69" s="1"/>
      <c r="N69" s="1"/>
      <c r="O69" s="1"/>
      <c r="P69" s="1"/>
      <c r="Q69" s="1"/>
      <c r="R69" s="1"/>
      <c r="S69" s="1"/>
      <c r="T69" s="1"/>
      <c r="U69" s="1"/>
      <c r="V69" s="1"/>
      <c r="W69" s="1"/>
      <c r="X69" s="1"/>
      <c r="Y69" s="1"/>
      <c r="Z69" s="1"/>
      <c r="AA69" s="1"/>
    </row>
    <row r="70" spans="1:27" ht="14.25" customHeight="1">
      <c r="A70" s="475"/>
      <c r="B70" s="476"/>
      <c r="C70" s="546"/>
      <c r="D70" s="467"/>
      <c r="E70" s="547"/>
      <c r="F70" s="367"/>
      <c r="G70" s="368"/>
      <c r="H70" s="513"/>
      <c r="I70" s="375"/>
      <c r="J70" s="1"/>
      <c r="K70" s="22"/>
      <c r="L70" s="1"/>
      <c r="M70" s="1"/>
      <c r="N70" s="1"/>
      <c r="O70" s="1"/>
      <c r="P70" s="1"/>
      <c r="Q70" s="1"/>
      <c r="R70" s="1"/>
      <c r="S70" s="1"/>
      <c r="T70" s="1"/>
      <c r="U70" s="1"/>
      <c r="V70" s="1"/>
      <c r="W70" s="1"/>
      <c r="X70" s="1"/>
      <c r="Y70" s="1"/>
      <c r="Z70" s="1"/>
      <c r="AA70" s="1"/>
    </row>
    <row r="71" spans="1:27" ht="14.25" customHeight="1">
      <c r="A71" s="475"/>
      <c r="B71" s="476"/>
      <c r="C71" s="466" t="s">
        <v>50</v>
      </c>
      <c r="D71" s="467"/>
      <c r="E71" s="519"/>
      <c r="F71" s="367"/>
      <c r="G71" s="375"/>
      <c r="H71" s="513"/>
      <c r="I71" s="375"/>
      <c r="J71" s="1"/>
      <c r="K71" s="22"/>
      <c r="L71" s="1"/>
      <c r="M71" s="1"/>
      <c r="N71" s="1"/>
      <c r="O71" s="1"/>
      <c r="P71" s="1"/>
      <c r="Q71" s="1"/>
      <c r="R71" s="1"/>
      <c r="S71" s="1"/>
      <c r="T71" s="1"/>
      <c r="U71" s="1"/>
      <c r="V71" s="1"/>
      <c r="W71" s="1"/>
      <c r="X71" s="1"/>
      <c r="Y71" s="1"/>
      <c r="Z71" s="1"/>
      <c r="AA71" s="1"/>
    </row>
    <row r="72" spans="1:27" ht="14.25" customHeight="1">
      <c r="A72" s="515"/>
      <c r="B72" s="476"/>
      <c r="C72" s="466"/>
      <c r="D72" s="467"/>
      <c r="E72" s="519"/>
      <c r="F72" s="367"/>
      <c r="G72" s="368"/>
      <c r="H72" s="513"/>
      <c r="I72" s="375"/>
      <c r="J72" s="1"/>
      <c r="K72" s="22"/>
      <c r="L72" s="1"/>
      <c r="M72" s="1"/>
      <c r="N72" s="1"/>
      <c r="O72" s="1"/>
      <c r="P72" s="1"/>
      <c r="Q72" s="1"/>
      <c r="R72" s="1"/>
      <c r="S72" s="1"/>
      <c r="T72" s="1"/>
      <c r="U72" s="1"/>
      <c r="V72" s="1"/>
      <c r="W72" s="1"/>
      <c r="X72" s="1"/>
      <c r="Y72" s="1"/>
      <c r="Z72" s="1"/>
      <c r="AA72" s="1"/>
    </row>
    <row r="73" spans="1:27" ht="14.25" customHeight="1">
      <c r="A73" s="475"/>
      <c r="B73" s="476"/>
      <c r="C73" s="474" t="s">
        <v>51</v>
      </c>
      <c r="D73" s="467"/>
      <c r="E73" s="374"/>
      <c r="F73" s="367"/>
      <c r="G73" s="375"/>
      <c r="H73" s="513"/>
      <c r="I73" s="375"/>
      <c r="J73" s="1"/>
      <c r="K73" s="22"/>
      <c r="L73" s="1"/>
      <c r="M73" s="1"/>
      <c r="N73" s="1"/>
      <c r="O73" s="1"/>
      <c r="P73" s="1"/>
      <c r="Q73" s="1"/>
      <c r="R73" s="1"/>
      <c r="S73" s="1"/>
      <c r="T73" s="1"/>
      <c r="U73" s="1"/>
      <c r="V73" s="1"/>
      <c r="W73" s="1"/>
      <c r="X73" s="1"/>
      <c r="Y73" s="1"/>
      <c r="Z73" s="1"/>
      <c r="AA73" s="1"/>
    </row>
    <row r="74" spans="1:27" ht="14.25" customHeight="1">
      <c r="A74" s="515"/>
      <c r="B74" s="476"/>
      <c r="C74" s="474"/>
      <c r="D74" s="467"/>
      <c r="E74" s="374"/>
      <c r="F74" s="367"/>
      <c r="G74" s="368"/>
      <c r="H74" s="513"/>
      <c r="I74" s="375"/>
      <c r="J74" s="1"/>
      <c r="K74" s="22"/>
      <c r="L74" s="1"/>
      <c r="M74" s="1"/>
      <c r="N74" s="1"/>
      <c r="O74" s="1"/>
      <c r="P74" s="1"/>
      <c r="Q74" s="1"/>
      <c r="R74" s="1"/>
      <c r="S74" s="1"/>
      <c r="T74" s="1"/>
      <c r="U74" s="1"/>
      <c r="V74" s="1"/>
      <c r="W74" s="1"/>
      <c r="X74" s="1"/>
      <c r="Y74" s="1"/>
      <c r="Z74" s="1"/>
      <c r="AA74" s="1"/>
    </row>
    <row r="75" spans="1:27" ht="14.25" customHeight="1">
      <c r="A75" s="475" t="s">
        <v>53</v>
      </c>
      <c r="B75" s="476"/>
      <c r="C75" s="474" t="s">
        <v>1159</v>
      </c>
      <c r="D75" s="467"/>
      <c r="E75" s="366">
        <f>K75</f>
        <v>130471.09700000001</v>
      </c>
      <c r="F75" s="367" t="s">
        <v>52</v>
      </c>
      <c r="G75" s="368">
        <v>0.3</v>
      </c>
      <c r="H75" s="513">
        <f>+G75*E75</f>
        <v>39141.329100000003</v>
      </c>
      <c r="I75" s="375"/>
      <c r="J75" s="1"/>
      <c r="K75" s="22">
        <f>6323.835+53873.6415+28651.1505+13238.94+4320.31+550.85+381.71+23130.66</f>
        <v>130471.09700000001</v>
      </c>
      <c r="L75" s="1"/>
      <c r="M75" s="1"/>
      <c r="N75" s="1"/>
      <c r="O75" s="1"/>
      <c r="P75" s="1"/>
      <c r="Q75" s="1"/>
      <c r="R75" s="1"/>
      <c r="S75" s="1"/>
      <c r="T75" s="1"/>
      <c r="U75" s="1"/>
      <c r="V75" s="1"/>
      <c r="W75" s="1"/>
      <c r="X75" s="1"/>
      <c r="Y75" s="1"/>
      <c r="Z75" s="1"/>
      <c r="AA75" s="1"/>
    </row>
    <row r="76" spans="1:27" ht="14.25" customHeight="1">
      <c r="A76" s="515"/>
      <c r="B76" s="476"/>
      <c r="C76" s="474"/>
      <c r="D76" s="467"/>
      <c r="E76" s="374"/>
      <c r="F76" s="367"/>
      <c r="G76" s="368"/>
      <c r="H76" s="513"/>
      <c r="I76" s="375"/>
      <c r="J76" s="1"/>
      <c r="K76" s="22"/>
      <c r="L76" s="1"/>
      <c r="M76" s="1"/>
      <c r="N76" s="1"/>
      <c r="O76" s="1"/>
      <c r="P76" s="1"/>
      <c r="Q76" s="1"/>
      <c r="R76" s="1"/>
      <c r="S76" s="1"/>
      <c r="T76" s="1"/>
      <c r="U76" s="1"/>
      <c r="V76" s="1"/>
      <c r="W76" s="1"/>
      <c r="X76" s="1"/>
      <c r="Y76" s="1"/>
      <c r="Z76" s="1"/>
      <c r="AA76" s="1"/>
    </row>
    <row r="77" spans="1:27" ht="14.25" customHeight="1">
      <c r="A77" s="475" t="s">
        <v>54</v>
      </c>
      <c r="B77" s="476"/>
      <c r="C77" s="474" t="s">
        <v>1166</v>
      </c>
      <c r="D77" s="467"/>
      <c r="E77" s="366">
        <f>K77</f>
        <v>753</v>
      </c>
      <c r="F77" s="367" t="s">
        <v>24</v>
      </c>
      <c r="G77" s="368">
        <v>1.5</v>
      </c>
      <c r="H77" s="513">
        <f>+G77*E77</f>
        <v>1129.5</v>
      </c>
      <c r="I77" s="375"/>
      <c r="J77" s="1"/>
      <c r="K77" s="22">
        <v>753</v>
      </c>
      <c r="L77" s="1"/>
      <c r="M77" s="1"/>
      <c r="N77" s="1"/>
      <c r="O77" s="1"/>
      <c r="P77" s="1"/>
      <c r="Q77" s="1"/>
      <c r="R77" s="1"/>
      <c r="S77" s="1"/>
      <c r="T77" s="1"/>
      <c r="U77" s="1"/>
      <c r="V77" s="1"/>
      <c r="W77" s="1"/>
      <c r="X77" s="1"/>
      <c r="Y77" s="1"/>
      <c r="Z77" s="1"/>
      <c r="AA77" s="1"/>
    </row>
    <row r="78" spans="1:27" ht="14.25" customHeight="1">
      <c r="A78" s="483"/>
      <c r="B78" s="16"/>
      <c r="C78" s="783" t="s">
        <v>35</v>
      </c>
      <c r="D78" s="17"/>
      <c r="E78" s="30"/>
      <c r="F78" s="424"/>
      <c r="G78" s="772" t="s">
        <v>36</v>
      </c>
      <c r="H78" s="548"/>
      <c r="I78" s="384"/>
      <c r="J78" s="1"/>
      <c r="K78" s="22"/>
      <c r="L78" s="1"/>
      <c r="M78" s="1"/>
      <c r="N78" s="1"/>
      <c r="O78" s="1"/>
      <c r="P78" s="1"/>
      <c r="Q78" s="1"/>
      <c r="R78" s="1"/>
      <c r="S78" s="1"/>
      <c r="T78" s="1"/>
      <c r="U78" s="1"/>
      <c r="V78" s="1"/>
      <c r="W78" s="1"/>
      <c r="X78" s="1"/>
      <c r="Y78" s="1"/>
      <c r="Z78" s="1"/>
      <c r="AA78" s="1"/>
    </row>
    <row r="79" spans="1:27" ht="14.25" customHeight="1">
      <c r="A79" s="485" t="s">
        <v>13</v>
      </c>
      <c r="B79" s="486"/>
      <c r="C79" s="784"/>
      <c r="D79" s="523"/>
      <c r="E79" s="524"/>
      <c r="F79" s="525"/>
      <c r="G79" s="785"/>
      <c r="H79" s="549">
        <f>SUM(H59:H78)</f>
        <v>50245.059500000003</v>
      </c>
      <c r="I79" s="385"/>
      <c r="J79" s="1"/>
      <c r="K79" s="22"/>
      <c r="L79" s="1"/>
      <c r="M79" s="1"/>
      <c r="N79" s="1"/>
      <c r="O79" s="1"/>
      <c r="P79" s="1"/>
      <c r="Q79" s="1"/>
      <c r="R79" s="1"/>
      <c r="S79" s="1"/>
      <c r="T79" s="1"/>
      <c r="U79" s="1"/>
      <c r="V79" s="1"/>
      <c r="W79" s="1"/>
      <c r="X79" s="1"/>
      <c r="Y79" s="1"/>
      <c r="Z79" s="1"/>
      <c r="AA79" s="1"/>
    </row>
    <row r="80" spans="1:27" ht="14.25" customHeight="1">
      <c r="A80" s="465"/>
      <c r="B80" s="369"/>
      <c r="C80" s="373"/>
      <c r="D80" s="371"/>
      <c r="E80" s="499"/>
      <c r="F80" s="25"/>
      <c r="G80" s="500"/>
      <c r="H80" s="513"/>
      <c r="I80" s="375"/>
      <c r="J80" s="1"/>
      <c r="K80" s="22"/>
      <c r="L80" s="1"/>
      <c r="M80" s="1"/>
      <c r="N80" s="1"/>
      <c r="O80" s="1"/>
      <c r="P80" s="1"/>
      <c r="Q80" s="1"/>
      <c r="R80" s="1"/>
      <c r="S80" s="1"/>
      <c r="T80" s="1"/>
      <c r="U80" s="1"/>
      <c r="V80" s="1"/>
      <c r="W80" s="1"/>
      <c r="X80" s="1"/>
      <c r="Y80" s="1"/>
      <c r="Z80" s="1"/>
      <c r="AA80" s="1"/>
    </row>
    <row r="81" spans="1:27" ht="14.25" customHeight="1">
      <c r="A81" s="475"/>
      <c r="B81" s="476"/>
      <c r="C81" s="514" t="s">
        <v>37</v>
      </c>
      <c r="D81" s="467"/>
      <c r="E81" s="374"/>
      <c r="F81" s="367"/>
      <c r="G81" s="368"/>
      <c r="H81" s="513"/>
      <c r="I81" s="375"/>
      <c r="J81" s="1"/>
      <c r="K81" s="22"/>
      <c r="L81" s="1"/>
      <c r="M81" s="1"/>
      <c r="N81" s="1"/>
      <c r="O81" s="1"/>
      <c r="P81" s="1"/>
      <c r="Q81" s="1"/>
      <c r="R81" s="1"/>
      <c r="S81" s="1"/>
      <c r="T81" s="1"/>
      <c r="U81" s="1"/>
      <c r="V81" s="1"/>
      <c r="W81" s="1"/>
      <c r="X81" s="1"/>
      <c r="Y81" s="1"/>
      <c r="Z81" s="1"/>
      <c r="AA81" s="1"/>
    </row>
    <row r="82" spans="1:27" ht="14.25" customHeight="1">
      <c r="A82" s="515"/>
      <c r="B82" s="476"/>
      <c r="C82" s="516"/>
      <c r="D82" s="467"/>
      <c r="E82" s="374"/>
      <c r="F82" s="367"/>
      <c r="G82" s="368"/>
      <c r="H82" s="513"/>
      <c r="I82" s="375"/>
      <c r="J82" s="1"/>
      <c r="K82" s="22"/>
      <c r="L82" s="1"/>
      <c r="M82" s="1"/>
      <c r="N82" s="1"/>
      <c r="O82" s="1"/>
      <c r="P82" s="1"/>
      <c r="Q82" s="1"/>
      <c r="R82" s="1"/>
      <c r="S82" s="1"/>
      <c r="T82" s="1"/>
      <c r="U82" s="1"/>
      <c r="V82" s="1"/>
      <c r="W82" s="1"/>
      <c r="X82" s="1"/>
      <c r="Y82" s="1"/>
      <c r="Z82" s="1"/>
      <c r="AA82" s="1"/>
    </row>
    <row r="83" spans="1:27" ht="14.25" customHeight="1">
      <c r="A83" s="475"/>
      <c r="B83" s="476"/>
      <c r="C83" s="466" t="s">
        <v>59</v>
      </c>
      <c r="D83" s="467"/>
      <c r="E83" s="519"/>
      <c r="F83" s="367"/>
      <c r="G83" s="375"/>
      <c r="H83" s="513"/>
      <c r="I83" s="375"/>
      <c r="J83" s="1"/>
      <c r="K83" s="22"/>
      <c r="L83" s="1"/>
      <c r="M83" s="1"/>
      <c r="N83" s="1"/>
      <c r="O83" s="1"/>
      <c r="P83" s="1"/>
      <c r="Q83" s="1"/>
      <c r="R83" s="1"/>
      <c r="S83" s="1"/>
      <c r="T83" s="1"/>
      <c r="U83" s="1"/>
      <c r="V83" s="1"/>
      <c r="W83" s="1"/>
      <c r="X83" s="1"/>
      <c r="Y83" s="1"/>
      <c r="Z83" s="1"/>
      <c r="AA83" s="1"/>
    </row>
    <row r="84" spans="1:27" ht="14.25" customHeight="1">
      <c r="A84" s="475"/>
      <c r="B84" s="476"/>
      <c r="C84" s="516"/>
      <c r="D84" s="467"/>
      <c r="E84" s="374"/>
      <c r="F84" s="367"/>
      <c r="G84" s="368"/>
      <c r="H84" s="513"/>
      <c r="I84" s="375"/>
      <c r="J84" s="1"/>
      <c r="K84" s="22"/>
      <c r="L84" s="1"/>
      <c r="M84" s="1"/>
      <c r="N84" s="1"/>
      <c r="O84" s="1"/>
      <c r="P84" s="1"/>
      <c r="Q84" s="1"/>
      <c r="R84" s="1"/>
      <c r="S84" s="1"/>
      <c r="T84" s="1"/>
      <c r="U84" s="1"/>
      <c r="V84" s="1"/>
      <c r="W84" s="1"/>
      <c r="X84" s="1"/>
      <c r="Y84" s="1"/>
      <c r="Z84" s="1"/>
      <c r="AA84" s="1"/>
    </row>
    <row r="85" spans="1:27" ht="14.25" customHeight="1">
      <c r="A85" s="475" t="s">
        <v>28</v>
      </c>
      <c r="B85" s="476"/>
      <c r="C85" s="474" t="s">
        <v>60</v>
      </c>
      <c r="D85" s="467"/>
      <c r="E85" s="366">
        <f>K85</f>
        <v>1653.6489999999999</v>
      </c>
      <c r="F85" s="367" t="s">
        <v>24</v>
      </c>
      <c r="G85" s="368">
        <v>0.2</v>
      </c>
      <c r="H85" s="513">
        <f>+G85*E85</f>
        <v>330.72980000000001</v>
      </c>
      <c r="I85" s="375"/>
      <c r="J85" s="1"/>
      <c r="K85" s="22">
        <f>M.S!Z31</f>
        <v>1653.6489999999999</v>
      </c>
      <c r="L85" s="1"/>
      <c r="M85" s="1"/>
      <c r="N85" s="1"/>
      <c r="O85" s="1"/>
      <c r="P85" s="1"/>
      <c r="Q85" s="1"/>
      <c r="R85" s="1"/>
      <c r="S85" s="1"/>
      <c r="T85" s="1"/>
      <c r="U85" s="1"/>
      <c r="V85" s="1"/>
      <c r="W85" s="1"/>
      <c r="X85" s="1"/>
      <c r="Y85" s="1"/>
      <c r="Z85" s="1"/>
      <c r="AA85" s="1"/>
    </row>
    <row r="86" spans="1:27" ht="14.25" customHeight="1">
      <c r="A86" s="475"/>
      <c r="B86" s="476"/>
      <c r="C86" s="530"/>
      <c r="D86" s="467"/>
      <c r="E86" s="531"/>
      <c r="F86" s="367"/>
      <c r="G86" s="368"/>
      <c r="H86" s="513"/>
      <c r="I86" s="375"/>
      <c r="J86" s="1"/>
      <c r="K86" s="22"/>
      <c r="L86" s="1"/>
      <c r="M86" s="1"/>
      <c r="N86" s="1"/>
      <c r="O86" s="1"/>
      <c r="P86" s="1"/>
      <c r="Q86" s="1"/>
      <c r="R86" s="1"/>
      <c r="S86" s="1"/>
      <c r="T86" s="1"/>
      <c r="U86" s="1"/>
      <c r="V86" s="1"/>
      <c r="W86" s="1"/>
      <c r="X86" s="1"/>
      <c r="Y86" s="1"/>
      <c r="Z86" s="1"/>
      <c r="AA86" s="1"/>
    </row>
    <row r="87" spans="1:27" ht="14.25" customHeight="1">
      <c r="A87" s="475" t="s">
        <v>31</v>
      </c>
      <c r="B87" s="476"/>
      <c r="C87" s="474" t="s">
        <v>61</v>
      </c>
      <c r="D87" s="467"/>
      <c r="E87" s="366">
        <f>K87</f>
        <v>1770.53</v>
      </c>
      <c r="F87" s="367" t="s">
        <v>24</v>
      </c>
      <c r="G87" s="368">
        <v>0.4</v>
      </c>
      <c r="H87" s="513">
        <f>+G87*E87</f>
        <v>708.21199999999999</v>
      </c>
      <c r="I87" s="375"/>
      <c r="J87" s="1"/>
      <c r="K87" s="22">
        <f>M.S!AD31+M.S!AD127+M.S!AD145</f>
        <v>1770.53</v>
      </c>
      <c r="L87" s="1"/>
      <c r="M87" s="1"/>
      <c r="N87" s="1"/>
      <c r="O87" s="1"/>
      <c r="P87" s="1"/>
      <c r="Q87" s="1"/>
      <c r="R87" s="1"/>
      <c r="S87" s="1"/>
      <c r="T87" s="1"/>
      <c r="U87" s="1"/>
      <c r="V87" s="1"/>
      <c r="W87" s="1"/>
      <c r="X87" s="1"/>
      <c r="Y87" s="1"/>
      <c r="Z87" s="1"/>
      <c r="AA87" s="1"/>
    </row>
    <row r="88" spans="1:27" s="415" customFormat="1" ht="14.25" customHeight="1">
      <c r="A88" s="475"/>
      <c r="B88" s="476"/>
      <c r="C88" s="474"/>
      <c r="D88" s="467"/>
      <c r="E88" s="366"/>
      <c r="F88" s="367"/>
      <c r="G88" s="368"/>
      <c r="H88" s="513"/>
      <c r="I88" s="375"/>
      <c r="J88" s="1"/>
      <c r="K88" s="22"/>
      <c r="L88" s="1"/>
      <c r="M88" s="1"/>
      <c r="N88" s="1"/>
      <c r="O88" s="1"/>
      <c r="P88" s="1"/>
      <c r="Q88" s="1"/>
      <c r="R88" s="1"/>
      <c r="S88" s="1"/>
      <c r="T88" s="1"/>
      <c r="U88" s="1"/>
      <c r="V88" s="1"/>
      <c r="W88" s="1"/>
      <c r="X88" s="1"/>
      <c r="Y88" s="1"/>
      <c r="Z88" s="1"/>
      <c r="AA88" s="1"/>
    </row>
    <row r="89" spans="1:27" ht="28.8" customHeight="1">
      <c r="A89" s="529" t="s">
        <v>32</v>
      </c>
      <c r="B89" s="476"/>
      <c r="C89" s="530" t="s">
        <v>1261</v>
      </c>
      <c r="D89" s="467"/>
      <c r="E89" s="703">
        <v>1500</v>
      </c>
      <c r="F89" s="367" t="s">
        <v>24</v>
      </c>
      <c r="G89" s="368">
        <v>1.6</v>
      </c>
      <c r="H89" s="513">
        <f>+G89*E89</f>
        <v>2400</v>
      </c>
      <c r="I89" s="375"/>
      <c r="J89" s="1"/>
      <c r="K89" s="22"/>
      <c r="L89" s="1"/>
      <c r="M89" s="1"/>
      <c r="N89" s="1"/>
      <c r="O89" s="1"/>
      <c r="P89" s="1"/>
      <c r="Q89" s="1"/>
      <c r="R89" s="1"/>
      <c r="S89" s="1"/>
      <c r="T89" s="1"/>
      <c r="U89" s="1"/>
      <c r="V89" s="1"/>
      <c r="W89" s="1"/>
      <c r="X89" s="1"/>
      <c r="Y89" s="1"/>
      <c r="Z89" s="1"/>
      <c r="AA89" s="1"/>
    </row>
    <row r="90" spans="1:27" s="415" customFormat="1" ht="28.8" customHeight="1">
      <c r="A90" s="529" t="s">
        <v>33</v>
      </c>
      <c r="B90" s="476"/>
      <c r="C90" s="530" t="s">
        <v>1262</v>
      </c>
      <c r="D90" s="467"/>
      <c r="E90" s="703">
        <v>700</v>
      </c>
      <c r="F90" s="367" t="s">
        <v>560</v>
      </c>
      <c r="G90" s="375">
        <v>2.1</v>
      </c>
      <c r="H90" s="513">
        <f>+G90*E90</f>
        <v>1470</v>
      </c>
      <c r="I90" s="375"/>
      <c r="J90" s="1"/>
      <c r="K90" s="22"/>
      <c r="L90" s="1"/>
      <c r="M90" s="1"/>
      <c r="N90" s="1"/>
      <c r="O90" s="1"/>
      <c r="P90" s="1"/>
      <c r="Q90" s="1"/>
      <c r="R90" s="1"/>
      <c r="S90" s="1"/>
      <c r="T90" s="1"/>
      <c r="U90" s="1"/>
      <c r="V90" s="1"/>
      <c r="W90" s="1"/>
      <c r="X90" s="1"/>
      <c r="Y90" s="1"/>
      <c r="Z90" s="1"/>
      <c r="AA90" s="1"/>
    </row>
    <row r="91" spans="1:27" ht="14.25" customHeight="1">
      <c r="A91" s="475"/>
      <c r="B91" s="476"/>
      <c r="C91" s="514" t="s">
        <v>62</v>
      </c>
      <c r="D91" s="467"/>
      <c r="E91" s="374"/>
      <c r="F91" s="367"/>
      <c r="G91" s="375"/>
      <c r="H91" s="513"/>
      <c r="I91" s="375"/>
      <c r="J91" s="1"/>
      <c r="K91" s="22"/>
      <c r="L91" s="1"/>
      <c r="M91" s="1"/>
      <c r="N91" s="1"/>
      <c r="O91" s="1"/>
      <c r="P91" s="1"/>
      <c r="Q91" s="1"/>
      <c r="R91" s="1"/>
      <c r="S91" s="1"/>
      <c r="T91" s="1"/>
      <c r="U91" s="1"/>
      <c r="V91" s="1"/>
      <c r="W91" s="1"/>
      <c r="X91" s="1"/>
      <c r="Y91" s="1"/>
      <c r="Z91" s="1"/>
      <c r="AA91" s="1"/>
    </row>
    <row r="92" spans="1:27" ht="14.25" customHeight="1">
      <c r="A92" s="515"/>
      <c r="B92" s="476"/>
      <c r="C92" s="516"/>
      <c r="D92" s="467"/>
      <c r="E92" s="374"/>
      <c r="F92" s="367"/>
      <c r="G92" s="368"/>
      <c r="H92" s="513"/>
      <c r="I92" s="375"/>
      <c r="J92" s="1"/>
      <c r="K92" s="22"/>
      <c r="L92" s="1"/>
      <c r="M92" s="1"/>
      <c r="N92" s="1"/>
      <c r="O92" s="1"/>
      <c r="P92" s="1"/>
      <c r="Q92" s="1"/>
      <c r="R92" s="1"/>
      <c r="S92" s="1"/>
      <c r="T92" s="1"/>
      <c r="U92" s="1"/>
      <c r="V92" s="1"/>
      <c r="W92" s="1"/>
      <c r="X92" s="1"/>
      <c r="Y92" s="1"/>
      <c r="Z92" s="1"/>
      <c r="AA92" s="1"/>
    </row>
    <row r="93" spans="1:27" ht="14.25" customHeight="1">
      <c r="A93" s="475" t="s">
        <v>53</v>
      </c>
      <c r="B93" s="476"/>
      <c r="C93" s="474" t="s">
        <v>63</v>
      </c>
      <c r="D93" s="467"/>
      <c r="E93" s="366">
        <f>K93</f>
        <v>150.5</v>
      </c>
      <c r="F93" s="367" t="s">
        <v>24</v>
      </c>
      <c r="G93" s="368">
        <v>1</v>
      </c>
      <c r="H93" s="513">
        <f>+G93*E93</f>
        <v>150.5</v>
      </c>
      <c r="I93" s="375"/>
      <c r="J93" s="1"/>
      <c r="K93" s="22">
        <v>150.5</v>
      </c>
      <c r="L93" s="1"/>
      <c r="M93" s="1"/>
      <c r="N93" s="1"/>
      <c r="O93" s="1"/>
      <c r="P93" s="1"/>
      <c r="Q93" s="1"/>
      <c r="R93" s="1"/>
      <c r="S93" s="1"/>
      <c r="T93" s="1"/>
      <c r="U93" s="1"/>
      <c r="V93" s="1"/>
      <c r="W93" s="1"/>
      <c r="X93" s="1"/>
      <c r="Y93" s="1"/>
      <c r="Z93" s="1"/>
      <c r="AA93" s="1"/>
    </row>
    <row r="94" spans="1:27" ht="14.25" customHeight="1">
      <c r="A94" s="520"/>
      <c r="B94" s="16"/>
      <c r="C94" s="783" t="s">
        <v>35</v>
      </c>
      <c r="D94" s="17"/>
      <c r="E94" s="30"/>
      <c r="F94" s="424"/>
      <c r="G94" s="772" t="s">
        <v>36</v>
      </c>
      <c r="H94" s="521"/>
      <c r="I94" s="382"/>
      <c r="J94" s="1"/>
      <c r="K94" s="22"/>
      <c r="L94" s="1"/>
      <c r="M94" s="1"/>
      <c r="N94" s="1"/>
      <c r="O94" s="1"/>
      <c r="P94" s="1"/>
      <c r="Q94" s="1"/>
      <c r="R94" s="1"/>
      <c r="S94" s="1"/>
      <c r="T94" s="1"/>
      <c r="U94" s="1"/>
      <c r="V94" s="1"/>
      <c r="W94" s="1"/>
      <c r="X94" s="1"/>
      <c r="Y94" s="1"/>
      <c r="Z94" s="1"/>
      <c r="AA94" s="1"/>
    </row>
    <row r="95" spans="1:27" ht="14.25" customHeight="1">
      <c r="A95" s="550"/>
      <c r="B95" s="486"/>
      <c r="C95" s="784"/>
      <c r="D95" s="523"/>
      <c r="E95" s="524"/>
      <c r="F95" s="525"/>
      <c r="G95" s="785"/>
      <c r="H95" s="526">
        <f>SUM(H83:H94)</f>
        <v>5059.4418000000005</v>
      </c>
      <c r="I95" s="383"/>
      <c r="J95" s="1"/>
      <c r="K95" s="22"/>
      <c r="L95" s="1"/>
      <c r="M95" s="1"/>
      <c r="N95" s="1"/>
      <c r="O95" s="1"/>
      <c r="P95" s="1"/>
      <c r="Q95" s="1"/>
      <c r="R95" s="1"/>
      <c r="S95" s="1"/>
      <c r="T95" s="1"/>
      <c r="U95" s="1"/>
      <c r="V95" s="1"/>
      <c r="W95" s="1"/>
      <c r="X95" s="1"/>
      <c r="Y95" s="1"/>
      <c r="Z95" s="1"/>
      <c r="AA95" s="1"/>
    </row>
    <row r="96" spans="1:27" ht="14.25" customHeight="1">
      <c r="A96" s="465"/>
      <c r="B96" s="369"/>
      <c r="C96" s="373"/>
      <c r="D96" s="371"/>
      <c r="E96" s="499"/>
      <c r="F96" s="25"/>
      <c r="G96" s="500"/>
      <c r="H96" s="513"/>
      <c r="I96" s="375"/>
      <c r="J96" s="1"/>
      <c r="K96" s="22"/>
      <c r="L96" s="1"/>
      <c r="M96" s="1"/>
      <c r="N96" s="1"/>
      <c r="O96" s="1"/>
      <c r="P96" s="1"/>
      <c r="Q96" s="1"/>
      <c r="R96" s="1"/>
      <c r="S96" s="1"/>
      <c r="T96" s="1"/>
      <c r="U96" s="1"/>
      <c r="V96" s="1"/>
      <c r="W96" s="1"/>
      <c r="X96" s="1"/>
      <c r="Y96" s="1"/>
      <c r="Z96" s="1"/>
      <c r="AA96" s="1"/>
    </row>
    <row r="97" spans="1:27" ht="14.25" customHeight="1">
      <c r="A97" s="475"/>
      <c r="B97" s="476"/>
      <c r="C97" s="514" t="s">
        <v>64</v>
      </c>
      <c r="D97" s="467"/>
      <c r="E97" s="374"/>
      <c r="F97" s="367"/>
      <c r="G97" s="368"/>
      <c r="H97" s="513"/>
      <c r="I97" s="375"/>
      <c r="J97" s="1"/>
      <c r="K97" s="22"/>
      <c r="L97" s="1"/>
      <c r="M97" s="1"/>
      <c r="N97" s="1"/>
      <c r="O97" s="1"/>
      <c r="P97" s="1"/>
      <c r="Q97" s="1"/>
      <c r="R97" s="1"/>
      <c r="S97" s="1"/>
      <c r="T97" s="1"/>
      <c r="U97" s="1"/>
      <c r="V97" s="1"/>
      <c r="W97" s="1"/>
      <c r="X97" s="1"/>
      <c r="Y97" s="1"/>
      <c r="Z97" s="1"/>
      <c r="AA97" s="1"/>
    </row>
    <row r="98" spans="1:27" ht="14.25" customHeight="1">
      <c r="A98" s="475"/>
      <c r="B98" s="476"/>
      <c r="C98" s="466" t="s">
        <v>65</v>
      </c>
      <c r="D98" s="467"/>
      <c r="E98" s="374"/>
      <c r="F98" s="367"/>
      <c r="G98" s="375"/>
      <c r="H98" s="513"/>
      <c r="I98" s="375"/>
      <c r="J98" s="1"/>
      <c r="K98" s="22"/>
      <c r="L98" s="1"/>
      <c r="M98" s="1"/>
      <c r="N98" s="1"/>
      <c r="O98" s="1"/>
      <c r="P98" s="1"/>
      <c r="Q98" s="1"/>
      <c r="R98" s="1"/>
      <c r="S98" s="1"/>
      <c r="T98" s="1"/>
      <c r="U98" s="1"/>
      <c r="V98" s="1"/>
      <c r="W98" s="1"/>
      <c r="X98" s="1"/>
      <c r="Y98" s="1"/>
      <c r="Z98" s="1"/>
      <c r="AA98" s="1"/>
    </row>
    <row r="99" spans="1:27" ht="14.25" customHeight="1">
      <c r="A99" s="515"/>
      <c r="B99" s="476"/>
      <c r="C99" s="474"/>
      <c r="D99" s="467"/>
      <c r="E99" s="374"/>
      <c r="F99" s="367"/>
      <c r="G99" s="368"/>
      <c r="H99" s="513"/>
      <c r="I99" s="375"/>
      <c r="J99" s="1"/>
      <c r="K99" s="22"/>
      <c r="L99" s="1"/>
      <c r="M99" s="1"/>
      <c r="N99" s="1"/>
      <c r="O99" s="1"/>
      <c r="P99" s="1"/>
      <c r="Q99" s="1"/>
      <c r="R99" s="1"/>
      <c r="S99" s="1"/>
      <c r="T99" s="1"/>
      <c r="U99" s="1"/>
      <c r="V99" s="1"/>
      <c r="W99" s="1"/>
      <c r="X99" s="1"/>
      <c r="Y99" s="1"/>
      <c r="Z99" s="1"/>
      <c r="AA99" s="1"/>
    </row>
    <row r="100" spans="1:27" ht="14.25" customHeight="1">
      <c r="A100" s="475"/>
      <c r="B100" s="476"/>
      <c r="C100" s="466" t="s">
        <v>66</v>
      </c>
      <c r="D100" s="467"/>
      <c r="E100" s="374"/>
      <c r="F100" s="367"/>
      <c r="G100" s="375"/>
      <c r="H100" s="513"/>
      <c r="I100" s="375"/>
      <c r="J100" s="1"/>
      <c r="K100" s="22"/>
      <c r="L100" s="1"/>
      <c r="M100" s="1"/>
      <c r="N100" s="1"/>
      <c r="O100" s="1"/>
      <c r="P100" s="1"/>
      <c r="Q100" s="1"/>
      <c r="R100" s="1"/>
      <c r="S100" s="1"/>
      <c r="T100" s="1"/>
      <c r="U100" s="1"/>
      <c r="V100" s="1"/>
      <c r="W100" s="1"/>
      <c r="X100" s="1"/>
      <c r="Y100" s="1"/>
      <c r="Z100" s="1"/>
      <c r="AA100" s="1"/>
    </row>
    <row r="101" spans="1:27" ht="14.25" customHeight="1">
      <c r="A101" s="515"/>
      <c r="B101" s="476"/>
      <c r="C101" s="474"/>
      <c r="D101" s="467"/>
      <c r="E101" s="374"/>
      <c r="F101" s="367"/>
      <c r="G101" s="368"/>
      <c r="H101" s="513"/>
      <c r="I101" s="375"/>
      <c r="J101" s="1"/>
      <c r="K101" s="22"/>
      <c r="L101" s="1"/>
      <c r="M101" s="1"/>
      <c r="N101" s="1"/>
      <c r="O101" s="1"/>
      <c r="P101" s="1"/>
      <c r="Q101" s="1"/>
      <c r="R101" s="1"/>
      <c r="S101" s="1"/>
      <c r="T101" s="1"/>
      <c r="U101" s="1"/>
      <c r="V101" s="1"/>
      <c r="W101" s="1"/>
      <c r="X101" s="1"/>
      <c r="Y101" s="1"/>
      <c r="Z101" s="1"/>
      <c r="AA101" s="1"/>
    </row>
    <row r="102" spans="1:27" ht="14.25" customHeight="1">
      <c r="A102" s="475" t="s">
        <v>22</v>
      </c>
      <c r="B102" s="476"/>
      <c r="C102" s="474" t="s">
        <v>67</v>
      </c>
      <c r="D102" s="467"/>
      <c r="E102" s="366">
        <f>K102</f>
        <v>243.91500000000005</v>
      </c>
      <c r="F102" s="367" t="s">
        <v>27</v>
      </c>
      <c r="G102" s="368">
        <v>19.25</v>
      </c>
      <c r="H102" s="513">
        <f>+G102*E102</f>
        <v>4695.3637500000013</v>
      </c>
      <c r="I102" s="375"/>
      <c r="J102" s="1"/>
      <c r="K102" s="22">
        <f>M.S!V55+M.S!V67</f>
        <v>243.91500000000005</v>
      </c>
      <c r="L102" s="1"/>
      <c r="M102" s="1"/>
      <c r="N102" s="357"/>
      <c r="O102" s="1"/>
      <c r="P102" s="1"/>
      <c r="Q102" s="1"/>
      <c r="R102" s="1"/>
      <c r="S102" s="1"/>
      <c r="T102" s="1"/>
      <c r="U102" s="1"/>
      <c r="V102" s="1"/>
      <c r="W102" s="1"/>
      <c r="X102" s="1"/>
      <c r="Y102" s="1"/>
      <c r="Z102" s="1"/>
      <c r="AA102" s="1"/>
    </row>
    <row r="103" spans="1:27" ht="14.25" customHeight="1">
      <c r="A103" s="475"/>
      <c r="B103" s="476"/>
      <c r="C103" s="474"/>
      <c r="D103" s="467"/>
      <c r="E103" s="374"/>
      <c r="F103" s="367"/>
      <c r="G103" s="368"/>
      <c r="H103" s="513"/>
      <c r="I103" s="375"/>
      <c r="J103" s="1"/>
      <c r="K103" s="22"/>
      <c r="L103" s="1"/>
      <c r="M103" s="1"/>
      <c r="N103" s="1"/>
      <c r="O103" s="1"/>
      <c r="P103" s="1"/>
      <c r="Q103" s="1"/>
      <c r="R103" s="1"/>
      <c r="S103" s="1"/>
      <c r="T103" s="1"/>
      <c r="U103" s="1"/>
      <c r="V103" s="1"/>
      <c r="W103" s="1"/>
      <c r="X103" s="1"/>
      <c r="Y103" s="1"/>
      <c r="Z103" s="1"/>
      <c r="AA103" s="1"/>
    </row>
    <row r="104" spans="1:27" ht="14.25" customHeight="1">
      <c r="A104" s="475" t="s">
        <v>25</v>
      </c>
      <c r="B104" s="476"/>
      <c r="C104" s="474" t="s">
        <v>68</v>
      </c>
      <c r="D104" s="467"/>
      <c r="E104" s="366">
        <f>K104</f>
        <v>181.41100000000003</v>
      </c>
      <c r="F104" s="367" t="s">
        <v>27</v>
      </c>
      <c r="G104" s="368">
        <v>19.25</v>
      </c>
      <c r="H104" s="513">
        <f>+G104*E104</f>
        <v>3492.1617500000007</v>
      </c>
      <c r="I104" s="375"/>
      <c r="J104" s="1"/>
      <c r="K104" s="22">
        <f>M.S!V100</f>
        <v>181.41100000000003</v>
      </c>
      <c r="L104" s="1"/>
      <c r="M104" s="1"/>
      <c r="N104" s="1"/>
      <c r="O104" s="1"/>
      <c r="P104" s="1"/>
      <c r="Q104" s="1"/>
      <c r="R104" s="1"/>
      <c r="S104" s="1"/>
      <c r="T104" s="1"/>
      <c r="U104" s="1"/>
      <c r="V104" s="1"/>
      <c r="W104" s="1"/>
      <c r="X104" s="1"/>
      <c r="Y104" s="1"/>
      <c r="Z104" s="1"/>
      <c r="AA104" s="1"/>
    </row>
    <row r="105" spans="1:27" ht="14.25" customHeight="1">
      <c r="A105" s="475"/>
      <c r="B105" s="476"/>
      <c r="C105" s="474"/>
      <c r="D105" s="467"/>
      <c r="E105" s="374"/>
      <c r="F105" s="367"/>
      <c r="G105" s="368"/>
      <c r="H105" s="513"/>
      <c r="I105" s="375"/>
      <c r="J105" s="1"/>
      <c r="K105" s="22"/>
      <c r="L105" s="1"/>
      <c r="M105" s="1"/>
      <c r="N105" s="1"/>
      <c r="O105" s="1"/>
      <c r="P105" s="1"/>
      <c r="Q105" s="1"/>
      <c r="R105" s="1"/>
      <c r="S105" s="1"/>
      <c r="T105" s="1"/>
      <c r="U105" s="1"/>
      <c r="V105" s="1"/>
      <c r="W105" s="1"/>
      <c r="X105" s="1"/>
      <c r="Y105" s="1"/>
      <c r="Z105" s="1"/>
      <c r="AA105" s="1"/>
    </row>
    <row r="106" spans="1:27" ht="14.25" customHeight="1">
      <c r="A106" s="475" t="s">
        <v>28</v>
      </c>
      <c r="B106" s="476"/>
      <c r="C106" s="474" t="s">
        <v>69</v>
      </c>
      <c r="D106" s="467"/>
      <c r="E106" s="366">
        <f>K106</f>
        <v>1952.9757</v>
      </c>
      <c r="F106" s="367" t="s">
        <v>27</v>
      </c>
      <c r="G106" s="368">
        <v>19.25</v>
      </c>
      <c r="H106" s="513">
        <f>+G106*E106</f>
        <v>37594.782225000003</v>
      </c>
      <c r="I106" s="375"/>
      <c r="J106" s="1"/>
      <c r="K106" s="22">
        <f>M.S!V136+M.S!V177+M.S!V204+M.S!V240</f>
        <v>1952.9757</v>
      </c>
      <c r="L106" s="1"/>
      <c r="M106" s="1"/>
      <c r="N106" s="1"/>
      <c r="O106" s="1"/>
      <c r="P106" s="1"/>
      <c r="Q106" s="1"/>
      <c r="R106" s="1"/>
      <c r="S106" s="1"/>
      <c r="T106" s="1"/>
      <c r="U106" s="1"/>
      <c r="V106" s="1"/>
      <c r="W106" s="1"/>
      <c r="X106" s="1"/>
      <c r="Y106" s="1"/>
      <c r="Z106" s="1"/>
      <c r="AA106" s="1"/>
    </row>
    <row r="107" spans="1:27" ht="14.25" customHeight="1">
      <c r="A107" s="475"/>
      <c r="B107" s="476"/>
      <c r="C107" s="474"/>
      <c r="D107" s="467"/>
      <c r="E107" s="374"/>
      <c r="F107" s="367"/>
      <c r="G107" s="368"/>
      <c r="H107" s="513"/>
      <c r="I107" s="375"/>
      <c r="J107" s="1"/>
      <c r="K107" s="22"/>
      <c r="L107" s="1"/>
      <c r="M107" s="1"/>
      <c r="N107" s="1"/>
      <c r="O107" s="1"/>
      <c r="P107" s="1"/>
      <c r="Q107" s="1"/>
      <c r="R107" s="1"/>
      <c r="S107" s="1"/>
      <c r="T107" s="1"/>
      <c r="U107" s="1"/>
      <c r="V107" s="1"/>
      <c r="W107" s="1"/>
      <c r="X107" s="1"/>
      <c r="Y107" s="1"/>
      <c r="Z107" s="1"/>
      <c r="AA107" s="1"/>
    </row>
    <row r="108" spans="1:27" ht="14.25" customHeight="1">
      <c r="A108" s="475" t="s">
        <v>31</v>
      </c>
      <c r="B108" s="476"/>
      <c r="C108" s="474" t="s">
        <v>70</v>
      </c>
      <c r="D108" s="467"/>
      <c r="E108" s="366">
        <f>K108</f>
        <v>36.942599999999999</v>
      </c>
      <c r="F108" s="367" t="s">
        <v>27</v>
      </c>
      <c r="G108" s="368">
        <v>19.25</v>
      </c>
      <c r="H108" s="513">
        <f>+G108*E108</f>
        <v>711.14504999999997</v>
      </c>
      <c r="I108" s="375"/>
      <c r="J108" s="1"/>
      <c r="K108" s="22">
        <f>M.S!R168+M.S!R195+M.S!R231</f>
        <v>36.942599999999999</v>
      </c>
      <c r="L108" s="1"/>
      <c r="M108" s="1"/>
      <c r="N108" s="1"/>
      <c r="O108" s="1"/>
      <c r="P108" s="1"/>
      <c r="Q108" s="1"/>
      <c r="R108" s="1"/>
      <c r="S108" s="1"/>
      <c r="T108" s="1"/>
      <c r="U108" s="1"/>
      <c r="V108" s="1"/>
      <c r="W108" s="1"/>
      <c r="X108" s="1"/>
      <c r="Y108" s="1"/>
      <c r="Z108" s="1"/>
      <c r="AA108" s="1"/>
    </row>
    <row r="109" spans="1:27" ht="14.25" customHeight="1">
      <c r="A109" s="475"/>
      <c r="B109" s="476"/>
      <c r="C109" s="474"/>
      <c r="D109" s="467"/>
      <c r="E109" s="374"/>
      <c r="F109" s="367"/>
      <c r="G109" s="368"/>
      <c r="H109" s="513"/>
      <c r="I109" s="375"/>
      <c r="J109" s="1"/>
      <c r="K109" s="22"/>
      <c r="L109" s="1"/>
      <c r="M109" s="1"/>
      <c r="N109" s="1"/>
      <c r="O109" s="1"/>
      <c r="P109" s="1"/>
      <c r="Q109" s="1"/>
      <c r="R109" s="1"/>
      <c r="S109" s="1"/>
      <c r="T109" s="1"/>
      <c r="U109" s="1"/>
      <c r="V109" s="1"/>
      <c r="W109" s="1"/>
      <c r="X109" s="1"/>
      <c r="Y109" s="1"/>
      <c r="Z109" s="1"/>
      <c r="AA109" s="1"/>
    </row>
    <row r="110" spans="1:27" ht="14.25" customHeight="1">
      <c r="A110" s="475" t="s">
        <v>32</v>
      </c>
      <c r="B110" s="476"/>
      <c r="C110" s="474" t="s">
        <v>71</v>
      </c>
      <c r="D110" s="467"/>
      <c r="E110" s="366">
        <f>K110</f>
        <v>48.320999999999984</v>
      </c>
      <c r="F110" s="367" t="s">
        <v>27</v>
      </c>
      <c r="G110" s="368">
        <v>19.25</v>
      </c>
      <c r="H110" s="513">
        <f>+G110*E110</f>
        <v>930.17924999999968</v>
      </c>
      <c r="I110" s="375"/>
      <c r="J110" s="1"/>
      <c r="K110" s="22">
        <f>'D&amp;W'!AF28+SUM('D&amp;W'!X26:AE26)</f>
        <v>48.320999999999984</v>
      </c>
      <c r="L110" s="1"/>
      <c r="M110" s="1"/>
      <c r="N110" s="1"/>
      <c r="O110" s="1"/>
      <c r="P110" s="1"/>
      <c r="Q110" s="1"/>
      <c r="R110" s="1"/>
      <c r="S110" s="1"/>
      <c r="T110" s="1"/>
      <c r="U110" s="1"/>
      <c r="V110" s="1"/>
      <c r="W110" s="1"/>
      <c r="X110" s="1"/>
      <c r="Y110" s="1"/>
      <c r="Z110" s="1"/>
      <c r="AA110" s="1"/>
    </row>
    <row r="111" spans="1:27" ht="14.25" customHeight="1">
      <c r="A111" s="475"/>
      <c r="B111" s="476"/>
      <c r="C111" s="474"/>
      <c r="D111" s="467"/>
      <c r="E111" s="374"/>
      <c r="F111" s="367"/>
      <c r="G111" s="368"/>
      <c r="H111" s="513"/>
      <c r="I111" s="375"/>
      <c r="J111" s="1"/>
      <c r="K111" s="22"/>
      <c r="L111" s="1"/>
      <c r="M111" s="1"/>
      <c r="N111" s="1"/>
      <c r="O111" s="1"/>
      <c r="P111" s="1"/>
      <c r="Q111" s="1"/>
      <c r="R111" s="1"/>
      <c r="S111" s="1"/>
      <c r="T111" s="1"/>
      <c r="U111" s="1"/>
      <c r="V111" s="1"/>
      <c r="W111" s="1"/>
      <c r="X111" s="1"/>
      <c r="Y111" s="1"/>
      <c r="Z111" s="1"/>
      <c r="AA111" s="1"/>
    </row>
    <row r="112" spans="1:27" ht="14.25" customHeight="1">
      <c r="A112" s="475" t="s">
        <v>33</v>
      </c>
      <c r="B112" s="476"/>
      <c r="C112" s="474" t="s">
        <v>72</v>
      </c>
      <c r="D112" s="467"/>
      <c r="E112" s="366">
        <f>K112</f>
        <v>183.15258</v>
      </c>
      <c r="F112" s="367" t="s">
        <v>27</v>
      </c>
      <c r="G112" s="368">
        <v>19.25</v>
      </c>
      <c r="H112" s="513">
        <f>+G112*E112</f>
        <v>3525.6871649999998</v>
      </c>
      <c r="I112" s="375"/>
      <c r="J112" s="1"/>
      <c r="K112" s="22">
        <f>M.S!V145</f>
        <v>183.15258</v>
      </c>
      <c r="L112" s="1"/>
      <c r="M112" s="1"/>
      <c r="N112" s="1"/>
      <c r="O112" s="1"/>
      <c r="P112" s="1"/>
      <c r="Q112" s="1"/>
      <c r="R112" s="1"/>
      <c r="S112" s="1"/>
      <c r="T112" s="1"/>
      <c r="U112" s="1"/>
      <c r="V112" s="1"/>
      <c r="W112" s="1"/>
      <c r="X112" s="1"/>
      <c r="Y112" s="1"/>
      <c r="Z112" s="1"/>
      <c r="AA112" s="1"/>
    </row>
    <row r="113" spans="1:27" ht="14.25" customHeight="1">
      <c r="A113" s="475"/>
      <c r="B113" s="476"/>
      <c r="C113" s="474"/>
      <c r="D113" s="467"/>
      <c r="E113" s="374"/>
      <c r="F113" s="367"/>
      <c r="G113" s="518"/>
      <c r="H113" s="513"/>
      <c r="I113" s="375"/>
      <c r="J113" s="1"/>
      <c r="K113" s="22"/>
      <c r="L113" s="1"/>
      <c r="M113" s="1"/>
      <c r="N113" s="1"/>
      <c r="O113" s="1"/>
      <c r="P113" s="1"/>
      <c r="Q113" s="1"/>
      <c r="R113" s="1"/>
      <c r="S113" s="1"/>
      <c r="T113" s="1"/>
      <c r="U113" s="1"/>
      <c r="V113" s="1"/>
      <c r="W113" s="1"/>
      <c r="X113" s="1"/>
      <c r="Y113" s="1"/>
      <c r="Z113" s="1"/>
      <c r="AA113" s="1"/>
    </row>
    <row r="114" spans="1:27" ht="14.25" customHeight="1">
      <c r="A114" s="475" t="s">
        <v>53</v>
      </c>
      <c r="B114" s="476"/>
      <c r="C114" s="474" t="s">
        <v>73</v>
      </c>
      <c r="D114" s="467"/>
      <c r="E114" s="366">
        <f>K114</f>
        <v>90.9</v>
      </c>
      <c r="F114" s="367" t="s">
        <v>27</v>
      </c>
      <c r="G114" s="368">
        <v>19.25</v>
      </c>
      <c r="H114" s="513">
        <f>+G114*E114</f>
        <v>1749.825</v>
      </c>
      <c r="I114" s="375"/>
      <c r="J114" s="1"/>
      <c r="K114" s="22">
        <f>M.S!V79</f>
        <v>90.9</v>
      </c>
      <c r="L114" s="1"/>
      <c r="M114" s="1"/>
      <c r="N114" s="1"/>
      <c r="O114" s="1"/>
      <c r="P114" s="1"/>
      <c r="Q114" s="1"/>
      <c r="R114" s="1"/>
      <c r="S114" s="1"/>
      <c r="T114" s="1"/>
      <c r="U114" s="1"/>
      <c r="V114" s="1"/>
      <c r="W114" s="1"/>
      <c r="X114" s="1"/>
      <c r="Y114" s="1"/>
      <c r="Z114" s="1"/>
      <c r="AA114" s="1"/>
    </row>
    <row r="115" spans="1:27" ht="14.25" customHeight="1">
      <c r="A115" s="475"/>
      <c r="B115" s="476"/>
      <c r="C115" s="474"/>
      <c r="D115" s="467"/>
      <c r="E115" s="374"/>
      <c r="F115" s="367"/>
      <c r="G115" s="368"/>
      <c r="H115" s="513"/>
      <c r="I115" s="375"/>
      <c r="J115" s="1"/>
      <c r="K115" s="22"/>
      <c r="L115" s="1"/>
      <c r="M115" s="1"/>
      <c r="N115" s="1"/>
      <c r="O115" s="1"/>
      <c r="P115" s="1"/>
      <c r="Q115" s="1"/>
      <c r="R115" s="1"/>
      <c r="S115" s="1"/>
      <c r="T115" s="1"/>
      <c r="U115" s="1"/>
      <c r="V115" s="1"/>
      <c r="W115" s="1"/>
      <c r="X115" s="1"/>
      <c r="Y115" s="1"/>
      <c r="Z115" s="1"/>
      <c r="AA115" s="1"/>
    </row>
    <row r="116" spans="1:27" ht="14.25" customHeight="1">
      <c r="A116" s="475" t="s">
        <v>54</v>
      </c>
      <c r="B116" s="476"/>
      <c r="C116" s="474" t="s">
        <v>45</v>
      </c>
      <c r="D116" s="467"/>
      <c r="E116" s="366">
        <f>K116</f>
        <v>181.41100000000003</v>
      </c>
      <c r="F116" s="367" t="s">
        <v>27</v>
      </c>
      <c r="G116" s="368">
        <v>19.25</v>
      </c>
      <c r="H116" s="513">
        <f>+G116*E116</f>
        <v>3492.1617500000007</v>
      </c>
      <c r="I116" s="375"/>
      <c r="J116" s="1"/>
      <c r="K116" s="22">
        <f>M.S!V100</f>
        <v>181.41100000000003</v>
      </c>
      <c r="L116" s="1"/>
      <c r="M116" s="1"/>
      <c r="N116" s="1"/>
      <c r="O116" s="1"/>
      <c r="P116" s="1"/>
      <c r="Q116" s="1"/>
      <c r="R116" s="1"/>
      <c r="S116" s="1"/>
      <c r="T116" s="1"/>
      <c r="U116" s="1"/>
      <c r="V116" s="1"/>
      <c r="W116" s="1"/>
      <c r="X116" s="1"/>
      <c r="Y116" s="1"/>
      <c r="Z116" s="1"/>
      <c r="AA116" s="1"/>
    </row>
    <row r="117" spans="1:27" ht="14.25" customHeight="1">
      <c r="A117" s="475"/>
      <c r="B117" s="476"/>
      <c r="C117" s="474"/>
      <c r="D117" s="467"/>
      <c r="E117" s="374"/>
      <c r="F117" s="367"/>
      <c r="G117" s="375"/>
      <c r="H117" s="513"/>
      <c r="I117" s="375"/>
      <c r="J117" s="1"/>
      <c r="K117" s="22"/>
      <c r="L117" s="1"/>
      <c r="M117" s="1"/>
      <c r="N117" s="1"/>
      <c r="O117" s="1"/>
      <c r="P117" s="1"/>
      <c r="Q117" s="1"/>
      <c r="R117" s="1"/>
      <c r="S117" s="1"/>
      <c r="T117" s="1"/>
      <c r="U117" s="1"/>
      <c r="V117" s="1"/>
      <c r="W117" s="1"/>
      <c r="X117" s="1"/>
      <c r="Y117" s="1"/>
      <c r="Z117" s="1"/>
      <c r="AA117" s="1"/>
    </row>
    <row r="118" spans="1:27" ht="14.25" customHeight="1">
      <c r="A118" s="475"/>
      <c r="B118" s="476"/>
      <c r="C118" s="466" t="s">
        <v>74</v>
      </c>
      <c r="D118" s="467"/>
      <c r="E118" s="519"/>
      <c r="F118" s="367"/>
      <c r="G118" s="375"/>
      <c r="H118" s="513"/>
      <c r="I118" s="375"/>
      <c r="J118" s="31"/>
      <c r="K118" s="22"/>
      <c r="L118" s="1"/>
      <c r="M118" s="1"/>
      <c r="N118" s="1"/>
      <c r="O118" s="1"/>
      <c r="P118" s="1"/>
      <c r="Q118" s="1"/>
      <c r="R118" s="1"/>
      <c r="S118" s="1"/>
      <c r="T118" s="1"/>
      <c r="U118" s="1"/>
      <c r="V118" s="1"/>
      <c r="W118" s="1"/>
      <c r="X118" s="1"/>
      <c r="Y118" s="1"/>
      <c r="Z118" s="1"/>
      <c r="AA118" s="1"/>
    </row>
    <row r="119" spans="1:27" ht="14.25" customHeight="1">
      <c r="A119" s="475"/>
      <c r="B119" s="476"/>
      <c r="C119" s="466"/>
      <c r="D119" s="467"/>
      <c r="E119" s="519"/>
      <c r="F119" s="367"/>
      <c r="G119" s="368"/>
      <c r="H119" s="513"/>
      <c r="I119" s="375"/>
      <c r="J119" s="31"/>
      <c r="K119" s="22"/>
      <c r="L119" s="1"/>
      <c r="M119" s="1"/>
      <c r="N119" s="1"/>
      <c r="O119" s="1"/>
      <c r="P119" s="1"/>
      <c r="Q119" s="1"/>
      <c r="R119" s="1"/>
      <c r="S119" s="1"/>
      <c r="T119" s="1"/>
      <c r="U119" s="1"/>
      <c r="V119" s="1"/>
      <c r="W119" s="1"/>
      <c r="X119" s="1"/>
      <c r="Y119" s="1"/>
      <c r="Z119" s="1"/>
      <c r="AA119" s="1"/>
    </row>
    <row r="120" spans="1:27" ht="14.25" customHeight="1">
      <c r="A120" s="475" t="s">
        <v>54</v>
      </c>
      <c r="B120" s="476"/>
      <c r="C120" s="474" t="s">
        <v>75</v>
      </c>
      <c r="D120" s="467"/>
      <c r="E120" s="366">
        <f>K120</f>
        <v>1</v>
      </c>
      <c r="F120" s="367" t="s">
        <v>76</v>
      </c>
      <c r="G120" s="368">
        <v>100</v>
      </c>
      <c r="H120" s="513">
        <f>+G120*E120</f>
        <v>100</v>
      </c>
      <c r="I120" s="375"/>
      <c r="J120" s="31"/>
      <c r="K120" s="22">
        <v>1</v>
      </c>
      <c r="L120" s="1"/>
      <c r="M120" s="1"/>
      <c r="N120" s="1"/>
      <c r="O120" s="1"/>
      <c r="P120" s="1"/>
      <c r="Q120" s="1"/>
      <c r="R120" s="1"/>
      <c r="S120" s="1"/>
      <c r="T120" s="1"/>
      <c r="U120" s="1"/>
      <c r="V120" s="1"/>
      <c r="W120" s="1"/>
      <c r="X120" s="1"/>
      <c r="Y120" s="1"/>
      <c r="Z120" s="1"/>
      <c r="AA120" s="1"/>
    </row>
    <row r="121" spans="1:27" ht="14.25" customHeight="1">
      <c r="A121" s="475"/>
      <c r="B121" s="476"/>
      <c r="C121" s="474"/>
      <c r="D121" s="467"/>
      <c r="E121" s="374"/>
      <c r="F121" s="367"/>
      <c r="G121" s="518"/>
      <c r="H121" s="513"/>
      <c r="I121" s="375"/>
      <c r="J121" s="31"/>
      <c r="K121" s="22"/>
      <c r="L121" s="1"/>
      <c r="M121" s="1"/>
      <c r="N121" s="1"/>
      <c r="O121" s="1"/>
      <c r="P121" s="1"/>
      <c r="Q121" s="1"/>
      <c r="R121" s="1"/>
      <c r="S121" s="1"/>
      <c r="T121" s="1"/>
      <c r="U121" s="1"/>
      <c r="V121" s="1"/>
      <c r="W121" s="1"/>
      <c r="X121" s="1"/>
      <c r="Y121" s="1"/>
      <c r="Z121" s="1"/>
      <c r="AA121" s="1"/>
    </row>
    <row r="122" spans="1:27" ht="14.25" customHeight="1">
      <c r="A122" s="475" t="s">
        <v>55</v>
      </c>
      <c r="B122" s="476"/>
      <c r="C122" s="474" t="s">
        <v>77</v>
      </c>
      <c r="D122" s="467"/>
      <c r="E122" s="366">
        <f>K122</f>
        <v>759</v>
      </c>
      <c r="F122" s="367" t="s">
        <v>24</v>
      </c>
      <c r="G122" s="368">
        <v>3</v>
      </c>
      <c r="H122" s="513">
        <f>+G122*E122</f>
        <v>2277</v>
      </c>
      <c r="I122" s="375"/>
      <c r="J122" s="31"/>
      <c r="K122" s="22">
        <f>33*23</f>
        <v>759</v>
      </c>
      <c r="L122" s="1"/>
      <c r="M122" s="1"/>
      <c r="N122" s="1"/>
      <c r="O122" s="1"/>
      <c r="P122" s="1"/>
      <c r="Q122" s="1"/>
      <c r="R122" s="1"/>
      <c r="S122" s="1"/>
      <c r="T122" s="1"/>
      <c r="U122" s="1"/>
      <c r="V122" s="1"/>
      <c r="W122" s="1"/>
      <c r="X122" s="1"/>
      <c r="Y122" s="1"/>
      <c r="Z122" s="1"/>
      <c r="AA122" s="1"/>
    </row>
    <row r="123" spans="1:27" ht="14.25" customHeight="1">
      <c r="A123" s="551"/>
      <c r="B123" s="16"/>
      <c r="C123" s="783" t="s">
        <v>35</v>
      </c>
      <c r="D123" s="17"/>
      <c r="E123" s="30"/>
      <c r="F123" s="424"/>
      <c r="G123" s="772" t="s">
        <v>36</v>
      </c>
      <c r="H123" s="521"/>
      <c r="I123" s="382"/>
      <c r="J123" s="1"/>
      <c r="K123" s="22"/>
      <c r="L123" s="1"/>
      <c r="M123" s="1"/>
      <c r="N123" s="1"/>
      <c r="O123" s="1"/>
      <c r="P123" s="1"/>
      <c r="Q123" s="1"/>
      <c r="R123" s="1"/>
      <c r="S123" s="1"/>
      <c r="T123" s="1"/>
      <c r="U123" s="1"/>
      <c r="V123" s="1"/>
      <c r="W123" s="1"/>
      <c r="X123" s="1"/>
      <c r="Y123" s="1"/>
      <c r="Z123" s="1"/>
      <c r="AA123" s="1"/>
    </row>
    <row r="124" spans="1:27" ht="14.25" customHeight="1">
      <c r="A124" s="552"/>
      <c r="B124" s="486"/>
      <c r="C124" s="784"/>
      <c r="D124" s="523"/>
      <c r="E124" s="524"/>
      <c r="F124" s="525"/>
      <c r="G124" s="785"/>
      <c r="H124" s="526">
        <f>SUM(H102:H123)</f>
        <v>58568.305940000006</v>
      </c>
      <c r="I124" s="383"/>
      <c r="J124" s="1"/>
      <c r="K124" s="22"/>
      <c r="L124" s="1"/>
      <c r="M124" s="1"/>
      <c r="N124" s="1"/>
      <c r="O124" s="1"/>
      <c r="P124" s="1"/>
      <c r="Q124" s="1"/>
      <c r="R124" s="1"/>
      <c r="S124" s="1"/>
      <c r="T124" s="1"/>
      <c r="U124" s="1"/>
      <c r="V124" s="1"/>
      <c r="W124" s="1"/>
      <c r="X124" s="1"/>
      <c r="Y124" s="1"/>
      <c r="Z124" s="1"/>
      <c r="AA124" s="1"/>
    </row>
    <row r="125" spans="1:27" ht="14.25" customHeight="1">
      <c r="A125" s="465"/>
      <c r="B125" s="369"/>
      <c r="C125" s="373"/>
      <c r="D125" s="371"/>
      <c r="E125" s="499"/>
      <c r="F125" s="25"/>
      <c r="G125" s="500"/>
      <c r="H125" s="513"/>
      <c r="I125" s="375"/>
      <c r="J125" s="1"/>
      <c r="K125" s="22"/>
      <c r="L125" s="1"/>
      <c r="M125" s="1"/>
      <c r="N125" s="1"/>
      <c r="O125" s="1"/>
      <c r="P125" s="1"/>
      <c r="Q125" s="1"/>
      <c r="R125" s="1"/>
      <c r="S125" s="1"/>
      <c r="T125" s="1"/>
      <c r="U125" s="1"/>
      <c r="V125" s="1"/>
      <c r="W125" s="1"/>
      <c r="X125" s="1"/>
      <c r="Y125" s="1"/>
      <c r="Z125" s="1"/>
      <c r="AA125" s="1"/>
    </row>
    <row r="126" spans="1:27" ht="14.25" customHeight="1">
      <c r="A126" s="475"/>
      <c r="B126" s="476"/>
      <c r="C126" s="514" t="s">
        <v>78</v>
      </c>
      <c r="D126" s="467"/>
      <c r="E126" s="374"/>
      <c r="F126" s="367"/>
      <c r="G126" s="375"/>
      <c r="H126" s="513"/>
      <c r="I126" s="375"/>
      <c r="J126" s="1"/>
      <c r="K126" s="22"/>
      <c r="L126" s="1"/>
      <c r="M126" s="1"/>
      <c r="N126" s="1"/>
      <c r="O126" s="1"/>
      <c r="P126" s="1"/>
      <c r="Q126" s="1"/>
      <c r="R126" s="1"/>
      <c r="S126" s="1"/>
      <c r="T126" s="1"/>
      <c r="U126" s="1"/>
      <c r="V126" s="1"/>
      <c r="W126" s="1"/>
      <c r="X126" s="1"/>
      <c r="Y126" s="1"/>
      <c r="Z126" s="1"/>
      <c r="AA126" s="1"/>
    </row>
    <row r="127" spans="1:27" ht="14.25" customHeight="1">
      <c r="A127" s="515"/>
      <c r="B127" s="476"/>
      <c r="C127" s="516"/>
      <c r="D127" s="467"/>
      <c r="E127" s="374"/>
      <c r="F127" s="367"/>
      <c r="G127" s="375"/>
      <c r="H127" s="513"/>
      <c r="I127" s="375"/>
      <c r="J127" s="1"/>
      <c r="K127" s="22"/>
      <c r="L127" s="1"/>
      <c r="M127" s="1"/>
      <c r="N127" s="1"/>
      <c r="O127" s="1"/>
      <c r="P127" s="1"/>
      <c r="Q127" s="1"/>
      <c r="R127" s="1"/>
      <c r="S127" s="1"/>
      <c r="T127" s="1"/>
      <c r="U127" s="1"/>
      <c r="V127" s="1"/>
      <c r="W127" s="1"/>
      <c r="X127" s="1"/>
      <c r="Y127" s="1"/>
      <c r="Z127" s="1"/>
      <c r="AA127" s="1"/>
    </row>
    <row r="128" spans="1:27" ht="14.25" customHeight="1">
      <c r="A128" s="475"/>
      <c r="B128" s="476"/>
      <c r="C128" s="474" t="s">
        <v>51</v>
      </c>
      <c r="D128" s="467"/>
      <c r="E128" s="374"/>
      <c r="F128" s="367"/>
      <c r="G128" s="375"/>
      <c r="H128" s="513"/>
      <c r="I128" s="375"/>
      <c r="J128" s="1"/>
      <c r="K128" s="22"/>
      <c r="L128" s="1"/>
      <c r="M128" s="1"/>
      <c r="N128" s="1"/>
      <c r="O128" s="1"/>
      <c r="P128" s="1"/>
      <c r="Q128" s="1"/>
      <c r="R128" s="1"/>
      <c r="S128" s="1"/>
      <c r="T128" s="1"/>
      <c r="U128" s="1"/>
      <c r="V128" s="1"/>
      <c r="W128" s="1"/>
      <c r="X128" s="1"/>
      <c r="Y128" s="1"/>
      <c r="Z128" s="1"/>
      <c r="AA128" s="1"/>
    </row>
    <row r="129" spans="1:27" ht="14.25" customHeight="1">
      <c r="A129" s="515"/>
      <c r="B129" s="476"/>
      <c r="C129" s="474"/>
      <c r="D129" s="467"/>
      <c r="E129" s="374"/>
      <c r="F129" s="367"/>
      <c r="G129" s="375"/>
      <c r="H129" s="513"/>
      <c r="I129" s="375"/>
      <c r="J129" s="1"/>
      <c r="K129" s="22"/>
      <c r="L129" s="1"/>
      <c r="M129" s="1"/>
      <c r="N129" s="1"/>
      <c r="O129" s="1"/>
      <c r="P129" s="1"/>
      <c r="Q129" s="1"/>
      <c r="R129" s="1"/>
      <c r="S129" s="1"/>
      <c r="T129" s="1"/>
      <c r="U129" s="1"/>
      <c r="V129" s="1"/>
      <c r="W129" s="1"/>
      <c r="X129" s="1"/>
      <c r="Y129" s="1"/>
      <c r="Z129" s="1"/>
      <c r="AA129" s="1"/>
    </row>
    <row r="130" spans="1:27" ht="14.25" customHeight="1">
      <c r="A130" s="475" t="s">
        <v>22</v>
      </c>
      <c r="B130" s="476"/>
      <c r="C130" s="474" t="s">
        <v>1159</v>
      </c>
      <c r="D130" s="467"/>
      <c r="E130" s="366">
        <f>K130</f>
        <v>357487.28649999999</v>
      </c>
      <c r="F130" s="367" t="s">
        <v>79</v>
      </c>
      <c r="G130" s="368">
        <v>0.3</v>
      </c>
      <c r="H130" s="513">
        <f>+G130*E130</f>
        <v>107246.18595</v>
      </c>
      <c r="I130" s="375"/>
      <c r="J130" s="1"/>
      <c r="K130" s="22">
        <f>487958.3835-K75</f>
        <v>357487.28649999999</v>
      </c>
      <c r="L130" s="1"/>
      <c r="M130" s="1"/>
      <c r="N130" s="1"/>
      <c r="O130" s="1"/>
      <c r="P130" s="1"/>
      <c r="Q130" s="1"/>
      <c r="R130" s="1"/>
      <c r="S130" s="1"/>
      <c r="T130" s="1"/>
      <c r="U130" s="1"/>
      <c r="V130" s="1"/>
      <c r="W130" s="1"/>
      <c r="X130" s="1"/>
      <c r="Y130" s="1"/>
      <c r="Z130" s="1"/>
      <c r="AA130" s="1"/>
    </row>
    <row r="131" spans="1:27" ht="14.25" customHeight="1">
      <c r="A131" s="475"/>
      <c r="B131" s="476"/>
      <c r="C131" s="474"/>
      <c r="D131" s="467"/>
      <c r="E131" s="374"/>
      <c r="F131" s="367"/>
      <c r="G131" s="553"/>
      <c r="H131" s="513"/>
      <c r="I131" s="375"/>
      <c r="J131" s="1"/>
      <c r="K131" s="22"/>
      <c r="L131" s="1"/>
      <c r="M131" s="1"/>
      <c r="N131" s="1"/>
      <c r="O131" s="1"/>
      <c r="P131" s="1"/>
      <c r="Q131" s="1"/>
      <c r="R131" s="1"/>
      <c r="S131" s="1"/>
      <c r="T131" s="1"/>
      <c r="U131" s="1"/>
      <c r="V131" s="1"/>
      <c r="W131" s="1"/>
      <c r="X131" s="1"/>
      <c r="Y131" s="1"/>
      <c r="Z131" s="1"/>
      <c r="AA131" s="1"/>
    </row>
    <row r="132" spans="1:27" ht="14.25" customHeight="1">
      <c r="A132" s="475"/>
      <c r="B132" s="476"/>
      <c r="C132" s="466" t="s">
        <v>46</v>
      </c>
      <c r="D132" s="467"/>
      <c r="E132" s="519"/>
      <c r="F132" s="554"/>
      <c r="G132" s="375"/>
      <c r="H132" s="513"/>
      <c r="I132" s="375"/>
      <c r="J132" s="1"/>
      <c r="K132" s="22"/>
      <c r="L132" s="1"/>
      <c r="M132" s="1"/>
      <c r="N132" s="1"/>
      <c r="O132" s="1"/>
      <c r="P132" s="1"/>
      <c r="Q132" s="1"/>
      <c r="R132" s="1"/>
      <c r="S132" s="1"/>
      <c r="T132" s="1"/>
      <c r="U132" s="1"/>
      <c r="V132" s="1"/>
      <c r="W132" s="1"/>
      <c r="X132" s="1"/>
      <c r="Y132" s="1"/>
      <c r="Z132" s="1"/>
      <c r="AA132" s="1"/>
    </row>
    <row r="133" spans="1:27" ht="14.25" customHeight="1">
      <c r="A133" s="475"/>
      <c r="B133" s="476"/>
      <c r="C133" s="474"/>
      <c r="D133" s="467"/>
      <c r="E133" s="374"/>
      <c r="F133" s="367"/>
      <c r="G133" s="368"/>
      <c r="H133" s="513"/>
      <c r="I133" s="375"/>
      <c r="J133" s="1"/>
      <c r="K133" s="22"/>
      <c r="L133" s="1"/>
      <c r="M133" s="1"/>
      <c r="N133" s="1"/>
      <c r="O133" s="1"/>
      <c r="P133" s="1"/>
      <c r="Q133" s="1"/>
      <c r="R133" s="1"/>
      <c r="S133" s="1"/>
      <c r="T133" s="1"/>
      <c r="U133" s="1"/>
      <c r="V133" s="1"/>
      <c r="W133" s="1"/>
      <c r="X133" s="1"/>
      <c r="Y133" s="1"/>
      <c r="Z133" s="1"/>
      <c r="AA133" s="1"/>
    </row>
    <row r="134" spans="1:27" ht="14.25" customHeight="1">
      <c r="A134" s="475" t="s">
        <v>54</v>
      </c>
      <c r="B134" s="476"/>
      <c r="C134" s="474" t="s">
        <v>67</v>
      </c>
      <c r="D134" s="467"/>
      <c r="E134" s="366">
        <f>K134</f>
        <v>2419.9500000000007</v>
      </c>
      <c r="F134" s="367" t="s">
        <v>24</v>
      </c>
      <c r="G134" s="368">
        <v>2</v>
      </c>
      <c r="H134" s="513">
        <f>+G134*E134</f>
        <v>4839.9000000000015</v>
      </c>
      <c r="I134" s="375"/>
      <c r="J134" s="1"/>
      <c r="K134" s="22">
        <f>M.S!X55+M.S!X67+M.S!X79</f>
        <v>2419.9500000000007</v>
      </c>
      <c r="L134" s="1"/>
      <c r="M134" s="1"/>
      <c r="N134" s="1"/>
      <c r="O134" s="1"/>
      <c r="P134" s="1"/>
      <c r="Q134" s="1"/>
      <c r="R134" s="1"/>
      <c r="S134" s="1"/>
      <c r="T134" s="1"/>
      <c r="U134" s="1"/>
      <c r="V134" s="1"/>
      <c r="W134" s="1"/>
      <c r="X134" s="1"/>
      <c r="Y134" s="1"/>
      <c r="Z134" s="1"/>
      <c r="AA134" s="1"/>
    </row>
    <row r="135" spans="1:27" ht="14.25" customHeight="1">
      <c r="A135" s="475"/>
      <c r="B135" s="476"/>
      <c r="C135" s="474"/>
      <c r="D135" s="467"/>
      <c r="E135" s="374"/>
      <c r="F135" s="367"/>
      <c r="G135" s="375"/>
      <c r="H135" s="513"/>
      <c r="I135" s="375"/>
      <c r="J135" s="1"/>
      <c r="K135" s="22"/>
      <c r="L135" s="1"/>
      <c r="M135" s="1"/>
      <c r="N135" s="1"/>
      <c r="O135" s="1"/>
      <c r="P135" s="1"/>
      <c r="Q135" s="1"/>
      <c r="R135" s="1"/>
      <c r="S135" s="1"/>
      <c r="T135" s="1"/>
      <c r="U135" s="1"/>
      <c r="V135" s="1"/>
      <c r="W135" s="1"/>
      <c r="X135" s="1"/>
      <c r="Y135" s="1"/>
      <c r="Z135" s="1"/>
      <c r="AA135" s="1"/>
    </row>
    <row r="136" spans="1:27" ht="14.25" customHeight="1">
      <c r="A136" s="475" t="s">
        <v>55</v>
      </c>
      <c r="B136" s="476"/>
      <c r="C136" s="474" t="s">
        <v>80</v>
      </c>
      <c r="D136" s="467"/>
      <c r="E136" s="366">
        <f>K136</f>
        <v>1856.9899999999998</v>
      </c>
      <c r="F136" s="367" t="s">
        <v>24</v>
      </c>
      <c r="G136" s="368">
        <v>2</v>
      </c>
      <c r="H136" s="513">
        <f>+G136*E136</f>
        <v>3713.9799999999996</v>
      </c>
      <c r="I136" s="375"/>
      <c r="J136" s="1"/>
      <c r="K136" s="22">
        <f>M.S!X100</f>
        <v>1856.9899999999998</v>
      </c>
      <c r="L136" s="1"/>
      <c r="M136" s="1"/>
      <c r="N136" s="1"/>
      <c r="O136" s="1"/>
      <c r="P136" s="1"/>
      <c r="Q136" s="1"/>
      <c r="R136" s="1"/>
      <c r="S136" s="1"/>
      <c r="T136" s="1"/>
      <c r="U136" s="1"/>
      <c r="V136" s="1"/>
      <c r="W136" s="1"/>
      <c r="X136" s="1"/>
      <c r="Y136" s="1"/>
      <c r="Z136" s="1"/>
      <c r="AA136" s="1"/>
    </row>
    <row r="137" spans="1:27" ht="14.25" customHeight="1">
      <c r="A137" s="475"/>
      <c r="B137" s="476"/>
      <c r="C137" s="474"/>
      <c r="D137" s="467"/>
      <c r="E137" s="374"/>
      <c r="F137" s="367"/>
      <c r="G137" s="375"/>
      <c r="H137" s="513"/>
      <c r="I137" s="375"/>
      <c r="J137" s="1"/>
      <c r="K137" s="22"/>
      <c r="L137" s="1"/>
      <c r="M137" s="1"/>
      <c r="N137" s="1"/>
      <c r="O137" s="1"/>
      <c r="P137" s="1"/>
      <c r="Q137" s="1"/>
      <c r="R137" s="1"/>
      <c r="S137" s="1"/>
      <c r="T137" s="1"/>
      <c r="U137" s="1"/>
      <c r="V137" s="1"/>
      <c r="W137" s="1"/>
      <c r="X137" s="1"/>
      <c r="Y137" s="1"/>
      <c r="Z137" s="1"/>
      <c r="AA137" s="1"/>
    </row>
    <row r="138" spans="1:27" ht="14.25" customHeight="1">
      <c r="A138" s="475" t="s">
        <v>56</v>
      </c>
      <c r="B138" s="476"/>
      <c r="C138" s="516" t="s">
        <v>81</v>
      </c>
      <c r="D138" s="467"/>
      <c r="E138" s="366">
        <f>K138</f>
        <v>5750.5769999999993</v>
      </c>
      <c r="F138" s="367" t="s">
        <v>24</v>
      </c>
      <c r="G138" s="368">
        <v>2</v>
      </c>
      <c r="H138" s="513">
        <f>+G138*E138</f>
        <v>11501.153999999999</v>
      </c>
      <c r="I138" s="375"/>
      <c r="J138" s="1"/>
      <c r="K138" s="22">
        <f>M.S!X177*8-SUM(M.S!I36:I41)-SUM(M.S!I114:I122)-SUM(M.S!J151:J163)*7</f>
        <v>5750.5769999999993</v>
      </c>
      <c r="L138" s="1"/>
      <c r="M138" s="1"/>
      <c r="N138" s="1"/>
      <c r="O138" s="1"/>
      <c r="P138" s="1"/>
      <c r="Q138" s="1"/>
      <c r="R138" s="1"/>
      <c r="S138" s="1"/>
      <c r="T138" s="1"/>
      <c r="U138" s="1"/>
      <c r="V138" s="1"/>
      <c r="W138" s="1"/>
      <c r="X138" s="1"/>
      <c r="Y138" s="1"/>
      <c r="Z138" s="1"/>
      <c r="AA138" s="1"/>
    </row>
    <row r="139" spans="1:27" ht="14.25" customHeight="1">
      <c r="A139" s="475"/>
      <c r="B139" s="476"/>
      <c r="C139" s="474"/>
      <c r="D139" s="467"/>
      <c r="E139" s="374"/>
      <c r="F139" s="367"/>
      <c r="G139" s="375"/>
      <c r="H139" s="513"/>
      <c r="I139" s="375"/>
      <c r="J139" s="1"/>
      <c r="K139" s="22"/>
      <c r="L139" s="1"/>
      <c r="M139" s="1"/>
      <c r="N139" s="1"/>
      <c r="O139" s="1"/>
      <c r="P139" s="1"/>
      <c r="Q139" s="1"/>
      <c r="R139" s="1"/>
      <c r="S139" s="1"/>
      <c r="T139" s="1"/>
      <c r="U139" s="1"/>
      <c r="V139" s="1"/>
      <c r="W139" s="1"/>
      <c r="X139" s="1"/>
      <c r="Y139" s="1"/>
      <c r="Z139" s="1"/>
      <c r="AA139" s="1"/>
    </row>
    <row r="140" spans="1:27" ht="14.25" customHeight="1">
      <c r="A140" s="475" t="s">
        <v>57</v>
      </c>
      <c r="B140" s="476"/>
      <c r="C140" s="474" t="s">
        <v>82</v>
      </c>
      <c r="D140" s="467"/>
      <c r="E140" s="366">
        <f>K140</f>
        <v>116.48299999999999</v>
      </c>
      <c r="F140" s="367" t="s">
        <v>24</v>
      </c>
      <c r="G140" s="368">
        <v>2</v>
      </c>
      <c r="H140" s="513">
        <f>+G140*E140</f>
        <v>232.96599999999998</v>
      </c>
      <c r="I140" s="375"/>
      <c r="J140" s="1"/>
      <c r="K140" s="22">
        <f>SUM(M.S!I114:I122)+SUM(M.S!I151:I163)*7</f>
        <v>116.48299999999999</v>
      </c>
      <c r="L140" s="1"/>
      <c r="M140" s="1"/>
      <c r="N140" s="1"/>
      <c r="O140" s="1"/>
      <c r="P140" s="1"/>
      <c r="Q140" s="1"/>
      <c r="R140" s="1"/>
      <c r="S140" s="1"/>
      <c r="T140" s="1"/>
      <c r="U140" s="1"/>
      <c r="V140" s="1"/>
      <c r="W140" s="1"/>
      <c r="X140" s="1"/>
      <c r="Y140" s="1"/>
      <c r="Z140" s="1"/>
      <c r="AA140" s="1"/>
    </row>
    <row r="141" spans="1:27" ht="14.25" customHeight="1">
      <c r="A141" s="475"/>
      <c r="B141" s="476"/>
      <c r="C141" s="474"/>
      <c r="D141" s="467"/>
      <c r="E141" s="374"/>
      <c r="F141" s="367"/>
      <c r="G141" s="375"/>
      <c r="H141" s="513"/>
      <c r="I141" s="375"/>
      <c r="J141" s="1"/>
      <c r="K141" s="22"/>
      <c r="L141" s="1"/>
      <c r="M141" s="1"/>
      <c r="N141" s="1"/>
      <c r="O141" s="1"/>
      <c r="P141" s="1"/>
      <c r="Q141" s="1"/>
      <c r="R141" s="1"/>
      <c r="S141" s="1"/>
      <c r="T141" s="1"/>
      <c r="U141" s="1"/>
      <c r="V141" s="1"/>
      <c r="W141" s="1"/>
      <c r="X141" s="1"/>
      <c r="Y141" s="1"/>
      <c r="Z141" s="1"/>
      <c r="AA141" s="1"/>
    </row>
    <row r="142" spans="1:27" ht="14.25" customHeight="1">
      <c r="A142" s="475" t="s">
        <v>58</v>
      </c>
      <c r="B142" s="476"/>
      <c r="C142" s="474" t="s">
        <v>71</v>
      </c>
      <c r="D142" s="467"/>
      <c r="E142" s="366">
        <f>K142</f>
        <v>1</v>
      </c>
      <c r="F142" s="367" t="s">
        <v>76</v>
      </c>
      <c r="G142" s="368">
        <v>500</v>
      </c>
      <c r="H142" s="513">
        <f>+G142*E142</f>
        <v>500</v>
      </c>
      <c r="I142" s="375"/>
      <c r="J142" s="1"/>
      <c r="K142" s="22">
        <v>1</v>
      </c>
      <c r="L142" s="1"/>
      <c r="M142" s="1"/>
      <c r="N142" s="1"/>
      <c r="O142" s="1"/>
      <c r="P142" s="1"/>
      <c r="Q142" s="1"/>
      <c r="R142" s="1"/>
      <c r="S142" s="1"/>
      <c r="T142" s="1"/>
      <c r="U142" s="1"/>
      <c r="V142" s="1"/>
      <c r="W142" s="1"/>
      <c r="X142" s="1"/>
      <c r="Y142" s="1"/>
      <c r="Z142" s="1"/>
      <c r="AA142" s="1"/>
    </row>
    <row r="143" spans="1:27" ht="14.25" customHeight="1">
      <c r="A143" s="475"/>
      <c r="B143" s="476"/>
      <c r="C143" s="474"/>
      <c r="D143" s="467"/>
      <c r="E143" s="374"/>
      <c r="F143" s="367"/>
      <c r="G143" s="368"/>
      <c r="H143" s="513"/>
      <c r="I143" s="375"/>
      <c r="J143" s="1"/>
      <c r="K143" s="22"/>
      <c r="L143" s="1"/>
      <c r="M143" s="1"/>
      <c r="N143" s="1"/>
      <c r="O143" s="1"/>
      <c r="P143" s="1"/>
      <c r="Q143" s="1"/>
      <c r="R143" s="1"/>
      <c r="S143" s="1"/>
      <c r="T143" s="1"/>
      <c r="U143" s="1"/>
      <c r="V143" s="1"/>
      <c r="W143" s="1"/>
      <c r="X143" s="1"/>
      <c r="Y143" s="1"/>
      <c r="Z143" s="1"/>
      <c r="AA143" s="1"/>
    </row>
    <row r="144" spans="1:27" ht="14.25" customHeight="1">
      <c r="A144" s="475" t="s">
        <v>83</v>
      </c>
      <c r="B144" s="476"/>
      <c r="C144" s="474" t="s">
        <v>84</v>
      </c>
      <c r="D144" s="467"/>
      <c r="E144" s="366">
        <f>K144</f>
        <v>22.400000000000002</v>
      </c>
      <c r="F144" s="367" t="s">
        <v>24</v>
      </c>
      <c r="G144" s="368">
        <v>2</v>
      </c>
      <c r="H144" s="513">
        <f>+G144*E144</f>
        <v>44.800000000000004</v>
      </c>
      <c r="I144" s="375"/>
      <c r="J144" s="1"/>
      <c r="K144" s="22">
        <f>33*2*0.2+23*2*0.2</f>
        <v>22.400000000000002</v>
      </c>
      <c r="L144" s="1"/>
      <c r="M144" s="1"/>
      <c r="N144" s="1"/>
      <c r="O144" s="1"/>
      <c r="P144" s="1"/>
      <c r="Q144" s="1"/>
      <c r="R144" s="1"/>
      <c r="S144" s="1"/>
      <c r="T144" s="1"/>
      <c r="U144" s="1"/>
      <c r="V144" s="1"/>
      <c r="W144" s="1"/>
      <c r="X144" s="1"/>
      <c r="Y144" s="1"/>
      <c r="Z144" s="1"/>
      <c r="AA144" s="1"/>
    </row>
    <row r="145" spans="1:27" ht="14.25" customHeight="1">
      <c r="A145" s="475"/>
      <c r="B145" s="476"/>
      <c r="C145" s="474"/>
      <c r="D145" s="467"/>
      <c r="E145" s="374"/>
      <c r="F145" s="367"/>
      <c r="G145" s="368"/>
      <c r="H145" s="513"/>
      <c r="I145" s="375"/>
      <c r="J145" s="1"/>
      <c r="K145" s="22"/>
      <c r="L145" s="1"/>
      <c r="M145" s="1"/>
      <c r="N145" s="1"/>
      <c r="O145" s="1"/>
      <c r="P145" s="1"/>
      <c r="Q145" s="1"/>
      <c r="R145" s="1"/>
      <c r="S145" s="1"/>
      <c r="T145" s="1"/>
      <c r="U145" s="1"/>
      <c r="V145" s="1"/>
      <c r="W145" s="1"/>
      <c r="X145" s="1"/>
      <c r="Y145" s="1"/>
      <c r="Z145" s="1"/>
      <c r="AA145" s="1"/>
    </row>
    <row r="146" spans="1:27" ht="14.25" customHeight="1">
      <c r="A146" s="475" t="s">
        <v>85</v>
      </c>
      <c r="B146" s="476"/>
      <c r="C146" s="474" t="s">
        <v>86</v>
      </c>
      <c r="D146" s="467"/>
      <c r="E146" s="366">
        <f>K146</f>
        <v>755.04</v>
      </c>
      <c r="F146" s="367" t="s">
        <v>24</v>
      </c>
      <c r="G146" s="368">
        <v>2</v>
      </c>
      <c r="H146" s="513">
        <f>+G146*E146</f>
        <v>1510.08</v>
      </c>
      <c r="I146" s="375"/>
      <c r="J146" s="1"/>
      <c r="K146" s="22">
        <f>M.S!X145</f>
        <v>755.04</v>
      </c>
      <c r="L146" s="1"/>
      <c r="M146" s="1"/>
      <c r="N146" s="1"/>
      <c r="O146" s="1"/>
      <c r="P146" s="1"/>
      <c r="Q146" s="1"/>
      <c r="R146" s="1"/>
      <c r="S146" s="1"/>
      <c r="T146" s="1"/>
      <c r="U146" s="1"/>
      <c r="V146" s="1"/>
      <c r="W146" s="1"/>
      <c r="X146" s="1"/>
      <c r="Y146" s="1"/>
      <c r="Z146" s="1"/>
      <c r="AA146" s="1"/>
    </row>
    <row r="147" spans="1:27" ht="14.25" customHeight="1">
      <c r="A147" s="475"/>
      <c r="B147" s="476"/>
      <c r="C147" s="474"/>
      <c r="D147" s="467"/>
      <c r="E147" s="374"/>
      <c r="F147" s="367"/>
      <c r="G147" s="375"/>
      <c r="H147" s="513"/>
      <c r="I147" s="375"/>
      <c r="J147" s="1"/>
      <c r="K147" s="22"/>
      <c r="L147" s="1"/>
      <c r="M147" s="1"/>
      <c r="N147" s="1"/>
      <c r="O147" s="1"/>
      <c r="P147" s="1"/>
      <c r="Q147" s="1"/>
      <c r="R147" s="1"/>
      <c r="S147" s="1"/>
      <c r="T147" s="1"/>
      <c r="U147" s="1"/>
      <c r="V147" s="1"/>
      <c r="W147" s="1"/>
      <c r="X147" s="1"/>
      <c r="Y147" s="1"/>
      <c r="Z147" s="1"/>
      <c r="AA147" s="1"/>
    </row>
    <row r="148" spans="1:27" ht="14.25" customHeight="1">
      <c r="A148" s="475" t="s">
        <v>54</v>
      </c>
      <c r="B148" s="476"/>
      <c r="C148" s="474" t="s">
        <v>45</v>
      </c>
      <c r="D148" s="467"/>
      <c r="E148" s="366">
        <f>K148</f>
        <v>1856.9899999999998</v>
      </c>
      <c r="F148" s="367" t="s">
        <v>24</v>
      </c>
      <c r="G148" s="368">
        <v>2</v>
      </c>
      <c r="H148" s="513">
        <f>+G148*E148</f>
        <v>3713.9799999999996</v>
      </c>
      <c r="I148" s="375"/>
      <c r="J148" s="1"/>
      <c r="K148" s="22">
        <f>M.S!X100</f>
        <v>1856.9899999999998</v>
      </c>
      <c r="L148" s="1"/>
      <c r="M148" s="1"/>
      <c r="N148" s="1"/>
      <c r="O148" s="1"/>
      <c r="P148" s="1"/>
      <c r="Q148" s="1"/>
      <c r="R148" s="1"/>
      <c r="S148" s="1"/>
      <c r="T148" s="1"/>
      <c r="U148" s="1"/>
      <c r="V148" s="1"/>
      <c r="W148" s="1"/>
      <c r="X148" s="1"/>
      <c r="Y148" s="1"/>
      <c r="Z148" s="1"/>
      <c r="AA148" s="1"/>
    </row>
    <row r="149" spans="1:27" ht="14.25" customHeight="1">
      <c r="A149" s="475"/>
      <c r="B149" s="476"/>
      <c r="C149" s="474"/>
      <c r="D149" s="467"/>
      <c r="E149" s="374"/>
      <c r="F149" s="367"/>
      <c r="G149" s="375"/>
      <c r="H149" s="513"/>
      <c r="I149" s="375"/>
      <c r="J149" s="1"/>
      <c r="K149" s="22"/>
      <c r="L149" s="1"/>
      <c r="M149" s="1"/>
      <c r="N149" s="1"/>
      <c r="O149" s="1"/>
      <c r="P149" s="1"/>
      <c r="Q149" s="1"/>
      <c r="R149" s="1"/>
      <c r="S149" s="1"/>
      <c r="T149" s="1"/>
      <c r="U149" s="1"/>
      <c r="V149" s="1"/>
      <c r="W149" s="1"/>
      <c r="X149" s="1"/>
      <c r="Y149" s="1"/>
      <c r="Z149" s="1"/>
      <c r="AA149" s="1"/>
    </row>
    <row r="150" spans="1:27" ht="14.25" customHeight="1">
      <c r="A150" s="475" t="s">
        <v>87</v>
      </c>
      <c r="B150" s="476"/>
      <c r="C150" s="474" t="s">
        <v>88</v>
      </c>
      <c r="D150" s="467"/>
      <c r="E150" s="366">
        <f>K150</f>
        <v>1</v>
      </c>
      <c r="F150" s="367" t="s">
        <v>76</v>
      </c>
      <c r="G150" s="368">
        <v>100</v>
      </c>
      <c r="H150" s="513">
        <f>+G150*E150</f>
        <v>100</v>
      </c>
      <c r="I150" s="375"/>
      <c r="J150" s="1"/>
      <c r="K150" s="22">
        <v>1</v>
      </c>
      <c r="L150" s="1"/>
      <c r="M150" s="1"/>
      <c r="N150" s="1"/>
      <c r="O150" s="1"/>
      <c r="P150" s="1"/>
      <c r="Q150" s="1"/>
      <c r="R150" s="1"/>
      <c r="S150" s="1"/>
      <c r="T150" s="1"/>
      <c r="U150" s="1"/>
      <c r="V150" s="1"/>
      <c r="W150" s="1"/>
      <c r="X150" s="1"/>
      <c r="Y150" s="1"/>
      <c r="Z150" s="1"/>
      <c r="AA150" s="1"/>
    </row>
    <row r="151" spans="1:27" ht="14.25" customHeight="1">
      <c r="A151" s="551"/>
      <c r="B151" s="16"/>
      <c r="C151" s="783" t="s">
        <v>35</v>
      </c>
      <c r="D151" s="17"/>
      <c r="E151" s="30"/>
      <c r="F151" s="424"/>
      <c r="G151" s="772" t="s">
        <v>36</v>
      </c>
      <c r="H151" s="548"/>
      <c r="I151" s="384"/>
      <c r="J151" s="1"/>
      <c r="K151" s="22"/>
      <c r="L151" s="1"/>
      <c r="M151" s="1"/>
      <c r="N151" s="1"/>
      <c r="O151" s="1"/>
      <c r="P151" s="1"/>
      <c r="Q151" s="1"/>
      <c r="R151" s="1"/>
      <c r="S151" s="1"/>
      <c r="T151" s="1"/>
      <c r="U151" s="1"/>
      <c r="V151" s="1"/>
      <c r="W151" s="1"/>
      <c r="X151" s="1"/>
      <c r="Y151" s="1"/>
      <c r="Z151" s="1"/>
      <c r="AA151" s="1"/>
    </row>
    <row r="152" spans="1:27" ht="14.25" customHeight="1">
      <c r="A152" s="552"/>
      <c r="B152" s="486"/>
      <c r="C152" s="784"/>
      <c r="D152" s="523"/>
      <c r="E152" s="524"/>
      <c r="F152" s="525"/>
      <c r="G152" s="785"/>
      <c r="H152" s="549">
        <f>SUM(H130:H151)</f>
        <v>133403.04595</v>
      </c>
      <c r="I152" s="385"/>
      <c r="J152" s="1"/>
      <c r="K152" s="22"/>
      <c r="L152" s="1"/>
      <c r="M152" s="1"/>
      <c r="N152" s="1"/>
      <c r="O152" s="1"/>
      <c r="P152" s="1"/>
      <c r="Q152" s="1"/>
      <c r="R152" s="1"/>
      <c r="S152" s="1"/>
      <c r="T152" s="1"/>
      <c r="U152" s="1"/>
      <c r="V152" s="1"/>
      <c r="W152" s="1"/>
      <c r="X152" s="1"/>
      <c r="Y152" s="1"/>
      <c r="Z152" s="1"/>
      <c r="AA152" s="1"/>
    </row>
    <row r="153" spans="1:27" ht="14.25" customHeight="1">
      <c r="A153" s="465"/>
      <c r="B153" s="369"/>
      <c r="C153" s="373"/>
      <c r="D153" s="371"/>
      <c r="E153" s="499"/>
      <c r="F153" s="25"/>
      <c r="G153" s="500"/>
      <c r="H153" s="513"/>
      <c r="I153" s="375"/>
      <c r="J153" s="1"/>
      <c r="K153" s="22"/>
      <c r="L153" s="1"/>
      <c r="M153" s="1"/>
      <c r="N153" s="1"/>
      <c r="O153" s="1"/>
      <c r="P153" s="1"/>
      <c r="Q153" s="1"/>
      <c r="R153" s="1"/>
      <c r="S153" s="1"/>
      <c r="T153" s="1"/>
      <c r="U153" s="1"/>
      <c r="V153" s="1"/>
      <c r="W153" s="1"/>
      <c r="X153" s="1"/>
      <c r="Y153" s="1"/>
      <c r="Z153" s="1"/>
      <c r="AA153" s="1"/>
    </row>
    <row r="154" spans="1:27" ht="14.25" customHeight="1">
      <c r="A154" s="465"/>
      <c r="B154" s="476"/>
      <c r="C154" s="466" t="s">
        <v>89</v>
      </c>
      <c r="D154" s="371"/>
      <c r="E154" s="499"/>
      <c r="F154" s="378"/>
      <c r="G154" s="500"/>
      <c r="H154" s="513"/>
      <c r="I154" s="375"/>
      <c r="J154" s="1"/>
      <c r="K154" s="22"/>
      <c r="L154" s="1"/>
      <c r="M154" s="1"/>
      <c r="N154" s="1"/>
      <c r="O154" s="1"/>
      <c r="P154" s="1"/>
      <c r="Q154" s="1"/>
      <c r="R154" s="1"/>
      <c r="S154" s="1"/>
      <c r="T154" s="1"/>
      <c r="U154" s="1"/>
      <c r="V154" s="1"/>
      <c r="W154" s="1"/>
      <c r="X154" s="1"/>
      <c r="Y154" s="1"/>
      <c r="Z154" s="1"/>
      <c r="AA154" s="1"/>
    </row>
    <row r="155" spans="1:27" ht="14.25" customHeight="1">
      <c r="A155" s="465"/>
      <c r="B155" s="476"/>
      <c r="C155" s="373"/>
      <c r="D155" s="371"/>
      <c r="E155" s="499"/>
      <c r="F155" s="378"/>
      <c r="G155" s="500"/>
      <c r="H155" s="513"/>
      <c r="I155" s="375"/>
      <c r="J155" s="1"/>
      <c r="K155" s="22"/>
      <c r="L155" s="1"/>
      <c r="M155" s="1"/>
      <c r="N155" s="1"/>
      <c r="O155" s="1"/>
      <c r="P155" s="1"/>
      <c r="Q155" s="1"/>
      <c r="R155" s="1"/>
      <c r="S155" s="1"/>
      <c r="T155" s="1"/>
      <c r="U155" s="1"/>
      <c r="V155" s="1"/>
      <c r="W155" s="1"/>
      <c r="X155" s="1"/>
      <c r="Y155" s="1"/>
      <c r="Z155" s="1"/>
      <c r="AA155" s="1"/>
    </row>
    <row r="156" spans="1:27" ht="14.25" customHeight="1">
      <c r="A156" s="475"/>
      <c r="B156" s="476"/>
      <c r="C156" s="466" t="s">
        <v>90</v>
      </c>
      <c r="D156" s="467"/>
      <c r="E156" s="374"/>
      <c r="F156" s="367"/>
      <c r="G156" s="375"/>
      <c r="H156" s="513"/>
      <c r="I156" s="375"/>
      <c r="J156" s="1"/>
      <c r="K156" s="22"/>
      <c r="L156" s="1"/>
      <c r="M156" s="1"/>
      <c r="N156" s="1"/>
      <c r="O156" s="1"/>
      <c r="P156" s="1"/>
      <c r="Q156" s="1"/>
      <c r="R156" s="1"/>
      <c r="S156" s="1"/>
      <c r="T156" s="1"/>
      <c r="U156" s="1"/>
      <c r="V156" s="1"/>
      <c r="W156" s="1"/>
      <c r="X156" s="1"/>
      <c r="Y156" s="1"/>
      <c r="Z156" s="1"/>
      <c r="AA156" s="1"/>
    </row>
    <row r="157" spans="1:27" ht="14.25" customHeight="1">
      <c r="A157" s="515"/>
      <c r="B157" s="476"/>
      <c r="C157" s="474"/>
      <c r="D157" s="467"/>
      <c r="E157" s="374"/>
      <c r="F157" s="367"/>
      <c r="G157" s="375"/>
      <c r="H157" s="513"/>
      <c r="I157" s="375"/>
      <c r="J157" s="1"/>
      <c r="K157" s="22"/>
      <c r="L157" s="1"/>
      <c r="M157" s="1"/>
      <c r="N157" s="1"/>
      <c r="O157" s="1"/>
      <c r="P157" s="1"/>
      <c r="Q157" s="1"/>
      <c r="R157" s="1"/>
      <c r="S157" s="1"/>
      <c r="T157" s="1"/>
      <c r="U157" s="1"/>
      <c r="V157" s="1"/>
      <c r="W157" s="1"/>
      <c r="X157" s="1"/>
      <c r="Y157" s="1"/>
      <c r="Z157" s="1"/>
      <c r="AA157" s="1"/>
    </row>
    <row r="158" spans="1:27" ht="14.25" customHeight="1">
      <c r="A158" s="475" t="s">
        <v>22</v>
      </c>
      <c r="B158" s="476"/>
      <c r="C158" s="474" t="s">
        <v>91</v>
      </c>
      <c r="D158" s="467"/>
      <c r="E158" s="366">
        <f>K158</f>
        <v>943.07499999999993</v>
      </c>
      <c r="F158" s="367" t="s">
        <v>24</v>
      </c>
      <c r="G158" s="368">
        <v>2.5</v>
      </c>
      <c r="H158" s="513">
        <f>+G158*E158</f>
        <v>2357.6875</v>
      </c>
      <c r="I158" s="375" t="s">
        <v>1170</v>
      </c>
      <c r="J158" s="1"/>
      <c r="K158" s="22">
        <f>BW!M169</f>
        <v>943.07499999999993</v>
      </c>
      <c r="L158" s="1"/>
      <c r="M158" s="1"/>
      <c r="N158" s="1"/>
      <c r="O158" s="1"/>
      <c r="P158" s="1"/>
      <c r="Q158" s="1"/>
      <c r="R158" s="1"/>
      <c r="S158" s="1"/>
      <c r="T158" s="1"/>
      <c r="U158" s="1"/>
      <c r="V158" s="1"/>
      <c r="W158" s="1"/>
      <c r="X158" s="1"/>
      <c r="Y158" s="1"/>
      <c r="Z158" s="1"/>
      <c r="AA158" s="1"/>
    </row>
    <row r="159" spans="1:27" ht="14.25" customHeight="1">
      <c r="A159" s="475"/>
      <c r="B159" s="476"/>
      <c r="C159" s="474"/>
      <c r="D159" s="467"/>
      <c r="E159" s="374"/>
      <c r="F159" s="367"/>
      <c r="G159" s="518"/>
      <c r="H159" s="513"/>
      <c r="I159" s="375"/>
      <c r="J159" s="1"/>
      <c r="K159" s="22"/>
      <c r="L159" s="1"/>
      <c r="M159" s="1"/>
      <c r="N159" s="1"/>
      <c r="O159" s="1"/>
      <c r="P159" s="1"/>
      <c r="Q159" s="1"/>
      <c r="R159" s="1"/>
      <c r="S159" s="1"/>
      <c r="T159" s="1"/>
      <c r="U159" s="1"/>
      <c r="V159" s="1"/>
      <c r="W159" s="1"/>
      <c r="X159" s="1"/>
      <c r="Y159" s="1"/>
      <c r="Z159" s="1"/>
      <c r="AA159" s="1"/>
    </row>
    <row r="160" spans="1:27" ht="14.25" customHeight="1">
      <c r="A160" s="475" t="s">
        <v>25</v>
      </c>
      <c r="B160" s="476"/>
      <c r="C160" s="474" t="s">
        <v>92</v>
      </c>
      <c r="D160" s="467"/>
      <c r="E160" s="366">
        <f>K160</f>
        <v>16290.851504841867</v>
      </c>
      <c r="F160" s="367" t="s">
        <v>24</v>
      </c>
      <c r="G160" s="368">
        <v>2.85</v>
      </c>
      <c r="H160" s="513">
        <f>+G160*E160</f>
        <v>46428.926788799319</v>
      </c>
      <c r="I160" s="375"/>
      <c r="J160" s="1"/>
      <c r="K160" s="22">
        <f>BW!L169+Finishesh!U258</f>
        <v>16290.851504841867</v>
      </c>
      <c r="L160" s="1"/>
      <c r="M160" s="1"/>
      <c r="N160" s="1"/>
      <c r="O160" s="1"/>
      <c r="P160" s="1"/>
      <c r="Q160" s="1"/>
      <c r="R160" s="1"/>
      <c r="S160" s="1"/>
      <c r="T160" s="1"/>
      <c r="U160" s="1"/>
      <c r="V160" s="1"/>
      <c r="W160" s="1"/>
      <c r="X160" s="1"/>
      <c r="Y160" s="1"/>
      <c r="Z160" s="1"/>
      <c r="AA160" s="1"/>
    </row>
    <row r="161" spans="1:27" ht="14.25" customHeight="1">
      <c r="A161" s="475"/>
      <c r="B161" s="476"/>
      <c r="C161" s="474"/>
      <c r="D161" s="467"/>
      <c r="E161" s="374"/>
      <c r="F161" s="367"/>
      <c r="G161" s="518"/>
      <c r="H161" s="513"/>
      <c r="I161" s="375"/>
      <c r="J161" s="1"/>
      <c r="K161" s="22"/>
      <c r="L161" s="1"/>
      <c r="M161" s="1"/>
      <c r="N161" s="1"/>
      <c r="O161" s="1"/>
      <c r="P161" s="1"/>
      <c r="Q161" s="1"/>
      <c r="R161" s="1"/>
      <c r="S161" s="1"/>
      <c r="T161" s="1"/>
      <c r="U161" s="1"/>
      <c r="V161" s="1"/>
      <c r="W161" s="1"/>
      <c r="X161" s="1"/>
      <c r="Y161" s="1"/>
      <c r="Z161" s="1"/>
      <c r="AA161" s="1"/>
    </row>
    <row r="162" spans="1:27" ht="14.25" customHeight="1">
      <c r="A162" s="475" t="s">
        <v>28</v>
      </c>
      <c r="B162" s="476"/>
      <c r="C162" s="474" t="s">
        <v>93</v>
      </c>
      <c r="D162" s="467"/>
      <c r="E162" s="366">
        <f>K162</f>
        <v>179.20000000000002</v>
      </c>
      <c r="F162" s="367" t="s">
        <v>24</v>
      </c>
      <c r="G162" s="368">
        <v>2.85</v>
      </c>
      <c r="H162" s="513">
        <f>+G162*E162</f>
        <v>510.72000000000008</v>
      </c>
      <c r="I162" s="375"/>
      <c r="J162" s="1"/>
      <c r="K162" s="22">
        <f>BW!L174</f>
        <v>179.20000000000002</v>
      </c>
      <c r="L162" s="1"/>
      <c r="M162" s="1"/>
      <c r="N162" s="1"/>
      <c r="O162" s="1"/>
      <c r="P162" s="1"/>
      <c r="Q162" s="1"/>
      <c r="R162" s="1"/>
      <c r="S162" s="1"/>
      <c r="T162" s="1"/>
      <c r="U162" s="1"/>
      <c r="V162" s="1"/>
      <c r="W162" s="1"/>
      <c r="X162" s="1"/>
      <c r="Y162" s="1"/>
      <c r="Z162" s="1"/>
      <c r="AA162" s="1"/>
    </row>
    <row r="163" spans="1:27" ht="14.25" customHeight="1">
      <c r="A163" s="475"/>
      <c r="B163" s="476"/>
      <c r="C163" s="474"/>
      <c r="D163" s="467"/>
      <c r="E163" s="374"/>
      <c r="F163" s="367"/>
      <c r="G163" s="375"/>
      <c r="H163" s="513"/>
      <c r="I163" s="375"/>
      <c r="J163" s="1"/>
      <c r="K163" s="22"/>
      <c r="L163" s="1"/>
      <c r="M163" s="1"/>
      <c r="N163" s="1"/>
      <c r="O163" s="1"/>
      <c r="P163" s="1"/>
      <c r="Q163" s="1"/>
      <c r="R163" s="1"/>
      <c r="S163" s="1"/>
      <c r="T163" s="1"/>
      <c r="U163" s="1"/>
      <c r="V163" s="1"/>
      <c r="W163" s="1"/>
      <c r="X163" s="1"/>
      <c r="Y163" s="1"/>
      <c r="Z163" s="1"/>
      <c r="AA163" s="1"/>
    </row>
    <row r="164" spans="1:27" s="415" customFormat="1" ht="14.25" customHeight="1">
      <c r="A164" s="475" t="s">
        <v>31</v>
      </c>
      <c r="B164" s="476"/>
      <c r="C164" s="474" t="s">
        <v>94</v>
      </c>
      <c r="D164" s="467"/>
      <c r="E164" s="366">
        <f>K164</f>
        <v>0</v>
      </c>
      <c r="F164" s="367" t="s">
        <v>24</v>
      </c>
      <c r="G164" s="368">
        <v>4</v>
      </c>
      <c r="H164" s="513">
        <f>+G164*E164</f>
        <v>0</v>
      </c>
      <c r="I164" s="375"/>
      <c r="J164" s="1"/>
      <c r="K164" s="22"/>
      <c r="L164" s="1"/>
      <c r="M164" s="1"/>
      <c r="N164" s="1"/>
      <c r="O164" s="1"/>
      <c r="P164" s="1"/>
      <c r="Q164" s="1"/>
      <c r="R164" s="1"/>
      <c r="S164" s="1"/>
      <c r="T164" s="1"/>
      <c r="U164" s="1"/>
      <c r="V164" s="1"/>
      <c r="W164" s="1"/>
      <c r="X164" s="1"/>
      <c r="Y164" s="1"/>
      <c r="Z164" s="1"/>
      <c r="AA164" s="1"/>
    </row>
    <row r="165" spans="1:27" ht="14.25" customHeight="1">
      <c r="A165" s="475" t="s">
        <v>32</v>
      </c>
      <c r="B165" s="476"/>
      <c r="C165" s="474" t="s">
        <v>1254</v>
      </c>
      <c r="D165" s="467"/>
      <c r="E165" s="366">
        <v>1</v>
      </c>
      <c r="F165" s="367" t="s">
        <v>121</v>
      </c>
      <c r="G165" s="368">
        <v>1500</v>
      </c>
      <c r="H165" s="513">
        <f>+G165*E165</f>
        <v>1500</v>
      </c>
      <c r="I165" s="375"/>
      <c r="J165" s="1"/>
      <c r="K165" s="22">
        <f>BW!K169</f>
        <v>30.369999999999997</v>
      </c>
      <c r="L165" s="1"/>
      <c r="M165" s="1"/>
      <c r="N165" s="1"/>
      <c r="O165" s="1"/>
      <c r="P165" s="1"/>
      <c r="Q165" s="1"/>
      <c r="R165" s="1"/>
      <c r="S165" s="1"/>
      <c r="T165" s="1"/>
      <c r="U165" s="1"/>
      <c r="V165" s="1"/>
      <c r="W165" s="1"/>
      <c r="X165" s="1"/>
      <c r="Y165" s="1"/>
      <c r="Z165" s="1"/>
      <c r="AA165" s="1"/>
    </row>
    <row r="166" spans="1:27" ht="14.25" customHeight="1">
      <c r="A166" s="483"/>
      <c r="B166" s="16"/>
      <c r="C166" s="783" t="s">
        <v>35</v>
      </c>
      <c r="D166" s="17"/>
      <c r="E166" s="30"/>
      <c r="F166" s="424"/>
      <c r="G166" s="772" t="s">
        <v>36</v>
      </c>
      <c r="H166" s="521"/>
      <c r="I166" s="382"/>
      <c r="J166" s="1"/>
      <c r="K166" s="22"/>
      <c r="L166" s="1"/>
      <c r="M166" s="1"/>
      <c r="N166" s="1"/>
      <c r="O166" s="1"/>
      <c r="P166" s="1"/>
      <c r="Q166" s="1"/>
      <c r="R166" s="1"/>
      <c r="S166" s="1"/>
      <c r="T166" s="1"/>
      <c r="U166" s="1"/>
      <c r="V166" s="1"/>
      <c r="W166" s="1"/>
      <c r="X166" s="1"/>
      <c r="Y166" s="1"/>
      <c r="Z166" s="1"/>
      <c r="AA166" s="1"/>
    </row>
    <row r="167" spans="1:27" ht="14.25" customHeight="1">
      <c r="A167" s="485" t="s">
        <v>13</v>
      </c>
      <c r="B167" s="486"/>
      <c r="C167" s="784"/>
      <c r="D167" s="523"/>
      <c r="E167" s="524"/>
      <c r="F167" s="525"/>
      <c r="G167" s="785"/>
      <c r="H167" s="526">
        <f>SUM(H158:H166)</f>
        <v>50797.33428879932</v>
      </c>
      <c r="I167" s="382"/>
      <c r="J167" s="1"/>
      <c r="K167" s="22"/>
      <c r="L167" s="1"/>
      <c r="M167" s="1"/>
      <c r="N167" s="1"/>
      <c r="O167" s="1"/>
      <c r="P167" s="1"/>
      <c r="Q167" s="1"/>
      <c r="R167" s="1"/>
      <c r="S167" s="1"/>
      <c r="T167" s="1"/>
      <c r="U167" s="1"/>
      <c r="V167" s="1"/>
      <c r="W167" s="1"/>
      <c r="X167" s="1"/>
      <c r="Y167" s="1"/>
      <c r="Z167" s="1"/>
      <c r="AA167" s="1"/>
    </row>
    <row r="168" spans="1:27" ht="14.25" customHeight="1">
      <c r="A168" s="475"/>
      <c r="B168" s="476"/>
      <c r="C168" s="474"/>
      <c r="D168" s="467"/>
      <c r="E168" s="374"/>
      <c r="F168" s="367"/>
      <c r="G168" s="375"/>
      <c r="H168" s="513"/>
      <c r="I168" s="375"/>
      <c r="J168" s="1"/>
      <c r="K168" s="22"/>
      <c r="L168" s="1"/>
      <c r="M168" s="1"/>
      <c r="N168" s="1"/>
      <c r="O168" s="1"/>
      <c r="P168" s="1"/>
      <c r="Q168" s="1"/>
      <c r="R168" s="1"/>
      <c r="S168" s="1"/>
      <c r="T168" s="1"/>
      <c r="U168" s="1"/>
      <c r="V168" s="1"/>
      <c r="W168" s="1"/>
      <c r="X168" s="1"/>
      <c r="Y168" s="1"/>
      <c r="Z168" s="1"/>
      <c r="AA168" s="1"/>
    </row>
    <row r="169" spans="1:27" ht="14.25" customHeight="1">
      <c r="A169" s="465"/>
      <c r="B169" s="369"/>
      <c r="C169" s="514" t="s">
        <v>96</v>
      </c>
      <c r="D169" s="467"/>
      <c r="E169" s="377"/>
      <c r="F169" s="378"/>
      <c r="G169" s="368"/>
      <c r="H169" s="513"/>
      <c r="I169" s="375"/>
      <c r="J169" s="1"/>
      <c r="K169" s="22"/>
      <c r="L169" s="1"/>
      <c r="M169" s="1"/>
      <c r="N169" s="1"/>
      <c r="O169" s="1"/>
      <c r="P169" s="1"/>
      <c r="Q169" s="1"/>
      <c r="R169" s="1"/>
      <c r="S169" s="1"/>
      <c r="T169" s="1"/>
      <c r="U169" s="1"/>
      <c r="V169" s="1"/>
      <c r="W169" s="1"/>
      <c r="X169" s="1"/>
      <c r="Y169" s="1"/>
      <c r="Z169" s="1"/>
      <c r="AA169" s="1"/>
    </row>
    <row r="170" spans="1:27" ht="14.25" customHeight="1">
      <c r="A170" s="475"/>
      <c r="B170" s="476"/>
      <c r="C170" s="514" t="s">
        <v>97</v>
      </c>
      <c r="D170" s="467"/>
      <c r="E170" s="374"/>
      <c r="F170" s="367"/>
      <c r="G170" s="375"/>
      <c r="H170" s="513"/>
      <c r="I170" s="375"/>
      <c r="J170" s="1"/>
      <c r="K170" s="22"/>
      <c r="L170" s="1"/>
      <c r="M170" s="1"/>
      <c r="N170" s="1"/>
      <c r="O170" s="1"/>
      <c r="P170" s="1"/>
      <c r="Q170" s="1"/>
      <c r="R170" s="1"/>
      <c r="S170" s="1"/>
      <c r="T170" s="1"/>
      <c r="U170" s="1"/>
      <c r="V170" s="1"/>
      <c r="W170" s="1"/>
      <c r="X170" s="1"/>
      <c r="Y170" s="1"/>
      <c r="Z170" s="1"/>
      <c r="AA170" s="1"/>
    </row>
    <row r="171" spans="1:27" ht="14.25" customHeight="1">
      <c r="A171" s="475"/>
      <c r="B171" s="476"/>
      <c r="C171" s="474" t="s">
        <v>98</v>
      </c>
      <c r="D171" s="467"/>
      <c r="E171" s="374"/>
      <c r="F171" s="367"/>
      <c r="G171" s="375"/>
      <c r="H171" s="513"/>
      <c r="I171" s="375"/>
      <c r="J171" s="1"/>
      <c r="K171" s="22"/>
      <c r="L171" s="1"/>
      <c r="M171" s="1"/>
      <c r="N171" s="1"/>
      <c r="O171" s="1"/>
      <c r="P171" s="1"/>
      <c r="Q171" s="1"/>
      <c r="R171" s="1"/>
      <c r="S171" s="1"/>
      <c r="T171" s="1"/>
      <c r="U171" s="1"/>
      <c r="V171" s="1"/>
      <c r="W171" s="1"/>
      <c r="X171" s="1"/>
      <c r="Y171" s="1"/>
      <c r="Z171" s="1"/>
      <c r="AA171" s="1"/>
    </row>
    <row r="172" spans="1:27" ht="14.25" customHeight="1">
      <c r="A172" s="475" t="s">
        <v>22</v>
      </c>
      <c r="B172" s="476"/>
      <c r="C172" s="474" t="s">
        <v>99</v>
      </c>
      <c r="D172" s="467"/>
      <c r="E172" s="366">
        <f t="shared" ref="E172:E174" si="0">K172</f>
        <v>4</v>
      </c>
      <c r="F172" s="367" t="s">
        <v>95</v>
      </c>
      <c r="G172" s="368">
        <v>40</v>
      </c>
      <c r="H172" s="513">
        <f>+G172*E172</f>
        <v>160</v>
      </c>
      <c r="I172" s="375"/>
      <c r="J172" s="1"/>
      <c r="K172" s="22">
        <f>M.S!I534</f>
        <v>4</v>
      </c>
      <c r="L172" s="1"/>
      <c r="M172" s="1"/>
      <c r="N172" s="1"/>
      <c r="O172" s="1"/>
      <c r="P172" s="1"/>
      <c r="Q172" s="1"/>
      <c r="R172" s="1"/>
      <c r="S172" s="1"/>
      <c r="T172" s="1"/>
      <c r="U172" s="1"/>
      <c r="V172" s="1"/>
      <c r="W172" s="1"/>
      <c r="X172" s="1"/>
      <c r="Y172" s="1"/>
      <c r="Z172" s="1"/>
      <c r="AA172" s="1"/>
    </row>
    <row r="173" spans="1:27" ht="14.25" customHeight="1">
      <c r="A173" s="475" t="s">
        <v>25</v>
      </c>
      <c r="B173" s="476"/>
      <c r="C173" s="474" t="s">
        <v>100</v>
      </c>
      <c r="D173" s="467"/>
      <c r="E173" s="366">
        <f t="shared" si="0"/>
        <v>51.85</v>
      </c>
      <c r="F173" s="367" t="s">
        <v>95</v>
      </c>
      <c r="G173" s="368">
        <v>15</v>
      </c>
      <c r="H173" s="513">
        <f>+G173*E173</f>
        <v>777.75</v>
      </c>
      <c r="I173" s="375"/>
      <c r="J173" s="1"/>
      <c r="K173" s="22">
        <f>Finishesh!F270</f>
        <v>51.85</v>
      </c>
      <c r="L173" s="1"/>
      <c r="M173" s="1"/>
      <c r="N173" s="1"/>
      <c r="O173" s="1"/>
      <c r="P173" s="1"/>
      <c r="Q173" s="1"/>
      <c r="R173" s="1"/>
      <c r="S173" s="1"/>
      <c r="T173" s="1"/>
      <c r="U173" s="1"/>
      <c r="V173" s="1"/>
      <c r="W173" s="1"/>
      <c r="X173" s="1"/>
      <c r="Y173" s="1"/>
      <c r="Z173" s="1"/>
      <c r="AA173" s="1"/>
    </row>
    <row r="174" spans="1:27" ht="14.25" customHeight="1">
      <c r="A174" s="475" t="s">
        <v>28</v>
      </c>
      <c r="B174" s="476" t="s">
        <v>13</v>
      </c>
      <c r="C174" s="474" t="s">
        <v>101</v>
      </c>
      <c r="D174" s="467"/>
      <c r="E174" s="366">
        <f t="shared" si="0"/>
        <v>0</v>
      </c>
      <c r="F174" s="367" t="s">
        <v>95</v>
      </c>
      <c r="G174" s="368"/>
      <c r="H174" s="513">
        <f>+G174*E174</f>
        <v>0</v>
      </c>
      <c r="I174" s="375"/>
      <c r="J174" s="1"/>
      <c r="K174" s="22">
        <v>0</v>
      </c>
      <c r="L174" s="1"/>
      <c r="M174" s="1"/>
      <c r="N174" s="1"/>
      <c r="O174" s="1"/>
      <c r="P174" s="1"/>
      <c r="Q174" s="1"/>
      <c r="R174" s="1"/>
      <c r="S174" s="1"/>
      <c r="T174" s="1"/>
      <c r="U174" s="1"/>
      <c r="V174" s="1"/>
      <c r="W174" s="1"/>
      <c r="X174" s="1"/>
      <c r="Y174" s="1"/>
      <c r="Z174" s="1"/>
      <c r="AA174" s="1"/>
    </row>
    <row r="175" spans="1:27" ht="14.25" customHeight="1">
      <c r="A175" s="475"/>
      <c r="B175" s="476"/>
      <c r="C175" s="514" t="s">
        <v>102</v>
      </c>
      <c r="D175" s="467"/>
      <c r="E175" s="374"/>
      <c r="F175" s="367"/>
      <c r="G175" s="375"/>
      <c r="H175" s="513"/>
      <c r="I175" s="375"/>
      <c r="J175" s="1"/>
      <c r="K175" s="22"/>
      <c r="L175" s="1"/>
      <c r="M175" s="1"/>
      <c r="N175" s="1"/>
      <c r="O175" s="1"/>
      <c r="P175" s="1"/>
      <c r="Q175" s="1"/>
      <c r="R175" s="1"/>
      <c r="S175" s="1"/>
      <c r="T175" s="1"/>
      <c r="U175" s="1"/>
      <c r="V175" s="1"/>
      <c r="W175" s="1"/>
      <c r="X175" s="1"/>
      <c r="Y175" s="1"/>
      <c r="Z175" s="1"/>
      <c r="AA175" s="1"/>
    </row>
    <row r="176" spans="1:27" ht="14.25" customHeight="1">
      <c r="A176" s="475"/>
      <c r="B176" s="476"/>
      <c r="C176" s="474" t="s">
        <v>103</v>
      </c>
      <c r="D176" s="467"/>
      <c r="E176" s="377"/>
      <c r="F176" s="378"/>
      <c r="G176" s="375"/>
      <c r="H176" s="513"/>
      <c r="I176" s="375"/>
      <c r="J176" s="1"/>
      <c r="K176" s="22"/>
      <c r="L176" s="1"/>
      <c r="M176" s="1"/>
      <c r="N176" s="1"/>
      <c r="O176" s="1"/>
      <c r="P176" s="1"/>
      <c r="Q176" s="1"/>
      <c r="R176" s="1"/>
      <c r="S176" s="1"/>
      <c r="T176" s="1"/>
      <c r="U176" s="1"/>
      <c r="V176" s="1"/>
      <c r="W176" s="1"/>
      <c r="X176" s="1"/>
      <c r="Y176" s="1"/>
      <c r="Z176" s="1"/>
      <c r="AA176" s="1"/>
    </row>
    <row r="177" spans="1:27" ht="14.25" customHeight="1">
      <c r="A177" s="475" t="s">
        <v>31</v>
      </c>
      <c r="B177" s="476"/>
      <c r="C177" s="474" t="s">
        <v>104</v>
      </c>
      <c r="D177" s="467"/>
      <c r="E177" s="366">
        <f>K177</f>
        <v>33.60144927536232</v>
      </c>
      <c r="F177" s="367" t="s">
        <v>105</v>
      </c>
      <c r="G177" s="368">
        <v>50</v>
      </c>
      <c r="H177" s="513">
        <f>+G177*E177</f>
        <v>1680.072463768116</v>
      </c>
      <c r="I177" s="375"/>
      <c r="J177" s="32"/>
      <c r="K177" s="22">
        <f>92.74/2.76</f>
        <v>33.60144927536232</v>
      </c>
      <c r="L177" s="32"/>
      <c r="M177" s="32"/>
      <c r="N177" s="32"/>
      <c r="O177" s="32"/>
      <c r="P177" s="32"/>
      <c r="Q177" s="32"/>
      <c r="R177" s="32"/>
      <c r="S177" s="32"/>
      <c r="T177" s="32"/>
      <c r="U177" s="32"/>
      <c r="V177" s="32"/>
      <c r="W177" s="32"/>
      <c r="X177" s="32"/>
      <c r="Y177" s="32"/>
      <c r="Z177" s="32"/>
      <c r="AA177" s="32"/>
    </row>
    <row r="178" spans="1:27" ht="14.25" customHeight="1">
      <c r="A178" s="475"/>
      <c r="B178" s="555"/>
      <c r="C178" s="474" t="s">
        <v>106</v>
      </c>
      <c r="D178" s="556"/>
      <c r="E178" s="374"/>
      <c r="F178" s="367"/>
      <c r="G178" s="386"/>
      <c r="H178" s="557"/>
      <c r="I178" s="386"/>
      <c r="J178" s="32"/>
      <c r="K178" s="33"/>
      <c r="L178" s="32"/>
      <c r="M178" s="32"/>
      <c r="N178" s="32"/>
      <c r="O178" s="32"/>
      <c r="P178" s="32"/>
      <c r="Q178" s="32"/>
      <c r="R178" s="32"/>
      <c r="S178" s="32"/>
      <c r="T178" s="32"/>
      <c r="U178" s="32"/>
      <c r="V178" s="32"/>
      <c r="W178" s="32"/>
      <c r="X178" s="32"/>
      <c r="Y178" s="32"/>
      <c r="Z178" s="32"/>
      <c r="AA178" s="32"/>
    </row>
    <row r="179" spans="1:27" ht="14.25" customHeight="1">
      <c r="A179" s="475" t="s">
        <v>32</v>
      </c>
      <c r="B179" s="476"/>
      <c r="C179" s="474" t="s">
        <v>107</v>
      </c>
      <c r="D179" s="467"/>
      <c r="E179" s="366">
        <f>K179</f>
        <v>0</v>
      </c>
      <c r="F179" s="367" t="s">
        <v>105</v>
      </c>
      <c r="G179" s="368"/>
      <c r="H179" s="513">
        <f>+G179*E179</f>
        <v>0</v>
      </c>
      <c r="I179" s="375"/>
      <c r="J179" s="32"/>
      <c r="K179" s="22">
        <v>0</v>
      </c>
      <c r="L179" s="32"/>
      <c r="M179" s="32"/>
      <c r="N179" s="32"/>
      <c r="O179" s="32"/>
      <c r="P179" s="32"/>
      <c r="Q179" s="32"/>
      <c r="R179" s="32"/>
      <c r="S179" s="32"/>
      <c r="T179" s="32"/>
      <c r="U179" s="32"/>
      <c r="V179" s="32"/>
      <c r="W179" s="32"/>
      <c r="X179" s="32"/>
      <c r="Y179" s="32"/>
      <c r="Z179" s="32"/>
      <c r="AA179" s="32"/>
    </row>
    <row r="180" spans="1:27" ht="14.25" customHeight="1">
      <c r="A180" s="475"/>
      <c r="B180" s="476"/>
      <c r="C180" s="474"/>
      <c r="D180" s="467"/>
      <c r="E180" s="366"/>
      <c r="F180" s="367"/>
      <c r="G180" s="368"/>
      <c r="H180" s="513"/>
      <c r="I180" s="375"/>
      <c r="J180" s="32"/>
      <c r="K180" s="22"/>
      <c r="L180" s="32"/>
      <c r="M180" s="32"/>
      <c r="N180" s="32"/>
      <c r="O180" s="32"/>
      <c r="P180" s="32"/>
      <c r="Q180" s="32"/>
      <c r="R180" s="32"/>
      <c r="S180" s="32"/>
      <c r="T180" s="32"/>
      <c r="U180" s="32"/>
      <c r="V180" s="32"/>
      <c r="W180" s="32"/>
      <c r="X180" s="32"/>
      <c r="Y180" s="32"/>
      <c r="Z180" s="32"/>
      <c r="AA180" s="32"/>
    </row>
    <row r="181" spans="1:27" ht="14.25" customHeight="1">
      <c r="A181" s="475" t="s">
        <v>33</v>
      </c>
      <c r="B181" s="555"/>
      <c r="C181" s="474" t="s">
        <v>108</v>
      </c>
      <c r="D181" s="556"/>
      <c r="E181" s="366">
        <f>K181</f>
        <v>0</v>
      </c>
      <c r="F181" s="367" t="s">
        <v>109</v>
      </c>
      <c r="G181" s="368"/>
      <c r="H181" s="513">
        <f>+G181*E181</f>
        <v>0</v>
      </c>
      <c r="I181" s="375"/>
      <c r="J181" s="32"/>
      <c r="K181" s="22">
        <v>0</v>
      </c>
      <c r="L181" s="32"/>
      <c r="M181" s="32"/>
      <c r="N181" s="32"/>
      <c r="O181" s="32"/>
      <c r="P181" s="32"/>
      <c r="Q181" s="32"/>
      <c r="R181" s="32"/>
      <c r="S181" s="32"/>
      <c r="T181" s="32"/>
      <c r="U181" s="32"/>
      <c r="V181" s="32"/>
      <c r="W181" s="32"/>
      <c r="X181" s="32"/>
      <c r="Y181" s="32"/>
      <c r="Z181" s="32"/>
      <c r="AA181" s="32"/>
    </row>
    <row r="182" spans="1:27" ht="14.25" customHeight="1">
      <c r="A182" s="475"/>
      <c r="B182" s="555"/>
      <c r="C182" s="474"/>
      <c r="D182" s="556"/>
      <c r="E182" s="366"/>
      <c r="F182" s="367"/>
      <c r="G182" s="368"/>
      <c r="H182" s="513"/>
      <c r="I182" s="375"/>
      <c r="J182" s="32"/>
      <c r="K182" s="22"/>
      <c r="L182" s="32"/>
      <c r="M182" s="32"/>
      <c r="N182" s="32"/>
      <c r="O182" s="32"/>
      <c r="P182" s="32"/>
      <c r="Q182" s="32"/>
      <c r="R182" s="32"/>
      <c r="S182" s="32"/>
      <c r="T182" s="32"/>
      <c r="U182" s="32"/>
      <c r="V182" s="32"/>
      <c r="W182" s="32"/>
      <c r="X182" s="32"/>
      <c r="Y182" s="32"/>
      <c r="Z182" s="32"/>
      <c r="AA182" s="32"/>
    </row>
    <row r="183" spans="1:27" ht="55.2">
      <c r="A183" s="475" t="s">
        <v>53</v>
      </c>
      <c r="B183" s="555"/>
      <c r="C183" s="474" t="s">
        <v>1163</v>
      </c>
      <c r="D183" s="556"/>
      <c r="E183" s="366">
        <f>K183</f>
        <v>304.10000000000002</v>
      </c>
      <c r="F183" s="367" t="s">
        <v>109</v>
      </c>
      <c r="G183" s="368">
        <v>35</v>
      </c>
      <c r="H183" s="513">
        <f>+G183*E183</f>
        <v>10643.5</v>
      </c>
      <c r="I183" s="375"/>
      <c r="J183" s="32"/>
      <c r="K183" s="22">
        <v>304.10000000000002</v>
      </c>
      <c r="L183" s="32"/>
      <c r="M183" s="32"/>
      <c r="N183" s="32"/>
      <c r="O183" s="32"/>
      <c r="P183" s="32"/>
      <c r="Q183" s="32"/>
      <c r="R183" s="32"/>
      <c r="S183" s="32"/>
      <c r="T183" s="32"/>
      <c r="U183" s="32"/>
      <c r="V183" s="32"/>
      <c r="W183" s="32"/>
      <c r="X183" s="32"/>
      <c r="Y183" s="32"/>
      <c r="Z183" s="32"/>
      <c r="AA183" s="32"/>
    </row>
    <row r="184" spans="1:27" ht="14.25" customHeight="1">
      <c r="A184" s="475"/>
      <c r="B184" s="476"/>
      <c r="C184" s="474"/>
      <c r="D184" s="467"/>
      <c r="E184" s="366"/>
      <c r="F184" s="367"/>
      <c r="G184" s="368"/>
      <c r="H184" s="513"/>
      <c r="I184" s="375"/>
      <c r="J184" s="32"/>
      <c r="K184" s="22"/>
      <c r="L184" s="32"/>
      <c r="M184" s="32"/>
      <c r="N184" s="32"/>
      <c r="O184" s="32"/>
      <c r="P184" s="32"/>
      <c r="Q184" s="32"/>
      <c r="R184" s="32"/>
      <c r="S184" s="32"/>
      <c r="T184" s="32"/>
      <c r="U184" s="32"/>
      <c r="V184" s="32"/>
      <c r="W184" s="32"/>
      <c r="X184" s="32"/>
      <c r="Y184" s="32"/>
      <c r="Z184" s="32"/>
      <c r="AA184" s="32"/>
    </row>
    <row r="185" spans="1:27" ht="14.25" customHeight="1">
      <c r="A185" s="475"/>
      <c r="B185" s="555"/>
      <c r="C185" s="558" t="s">
        <v>110</v>
      </c>
      <c r="D185" s="556"/>
      <c r="E185" s="374"/>
      <c r="F185" s="367"/>
      <c r="G185" s="386"/>
      <c r="H185" s="557"/>
      <c r="I185" s="386"/>
      <c r="J185" s="32"/>
      <c r="K185" s="33"/>
      <c r="L185" s="32"/>
      <c r="M185" s="32"/>
      <c r="N185" s="32"/>
      <c r="O185" s="32"/>
      <c r="P185" s="32"/>
      <c r="Q185" s="32"/>
      <c r="R185" s="32"/>
      <c r="S185" s="32"/>
      <c r="T185" s="32"/>
      <c r="U185" s="32"/>
      <c r="V185" s="32"/>
      <c r="W185" s="32"/>
      <c r="X185" s="32"/>
      <c r="Y185" s="32"/>
      <c r="Z185" s="32"/>
      <c r="AA185" s="32"/>
    </row>
    <row r="186" spans="1:27" ht="14.25" customHeight="1">
      <c r="A186" s="475" t="s">
        <v>54</v>
      </c>
      <c r="B186" s="476"/>
      <c r="C186" s="474" t="s">
        <v>111</v>
      </c>
      <c r="D186" s="467"/>
      <c r="E186" s="366">
        <f>K186</f>
        <v>105.42</v>
      </c>
      <c r="F186" s="367" t="s">
        <v>105</v>
      </c>
      <c r="G186" s="368">
        <v>55</v>
      </c>
      <c r="H186" s="513">
        <f>+G186*E186</f>
        <v>5798.1</v>
      </c>
      <c r="I186" s="375"/>
      <c r="J186" s="32"/>
      <c r="K186" s="22">
        <v>105.42</v>
      </c>
      <c r="L186" s="32"/>
      <c r="M186" s="32"/>
      <c r="N186" s="32"/>
      <c r="O186" s="32"/>
      <c r="P186" s="32"/>
      <c r="Q186" s="32"/>
      <c r="R186" s="32"/>
      <c r="S186" s="32"/>
      <c r="T186" s="32"/>
      <c r="U186" s="32"/>
      <c r="V186" s="32"/>
      <c r="W186" s="32"/>
      <c r="X186" s="32"/>
      <c r="Y186" s="32"/>
      <c r="Z186" s="32"/>
      <c r="AA186" s="32"/>
    </row>
    <row r="187" spans="1:27" ht="14.25" customHeight="1">
      <c r="A187" s="483"/>
      <c r="B187" s="16"/>
      <c r="C187" s="771" t="s">
        <v>35</v>
      </c>
      <c r="D187" s="29"/>
      <c r="E187" s="30"/>
      <c r="F187" s="417"/>
      <c r="G187" s="772" t="s">
        <v>36</v>
      </c>
      <c r="H187" s="521"/>
      <c r="I187" s="382"/>
      <c r="J187" s="1"/>
      <c r="K187" s="22"/>
      <c r="L187" s="1"/>
      <c r="M187" s="1"/>
      <c r="N187" s="1"/>
      <c r="O187" s="1"/>
      <c r="P187" s="1"/>
      <c r="Q187" s="1"/>
      <c r="R187" s="1"/>
      <c r="S187" s="1"/>
      <c r="T187" s="1"/>
      <c r="U187" s="1"/>
      <c r="V187" s="1"/>
      <c r="W187" s="1"/>
      <c r="X187" s="1"/>
      <c r="Y187" s="1"/>
      <c r="Z187" s="1"/>
      <c r="AA187" s="1"/>
    </row>
    <row r="188" spans="1:27" ht="14.25" customHeight="1">
      <c r="A188" s="533" t="s">
        <v>13</v>
      </c>
      <c r="B188" s="534"/>
      <c r="C188" s="774"/>
      <c r="D188" s="559"/>
      <c r="E188" s="560"/>
      <c r="F188" s="561"/>
      <c r="G188" s="775"/>
      <c r="H188" s="538">
        <f>SUM(H172:H187)</f>
        <v>19059.422463768118</v>
      </c>
      <c r="I188" s="382"/>
      <c r="J188" s="1"/>
      <c r="K188" s="22"/>
      <c r="L188" s="1"/>
      <c r="M188" s="1"/>
      <c r="N188" s="1"/>
      <c r="O188" s="1"/>
      <c r="P188" s="1"/>
      <c r="Q188" s="1"/>
      <c r="R188" s="1"/>
      <c r="S188" s="1"/>
      <c r="T188" s="1"/>
      <c r="U188" s="1"/>
      <c r="V188" s="1"/>
      <c r="W188" s="1"/>
      <c r="X188" s="1"/>
      <c r="Y188" s="1"/>
      <c r="Z188" s="1"/>
      <c r="AA188" s="1"/>
    </row>
    <row r="189" spans="1:27" ht="14.25" customHeight="1">
      <c r="A189" s="562"/>
      <c r="B189" s="563"/>
      <c r="C189" s="564"/>
      <c r="D189" s="565"/>
      <c r="E189" s="566"/>
      <c r="F189" s="567"/>
      <c r="G189" s="568"/>
      <c r="H189" s="545"/>
      <c r="I189" s="375"/>
      <c r="J189" s="1"/>
      <c r="K189" s="22"/>
      <c r="L189" s="1"/>
      <c r="M189" s="1"/>
      <c r="N189" s="1"/>
      <c r="O189" s="1"/>
      <c r="P189" s="1"/>
      <c r="Q189" s="1"/>
      <c r="R189" s="1"/>
      <c r="S189" s="1"/>
      <c r="T189" s="1"/>
      <c r="U189" s="1"/>
      <c r="V189" s="1"/>
      <c r="W189" s="1"/>
      <c r="X189" s="1"/>
      <c r="Y189" s="1"/>
      <c r="Z189" s="1"/>
      <c r="AA189" s="1"/>
    </row>
    <row r="190" spans="1:27" ht="14.25" customHeight="1">
      <c r="A190" s="465"/>
      <c r="B190" s="369"/>
      <c r="C190" s="514" t="s">
        <v>112</v>
      </c>
      <c r="D190" s="371"/>
      <c r="E190" s="499"/>
      <c r="F190" s="378"/>
      <c r="G190" s="500"/>
      <c r="H190" s="513"/>
      <c r="I190" s="375"/>
      <c r="J190" s="34"/>
      <c r="K190" s="24"/>
      <c r="L190" s="3"/>
      <c r="M190" s="3"/>
      <c r="N190" s="3"/>
      <c r="O190" s="3"/>
      <c r="P190" s="3"/>
      <c r="Q190" s="3"/>
      <c r="R190" s="3"/>
      <c r="S190" s="3"/>
      <c r="T190" s="3"/>
      <c r="U190" s="3"/>
      <c r="V190" s="3"/>
      <c r="W190" s="3"/>
      <c r="X190" s="3"/>
      <c r="Y190" s="3"/>
      <c r="Z190" s="3"/>
      <c r="AA190" s="3"/>
    </row>
    <row r="191" spans="1:27" ht="14.25" customHeight="1">
      <c r="A191" s="465"/>
      <c r="B191" s="369"/>
      <c r="C191" s="514"/>
      <c r="D191" s="371"/>
      <c r="E191" s="499"/>
      <c r="F191" s="378"/>
      <c r="G191" s="500"/>
      <c r="H191" s="513"/>
      <c r="I191" s="375"/>
      <c r="J191" s="34"/>
      <c r="K191" s="24"/>
      <c r="L191" s="3"/>
      <c r="M191" s="3"/>
      <c r="N191" s="3"/>
      <c r="O191" s="3"/>
      <c r="P191" s="3"/>
      <c r="Q191" s="3"/>
      <c r="R191" s="3"/>
      <c r="S191" s="3"/>
      <c r="T191" s="3"/>
      <c r="U191" s="3"/>
      <c r="V191" s="3"/>
      <c r="W191" s="3"/>
      <c r="X191" s="3"/>
      <c r="Y191" s="3"/>
      <c r="Z191" s="3"/>
      <c r="AA191" s="3"/>
    </row>
    <row r="192" spans="1:27" ht="14.25" customHeight="1">
      <c r="A192" s="465"/>
      <c r="B192" s="369"/>
      <c r="C192" s="514" t="s">
        <v>113</v>
      </c>
      <c r="D192" s="467"/>
      <c r="E192" s="377"/>
      <c r="F192" s="378"/>
      <c r="G192" s="368"/>
      <c r="H192" s="513"/>
      <c r="I192" s="375"/>
      <c r="J192" s="34"/>
      <c r="K192" s="24"/>
      <c r="L192" s="3"/>
      <c r="M192" s="3"/>
      <c r="N192" s="3"/>
      <c r="O192" s="3"/>
      <c r="P192" s="3"/>
      <c r="Q192" s="3"/>
      <c r="R192" s="3"/>
      <c r="S192" s="3"/>
      <c r="T192" s="3"/>
      <c r="U192" s="3"/>
      <c r="V192" s="3"/>
      <c r="W192" s="3"/>
      <c r="X192" s="3"/>
      <c r="Y192" s="3"/>
      <c r="Z192" s="3"/>
      <c r="AA192" s="3"/>
    </row>
    <row r="193" spans="1:27" ht="14.25" customHeight="1">
      <c r="A193" s="465"/>
      <c r="B193" s="369"/>
      <c r="C193" s="474"/>
      <c r="D193" s="467"/>
      <c r="E193" s="377"/>
      <c r="F193" s="378"/>
      <c r="G193" s="368"/>
      <c r="H193" s="513"/>
      <c r="I193" s="375"/>
      <c r="J193" s="34"/>
      <c r="K193" s="24"/>
      <c r="L193" s="3"/>
      <c r="M193" s="3"/>
      <c r="N193" s="3"/>
      <c r="O193" s="3"/>
      <c r="P193" s="3"/>
      <c r="Q193" s="3"/>
      <c r="R193" s="3"/>
      <c r="S193" s="3"/>
      <c r="T193" s="3"/>
      <c r="U193" s="3"/>
      <c r="V193" s="3"/>
      <c r="W193" s="3"/>
      <c r="X193" s="3"/>
      <c r="Y193" s="3"/>
      <c r="Z193" s="3"/>
      <c r="AA193" s="3"/>
    </row>
    <row r="194" spans="1:27" ht="14.25" customHeight="1">
      <c r="A194" s="475"/>
      <c r="B194" s="476"/>
      <c r="C194" s="474" t="s">
        <v>114</v>
      </c>
      <c r="D194" s="467"/>
      <c r="E194" s="374"/>
      <c r="F194" s="367"/>
      <c r="G194" s="368"/>
      <c r="H194" s="513"/>
      <c r="I194" s="375"/>
      <c r="J194" s="34"/>
      <c r="K194" s="24"/>
      <c r="L194" s="3"/>
      <c r="M194" s="3"/>
      <c r="N194" s="3"/>
      <c r="O194" s="3"/>
      <c r="P194" s="3"/>
      <c r="Q194" s="3"/>
      <c r="R194" s="3"/>
      <c r="S194" s="3"/>
      <c r="T194" s="3"/>
      <c r="U194" s="3"/>
      <c r="V194" s="3"/>
      <c r="W194" s="3"/>
      <c r="X194" s="3"/>
      <c r="Y194" s="3"/>
      <c r="Z194" s="3"/>
      <c r="AA194" s="3"/>
    </row>
    <row r="195" spans="1:27" ht="14.25" customHeight="1">
      <c r="A195" s="569"/>
      <c r="B195" s="476"/>
      <c r="C195" s="516"/>
      <c r="D195" s="467"/>
      <c r="E195" s="570"/>
      <c r="F195" s="571"/>
      <c r="G195" s="368"/>
      <c r="H195" s="513"/>
      <c r="I195" s="375"/>
      <c r="J195" s="34"/>
      <c r="K195" s="24"/>
      <c r="L195" s="3"/>
      <c r="M195" s="3"/>
      <c r="N195" s="3"/>
      <c r="O195" s="3"/>
      <c r="P195" s="3"/>
      <c r="Q195" s="3"/>
      <c r="R195" s="3"/>
      <c r="S195" s="3"/>
      <c r="T195" s="3"/>
      <c r="U195" s="3"/>
      <c r="V195" s="3"/>
      <c r="W195" s="3"/>
      <c r="X195" s="3"/>
      <c r="Y195" s="3"/>
      <c r="Z195" s="3"/>
      <c r="AA195" s="3"/>
    </row>
    <row r="196" spans="1:27" ht="14.25" customHeight="1">
      <c r="A196" s="475" t="s">
        <v>22</v>
      </c>
      <c r="B196" s="476"/>
      <c r="C196" s="572" t="s">
        <v>1179</v>
      </c>
      <c r="D196" s="467"/>
      <c r="E196" s="366">
        <f t="shared" ref="E196:E202" si="1">K196</f>
        <v>1</v>
      </c>
      <c r="F196" s="367" t="s">
        <v>115</v>
      </c>
      <c r="G196" s="368">
        <v>73</v>
      </c>
      <c r="H196" s="513">
        <f t="shared" ref="H196:H202" si="2">+G196*E196</f>
        <v>73</v>
      </c>
      <c r="I196" s="375"/>
      <c r="J196" s="34"/>
      <c r="K196" s="22">
        <f>'D&amp;W'!H15</f>
        <v>1</v>
      </c>
      <c r="L196" s="3"/>
      <c r="M196" s="3"/>
      <c r="N196" s="3"/>
      <c r="O196" s="3"/>
      <c r="P196" s="3"/>
      <c r="Q196" s="3"/>
      <c r="R196" s="3"/>
      <c r="S196" s="3"/>
      <c r="T196" s="3"/>
      <c r="U196" s="3"/>
      <c r="V196" s="3"/>
      <c r="W196" s="3"/>
      <c r="X196" s="3"/>
      <c r="Y196" s="3"/>
      <c r="Z196" s="3"/>
      <c r="AA196" s="3"/>
    </row>
    <row r="197" spans="1:27" ht="14.25" customHeight="1">
      <c r="A197" s="475" t="s">
        <v>25</v>
      </c>
      <c r="B197" s="476"/>
      <c r="C197" s="572" t="s">
        <v>1180</v>
      </c>
      <c r="D197" s="467"/>
      <c r="E197" s="366">
        <f t="shared" si="1"/>
        <v>75</v>
      </c>
      <c r="F197" s="367" t="s">
        <v>115</v>
      </c>
      <c r="G197" s="368">
        <v>73</v>
      </c>
      <c r="H197" s="513">
        <f t="shared" si="2"/>
        <v>5475</v>
      </c>
      <c r="I197" s="375"/>
      <c r="J197" s="34"/>
      <c r="K197" s="22">
        <f>'D&amp;W'!I15</f>
        <v>75</v>
      </c>
      <c r="L197" s="3"/>
      <c r="M197" s="3"/>
      <c r="N197" s="3"/>
      <c r="O197" s="3"/>
      <c r="P197" s="3"/>
      <c r="Q197" s="3"/>
      <c r="R197" s="3"/>
      <c r="S197" s="3"/>
      <c r="T197" s="3"/>
      <c r="U197" s="3"/>
      <c r="V197" s="3"/>
      <c r="W197" s="3"/>
      <c r="X197" s="3"/>
      <c r="Y197" s="3"/>
      <c r="Z197" s="3"/>
      <c r="AA197" s="3"/>
    </row>
    <row r="198" spans="1:27" ht="14.25" customHeight="1">
      <c r="A198" s="475" t="s">
        <v>28</v>
      </c>
      <c r="B198" s="476"/>
      <c r="C198" s="572" t="s">
        <v>1181</v>
      </c>
      <c r="D198" s="467"/>
      <c r="E198" s="366">
        <f t="shared" si="1"/>
        <v>62</v>
      </c>
      <c r="F198" s="367" t="s">
        <v>115</v>
      </c>
      <c r="G198" s="368">
        <v>73</v>
      </c>
      <c r="H198" s="513">
        <f t="shared" si="2"/>
        <v>4526</v>
      </c>
      <c r="I198" s="375"/>
      <c r="J198" s="34"/>
      <c r="K198" s="22">
        <f>'D&amp;W'!J15</f>
        <v>62</v>
      </c>
      <c r="L198" s="3"/>
      <c r="M198" s="3"/>
      <c r="N198" s="3"/>
      <c r="O198" s="3"/>
      <c r="P198" s="3"/>
      <c r="Q198" s="3"/>
      <c r="R198" s="3"/>
      <c r="S198" s="3"/>
      <c r="T198" s="3"/>
      <c r="U198" s="3"/>
      <c r="V198" s="3"/>
      <c r="W198" s="3"/>
      <c r="X198" s="3"/>
      <c r="Y198" s="3"/>
      <c r="Z198" s="3"/>
      <c r="AA198" s="3"/>
    </row>
    <row r="199" spans="1:27" ht="14.25" customHeight="1">
      <c r="A199" s="475" t="s">
        <v>31</v>
      </c>
      <c r="B199" s="476"/>
      <c r="C199" s="572" t="s">
        <v>1182</v>
      </c>
      <c r="D199" s="467"/>
      <c r="E199" s="366">
        <f t="shared" si="1"/>
        <v>10</v>
      </c>
      <c r="F199" s="367" t="s">
        <v>115</v>
      </c>
      <c r="G199" s="368">
        <v>73</v>
      </c>
      <c r="H199" s="513">
        <f t="shared" si="2"/>
        <v>730</v>
      </c>
      <c r="I199" s="375"/>
      <c r="J199" s="34"/>
      <c r="K199" s="22">
        <f>'D&amp;W'!K15</f>
        <v>10</v>
      </c>
      <c r="L199" s="3"/>
      <c r="M199" s="3"/>
      <c r="N199" s="3"/>
      <c r="O199" s="3"/>
      <c r="P199" s="3"/>
      <c r="Q199" s="3"/>
      <c r="R199" s="3"/>
      <c r="S199" s="3"/>
      <c r="T199" s="3"/>
      <c r="U199" s="3"/>
      <c r="V199" s="3"/>
      <c r="W199" s="3"/>
      <c r="X199" s="3"/>
      <c r="Y199" s="3"/>
      <c r="Z199" s="3"/>
      <c r="AA199" s="3"/>
    </row>
    <row r="200" spans="1:27" ht="14.25" customHeight="1">
      <c r="A200" s="475" t="s">
        <v>32</v>
      </c>
      <c r="B200" s="476"/>
      <c r="C200" s="572" t="s">
        <v>1183</v>
      </c>
      <c r="D200" s="467"/>
      <c r="E200" s="366">
        <f t="shared" si="1"/>
        <v>45</v>
      </c>
      <c r="F200" s="367" t="s">
        <v>115</v>
      </c>
      <c r="G200" s="368">
        <v>100</v>
      </c>
      <c r="H200" s="513">
        <f t="shared" si="2"/>
        <v>4500</v>
      </c>
      <c r="I200" s="375"/>
      <c r="J200" s="34"/>
      <c r="K200" s="24">
        <f>'D&amp;W'!N15</f>
        <v>45</v>
      </c>
      <c r="L200" s="3"/>
      <c r="M200" s="3"/>
      <c r="N200" s="3"/>
      <c r="O200" s="3"/>
      <c r="P200" s="3"/>
      <c r="Q200" s="3"/>
      <c r="R200" s="3"/>
      <c r="S200" s="3"/>
      <c r="T200" s="3"/>
      <c r="U200" s="3"/>
      <c r="V200" s="3"/>
      <c r="W200" s="3"/>
      <c r="X200" s="3"/>
      <c r="Y200" s="3"/>
      <c r="Z200" s="3"/>
      <c r="AA200" s="3"/>
    </row>
    <row r="201" spans="1:27" ht="14.25" customHeight="1">
      <c r="A201" s="475" t="s">
        <v>33</v>
      </c>
      <c r="B201" s="476"/>
      <c r="C201" s="572" t="s">
        <v>1185</v>
      </c>
      <c r="D201" s="467"/>
      <c r="E201" s="366">
        <f t="shared" si="1"/>
        <v>19</v>
      </c>
      <c r="F201" s="367" t="s">
        <v>115</v>
      </c>
      <c r="G201" s="368">
        <v>100</v>
      </c>
      <c r="H201" s="513">
        <f t="shared" si="2"/>
        <v>1900</v>
      </c>
      <c r="I201" s="375"/>
      <c r="J201" s="34"/>
      <c r="K201" s="24">
        <f>'D&amp;W'!O15</f>
        <v>19</v>
      </c>
      <c r="L201" s="3"/>
      <c r="M201" s="3"/>
      <c r="N201" s="3"/>
      <c r="O201" s="3"/>
      <c r="P201" s="3"/>
      <c r="Q201" s="3"/>
      <c r="R201" s="3"/>
      <c r="S201" s="3"/>
      <c r="T201" s="3"/>
      <c r="U201" s="3"/>
      <c r="V201" s="3"/>
      <c r="W201" s="3"/>
      <c r="X201" s="3"/>
      <c r="Y201" s="3"/>
      <c r="Z201" s="3"/>
      <c r="AA201" s="3"/>
    </row>
    <row r="202" spans="1:27" ht="14.25" customHeight="1">
      <c r="A202" s="475" t="s">
        <v>53</v>
      </c>
      <c r="B202" s="476"/>
      <c r="C202" s="572" t="s">
        <v>1184</v>
      </c>
      <c r="D202" s="467"/>
      <c r="E202" s="366">
        <f t="shared" si="1"/>
        <v>66</v>
      </c>
      <c r="F202" s="367" t="s">
        <v>115</v>
      </c>
      <c r="G202" s="368">
        <v>73</v>
      </c>
      <c r="H202" s="513">
        <f t="shared" si="2"/>
        <v>4818</v>
      </c>
      <c r="I202" s="375"/>
      <c r="J202" s="34"/>
      <c r="K202" s="24">
        <f>'D&amp;W'!Q15</f>
        <v>66</v>
      </c>
      <c r="L202" s="3"/>
      <c r="M202" s="3"/>
      <c r="N202" s="3"/>
      <c r="O202" s="3"/>
      <c r="P202" s="3"/>
      <c r="Q202" s="3"/>
      <c r="R202" s="3"/>
      <c r="S202" s="3"/>
      <c r="T202" s="3"/>
      <c r="U202" s="3"/>
      <c r="V202" s="3"/>
      <c r="W202" s="3"/>
      <c r="X202" s="3"/>
      <c r="Y202" s="3"/>
      <c r="Z202" s="3"/>
      <c r="AA202" s="3"/>
    </row>
    <row r="203" spans="1:27" ht="14.25" customHeight="1">
      <c r="A203" s="475"/>
      <c r="B203" s="476"/>
      <c r="C203" s="514"/>
      <c r="D203" s="467"/>
      <c r="E203" s="519"/>
      <c r="F203" s="367"/>
      <c r="G203" s="375"/>
      <c r="H203" s="513"/>
      <c r="I203" s="375"/>
      <c r="J203" s="34"/>
      <c r="K203" s="24"/>
      <c r="L203" s="3"/>
      <c r="M203" s="3"/>
      <c r="N203" s="3"/>
      <c r="O203" s="3"/>
      <c r="P203" s="3"/>
      <c r="Q203" s="3"/>
      <c r="R203" s="3"/>
      <c r="S203" s="3"/>
      <c r="T203" s="3"/>
      <c r="U203" s="3"/>
      <c r="V203" s="3"/>
      <c r="W203" s="3"/>
      <c r="X203" s="3"/>
      <c r="Y203" s="3"/>
      <c r="Z203" s="3"/>
      <c r="AA203" s="3"/>
    </row>
    <row r="204" spans="1:27" ht="14.25" customHeight="1">
      <c r="A204" s="475"/>
      <c r="B204" s="369"/>
      <c r="C204" s="474"/>
      <c r="D204" s="467"/>
      <c r="E204" s="374"/>
      <c r="F204" s="367"/>
      <c r="G204" s="368"/>
      <c r="H204" s="513"/>
      <c r="I204" s="375"/>
      <c r="J204" s="34"/>
      <c r="K204" s="24"/>
      <c r="L204" s="3"/>
      <c r="M204" s="3"/>
      <c r="N204" s="3"/>
      <c r="O204" s="3"/>
      <c r="P204" s="3"/>
      <c r="Q204" s="3"/>
      <c r="R204" s="3"/>
      <c r="S204" s="3"/>
      <c r="T204" s="3"/>
      <c r="U204" s="3"/>
      <c r="V204" s="3"/>
      <c r="W204" s="3"/>
      <c r="X204" s="3"/>
      <c r="Y204" s="3"/>
      <c r="Z204" s="3"/>
      <c r="AA204" s="3"/>
    </row>
    <row r="205" spans="1:27" ht="14.25" customHeight="1">
      <c r="A205" s="475"/>
      <c r="B205" s="476"/>
      <c r="C205" s="474" t="s">
        <v>1223</v>
      </c>
      <c r="D205" s="467"/>
      <c r="E205" s="374"/>
      <c r="F205" s="367"/>
      <c r="G205" s="375"/>
      <c r="H205" s="513"/>
      <c r="I205" s="375"/>
      <c r="J205" s="34"/>
      <c r="K205" s="24"/>
      <c r="L205" s="3"/>
      <c r="M205" s="3"/>
      <c r="N205" s="3"/>
      <c r="O205" s="3"/>
      <c r="P205" s="3"/>
      <c r="Q205" s="3"/>
      <c r="R205" s="3"/>
      <c r="S205" s="3"/>
      <c r="T205" s="3"/>
      <c r="U205" s="3"/>
      <c r="V205" s="3"/>
      <c r="W205" s="3"/>
      <c r="X205" s="3"/>
      <c r="Y205" s="3"/>
      <c r="Z205" s="3"/>
      <c r="AA205" s="3"/>
    </row>
    <row r="206" spans="1:27" ht="14.25" customHeight="1">
      <c r="A206" s="475"/>
      <c r="B206" s="476"/>
      <c r="C206" s="514"/>
      <c r="D206" s="467"/>
      <c r="E206" s="519"/>
      <c r="F206" s="367"/>
      <c r="G206" s="375"/>
      <c r="H206" s="513"/>
      <c r="I206" s="375"/>
      <c r="J206" s="34"/>
      <c r="K206" s="24"/>
      <c r="L206" s="3"/>
      <c r="M206" s="3"/>
      <c r="N206" s="3"/>
      <c r="O206" s="3"/>
      <c r="P206" s="3"/>
      <c r="Q206" s="3"/>
      <c r="R206" s="3"/>
      <c r="S206" s="3"/>
      <c r="T206" s="3"/>
      <c r="U206" s="3"/>
      <c r="V206" s="3"/>
      <c r="W206" s="3"/>
      <c r="X206" s="3"/>
      <c r="Y206" s="3"/>
      <c r="Z206" s="3"/>
      <c r="AA206" s="3"/>
    </row>
    <row r="207" spans="1:27" ht="14.25" customHeight="1">
      <c r="A207" s="475" t="s">
        <v>54</v>
      </c>
      <c r="B207" s="476"/>
      <c r="C207" s="572" t="s">
        <v>1186</v>
      </c>
      <c r="D207" s="467"/>
      <c r="E207" s="366">
        <f t="shared" ref="E207:E218" si="3">K207</f>
        <v>1</v>
      </c>
      <c r="F207" s="367" t="s">
        <v>115</v>
      </c>
      <c r="G207" s="368">
        <v>75</v>
      </c>
      <c r="H207" s="513">
        <f t="shared" ref="H207:H218" si="4">+G207*E207</f>
        <v>75</v>
      </c>
      <c r="I207" s="375"/>
      <c r="J207" s="34"/>
      <c r="K207" s="22">
        <f>'D&amp;W'!E15</f>
        <v>1</v>
      </c>
      <c r="L207" s="3"/>
      <c r="M207" s="3"/>
      <c r="N207" s="3"/>
      <c r="O207" s="3"/>
      <c r="P207" s="3"/>
      <c r="Q207" s="3"/>
      <c r="R207" s="3"/>
      <c r="S207" s="3"/>
      <c r="T207" s="3"/>
      <c r="U207" s="3"/>
      <c r="V207" s="3"/>
      <c r="W207" s="3"/>
      <c r="X207" s="3"/>
      <c r="Y207" s="3"/>
      <c r="Z207" s="3"/>
      <c r="AA207" s="3"/>
    </row>
    <row r="208" spans="1:27" ht="14.25" customHeight="1">
      <c r="A208" s="475" t="s">
        <v>116</v>
      </c>
      <c r="B208" s="476"/>
      <c r="C208" s="572" t="s">
        <v>1187</v>
      </c>
      <c r="D208" s="467"/>
      <c r="E208" s="366">
        <f t="shared" si="3"/>
        <v>13</v>
      </c>
      <c r="F208" s="367" t="s">
        <v>115</v>
      </c>
      <c r="G208" s="368">
        <v>75</v>
      </c>
      <c r="H208" s="513">
        <f t="shared" si="4"/>
        <v>975</v>
      </c>
      <c r="I208" s="375"/>
      <c r="J208" s="34"/>
      <c r="K208" s="22">
        <f>'D&amp;W'!F15</f>
        <v>13</v>
      </c>
      <c r="L208" s="3"/>
      <c r="M208" s="3"/>
      <c r="N208" s="3"/>
      <c r="O208" s="3"/>
      <c r="P208" s="3"/>
      <c r="Q208" s="3"/>
      <c r="R208" s="3"/>
      <c r="S208" s="3"/>
      <c r="T208" s="3"/>
      <c r="U208" s="3"/>
      <c r="V208" s="3"/>
      <c r="W208" s="3"/>
      <c r="X208" s="3"/>
      <c r="Y208" s="3"/>
      <c r="Z208" s="3"/>
      <c r="AA208" s="3"/>
    </row>
    <row r="209" spans="1:27" ht="14.25" customHeight="1">
      <c r="A209" s="475" t="s">
        <v>55</v>
      </c>
      <c r="B209" s="476"/>
      <c r="C209" s="572" t="s">
        <v>1188</v>
      </c>
      <c r="D209" s="467"/>
      <c r="E209" s="366">
        <f t="shared" si="3"/>
        <v>1</v>
      </c>
      <c r="F209" s="367" t="s">
        <v>115</v>
      </c>
      <c r="G209" s="368">
        <v>75</v>
      </c>
      <c r="H209" s="513">
        <f t="shared" si="4"/>
        <v>75</v>
      </c>
      <c r="I209" s="375"/>
      <c r="J209" s="34"/>
      <c r="K209" s="24">
        <f>'D&amp;W'!G15</f>
        <v>1</v>
      </c>
      <c r="L209" s="3"/>
      <c r="M209" s="3"/>
      <c r="N209" s="3"/>
      <c r="O209" s="3"/>
      <c r="P209" s="3"/>
      <c r="Q209" s="3"/>
      <c r="R209" s="3"/>
      <c r="S209" s="3"/>
      <c r="T209" s="3"/>
      <c r="U209" s="3"/>
      <c r="V209" s="3"/>
      <c r="W209" s="3"/>
      <c r="X209" s="3"/>
      <c r="Y209" s="3"/>
      <c r="Z209" s="3"/>
      <c r="AA209" s="3"/>
    </row>
    <row r="210" spans="1:27" ht="14.25" customHeight="1">
      <c r="A210" s="475" t="s">
        <v>56</v>
      </c>
      <c r="B210" s="476"/>
      <c r="C210" s="572" t="s">
        <v>1189</v>
      </c>
      <c r="D210" s="467"/>
      <c r="E210" s="366">
        <f t="shared" si="3"/>
        <v>46</v>
      </c>
      <c r="F210" s="367" t="s">
        <v>115</v>
      </c>
      <c r="G210" s="368">
        <v>75</v>
      </c>
      <c r="H210" s="513">
        <f t="shared" si="4"/>
        <v>3450</v>
      </c>
      <c r="I210" s="375"/>
      <c r="J210" s="34"/>
      <c r="K210" s="24">
        <f>'D&amp;W'!L15</f>
        <v>46</v>
      </c>
      <c r="L210" s="3"/>
      <c r="M210" s="3"/>
      <c r="N210" s="3"/>
      <c r="O210" s="3"/>
      <c r="P210" s="3"/>
      <c r="Q210" s="3"/>
      <c r="R210" s="3"/>
      <c r="S210" s="3"/>
      <c r="T210" s="3"/>
      <c r="U210" s="3"/>
      <c r="V210" s="3"/>
      <c r="W210" s="3"/>
      <c r="X210" s="3"/>
      <c r="Y210" s="3"/>
      <c r="Z210" s="3"/>
      <c r="AA210" s="3"/>
    </row>
    <row r="211" spans="1:27" ht="14.25" customHeight="1">
      <c r="A211" s="475" t="s">
        <v>57</v>
      </c>
      <c r="B211" s="476"/>
      <c r="C211" s="572" t="s">
        <v>1190</v>
      </c>
      <c r="D211" s="467"/>
      <c r="E211" s="366">
        <f t="shared" si="3"/>
        <v>10</v>
      </c>
      <c r="F211" s="367" t="s">
        <v>115</v>
      </c>
      <c r="G211" s="368">
        <v>75</v>
      </c>
      <c r="H211" s="513">
        <f t="shared" si="4"/>
        <v>750</v>
      </c>
      <c r="I211" s="375"/>
      <c r="J211" s="34"/>
      <c r="K211" s="24">
        <f>'D&amp;W'!M15</f>
        <v>10</v>
      </c>
      <c r="L211" s="3"/>
      <c r="M211" s="3"/>
      <c r="N211" s="3"/>
      <c r="O211" s="3"/>
      <c r="P211" s="3"/>
      <c r="Q211" s="3"/>
      <c r="R211" s="3"/>
      <c r="S211" s="3"/>
      <c r="T211" s="3"/>
      <c r="U211" s="3"/>
      <c r="V211" s="3"/>
      <c r="W211" s="3"/>
      <c r="X211" s="3"/>
      <c r="Y211" s="3"/>
      <c r="Z211" s="3"/>
      <c r="AA211" s="3"/>
    </row>
    <row r="212" spans="1:27" ht="14.25" customHeight="1">
      <c r="A212" s="475" t="s">
        <v>58</v>
      </c>
      <c r="B212" s="476"/>
      <c r="C212" s="572" t="s">
        <v>1191</v>
      </c>
      <c r="D212" s="467"/>
      <c r="E212" s="366">
        <f t="shared" si="3"/>
        <v>84</v>
      </c>
      <c r="F212" s="367" t="s">
        <v>115</v>
      </c>
      <c r="G212" s="368">
        <v>75</v>
      </c>
      <c r="H212" s="513">
        <f t="shared" si="4"/>
        <v>6300</v>
      </c>
      <c r="I212" s="375"/>
      <c r="J212" s="34"/>
      <c r="K212" s="24">
        <f>'D&amp;W'!P15</f>
        <v>84</v>
      </c>
      <c r="L212" s="3"/>
      <c r="M212" s="3"/>
      <c r="N212" s="3"/>
      <c r="O212" s="3"/>
      <c r="P212" s="3"/>
      <c r="Q212" s="3"/>
      <c r="R212" s="3"/>
      <c r="S212" s="3"/>
      <c r="T212" s="3"/>
      <c r="U212" s="3"/>
      <c r="V212" s="3"/>
      <c r="W212" s="3"/>
      <c r="X212" s="3"/>
      <c r="Y212" s="3"/>
      <c r="Z212" s="3"/>
      <c r="AA212" s="3"/>
    </row>
    <row r="213" spans="1:27" ht="14.25" customHeight="1">
      <c r="A213" s="475" t="s">
        <v>117</v>
      </c>
      <c r="B213" s="476"/>
      <c r="C213" s="572" t="s">
        <v>1192</v>
      </c>
      <c r="D213" s="467"/>
      <c r="E213" s="366">
        <f t="shared" si="3"/>
        <v>1</v>
      </c>
      <c r="F213" s="367" t="s">
        <v>115</v>
      </c>
      <c r="G213" s="368">
        <v>75</v>
      </c>
      <c r="H213" s="513">
        <f t="shared" si="4"/>
        <v>75</v>
      </c>
      <c r="I213" s="375"/>
      <c r="J213" s="34"/>
      <c r="K213" s="24">
        <v>1</v>
      </c>
      <c r="L213" s="3"/>
      <c r="M213" s="3"/>
      <c r="N213" s="3"/>
      <c r="O213" s="3"/>
      <c r="P213" s="3"/>
      <c r="Q213" s="3"/>
      <c r="R213" s="3"/>
      <c r="S213" s="3"/>
      <c r="T213" s="3"/>
      <c r="U213" s="3"/>
      <c r="V213" s="3"/>
      <c r="W213" s="3"/>
      <c r="X213" s="3"/>
      <c r="Y213" s="3"/>
      <c r="Z213" s="3"/>
      <c r="AA213" s="3"/>
    </row>
    <row r="214" spans="1:27" ht="14.25" customHeight="1">
      <c r="A214" s="475" t="s">
        <v>85</v>
      </c>
      <c r="B214" s="476"/>
      <c r="C214" s="572" t="s">
        <v>1197</v>
      </c>
      <c r="D214" s="467"/>
      <c r="E214" s="366">
        <f t="shared" si="3"/>
        <v>1</v>
      </c>
      <c r="F214" s="367" t="s">
        <v>115</v>
      </c>
      <c r="G214" s="368">
        <v>75</v>
      </c>
      <c r="H214" s="513">
        <f t="shared" si="4"/>
        <v>75</v>
      </c>
      <c r="I214" s="375"/>
      <c r="J214" s="34"/>
      <c r="K214" s="24">
        <v>1</v>
      </c>
      <c r="L214" s="3"/>
      <c r="M214" s="3"/>
      <c r="N214" s="3"/>
      <c r="O214" s="3"/>
      <c r="P214" s="3"/>
      <c r="Q214" s="3"/>
      <c r="R214" s="3"/>
      <c r="S214" s="3"/>
      <c r="T214" s="3"/>
      <c r="U214" s="3"/>
      <c r="V214" s="3"/>
      <c r="W214" s="3"/>
      <c r="X214" s="3"/>
      <c r="Y214" s="3"/>
      <c r="Z214" s="3"/>
      <c r="AA214" s="3"/>
    </row>
    <row r="215" spans="1:27" ht="14.25" customHeight="1">
      <c r="A215" s="475" t="s">
        <v>87</v>
      </c>
      <c r="B215" s="476"/>
      <c r="C215" s="572" t="s">
        <v>1196</v>
      </c>
      <c r="D215" s="467"/>
      <c r="E215" s="366">
        <f t="shared" si="3"/>
        <v>1</v>
      </c>
      <c r="F215" s="367" t="s">
        <v>115</v>
      </c>
      <c r="G215" s="368">
        <v>75</v>
      </c>
      <c r="H215" s="513">
        <f t="shared" si="4"/>
        <v>75</v>
      </c>
      <c r="I215" s="375"/>
      <c r="J215" s="34"/>
      <c r="K215" s="24">
        <v>1</v>
      </c>
      <c r="L215" s="3"/>
      <c r="M215" s="3"/>
      <c r="N215" s="3"/>
      <c r="O215" s="3"/>
      <c r="P215" s="3"/>
      <c r="Q215" s="3"/>
      <c r="R215" s="3"/>
      <c r="S215" s="3"/>
      <c r="T215" s="3"/>
      <c r="U215" s="3"/>
      <c r="V215" s="3"/>
      <c r="W215" s="3"/>
      <c r="X215" s="3"/>
      <c r="Y215" s="3"/>
      <c r="Z215" s="3"/>
      <c r="AA215" s="3"/>
    </row>
    <row r="216" spans="1:27" ht="14.25" customHeight="1">
      <c r="A216" s="475" t="s">
        <v>118</v>
      </c>
      <c r="B216" s="476"/>
      <c r="C216" s="572" t="s">
        <v>1195</v>
      </c>
      <c r="D216" s="467"/>
      <c r="E216" s="366">
        <f t="shared" si="3"/>
        <v>1</v>
      </c>
      <c r="F216" s="367" t="s">
        <v>115</v>
      </c>
      <c r="G216" s="368">
        <v>75</v>
      </c>
      <c r="H216" s="513">
        <f t="shared" si="4"/>
        <v>75</v>
      </c>
      <c r="I216" s="375"/>
      <c r="J216" s="34"/>
      <c r="K216" s="24">
        <v>1</v>
      </c>
      <c r="L216" s="3"/>
      <c r="M216" s="3"/>
      <c r="N216" s="3"/>
      <c r="O216" s="3"/>
      <c r="P216" s="3"/>
      <c r="Q216" s="3"/>
      <c r="R216" s="3"/>
      <c r="S216" s="3"/>
      <c r="T216" s="3"/>
      <c r="U216" s="3"/>
      <c r="V216" s="3"/>
      <c r="W216" s="3"/>
      <c r="X216" s="3"/>
      <c r="Y216" s="3"/>
      <c r="Z216" s="3"/>
      <c r="AA216" s="3"/>
    </row>
    <row r="217" spans="1:27" ht="14.25" customHeight="1">
      <c r="A217" s="475" t="s">
        <v>119</v>
      </c>
      <c r="B217" s="476"/>
      <c r="C217" s="572" t="s">
        <v>1194</v>
      </c>
      <c r="D217" s="467"/>
      <c r="E217" s="366">
        <f t="shared" si="3"/>
        <v>1</v>
      </c>
      <c r="F217" s="367" t="s">
        <v>115</v>
      </c>
      <c r="G217" s="368">
        <v>75</v>
      </c>
      <c r="H217" s="513">
        <f t="shared" si="4"/>
        <v>75</v>
      </c>
      <c r="I217" s="375"/>
      <c r="J217" s="34"/>
      <c r="K217" s="24">
        <v>1</v>
      </c>
      <c r="L217" s="3"/>
      <c r="M217" s="3"/>
      <c r="N217" s="3"/>
      <c r="O217" s="3"/>
      <c r="P217" s="3"/>
      <c r="Q217" s="3"/>
      <c r="R217" s="3"/>
      <c r="S217" s="3"/>
      <c r="T217" s="3"/>
      <c r="U217" s="3"/>
      <c r="V217" s="3"/>
      <c r="W217" s="3"/>
      <c r="X217" s="3"/>
      <c r="Y217" s="3"/>
      <c r="Z217" s="3"/>
      <c r="AA217" s="3"/>
    </row>
    <row r="218" spans="1:27" ht="14.25" customHeight="1">
      <c r="A218" s="475" t="s">
        <v>120</v>
      </c>
      <c r="B218" s="476"/>
      <c r="C218" s="572" t="s">
        <v>1193</v>
      </c>
      <c r="D218" s="467"/>
      <c r="E218" s="366">
        <f t="shared" si="3"/>
        <v>1</v>
      </c>
      <c r="F218" s="367" t="s">
        <v>115</v>
      </c>
      <c r="G218" s="368">
        <v>75</v>
      </c>
      <c r="H218" s="513">
        <f t="shared" si="4"/>
        <v>75</v>
      </c>
      <c r="I218" s="375"/>
      <c r="J218" s="34"/>
      <c r="K218" s="24">
        <v>1</v>
      </c>
      <c r="L218" s="3"/>
      <c r="M218" s="3"/>
      <c r="N218" s="3"/>
      <c r="O218" s="3"/>
      <c r="P218" s="3"/>
      <c r="Q218" s="3"/>
      <c r="R218" s="3"/>
      <c r="S218" s="3"/>
      <c r="T218" s="3"/>
      <c r="U218" s="3"/>
      <c r="V218" s="3"/>
      <c r="W218" s="3"/>
      <c r="X218" s="3"/>
      <c r="Y218" s="3"/>
      <c r="Z218" s="3"/>
      <c r="AA218" s="3"/>
    </row>
    <row r="219" spans="1:27" ht="14.25" customHeight="1">
      <c r="A219" s="475"/>
      <c r="B219" s="476"/>
      <c r="C219" s="474"/>
      <c r="D219" s="467"/>
      <c r="E219" s="374"/>
      <c r="F219" s="367"/>
      <c r="G219" s="518"/>
      <c r="H219" s="513"/>
      <c r="I219" s="375"/>
      <c r="J219" s="34"/>
      <c r="K219" s="24"/>
      <c r="L219" s="3"/>
      <c r="M219" s="3"/>
      <c r="N219" s="3"/>
      <c r="O219" s="3"/>
      <c r="P219" s="3"/>
      <c r="Q219" s="3"/>
      <c r="R219" s="3"/>
      <c r="S219" s="3"/>
      <c r="T219" s="3"/>
      <c r="U219" s="3"/>
      <c r="V219" s="3"/>
      <c r="W219" s="3"/>
      <c r="X219" s="3"/>
      <c r="Y219" s="3"/>
      <c r="Z219" s="3"/>
      <c r="AA219" s="3"/>
    </row>
    <row r="220" spans="1:27" ht="14.25" customHeight="1">
      <c r="A220" s="520"/>
      <c r="B220" s="16"/>
      <c r="C220" s="783" t="s">
        <v>35</v>
      </c>
      <c r="D220" s="17"/>
      <c r="E220" s="30"/>
      <c r="F220" s="424"/>
      <c r="G220" s="772" t="s">
        <v>36</v>
      </c>
      <c r="H220" s="521"/>
      <c r="I220" s="382"/>
      <c r="J220" s="34"/>
      <c r="K220" s="24"/>
      <c r="L220" s="3"/>
      <c r="M220" s="3"/>
      <c r="N220" s="3"/>
      <c r="O220" s="3"/>
      <c r="P220" s="3"/>
      <c r="Q220" s="3"/>
      <c r="R220" s="3"/>
      <c r="S220" s="3"/>
      <c r="T220" s="3"/>
      <c r="U220" s="3"/>
      <c r="V220" s="3"/>
      <c r="W220" s="3"/>
      <c r="X220" s="3"/>
      <c r="Y220" s="3"/>
      <c r="Z220" s="3"/>
      <c r="AA220" s="3"/>
    </row>
    <row r="221" spans="1:27" ht="14.25" customHeight="1">
      <c r="A221" s="573"/>
      <c r="B221" s="534"/>
      <c r="C221" s="786"/>
      <c r="D221" s="535"/>
      <c r="E221" s="536"/>
      <c r="F221" s="537"/>
      <c r="G221" s="788"/>
      <c r="H221" s="538">
        <f>SUM(H196:H220)</f>
        <v>34097</v>
      </c>
      <c r="I221" s="383"/>
      <c r="J221" s="34"/>
      <c r="K221" s="24"/>
      <c r="L221" s="3"/>
      <c r="M221" s="3"/>
      <c r="N221" s="3"/>
      <c r="O221" s="3"/>
      <c r="P221" s="3"/>
      <c r="Q221" s="3"/>
      <c r="R221" s="3"/>
      <c r="S221" s="3"/>
      <c r="T221" s="3"/>
      <c r="U221" s="3"/>
      <c r="V221" s="3"/>
      <c r="W221" s="3"/>
      <c r="X221" s="3"/>
      <c r="Y221" s="3"/>
      <c r="Z221" s="3"/>
      <c r="AA221" s="3"/>
    </row>
    <row r="222" spans="1:27" ht="14.25" customHeight="1">
      <c r="A222" s="539"/>
      <c r="B222" s="540"/>
      <c r="C222" s="564"/>
      <c r="D222" s="565"/>
      <c r="E222" s="575"/>
      <c r="F222" s="543"/>
      <c r="G222" s="576"/>
      <c r="H222" s="545"/>
      <c r="I222" s="375"/>
      <c r="J222" s="34"/>
      <c r="K222" s="24"/>
      <c r="L222" s="3"/>
      <c r="M222" s="3"/>
      <c r="N222" s="3"/>
      <c r="O222" s="3"/>
      <c r="P222" s="3"/>
      <c r="Q222" s="3"/>
      <c r="R222" s="3"/>
      <c r="S222" s="3"/>
      <c r="T222" s="3"/>
      <c r="U222" s="3"/>
      <c r="V222" s="3"/>
      <c r="W222" s="3"/>
      <c r="X222" s="3"/>
      <c r="Y222" s="3"/>
      <c r="Z222" s="3"/>
      <c r="AA222" s="3"/>
    </row>
    <row r="223" spans="1:27" ht="14.25" customHeight="1">
      <c r="A223" s="465"/>
      <c r="B223" s="369"/>
      <c r="C223" s="514" t="s">
        <v>122</v>
      </c>
      <c r="D223" s="467"/>
      <c r="E223" s="377"/>
      <c r="F223" s="378"/>
      <c r="G223" s="368"/>
      <c r="H223" s="513"/>
      <c r="I223" s="375"/>
      <c r="J223" s="34"/>
      <c r="K223" s="24"/>
      <c r="L223" s="3"/>
      <c r="M223" s="3"/>
      <c r="N223" s="3"/>
      <c r="O223" s="3"/>
      <c r="P223" s="3"/>
      <c r="Q223" s="3"/>
      <c r="R223" s="3"/>
      <c r="S223" s="3"/>
      <c r="T223" s="3"/>
      <c r="U223" s="3"/>
      <c r="V223" s="3"/>
      <c r="W223" s="3"/>
      <c r="X223" s="3"/>
      <c r="Y223" s="3"/>
      <c r="Z223" s="3"/>
      <c r="AA223" s="3"/>
    </row>
    <row r="224" spans="1:27" ht="14.25" customHeight="1">
      <c r="A224" s="465"/>
      <c r="B224" s="369"/>
      <c r="C224" s="474"/>
      <c r="D224" s="467"/>
      <c r="E224" s="377"/>
      <c r="F224" s="378"/>
      <c r="G224" s="368"/>
      <c r="H224" s="513"/>
      <c r="I224" s="375"/>
      <c r="J224" s="34"/>
      <c r="K224" s="24"/>
      <c r="L224" s="3"/>
      <c r="M224" s="3"/>
      <c r="N224" s="3"/>
      <c r="O224" s="3"/>
      <c r="P224" s="3"/>
      <c r="Q224" s="3"/>
      <c r="R224" s="3"/>
      <c r="S224" s="3"/>
      <c r="T224" s="3"/>
      <c r="U224" s="3"/>
      <c r="V224" s="3"/>
      <c r="W224" s="3"/>
      <c r="X224" s="3"/>
      <c r="Y224" s="3"/>
      <c r="Z224" s="3"/>
      <c r="AA224" s="3"/>
    </row>
    <row r="225" spans="1:27" ht="14.25" customHeight="1">
      <c r="A225" s="465"/>
      <c r="B225" s="369"/>
      <c r="C225" s="514" t="s">
        <v>123</v>
      </c>
      <c r="D225" s="467"/>
      <c r="E225" s="377"/>
      <c r="F225" s="378"/>
      <c r="G225" s="368"/>
      <c r="H225" s="513"/>
      <c r="I225" s="375"/>
      <c r="J225" s="34"/>
      <c r="K225" s="24"/>
      <c r="L225" s="3"/>
      <c r="M225" s="3"/>
      <c r="N225" s="3"/>
      <c r="O225" s="3"/>
      <c r="P225" s="3"/>
      <c r="Q225" s="3"/>
      <c r="R225" s="3"/>
      <c r="S225" s="3"/>
      <c r="T225" s="3"/>
      <c r="U225" s="3"/>
      <c r="V225" s="3"/>
      <c r="W225" s="3"/>
      <c r="X225" s="3"/>
      <c r="Y225" s="3"/>
      <c r="Z225" s="3"/>
      <c r="AA225" s="3"/>
    </row>
    <row r="226" spans="1:27" ht="14.25" customHeight="1">
      <c r="A226" s="465"/>
      <c r="B226" s="369"/>
      <c r="C226" s="474"/>
      <c r="D226" s="467"/>
      <c r="E226" s="377"/>
      <c r="F226" s="378"/>
      <c r="G226" s="368"/>
      <c r="H226" s="513"/>
      <c r="I226" s="375"/>
      <c r="J226" s="34"/>
      <c r="K226" s="24"/>
      <c r="L226" s="3"/>
      <c r="M226" s="3"/>
      <c r="N226" s="3"/>
      <c r="O226" s="3"/>
      <c r="P226" s="3"/>
      <c r="Q226" s="3"/>
      <c r="R226" s="3"/>
      <c r="S226" s="3"/>
      <c r="T226" s="3"/>
      <c r="U226" s="3"/>
      <c r="V226" s="3"/>
      <c r="W226" s="3"/>
      <c r="X226" s="3"/>
      <c r="Y226" s="3"/>
      <c r="Z226" s="3"/>
      <c r="AA226" s="3"/>
    </row>
    <row r="227" spans="1:27" ht="14.25" customHeight="1">
      <c r="A227" s="475"/>
      <c r="B227" s="476"/>
      <c r="C227" s="474" t="s">
        <v>124</v>
      </c>
      <c r="D227" s="467"/>
      <c r="E227" s="374"/>
      <c r="F227" s="367"/>
      <c r="G227" s="375"/>
      <c r="H227" s="513"/>
      <c r="I227" s="375"/>
      <c r="J227" s="34"/>
      <c r="K227" s="24"/>
      <c r="L227" s="3"/>
      <c r="M227" s="3"/>
      <c r="N227" s="3"/>
      <c r="O227" s="3"/>
      <c r="P227" s="3"/>
      <c r="Q227" s="3"/>
      <c r="R227" s="3"/>
      <c r="S227" s="3"/>
      <c r="T227" s="3"/>
      <c r="U227" s="3"/>
      <c r="V227" s="3"/>
      <c r="W227" s="3"/>
      <c r="X227" s="3"/>
      <c r="Y227" s="3"/>
      <c r="Z227" s="3"/>
      <c r="AA227" s="3"/>
    </row>
    <row r="228" spans="1:27" ht="14.25" customHeight="1" thickBot="1">
      <c r="A228" s="465"/>
      <c r="B228" s="369"/>
      <c r="C228" s="514"/>
      <c r="D228" s="467"/>
      <c r="E228" s="377"/>
      <c r="F228" s="378"/>
      <c r="G228" s="368"/>
      <c r="H228" s="513"/>
      <c r="I228" s="375"/>
      <c r="J228" s="34"/>
      <c r="K228" s="24"/>
      <c r="L228" s="3"/>
      <c r="M228" s="3"/>
      <c r="N228" s="3"/>
      <c r="O228" s="3"/>
      <c r="P228" s="3"/>
      <c r="Q228" s="3"/>
      <c r="R228" s="3"/>
      <c r="S228" s="3"/>
      <c r="T228" s="3"/>
      <c r="U228" s="3"/>
      <c r="V228" s="3"/>
      <c r="W228" s="3"/>
      <c r="X228" s="3"/>
      <c r="Y228" s="3"/>
      <c r="Z228" s="3"/>
      <c r="AA228" s="3"/>
    </row>
    <row r="229" spans="1:27" ht="14.25" customHeight="1" thickBot="1">
      <c r="A229" s="475" t="s">
        <v>22</v>
      </c>
      <c r="B229" s="476"/>
      <c r="C229" s="224" t="s">
        <v>959</v>
      </c>
      <c r="D229" s="467"/>
      <c r="E229" s="366">
        <f t="shared" ref="E229:E233" si="5">K229</f>
        <v>6</v>
      </c>
      <c r="F229" s="367" t="s">
        <v>115</v>
      </c>
      <c r="G229" s="368"/>
      <c r="H229" s="513"/>
      <c r="I229" s="375"/>
      <c r="J229" s="34"/>
      <c r="K229" s="22">
        <v>6</v>
      </c>
      <c r="L229" s="3"/>
      <c r="M229" s="3"/>
      <c r="N229" s="3"/>
      <c r="O229" s="3"/>
      <c r="P229" s="3"/>
      <c r="Q229" s="3"/>
      <c r="R229" s="3"/>
      <c r="S229" s="3"/>
      <c r="T229" s="3"/>
      <c r="U229" s="3"/>
      <c r="V229" s="3"/>
      <c r="W229" s="3"/>
      <c r="X229" s="3"/>
      <c r="Y229" s="3"/>
      <c r="Z229" s="3"/>
      <c r="AA229" s="3"/>
    </row>
    <row r="230" spans="1:27" ht="14.25" customHeight="1" thickBot="1">
      <c r="A230" s="475" t="s">
        <v>25</v>
      </c>
      <c r="B230" s="369"/>
      <c r="C230" s="224" t="s">
        <v>960</v>
      </c>
      <c r="D230" s="467"/>
      <c r="E230" s="366">
        <f t="shared" si="5"/>
        <v>24</v>
      </c>
      <c r="F230" s="367" t="s">
        <v>115</v>
      </c>
      <c r="G230" s="368"/>
      <c r="H230" s="513"/>
      <c r="I230" s="375"/>
      <c r="J230" s="34"/>
      <c r="K230" s="24">
        <v>24</v>
      </c>
      <c r="L230" s="3"/>
      <c r="M230" s="3"/>
      <c r="N230" s="3"/>
      <c r="O230" s="3"/>
      <c r="P230" s="3"/>
      <c r="Q230" s="3"/>
      <c r="R230" s="3"/>
      <c r="S230" s="3"/>
      <c r="T230" s="3"/>
      <c r="U230" s="3"/>
      <c r="V230" s="3"/>
      <c r="W230" s="3"/>
      <c r="X230" s="3"/>
      <c r="Y230" s="3"/>
      <c r="Z230" s="3"/>
      <c r="AA230" s="3"/>
    </row>
    <row r="231" spans="1:27" ht="14.25" customHeight="1" thickBot="1">
      <c r="A231" s="475" t="s">
        <v>28</v>
      </c>
      <c r="B231" s="476"/>
      <c r="C231" s="224" t="s">
        <v>961</v>
      </c>
      <c r="D231" s="467"/>
      <c r="E231" s="366">
        <f t="shared" si="5"/>
        <v>6</v>
      </c>
      <c r="F231" s="367" t="s">
        <v>115</v>
      </c>
      <c r="G231" s="368"/>
      <c r="H231" s="513"/>
      <c r="I231" s="375"/>
      <c r="J231" s="34"/>
      <c r="K231" s="22">
        <v>6</v>
      </c>
      <c r="L231" s="3"/>
      <c r="M231" s="3"/>
      <c r="N231" s="3"/>
      <c r="O231" s="3"/>
      <c r="P231" s="3"/>
      <c r="Q231" s="3"/>
      <c r="R231" s="3"/>
      <c r="S231" s="3"/>
      <c r="T231" s="3"/>
      <c r="U231" s="3"/>
      <c r="V231" s="3"/>
      <c r="W231" s="3"/>
      <c r="X231" s="3"/>
      <c r="Y231" s="3"/>
      <c r="Z231" s="3"/>
      <c r="AA231" s="3"/>
    </row>
    <row r="232" spans="1:27" ht="14.25" customHeight="1" thickBot="1">
      <c r="A232" s="475" t="s">
        <v>31</v>
      </c>
      <c r="B232" s="476"/>
      <c r="C232" s="224" t="s">
        <v>962</v>
      </c>
      <c r="D232" s="467"/>
      <c r="E232" s="366">
        <f t="shared" si="5"/>
        <v>12</v>
      </c>
      <c r="F232" s="367" t="s">
        <v>115</v>
      </c>
      <c r="G232" s="375"/>
      <c r="H232" s="513"/>
      <c r="I232" s="375"/>
      <c r="J232" s="34"/>
      <c r="K232" s="24">
        <v>12</v>
      </c>
      <c r="L232" s="3"/>
      <c r="M232" s="3"/>
      <c r="N232" s="3"/>
      <c r="O232" s="3"/>
      <c r="P232" s="3"/>
      <c r="Q232" s="3"/>
      <c r="R232" s="3"/>
      <c r="S232" s="3"/>
      <c r="T232" s="3"/>
      <c r="U232" s="3"/>
      <c r="V232" s="3"/>
      <c r="W232" s="3"/>
      <c r="X232" s="3"/>
      <c r="Y232" s="3"/>
      <c r="Z232" s="3"/>
      <c r="AA232" s="3"/>
    </row>
    <row r="233" spans="1:27" ht="13.8">
      <c r="A233" s="475" t="s">
        <v>32</v>
      </c>
      <c r="B233" s="476"/>
      <c r="C233" s="577" t="s">
        <v>963</v>
      </c>
      <c r="D233" s="467"/>
      <c r="E233" s="366">
        <f t="shared" si="5"/>
        <v>8</v>
      </c>
      <c r="F233" s="367" t="s">
        <v>115</v>
      </c>
      <c r="G233" s="368"/>
      <c r="H233" s="513"/>
      <c r="I233" s="375"/>
      <c r="J233" s="34"/>
      <c r="K233" s="22">
        <v>8</v>
      </c>
      <c r="L233" s="3"/>
      <c r="M233" s="3"/>
      <c r="N233" s="3"/>
      <c r="O233" s="3"/>
      <c r="P233" s="3"/>
      <c r="Q233" s="3"/>
      <c r="R233" s="3"/>
      <c r="S233" s="3"/>
      <c r="T233" s="3"/>
      <c r="U233" s="3"/>
      <c r="V233" s="3"/>
      <c r="W233" s="3"/>
      <c r="X233" s="3"/>
      <c r="Y233" s="3"/>
      <c r="Z233" s="3"/>
      <c r="AA233" s="3"/>
    </row>
    <row r="234" spans="1:27" ht="14.25" customHeight="1" thickBot="1">
      <c r="A234" s="475" t="s">
        <v>33</v>
      </c>
      <c r="B234" s="476"/>
      <c r="C234" s="577" t="s">
        <v>966</v>
      </c>
      <c r="D234" s="467"/>
      <c r="E234" s="374"/>
      <c r="F234" s="367"/>
      <c r="G234" s="375"/>
      <c r="H234" s="513"/>
      <c r="I234" s="375"/>
      <c r="J234" s="34"/>
      <c r="K234" s="24">
        <v>1</v>
      </c>
      <c r="L234" s="3"/>
      <c r="M234" s="3"/>
      <c r="N234" s="3"/>
      <c r="O234" s="3"/>
      <c r="P234" s="3"/>
      <c r="Q234" s="3"/>
      <c r="R234" s="3"/>
      <c r="S234" s="3"/>
      <c r="T234" s="3"/>
      <c r="U234" s="3"/>
      <c r="V234" s="3"/>
      <c r="W234" s="3"/>
      <c r="X234" s="3"/>
      <c r="Y234" s="3"/>
      <c r="Z234" s="3"/>
      <c r="AA234" s="3"/>
    </row>
    <row r="235" spans="1:27" ht="14.25" customHeight="1" thickBot="1">
      <c r="A235" s="475" t="s">
        <v>53</v>
      </c>
      <c r="B235" s="476"/>
      <c r="C235" s="224" t="s">
        <v>964</v>
      </c>
      <c r="D235" s="467"/>
      <c r="E235" s="366">
        <f>K235</f>
        <v>1</v>
      </c>
      <c r="F235" s="367" t="s">
        <v>115</v>
      </c>
      <c r="G235" s="368"/>
      <c r="H235" s="513"/>
      <c r="I235" s="375"/>
      <c r="J235" s="34"/>
      <c r="K235" s="22">
        <v>1</v>
      </c>
      <c r="L235" s="3"/>
      <c r="M235" s="3"/>
      <c r="N235" s="3"/>
      <c r="O235" s="3"/>
      <c r="P235" s="3"/>
      <c r="Q235" s="3"/>
      <c r="R235" s="3"/>
      <c r="S235" s="3"/>
      <c r="T235" s="3"/>
      <c r="U235" s="3"/>
      <c r="V235" s="3"/>
      <c r="W235" s="3"/>
      <c r="X235" s="3"/>
      <c r="Y235" s="3"/>
      <c r="Z235" s="3"/>
      <c r="AA235" s="3"/>
    </row>
    <row r="236" spans="1:27" ht="14.25" customHeight="1" thickBot="1">
      <c r="A236" s="475" t="s">
        <v>54</v>
      </c>
      <c r="B236" s="369"/>
      <c r="C236" s="224" t="s">
        <v>965</v>
      </c>
      <c r="D236" s="467"/>
      <c r="E236" s="377"/>
      <c r="F236" s="378"/>
      <c r="G236" s="368"/>
      <c r="H236" s="513"/>
      <c r="I236" s="375"/>
      <c r="J236" s="31"/>
      <c r="K236" s="22">
        <v>6</v>
      </c>
      <c r="L236" s="1"/>
      <c r="M236" s="1"/>
      <c r="N236" s="1"/>
      <c r="O236" s="1"/>
      <c r="P236" s="1"/>
      <c r="Q236" s="1"/>
      <c r="R236" s="1"/>
      <c r="S236" s="1"/>
      <c r="T236" s="1"/>
      <c r="U236" s="1"/>
      <c r="V236" s="1"/>
      <c r="W236" s="1"/>
      <c r="X236" s="1"/>
      <c r="Y236" s="1"/>
      <c r="Z236" s="1"/>
      <c r="AA236" s="1"/>
    </row>
    <row r="237" spans="1:27" s="379" customFormat="1" ht="27.6" customHeight="1">
      <c r="A237" s="475"/>
      <c r="B237" s="369"/>
      <c r="C237" s="389"/>
      <c r="D237" s="467"/>
      <c r="E237" s="377"/>
      <c r="F237" s="378"/>
      <c r="G237" s="421" t="s">
        <v>1244</v>
      </c>
      <c r="H237" s="513"/>
      <c r="I237" s="375"/>
      <c r="J237" s="31"/>
      <c r="K237" s="22"/>
      <c r="L237" s="1"/>
      <c r="M237" s="1"/>
      <c r="N237" s="1"/>
      <c r="O237" s="1"/>
      <c r="P237" s="1"/>
      <c r="Q237" s="1"/>
      <c r="R237" s="1"/>
      <c r="S237" s="1"/>
      <c r="T237" s="1"/>
      <c r="U237" s="1"/>
      <c r="V237" s="1"/>
      <c r="W237" s="1"/>
      <c r="X237" s="1"/>
      <c r="Y237" s="1"/>
      <c r="Z237" s="1"/>
      <c r="AA237" s="1"/>
    </row>
    <row r="238" spans="1:27" s="379" customFormat="1" ht="14.25" customHeight="1">
      <c r="A238" s="475"/>
      <c r="B238" s="369"/>
      <c r="C238" s="578" t="s">
        <v>1198</v>
      </c>
      <c r="D238" s="467"/>
      <c r="E238" s="377"/>
      <c r="F238" s="378"/>
      <c r="G238" s="368"/>
      <c r="H238" s="513"/>
      <c r="I238" s="375"/>
      <c r="J238" s="31"/>
      <c r="K238" s="22"/>
      <c r="L238" s="1"/>
      <c r="M238" s="1"/>
      <c r="N238" s="1"/>
      <c r="O238" s="1"/>
      <c r="P238" s="1"/>
      <c r="Q238" s="1"/>
      <c r="R238" s="1"/>
      <c r="S238" s="1"/>
      <c r="T238" s="1"/>
      <c r="U238" s="1"/>
      <c r="V238" s="1"/>
      <c r="W238" s="1"/>
      <c r="X238" s="1"/>
      <c r="Y238" s="1"/>
      <c r="Z238" s="1"/>
      <c r="AA238" s="1"/>
    </row>
    <row r="239" spans="1:27" s="379" customFormat="1" ht="14.25" customHeight="1">
      <c r="A239" s="475" t="s">
        <v>22</v>
      </c>
      <c r="B239" s="369"/>
      <c r="C239" s="389" t="s">
        <v>1199</v>
      </c>
      <c r="D239" s="467"/>
      <c r="E239" s="390">
        <v>3</v>
      </c>
      <c r="F239" s="378"/>
      <c r="G239" s="421"/>
      <c r="H239" s="513"/>
      <c r="I239" s="375"/>
      <c r="J239" s="31"/>
      <c r="K239" s="22"/>
      <c r="L239" s="1"/>
      <c r="M239" s="1"/>
      <c r="N239" s="1"/>
      <c r="O239" s="1"/>
      <c r="P239" s="1"/>
      <c r="Q239" s="1"/>
      <c r="R239" s="1"/>
      <c r="S239" s="1"/>
      <c r="T239" s="1"/>
      <c r="U239" s="1"/>
      <c r="V239" s="1"/>
      <c r="W239" s="1"/>
      <c r="X239" s="1"/>
      <c r="Y239" s="1"/>
      <c r="Z239" s="1"/>
      <c r="AA239" s="1"/>
    </row>
    <row r="240" spans="1:27" s="379" customFormat="1" ht="14.25" customHeight="1">
      <c r="A240" s="475" t="s">
        <v>25</v>
      </c>
      <c r="B240" s="369"/>
      <c r="C240" s="389" t="s">
        <v>1200</v>
      </c>
      <c r="D240" s="467"/>
      <c r="E240" s="390">
        <v>3</v>
      </c>
      <c r="F240" s="378"/>
      <c r="G240" s="368"/>
      <c r="H240" s="513"/>
      <c r="I240" s="375"/>
      <c r="J240" s="31"/>
      <c r="K240" s="22"/>
      <c r="L240" s="1"/>
      <c r="M240" s="1"/>
      <c r="N240" s="1"/>
      <c r="O240" s="1"/>
      <c r="P240" s="1"/>
      <c r="Q240" s="1"/>
      <c r="R240" s="1"/>
      <c r="S240" s="1"/>
      <c r="T240" s="1"/>
      <c r="U240" s="1"/>
      <c r="V240" s="1"/>
      <c r="W240" s="1"/>
      <c r="X240" s="1"/>
      <c r="Y240" s="1"/>
      <c r="Z240" s="1"/>
      <c r="AA240" s="1"/>
    </row>
    <row r="241" spans="1:27" s="379" customFormat="1" ht="14.25" customHeight="1">
      <c r="A241" s="475" t="s">
        <v>28</v>
      </c>
      <c r="B241" s="369"/>
      <c r="C241" s="389" t="s">
        <v>1201</v>
      </c>
      <c r="D241" s="467"/>
      <c r="E241" s="390">
        <v>3</v>
      </c>
      <c r="F241" s="378"/>
      <c r="G241" s="368"/>
      <c r="H241" s="513"/>
      <c r="I241" s="375"/>
      <c r="J241" s="31"/>
      <c r="K241" s="22"/>
      <c r="L241" s="1"/>
      <c r="M241" s="1"/>
      <c r="N241" s="1"/>
      <c r="O241" s="1"/>
      <c r="P241" s="1"/>
      <c r="Q241" s="1"/>
      <c r="R241" s="1"/>
      <c r="S241" s="1"/>
      <c r="T241" s="1"/>
      <c r="U241" s="1"/>
      <c r="V241" s="1"/>
      <c r="W241" s="1"/>
      <c r="X241" s="1"/>
      <c r="Y241" s="1"/>
      <c r="Z241" s="1"/>
      <c r="AA241" s="1"/>
    </row>
    <row r="242" spans="1:27" s="379" customFormat="1" ht="14.25" customHeight="1">
      <c r="A242" s="475" t="s">
        <v>31</v>
      </c>
      <c r="B242" s="369"/>
      <c r="C242" s="389" t="s">
        <v>1202</v>
      </c>
      <c r="D242" s="467"/>
      <c r="E242" s="390">
        <v>3</v>
      </c>
      <c r="F242" s="378"/>
      <c r="G242" s="368"/>
      <c r="H242" s="513"/>
      <c r="I242" s="375"/>
      <c r="J242" s="31"/>
      <c r="K242" s="22"/>
      <c r="L242" s="1"/>
      <c r="M242" s="1"/>
      <c r="N242" s="1"/>
      <c r="O242" s="1"/>
      <c r="P242" s="1"/>
      <c r="Q242" s="1"/>
      <c r="R242" s="1"/>
      <c r="S242" s="1"/>
      <c r="T242" s="1"/>
      <c r="U242" s="1"/>
      <c r="V242" s="1"/>
      <c r="W242" s="1"/>
      <c r="X242" s="1"/>
      <c r="Y242" s="1"/>
      <c r="Z242" s="1"/>
      <c r="AA242" s="1"/>
    </row>
    <row r="243" spans="1:27" s="379" customFormat="1" ht="14.25" customHeight="1">
      <c r="A243" s="475" t="s">
        <v>32</v>
      </c>
      <c r="B243" s="369"/>
      <c r="C243" s="389" t="s">
        <v>1203</v>
      </c>
      <c r="D243" s="467"/>
      <c r="E243" s="390">
        <v>3</v>
      </c>
      <c r="F243" s="378"/>
      <c r="G243" s="368"/>
      <c r="H243" s="513"/>
      <c r="I243" s="375"/>
      <c r="J243" s="31"/>
      <c r="K243" s="22"/>
      <c r="L243" s="1"/>
      <c r="M243" s="1"/>
      <c r="N243" s="1"/>
      <c r="O243" s="1"/>
      <c r="P243" s="1"/>
      <c r="Q243" s="1"/>
      <c r="R243" s="1"/>
      <c r="S243" s="1"/>
      <c r="T243" s="1"/>
      <c r="U243" s="1"/>
      <c r="V243" s="1"/>
      <c r="W243" s="1"/>
      <c r="X243" s="1"/>
      <c r="Y243" s="1"/>
      <c r="Z243" s="1"/>
      <c r="AA243" s="1"/>
    </row>
    <row r="244" spans="1:27" s="379" customFormat="1" ht="14.25" customHeight="1">
      <c r="A244" s="475" t="s">
        <v>33</v>
      </c>
      <c r="B244" s="369"/>
      <c r="C244" s="389" t="s">
        <v>1204</v>
      </c>
      <c r="D244" s="467"/>
      <c r="E244" s="390">
        <v>3</v>
      </c>
      <c r="F244" s="378"/>
      <c r="G244" s="368"/>
      <c r="H244" s="513"/>
      <c r="I244" s="375"/>
      <c r="J244" s="31"/>
      <c r="K244" s="22"/>
      <c r="L244" s="1"/>
      <c r="M244" s="1"/>
      <c r="N244" s="1"/>
      <c r="O244" s="1"/>
      <c r="P244" s="1"/>
      <c r="Q244" s="1"/>
      <c r="R244" s="1"/>
      <c r="S244" s="1"/>
      <c r="T244" s="1"/>
      <c r="U244" s="1"/>
      <c r="V244" s="1"/>
      <c r="W244" s="1"/>
      <c r="X244" s="1"/>
      <c r="Y244" s="1"/>
      <c r="Z244" s="1"/>
      <c r="AA244" s="1"/>
    </row>
    <row r="245" spans="1:27" s="379" customFormat="1" ht="14.25" customHeight="1">
      <c r="A245" s="475" t="s">
        <v>53</v>
      </c>
      <c r="B245" s="369"/>
      <c r="C245" s="389" t="s">
        <v>1205</v>
      </c>
      <c r="D245" s="467"/>
      <c r="E245" s="390">
        <v>3</v>
      </c>
      <c r="F245" s="378"/>
      <c r="G245" s="368"/>
      <c r="H245" s="513"/>
      <c r="I245" s="375"/>
      <c r="J245" s="31"/>
      <c r="K245" s="22"/>
      <c r="L245" s="1"/>
      <c r="M245" s="1"/>
      <c r="N245" s="1"/>
      <c r="O245" s="1"/>
      <c r="P245" s="1"/>
      <c r="Q245" s="1"/>
      <c r="R245" s="1"/>
      <c r="S245" s="1"/>
      <c r="T245" s="1"/>
      <c r="U245" s="1"/>
      <c r="V245" s="1"/>
      <c r="W245" s="1"/>
      <c r="X245" s="1"/>
      <c r="Y245" s="1"/>
      <c r="Z245" s="1"/>
      <c r="AA245" s="1"/>
    </row>
    <row r="246" spans="1:27" s="379" customFormat="1" ht="14.25" customHeight="1">
      <c r="A246" s="475" t="s">
        <v>54</v>
      </c>
      <c r="B246" s="369"/>
      <c r="C246" s="389" t="s">
        <v>1206</v>
      </c>
      <c r="D246" s="467"/>
      <c r="E246" s="390">
        <v>3</v>
      </c>
      <c r="F246" s="378"/>
      <c r="G246" s="368"/>
      <c r="H246" s="513"/>
      <c r="I246" s="375"/>
      <c r="J246" s="31"/>
      <c r="K246" s="22"/>
      <c r="L246" s="1"/>
      <c r="M246" s="1"/>
      <c r="N246" s="1"/>
      <c r="O246" s="1"/>
      <c r="P246" s="1"/>
      <c r="Q246" s="1"/>
      <c r="R246" s="1"/>
      <c r="S246" s="1"/>
      <c r="T246" s="1"/>
      <c r="U246" s="1"/>
      <c r="V246" s="1"/>
      <c r="W246" s="1"/>
      <c r="X246" s="1"/>
      <c r="Y246" s="1"/>
      <c r="Z246" s="1"/>
      <c r="AA246" s="1"/>
    </row>
    <row r="247" spans="1:27" s="379" customFormat="1" ht="14.25" customHeight="1">
      <c r="A247" s="475" t="s">
        <v>116</v>
      </c>
      <c r="B247" s="369"/>
      <c r="C247" s="389" t="s">
        <v>1207</v>
      </c>
      <c r="D247" s="467"/>
      <c r="E247" s="390">
        <v>3</v>
      </c>
      <c r="F247" s="378"/>
      <c r="G247" s="368"/>
      <c r="H247" s="513"/>
      <c r="I247" s="375"/>
      <c r="J247" s="31"/>
      <c r="K247" s="22"/>
      <c r="L247" s="1"/>
      <c r="M247" s="1"/>
      <c r="N247" s="1"/>
      <c r="O247" s="1"/>
      <c r="P247" s="1"/>
      <c r="Q247" s="1"/>
      <c r="R247" s="1"/>
      <c r="S247" s="1"/>
      <c r="T247" s="1"/>
      <c r="U247" s="1"/>
      <c r="V247" s="1"/>
      <c r="W247" s="1"/>
      <c r="X247" s="1"/>
      <c r="Y247" s="1"/>
      <c r="Z247" s="1"/>
      <c r="AA247" s="1"/>
    </row>
    <row r="248" spans="1:27" s="379" customFormat="1" ht="14.25" customHeight="1">
      <c r="A248" s="475" t="s">
        <v>55</v>
      </c>
      <c r="B248" s="369"/>
      <c r="C248" s="389" t="s">
        <v>1208</v>
      </c>
      <c r="D248" s="467"/>
      <c r="E248" s="390">
        <v>3</v>
      </c>
      <c r="F248" s="378"/>
      <c r="G248" s="368"/>
      <c r="H248" s="513"/>
      <c r="I248" s="375"/>
      <c r="J248" s="31"/>
      <c r="K248" s="22"/>
      <c r="L248" s="1"/>
      <c r="M248" s="1"/>
      <c r="N248" s="1"/>
      <c r="O248" s="1"/>
      <c r="P248" s="1"/>
      <c r="Q248" s="1"/>
      <c r="R248" s="1"/>
      <c r="S248" s="1"/>
      <c r="T248" s="1"/>
      <c r="U248" s="1"/>
      <c r="V248" s="1"/>
      <c r="W248" s="1"/>
      <c r="X248" s="1"/>
      <c r="Y248" s="1"/>
      <c r="Z248" s="1"/>
      <c r="AA248" s="1"/>
    </row>
    <row r="249" spans="1:27" s="379" customFormat="1" ht="14.25" customHeight="1">
      <c r="A249" s="475" t="s">
        <v>56</v>
      </c>
      <c r="B249" s="369"/>
      <c r="C249" s="389" t="s">
        <v>1209</v>
      </c>
      <c r="D249" s="467"/>
      <c r="E249" s="390">
        <v>3</v>
      </c>
      <c r="F249" s="378"/>
      <c r="G249" s="368"/>
      <c r="H249" s="513"/>
      <c r="I249" s="375"/>
      <c r="J249" s="31"/>
      <c r="K249" s="22"/>
      <c r="L249" s="1"/>
      <c r="M249" s="1"/>
      <c r="N249" s="1"/>
      <c r="O249" s="1"/>
      <c r="P249" s="1"/>
      <c r="Q249" s="1"/>
      <c r="R249" s="1"/>
      <c r="S249" s="1"/>
      <c r="T249" s="1"/>
      <c r="U249" s="1"/>
      <c r="V249" s="1"/>
      <c r="W249" s="1"/>
      <c r="X249" s="1"/>
      <c r="Y249" s="1"/>
      <c r="Z249" s="1"/>
      <c r="AA249" s="1"/>
    </row>
    <row r="250" spans="1:27" s="379" customFormat="1" ht="14.25" customHeight="1">
      <c r="A250" s="475" t="s">
        <v>57</v>
      </c>
      <c r="B250" s="369"/>
      <c r="C250" s="389" t="s">
        <v>1210</v>
      </c>
      <c r="D250" s="467"/>
      <c r="E250" s="390">
        <v>3</v>
      </c>
      <c r="F250" s="378"/>
      <c r="G250" s="368"/>
      <c r="H250" s="513"/>
      <c r="I250" s="375"/>
      <c r="J250" s="31"/>
      <c r="K250" s="22"/>
      <c r="L250" s="1"/>
      <c r="M250" s="1"/>
      <c r="N250" s="1"/>
      <c r="O250" s="1"/>
      <c r="P250" s="1"/>
      <c r="Q250" s="1"/>
      <c r="R250" s="1"/>
      <c r="S250" s="1"/>
      <c r="T250" s="1"/>
      <c r="U250" s="1"/>
      <c r="V250" s="1"/>
      <c r="W250" s="1"/>
      <c r="X250" s="1"/>
      <c r="Y250" s="1"/>
      <c r="Z250" s="1"/>
      <c r="AA250" s="1"/>
    </row>
    <row r="251" spans="1:27" s="379" customFormat="1" ht="14.25" customHeight="1">
      <c r="A251" s="475" t="s">
        <v>58</v>
      </c>
      <c r="B251" s="369"/>
      <c r="C251" s="389" t="s">
        <v>1211</v>
      </c>
      <c r="D251" s="467"/>
      <c r="E251" s="390">
        <v>3</v>
      </c>
      <c r="F251" s="378"/>
      <c r="G251" s="368"/>
      <c r="H251" s="513"/>
      <c r="I251" s="375"/>
      <c r="J251" s="31"/>
      <c r="K251" s="22"/>
      <c r="L251" s="1"/>
      <c r="M251" s="1"/>
      <c r="N251" s="1"/>
      <c r="O251" s="1"/>
      <c r="P251" s="1"/>
      <c r="Q251" s="1"/>
      <c r="R251" s="1"/>
      <c r="S251" s="1"/>
      <c r="T251" s="1"/>
      <c r="U251" s="1"/>
      <c r="V251" s="1"/>
      <c r="W251" s="1"/>
      <c r="X251" s="1"/>
      <c r="Y251" s="1"/>
      <c r="Z251" s="1"/>
      <c r="AA251" s="1"/>
    </row>
    <row r="252" spans="1:27" s="379" customFormat="1" ht="14.25" customHeight="1">
      <c r="A252" s="475" t="s">
        <v>83</v>
      </c>
      <c r="B252" s="369"/>
      <c r="C252" s="389" t="s">
        <v>1212</v>
      </c>
      <c r="D252" s="467"/>
      <c r="E252" s="390">
        <v>3</v>
      </c>
      <c r="F252" s="378"/>
      <c r="G252" s="368"/>
      <c r="H252" s="513"/>
      <c r="I252" s="375"/>
      <c r="J252" s="31"/>
      <c r="K252" s="22"/>
      <c r="L252" s="1"/>
      <c r="M252" s="1"/>
      <c r="N252" s="1"/>
      <c r="O252" s="1"/>
      <c r="P252" s="1"/>
      <c r="Q252" s="1"/>
      <c r="R252" s="1"/>
      <c r="S252" s="1"/>
      <c r="T252" s="1"/>
      <c r="U252" s="1"/>
      <c r="V252" s="1"/>
      <c r="W252" s="1"/>
      <c r="X252" s="1"/>
      <c r="Y252" s="1"/>
      <c r="Z252" s="1"/>
      <c r="AA252" s="1"/>
    </row>
    <row r="253" spans="1:27" s="379" customFormat="1" ht="14.25" customHeight="1">
      <c r="A253" s="475" t="s">
        <v>117</v>
      </c>
      <c r="B253" s="369"/>
      <c r="C253" s="389" t="s">
        <v>1213</v>
      </c>
      <c r="D253" s="467"/>
      <c r="E253" s="390">
        <v>3</v>
      </c>
      <c r="F253" s="378"/>
      <c r="G253" s="368"/>
      <c r="H253" s="513"/>
      <c r="I253" s="375"/>
      <c r="J253" s="31"/>
      <c r="K253" s="22"/>
      <c r="L253" s="1"/>
      <c r="M253" s="1"/>
      <c r="N253" s="1"/>
      <c r="O253" s="1"/>
      <c r="P253" s="1"/>
      <c r="Q253" s="1"/>
      <c r="R253" s="1"/>
      <c r="S253" s="1"/>
      <c r="T253" s="1"/>
      <c r="U253" s="1"/>
      <c r="V253" s="1"/>
      <c r="W253" s="1"/>
      <c r="X253" s="1"/>
      <c r="Y253" s="1"/>
      <c r="Z253" s="1"/>
      <c r="AA253" s="1"/>
    </row>
    <row r="254" spans="1:27" s="379" customFormat="1" ht="14.25" customHeight="1">
      <c r="A254" s="475" t="s">
        <v>85</v>
      </c>
      <c r="B254" s="369"/>
      <c r="C254" s="389" t="s">
        <v>1214</v>
      </c>
      <c r="D254" s="467"/>
      <c r="E254" s="390">
        <v>3</v>
      </c>
      <c r="F254" s="378"/>
      <c r="G254" s="368"/>
      <c r="H254" s="513"/>
      <c r="I254" s="375"/>
      <c r="J254" s="31"/>
      <c r="K254" s="22"/>
      <c r="L254" s="1"/>
      <c r="M254" s="1"/>
      <c r="N254" s="1"/>
      <c r="O254" s="1"/>
      <c r="P254" s="1"/>
      <c r="Q254" s="1"/>
      <c r="R254" s="1"/>
      <c r="S254" s="1"/>
      <c r="T254" s="1"/>
      <c r="U254" s="1"/>
      <c r="V254" s="1"/>
      <c r="W254" s="1"/>
      <c r="X254" s="1"/>
      <c r="Y254" s="1"/>
      <c r="Z254" s="1"/>
      <c r="AA254" s="1"/>
    </row>
    <row r="255" spans="1:27" s="379" customFormat="1" ht="14.25" customHeight="1">
      <c r="A255" s="475" t="s">
        <v>87</v>
      </c>
      <c r="B255" s="369"/>
      <c r="C255" s="389" t="s">
        <v>1215</v>
      </c>
      <c r="D255" s="467"/>
      <c r="E255" s="390">
        <v>3</v>
      </c>
      <c r="F255" s="378"/>
      <c r="G255" s="368"/>
      <c r="H255" s="513"/>
      <c r="I255" s="375"/>
      <c r="J255" s="31"/>
      <c r="K255" s="22"/>
      <c r="L255" s="1"/>
      <c r="M255" s="1"/>
      <c r="N255" s="1"/>
      <c r="O255" s="1"/>
      <c r="P255" s="1"/>
      <c r="Q255" s="1"/>
      <c r="R255" s="1"/>
      <c r="S255" s="1"/>
      <c r="T255" s="1"/>
      <c r="U255" s="1"/>
      <c r="V255" s="1"/>
      <c r="W255" s="1"/>
      <c r="X255" s="1"/>
      <c r="Y255" s="1"/>
      <c r="Z255" s="1"/>
      <c r="AA255" s="1"/>
    </row>
    <row r="256" spans="1:27" s="379" customFormat="1" ht="14.25" customHeight="1">
      <c r="A256" s="475" t="s">
        <v>118</v>
      </c>
      <c r="B256" s="369"/>
      <c r="C256" s="389" t="s">
        <v>1220</v>
      </c>
      <c r="D256" s="467"/>
      <c r="E256" s="390">
        <v>3</v>
      </c>
      <c r="F256" s="378"/>
      <c r="G256" s="368"/>
      <c r="H256" s="513"/>
      <c r="I256" s="375"/>
      <c r="J256" s="31"/>
      <c r="K256" s="22"/>
      <c r="L256" s="1"/>
      <c r="M256" s="1"/>
      <c r="N256" s="1"/>
      <c r="O256" s="1"/>
      <c r="P256" s="1"/>
      <c r="Q256" s="1"/>
      <c r="R256" s="1"/>
      <c r="S256" s="1"/>
      <c r="T256" s="1"/>
      <c r="U256" s="1"/>
      <c r="V256" s="1"/>
      <c r="W256" s="1"/>
      <c r="X256" s="1"/>
      <c r="Y256" s="1"/>
      <c r="Z256" s="1"/>
      <c r="AA256" s="1"/>
    </row>
    <row r="257" spans="1:27" s="379" customFormat="1" ht="14.25" customHeight="1">
      <c r="A257" s="475" t="s">
        <v>119</v>
      </c>
      <c r="B257" s="369"/>
      <c r="C257" s="389" t="s">
        <v>1219</v>
      </c>
      <c r="D257" s="467"/>
      <c r="E257" s="390">
        <v>3</v>
      </c>
      <c r="F257" s="378"/>
      <c r="G257" s="368"/>
      <c r="H257" s="513"/>
      <c r="I257" s="375"/>
      <c r="J257" s="31"/>
      <c r="K257" s="22"/>
      <c r="L257" s="1"/>
      <c r="M257" s="1"/>
      <c r="N257" s="1"/>
      <c r="O257" s="1"/>
      <c r="P257" s="1"/>
      <c r="Q257" s="1"/>
      <c r="R257" s="1"/>
      <c r="S257" s="1"/>
      <c r="T257" s="1"/>
      <c r="U257" s="1"/>
      <c r="V257" s="1"/>
      <c r="W257" s="1"/>
      <c r="X257" s="1"/>
      <c r="Y257" s="1"/>
      <c r="Z257" s="1"/>
      <c r="AA257" s="1"/>
    </row>
    <row r="258" spans="1:27" s="379" customFormat="1" ht="14.25" customHeight="1">
      <c r="A258" s="475" t="s">
        <v>120</v>
      </c>
      <c r="B258" s="369"/>
      <c r="C258" s="389" t="s">
        <v>1218</v>
      </c>
      <c r="D258" s="467"/>
      <c r="E258" s="390">
        <v>3</v>
      </c>
      <c r="F258" s="378"/>
      <c r="G258" s="368"/>
      <c r="H258" s="513"/>
      <c r="I258" s="375"/>
      <c r="J258" s="31"/>
      <c r="K258" s="22"/>
      <c r="L258" s="1"/>
      <c r="M258" s="1"/>
      <c r="N258" s="1"/>
      <c r="O258" s="1"/>
      <c r="P258" s="1"/>
      <c r="Q258" s="1"/>
      <c r="R258" s="1"/>
      <c r="S258" s="1"/>
      <c r="T258" s="1"/>
      <c r="U258" s="1"/>
      <c r="V258" s="1"/>
      <c r="W258" s="1"/>
      <c r="X258" s="1"/>
      <c r="Y258" s="1"/>
      <c r="Z258" s="1"/>
      <c r="AA258" s="1"/>
    </row>
    <row r="259" spans="1:27" s="379" customFormat="1" ht="14.25" customHeight="1">
      <c r="A259" s="475" t="s">
        <v>1221</v>
      </c>
      <c r="B259" s="369"/>
      <c r="C259" s="389" t="s">
        <v>1217</v>
      </c>
      <c r="D259" s="467"/>
      <c r="E259" s="390">
        <v>3</v>
      </c>
      <c r="F259" s="378"/>
      <c r="G259" s="368"/>
      <c r="H259" s="513"/>
      <c r="I259" s="375"/>
      <c r="J259" s="31"/>
      <c r="K259" s="22"/>
      <c r="L259" s="1"/>
      <c r="M259" s="1"/>
      <c r="N259" s="1"/>
      <c r="O259" s="1"/>
      <c r="P259" s="1"/>
      <c r="Q259" s="1"/>
      <c r="R259" s="1"/>
      <c r="S259" s="1"/>
      <c r="T259" s="1"/>
      <c r="U259" s="1"/>
      <c r="V259" s="1"/>
      <c r="W259" s="1"/>
      <c r="X259" s="1"/>
      <c r="Y259" s="1"/>
      <c r="Z259" s="1"/>
      <c r="AA259" s="1"/>
    </row>
    <row r="260" spans="1:27" s="379" customFormat="1" ht="14.25" customHeight="1">
      <c r="A260" s="475" t="s">
        <v>1222</v>
      </c>
      <c r="B260" s="369"/>
      <c r="C260" s="389" t="s">
        <v>1216</v>
      </c>
      <c r="D260" s="467"/>
      <c r="E260" s="390">
        <v>3</v>
      </c>
      <c r="F260" s="378"/>
      <c r="G260" s="368"/>
      <c r="H260" s="513"/>
      <c r="I260" s="375"/>
      <c r="J260" s="31"/>
      <c r="K260" s="22"/>
      <c r="L260" s="1"/>
      <c r="M260" s="1"/>
      <c r="N260" s="1"/>
      <c r="O260" s="1"/>
      <c r="P260" s="1"/>
      <c r="Q260" s="1"/>
      <c r="R260" s="1"/>
      <c r="S260" s="1"/>
      <c r="T260" s="1"/>
      <c r="U260" s="1"/>
      <c r="V260" s="1"/>
      <c r="W260" s="1"/>
      <c r="X260" s="1"/>
      <c r="Y260" s="1"/>
      <c r="Z260" s="1"/>
      <c r="AA260" s="1"/>
    </row>
    <row r="261" spans="1:27" ht="14.25" customHeight="1">
      <c r="A261" s="465"/>
      <c r="B261" s="369"/>
      <c r="C261" s="474"/>
      <c r="D261" s="467"/>
      <c r="E261" s="377"/>
      <c r="F261" s="378"/>
      <c r="G261" s="368"/>
      <c r="H261" s="513"/>
      <c r="I261" s="375"/>
      <c r="J261" s="34"/>
      <c r="K261" s="24"/>
      <c r="L261" s="3"/>
      <c r="M261" s="3"/>
      <c r="N261" s="3"/>
      <c r="O261" s="3"/>
      <c r="P261" s="3"/>
      <c r="Q261" s="3"/>
      <c r="R261" s="3"/>
      <c r="S261" s="3"/>
      <c r="T261" s="3"/>
      <c r="U261" s="3"/>
      <c r="V261" s="3"/>
      <c r="W261" s="3"/>
      <c r="X261" s="3"/>
      <c r="Y261" s="3"/>
      <c r="Z261" s="3"/>
      <c r="AA261" s="3"/>
    </row>
    <row r="262" spans="1:27" ht="14.25" customHeight="1">
      <c r="A262" s="520"/>
      <c r="B262" s="16"/>
      <c r="C262" s="771" t="s">
        <v>35</v>
      </c>
      <c r="D262" s="29"/>
      <c r="E262" s="30"/>
      <c r="F262" s="417"/>
      <c r="G262" s="772" t="s">
        <v>36</v>
      </c>
      <c r="H262" s="521"/>
      <c r="I262" s="382"/>
      <c r="J262" s="34"/>
      <c r="K262" s="24"/>
      <c r="L262" s="3"/>
      <c r="M262" s="3"/>
      <c r="N262" s="3"/>
      <c r="O262" s="3"/>
      <c r="P262" s="3"/>
      <c r="Q262" s="3"/>
      <c r="R262" s="3"/>
      <c r="S262" s="3"/>
      <c r="T262" s="3"/>
      <c r="U262" s="3"/>
      <c r="V262" s="3"/>
      <c r="W262" s="3"/>
      <c r="X262" s="3"/>
      <c r="Y262" s="3"/>
      <c r="Z262" s="3"/>
      <c r="AA262" s="3"/>
    </row>
    <row r="263" spans="1:27" ht="14.25" customHeight="1">
      <c r="A263" s="573"/>
      <c r="B263" s="534"/>
      <c r="C263" s="774"/>
      <c r="D263" s="559"/>
      <c r="E263" s="560"/>
      <c r="F263" s="561"/>
      <c r="G263" s="775"/>
      <c r="H263" s="574">
        <f>SUM(H229:H262)</f>
        <v>0</v>
      </c>
      <c r="I263" s="383"/>
      <c r="J263" s="34"/>
      <c r="K263" s="24"/>
      <c r="L263" s="3"/>
      <c r="M263" s="3"/>
      <c r="N263" s="3"/>
      <c r="O263" s="3"/>
      <c r="P263" s="3"/>
      <c r="Q263" s="3"/>
      <c r="R263" s="3"/>
      <c r="S263" s="3"/>
      <c r="T263" s="3"/>
      <c r="U263" s="3"/>
      <c r="V263" s="3"/>
      <c r="W263" s="3"/>
      <c r="X263" s="3"/>
      <c r="Y263" s="3"/>
      <c r="Z263" s="3"/>
      <c r="AA263" s="3"/>
    </row>
    <row r="264" spans="1:27" ht="14.25" customHeight="1">
      <c r="A264" s="539"/>
      <c r="B264" s="540"/>
      <c r="C264" s="579"/>
      <c r="D264" s="565"/>
      <c r="E264" s="575"/>
      <c r="F264" s="543"/>
      <c r="G264" s="576"/>
      <c r="H264" s="545"/>
      <c r="I264" s="375"/>
      <c r="J264" s="34"/>
      <c r="K264" s="24"/>
      <c r="L264" s="3"/>
      <c r="M264" s="3"/>
      <c r="N264" s="3"/>
      <c r="O264" s="3"/>
      <c r="P264" s="3"/>
      <c r="Q264" s="3"/>
      <c r="R264" s="3"/>
      <c r="S264" s="3"/>
      <c r="T264" s="3"/>
      <c r="U264" s="3"/>
      <c r="V264" s="3"/>
      <c r="W264" s="3"/>
      <c r="X264" s="3"/>
      <c r="Y264" s="3"/>
      <c r="Z264" s="3"/>
      <c r="AA264" s="3"/>
    </row>
    <row r="265" spans="1:27" ht="14.25" customHeight="1">
      <c r="A265" s="475"/>
      <c r="B265" s="476"/>
      <c r="C265" s="466" t="s">
        <v>125</v>
      </c>
      <c r="D265" s="467"/>
      <c r="E265" s="374"/>
      <c r="F265" s="367"/>
      <c r="G265" s="375"/>
      <c r="H265" s="513"/>
      <c r="I265" s="375"/>
      <c r="J265" s="1"/>
      <c r="K265" s="22"/>
      <c r="L265" s="1"/>
      <c r="M265" s="1"/>
      <c r="N265" s="1"/>
      <c r="O265" s="1"/>
      <c r="P265" s="1"/>
      <c r="Q265" s="1"/>
      <c r="R265" s="1"/>
      <c r="S265" s="1"/>
      <c r="T265" s="1"/>
      <c r="U265" s="1"/>
      <c r="V265" s="1"/>
      <c r="W265" s="1"/>
      <c r="X265" s="1"/>
      <c r="Y265" s="1"/>
      <c r="Z265" s="1"/>
      <c r="AA265" s="1"/>
    </row>
    <row r="266" spans="1:27" ht="14.25" customHeight="1">
      <c r="A266" s="515"/>
      <c r="B266" s="476"/>
      <c r="C266" s="516"/>
      <c r="D266" s="467"/>
      <c r="E266" s="374"/>
      <c r="F266" s="367"/>
      <c r="G266" s="375"/>
      <c r="H266" s="513"/>
      <c r="I266" s="375"/>
      <c r="J266" s="1"/>
      <c r="K266" s="22"/>
      <c r="L266" s="1"/>
      <c r="M266" s="1"/>
      <c r="N266" s="1"/>
      <c r="O266" s="1"/>
      <c r="P266" s="1"/>
      <c r="Q266" s="1"/>
      <c r="R266" s="1"/>
      <c r="S266" s="1"/>
      <c r="T266" s="1"/>
      <c r="U266" s="1"/>
      <c r="V266" s="1"/>
      <c r="W266" s="1"/>
      <c r="X266" s="1"/>
      <c r="Y266" s="1"/>
      <c r="Z266" s="1"/>
      <c r="AA266" s="1"/>
    </row>
    <row r="267" spans="1:27" ht="14.25" customHeight="1">
      <c r="A267" s="515"/>
      <c r="B267" s="476"/>
      <c r="C267" s="466" t="s">
        <v>126</v>
      </c>
      <c r="D267" s="467"/>
      <c r="E267" s="519"/>
      <c r="F267" s="367"/>
      <c r="G267" s="375"/>
      <c r="H267" s="513"/>
      <c r="I267" s="375"/>
      <c r="J267" s="1"/>
      <c r="K267" s="22"/>
      <c r="L267" s="1"/>
      <c r="M267" s="1"/>
      <c r="N267" s="1"/>
      <c r="O267" s="1"/>
      <c r="P267" s="1"/>
      <c r="Q267" s="1"/>
      <c r="R267" s="1"/>
      <c r="S267" s="1"/>
      <c r="T267" s="1"/>
      <c r="U267" s="1"/>
      <c r="V267" s="1"/>
      <c r="W267" s="1"/>
      <c r="X267" s="1"/>
      <c r="Y267" s="1"/>
      <c r="Z267" s="1"/>
      <c r="AA267" s="1"/>
    </row>
    <row r="268" spans="1:27" ht="14.25" customHeight="1">
      <c r="A268" s="475"/>
      <c r="B268" s="476"/>
      <c r="C268" s="516"/>
      <c r="D268" s="467"/>
      <c r="E268" s="374"/>
      <c r="F268" s="367"/>
      <c r="G268" s="375"/>
      <c r="H268" s="513"/>
      <c r="I268" s="375"/>
      <c r="J268" s="1"/>
      <c r="K268" s="22"/>
      <c r="L268" s="1"/>
      <c r="M268" s="1"/>
      <c r="N268" s="1"/>
      <c r="O268" s="1"/>
      <c r="P268" s="1"/>
      <c r="Q268" s="1"/>
      <c r="R268" s="1"/>
      <c r="S268" s="1"/>
      <c r="T268" s="1"/>
      <c r="U268" s="1"/>
      <c r="V268" s="1"/>
      <c r="W268" s="1"/>
      <c r="X268" s="1"/>
      <c r="Y268" s="1"/>
      <c r="Z268" s="1"/>
      <c r="AA268" s="1"/>
    </row>
    <row r="269" spans="1:27" ht="14.25" customHeight="1">
      <c r="A269" s="475" t="s">
        <v>22</v>
      </c>
      <c r="B269" s="476"/>
      <c r="C269" s="474" t="s">
        <v>127</v>
      </c>
      <c r="D269" s="467"/>
      <c r="E269" s="366">
        <v>854</v>
      </c>
      <c r="F269" s="367" t="s">
        <v>24</v>
      </c>
      <c r="G269" s="368">
        <v>1.5</v>
      </c>
      <c r="H269" s="513">
        <f>+G269*E269</f>
        <v>1281</v>
      </c>
      <c r="I269" s="375"/>
      <c r="J269" s="1"/>
      <c r="K269" s="22">
        <v>560</v>
      </c>
      <c r="L269" s="1"/>
      <c r="M269" s="1"/>
      <c r="N269" s="1"/>
      <c r="O269" s="1"/>
      <c r="P269" s="1"/>
      <c r="Q269" s="1"/>
      <c r="R269" s="1"/>
      <c r="S269" s="1"/>
      <c r="T269" s="1"/>
      <c r="U269" s="1"/>
      <c r="V269" s="1"/>
      <c r="W269" s="1"/>
      <c r="X269" s="1"/>
      <c r="Y269" s="1"/>
      <c r="Z269" s="1"/>
      <c r="AA269" s="1"/>
    </row>
    <row r="270" spans="1:27" ht="14.25" customHeight="1">
      <c r="A270" s="515"/>
      <c r="B270" s="476"/>
      <c r="C270" s="516"/>
      <c r="D270" s="467"/>
      <c r="E270" s="374"/>
      <c r="F270" s="367"/>
      <c r="G270" s="375"/>
      <c r="H270" s="513"/>
      <c r="I270" s="375"/>
      <c r="J270" s="1"/>
      <c r="K270" s="22"/>
      <c r="L270" s="1"/>
      <c r="M270" s="1"/>
      <c r="N270" s="1"/>
      <c r="O270" s="1"/>
      <c r="P270" s="1"/>
      <c r="Q270" s="1"/>
      <c r="R270" s="1"/>
      <c r="S270" s="1"/>
      <c r="T270" s="1"/>
      <c r="U270" s="1"/>
      <c r="V270" s="1"/>
      <c r="W270" s="1"/>
      <c r="X270" s="1"/>
      <c r="Y270" s="1"/>
      <c r="Z270" s="1"/>
      <c r="AA270" s="1"/>
    </row>
    <row r="271" spans="1:27" ht="28.95" customHeight="1">
      <c r="A271" s="475"/>
      <c r="B271" s="476"/>
      <c r="C271" s="580"/>
      <c r="D271" s="467"/>
      <c r="E271" s="374"/>
      <c r="F271" s="367"/>
      <c r="G271" s="375"/>
      <c r="H271" s="513"/>
      <c r="I271" s="375"/>
      <c r="J271" s="1"/>
      <c r="K271" s="22"/>
      <c r="L271" s="1"/>
      <c r="M271" s="1"/>
      <c r="N271" s="1"/>
      <c r="O271" s="1"/>
      <c r="P271" s="1"/>
      <c r="Q271" s="1"/>
      <c r="R271" s="1"/>
      <c r="S271" s="1"/>
      <c r="T271" s="1"/>
      <c r="U271" s="1"/>
      <c r="V271" s="1"/>
      <c r="W271" s="1"/>
      <c r="X271" s="1"/>
      <c r="Y271" s="1"/>
      <c r="Z271" s="1"/>
      <c r="AA271" s="1"/>
    </row>
    <row r="272" spans="1:27" ht="14.25" customHeight="1">
      <c r="A272" s="483"/>
      <c r="B272" s="16"/>
      <c r="C272" s="771" t="s">
        <v>35</v>
      </c>
      <c r="D272" s="29"/>
      <c r="E272" s="30"/>
      <c r="F272" s="417"/>
      <c r="G272" s="772" t="s">
        <v>36</v>
      </c>
      <c r="H272" s="521"/>
      <c r="I272" s="382"/>
      <c r="J272" s="1"/>
      <c r="K272" s="22"/>
      <c r="L272" s="1"/>
      <c r="M272" s="1"/>
      <c r="N272" s="1"/>
      <c r="O272" s="1"/>
      <c r="P272" s="1"/>
      <c r="Q272" s="1"/>
      <c r="R272" s="1"/>
      <c r="S272" s="1"/>
      <c r="T272" s="1"/>
      <c r="U272" s="1"/>
      <c r="V272" s="1"/>
      <c r="W272" s="1"/>
      <c r="X272" s="1"/>
      <c r="Y272" s="1"/>
      <c r="Z272" s="1"/>
      <c r="AA272" s="1"/>
    </row>
    <row r="273" spans="1:27" ht="14.25" customHeight="1">
      <c r="A273" s="485" t="s">
        <v>13</v>
      </c>
      <c r="B273" s="486"/>
      <c r="C273" s="769"/>
      <c r="D273" s="487"/>
      <c r="E273" s="581"/>
      <c r="F273" s="506"/>
      <c r="G273" s="773"/>
      <c r="H273" s="582">
        <f>SUM(H269:H272)</f>
        <v>1281</v>
      </c>
      <c r="I273" s="383"/>
      <c r="J273" s="1"/>
      <c r="K273" s="22"/>
      <c r="L273" s="1"/>
      <c r="M273" s="1"/>
      <c r="N273" s="1"/>
      <c r="O273" s="1"/>
      <c r="P273" s="1"/>
      <c r="Q273" s="1"/>
      <c r="R273" s="1"/>
      <c r="S273" s="1"/>
      <c r="T273" s="1"/>
      <c r="U273" s="1"/>
      <c r="V273" s="1"/>
      <c r="W273" s="1"/>
      <c r="X273" s="1"/>
      <c r="Y273" s="1"/>
      <c r="Z273" s="1"/>
      <c r="AA273" s="1"/>
    </row>
    <row r="274" spans="1:27" ht="14.25" customHeight="1">
      <c r="A274" s="465"/>
      <c r="B274" s="369"/>
      <c r="C274" s="373"/>
      <c r="D274" s="371"/>
      <c r="E274" s="499"/>
      <c r="F274" s="25"/>
      <c r="G274" s="500"/>
      <c r="H274" s="513"/>
      <c r="I274" s="375"/>
      <c r="J274" s="1"/>
      <c r="K274" s="22"/>
      <c r="L274" s="1"/>
      <c r="M274" s="1"/>
      <c r="N274" s="1"/>
      <c r="O274" s="1"/>
      <c r="P274" s="1"/>
      <c r="Q274" s="1"/>
      <c r="R274" s="1"/>
      <c r="S274" s="1"/>
      <c r="T274" s="1"/>
      <c r="U274" s="1"/>
      <c r="V274" s="1"/>
      <c r="W274" s="1"/>
      <c r="X274" s="1"/>
      <c r="Y274" s="1"/>
      <c r="Z274" s="1"/>
      <c r="AA274" s="1"/>
    </row>
    <row r="275" spans="1:27" ht="14.25" customHeight="1">
      <c r="A275" s="465"/>
      <c r="B275" s="369"/>
      <c r="C275" s="514" t="s">
        <v>129</v>
      </c>
      <c r="D275" s="467"/>
      <c r="E275" s="377"/>
      <c r="F275" s="378"/>
      <c r="G275" s="368"/>
      <c r="H275" s="513"/>
      <c r="I275" s="375"/>
      <c r="J275" s="1"/>
      <c r="K275" s="22"/>
      <c r="L275" s="1"/>
      <c r="M275" s="1"/>
      <c r="N275" s="1"/>
      <c r="O275" s="1"/>
      <c r="P275" s="1"/>
      <c r="Q275" s="1"/>
      <c r="R275" s="1"/>
      <c r="S275" s="1"/>
      <c r="T275" s="1"/>
      <c r="U275" s="1"/>
      <c r="V275" s="1"/>
      <c r="W275" s="1"/>
      <c r="X275" s="1"/>
      <c r="Y275" s="1"/>
      <c r="Z275" s="1"/>
      <c r="AA275" s="1"/>
    </row>
    <row r="276" spans="1:27" ht="27.6" customHeight="1">
      <c r="A276" s="515"/>
      <c r="B276" s="476"/>
      <c r="C276" s="466" t="s">
        <v>128</v>
      </c>
      <c r="D276" s="467"/>
      <c r="E276" s="374"/>
      <c r="F276" s="367"/>
      <c r="G276" s="368"/>
      <c r="H276" s="513"/>
      <c r="I276" s="375"/>
      <c r="J276" s="1"/>
      <c r="K276" s="22"/>
      <c r="L276" s="1"/>
      <c r="M276" s="1"/>
      <c r="N276" s="1"/>
      <c r="O276" s="1"/>
      <c r="P276" s="1"/>
      <c r="Q276" s="1"/>
      <c r="R276" s="1"/>
      <c r="S276" s="1"/>
      <c r="T276" s="1"/>
      <c r="U276" s="1"/>
      <c r="V276" s="1"/>
      <c r="W276" s="1"/>
      <c r="X276" s="1"/>
      <c r="Y276" s="1"/>
      <c r="Z276" s="1"/>
      <c r="AA276" s="1"/>
    </row>
    <row r="277" spans="1:27" ht="14.25" customHeight="1">
      <c r="A277" s="475" t="s">
        <v>22</v>
      </c>
      <c r="B277" s="476"/>
      <c r="C277" s="474" t="str">
        <f>Finishesh!B274</f>
        <v>LIGHT WEIGHT CONCRETE FOR SLOPE</v>
      </c>
      <c r="D277" s="467"/>
      <c r="E277" s="366">
        <v>813</v>
      </c>
      <c r="F277" s="367" t="s">
        <v>24</v>
      </c>
      <c r="G277" s="368">
        <v>2</v>
      </c>
      <c r="H277" s="513">
        <f>+G277*E277</f>
        <v>1626</v>
      </c>
      <c r="I277" s="375"/>
      <c r="J277" s="1"/>
      <c r="K277" s="22">
        <v>813</v>
      </c>
      <c r="L277" s="1"/>
      <c r="M277" s="1"/>
      <c r="N277" s="1"/>
      <c r="O277" s="1"/>
      <c r="P277" s="1"/>
      <c r="Q277" s="1"/>
      <c r="R277" s="1"/>
      <c r="S277" s="1"/>
      <c r="T277" s="1"/>
      <c r="U277" s="1"/>
      <c r="V277" s="1"/>
      <c r="W277" s="1"/>
      <c r="X277" s="1"/>
      <c r="Y277" s="1"/>
      <c r="Z277" s="1"/>
      <c r="AA277" s="1"/>
    </row>
    <row r="278" spans="1:27" ht="14.25" customHeight="1">
      <c r="A278" s="475"/>
      <c r="B278" s="476"/>
      <c r="C278" s="474"/>
      <c r="D278" s="467"/>
      <c r="E278" s="374"/>
      <c r="F278" s="367"/>
      <c r="G278" s="518"/>
      <c r="H278" s="513"/>
      <c r="I278" s="375"/>
      <c r="J278" s="1"/>
      <c r="K278" s="22" t="s">
        <v>1167</v>
      </c>
      <c r="L278" s="1"/>
      <c r="M278" s="1"/>
      <c r="N278" s="1"/>
      <c r="O278" s="1"/>
      <c r="P278" s="1"/>
      <c r="Q278" s="1"/>
      <c r="R278" s="1"/>
      <c r="S278" s="1"/>
      <c r="T278" s="1"/>
      <c r="U278" s="1"/>
      <c r="V278" s="1"/>
      <c r="W278" s="1"/>
      <c r="X278" s="1"/>
      <c r="Y278" s="1"/>
      <c r="Z278" s="1"/>
      <c r="AA278" s="1"/>
    </row>
    <row r="279" spans="1:27" ht="14.25" customHeight="1">
      <c r="A279" s="475" t="s">
        <v>25</v>
      </c>
      <c r="B279" s="476"/>
      <c r="C279" s="474" t="str">
        <f>Finishesh!B277</f>
        <v>WATERPROOFING MEMBRANE 0.4cm.</v>
      </c>
      <c r="D279" s="467"/>
      <c r="E279" s="366">
        <v>813</v>
      </c>
      <c r="F279" s="367" t="s">
        <v>24</v>
      </c>
      <c r="G279" s="368">
        <v>1.6</v>
      </c>
      <c r="H279" s="513">
        <f>+G279*E279</f>
        <v>1300.8000000000002</v>
      </c>
      <c r="I279" s="375"/>
      <c r="J279" s="1"/>
      <c r="K279" s="22">
        <v>813</v>
      </c>
      <c r="L279" s="1"/>
      <c r="M279" s="1"/>
      <c r="N279" s="1"/>
      <c r="O279" s="1"/>
      <c r="P279" s="1"/>
      <c r="Q279" s="1"/>
      <c r="R279" s="1"/>
      <c r="S279" s="1"/>
      <c r="T279" s="1"/>
      <c r="U279" s="1"/>
      <c r="V279" s="1"/>
      <c r="W279" s="1"/>
      <c r="X279" s="1"/>
      <c r="Y279" s="1"/>
      <c r="Z279" s="1"/>
      <c r="AA279" s="1"/>
    </row>
    <row r="280" spans="1:27" ht="14.25" customHeight="1">
      <c r="A280" s="475"/>
      <c r="B280" s="476"/>
      <c r="C280" s="474"/>
      <c r="D280" s="467"/>
      <c r="E280" s="366"/>
      <c r="F280" s="367"/>
      <c r="G280" s="368"/>
      <c r="H280" s="513"/>
      <c r="I280" s="375"/>
      <c r="J280" s="1"/>
      <c r="K280" s="22"/>
      <c r="L280" s="1"/>
      <c r="M280" s="1"/>
      <c r="N280" s="1"/>
      <c r="O280" s="1"/>
      <c r="P280" s="1"/>
      <c r="Q280" s="1"/>
      <c r="R280" s="1"/>
      <c r="S280" s="1"/>
      <c r="T280" s="1"/>
      <c r="U280" s="1"/>
      <c r="V280" s="1"/>
      <c r="W280" s="1"/>
      <c r="X280" s="1"/>
      <c r="Y280" s="1"/>
      <c r="Z280" s="1"/>
      <c r="AA280" s="1"/>
    </row>
    <row r="281" spans="1:27" ht="14.25" customHeight="1">
      <c r="A281" s="475" t="s">
        <v>28</v>
      </c>
      <c r="B281" s="476"/>
      <c r="C281" s="474" t="str">
        <f>Finishesh!B280</f>
        <v>CEMENT SCREED 3cm.</v>
      </c>
      <c r="D281" s="467"/>
      <c r="E281" s="366">
        <v>813</v>
      </c>
      <c r="F281" s="367" t="s">
        <v>24</v>
      </c>
      <c r="G281" s="368">
        <v>1.5</v>
      </c>
      <c r="H281" s="513">
        <f>+G281*E281</f>
        <v>1219.5</v>
      </c>
      <c r="I281" s="375"/>
      <c r="J281" s="1"/>
      <c r="K281" s="22">
        <v>813</v>
      </c>
      <c r="L281" s="1"/>
      <c r="M281" s="1"/>
      <c r="N281" s="1"/>
      <c r="O281" s="1"/>
      <c r="P281" s="1"/>
      <c r="Q281" s="1"/>
      <c r="R281" s="1"/>
      <c r="S281" s="1"/>
      <c r="T281" s="1"/>
      <c r="U281" s="1"/>
      <c r="V281" s="1"/>
      <c r="W281" s="1"/>
      <c r="X281" s="1"/>
      <c r="Y281" s="1"/>
      <c r="Z281" s="1"/>
      <c r="AA281" s="1"/>
    </row>
    <row r="282" spans="1:27" ht="14.25" customHeight="1">
      <c r="A282" s="475"/>
      <c r="B282" s="476"/>
      <c r="C282" s="474"/>
      <c r="D282" s="467"/>
      <c r="E282" s="366"/>
      <c r="F282" s="367"/>
      <c r="G282" s="368"/>
      <c r="H282" s="513"/>
      <c r="I282" s="375"/>
      <c r="J282" s="1"/>
      <c r="K282" s="22"/>
      <c r="L282" s="1"/>
      <c r="M282" s="1"/>
      <c r="N282" s="1"/>
      <c r="O282" s="1"/>
      <c r="P282" s="1"/>
      <c r="Q282" s="1"/>
      <c r="R282" s="1"/>
      <c r="S282" s="1"/>
      <c r="T282" s="1"/>
      <c r="U282" s="1"/>
      <c r="V282" s="1"/>
      <c r="W282" s="1"/>
      <c r="X282" s="1"/>
      <c r="Y282" s="1"/>
      <c r="Z282" s="1"/>
      <c r="AA282" s="1"/>
    </row>
    <row r="283" spans="1:27" ht="14.25" customHeight="1">
      <c r="A283" s="475" t="s">
        <v>31</v>
      </c>
      <c r="B283" s="476"/>
      <c r="C283" s="474" t="str">
        <f>Finishesh!B283</f>
        <v>EXTRUDED POLYSTYRENE 5cm.</v>
      </c>
      <c r="D283" s="467"/>
      <c r="E283" s="366">
        <v>813</v>
      </c>
      <c r="F283" s="367" t="s">
        <v>24</v>
      </c>
      <c r="G283" s="368">
        <v>3.5</v>
      </c>
      <c r="H283" s="513">
        <f>+G283*E283</f>
        <v>2845.5</v>
      </c>
      <c r="I283" s="375"/>
      <c r="J283" s="1"/>
      <c r="K283" s="22">
        <v>813</v>
      </c>
      <c r="L283" s="1"/>
      <c r="M283" s="1"/>
      <c r="N283" s="1"/>
      <c r="O283" s="1"/>
      <c r="P283" s="1"/>
      <c r="Q283" s="1"/>
      <c r="R283" s="1"/>
      <c r="S283" s="1"/>
      <c r="T283" s="1"/>
      <c r="U283" s="1"/>
      <c r="V283" s="1"/>
      <c r="W283" s="1"/>
      <c r="X283" s="1"/>
      <c r="Y283" s="1"/>
      <c r="Z283" s="1"/>
      <c r="AA283" s="1"/>
    </row>
    <row r="284" spans="1:27" ht="14.25" customHeight="1">
      <c r="A284" s="475"/>
      <c r="B284" s="476"/>
      <c r="C284" s="474"/>
      <c r="D284" s="467"/>
      <c r="E284" s="366"/>
      <c r="F284" s="367"/>
      <c r="G284" s="368"/>
      <c r="H284" s="513"/>
      <c r="I284" s="375"/>
      <c r="J284" s="1"/>
      <c r="K284" s="22"/>
      <c r="L284" s="1"/>
      <c r="M284" s="1"/>
      <c r="N284" s="1"/>
      <c r="O284" s="1"/>
      <c r="P284" s="1"/>
      <c r="Q284" s="1"/>
      <c r="R284" s="1"/>
      <c r="S284" s="1"/>
      <c r="T284" s="1"/>
      <c r="U284" s="1"/>
      <c r="V284" s="1"/>
      <c r="W284" s="1"/>
      <c r="X284" s="1"/>
      <c r="Y284" s="1"/>
      <c r="Z284" s="1"/>
      <c r="AA284" s="1"/>
    </row>
    <row r="285" spans="1:27" ht="14.25" customHeight="1">
      <c r="A285" s="475" t="s">
        <v>32</v>
      </c>
      <c r="B285" s="476"/>
      <c r="C285" s="474" t="str">
        <f>Finishesh!B286</f>
        <v>PROTECTION BOARD 0.2cm.</v>
      </c>
      <c r="D285" s="467"/>
      <c r="E285" s="366">
        <v>813</v>
      </c>
      <c r="F285" s="367" t="s">
        <v>24</v>
      </c>
      <c r="G285" s="368"/>
      <c r="H285" s="513">
        <f>+G285*E285</f>
        <v>0</v>
      </c>
      <c r="I285" s="375"/>
      <c r="J285" s="1"/>
      <c r="K285" s="22">
        <v>813</v>
      </c>
      <c r="L285" s="1"/>
      <c r="M285" s="1"/>
      <c r="N285" s="1"/>
      <c r="O285" s="1"/>
      <c r="P285" s="1"/>
      <c r="Q285" s="1"/>
      <c r="R285" s="1"/>
      <c r="S285" s="1"/>
      <c r="T285" s="1"/>
      <c r="U285" s="1"/>
      <c r="V285" s="1"/>
      <c r="W285" s="1"/>
      <c r="X285" s="1"/>
      <c r="Y285" s="1"/>
      <c r="Z285" s="1"/>
      <c r="AA285" s="1"/>
    </row>
    <row r="286" spans="1:27" ht="14.25" customHeight="1">
      <c r="A286" s="475"/>
      <c r="B286" s="476"/>
      <c r="C286" s="474"/>
      <c r="D286" s="467"/>
      <c r="E286" s="366"/>
      <c r="F286" s="367"/>
      <c r="G286" s="368"/>
      <c r="H286" s="513"/>
      <c r="I286" s="375"/>
      <c r="J286" s="1"/>
      <c r="K286" s="22"/>
      <c r="L286" s="1"/>
      <c r="M286" s="1"/>
      <c r="N286" s="1"/>
      <c r="O286" s="1"/>
      <c r="P286" s="1"/>
      <c r="Q286" s="1"/>
      <c r="R286" s="1"/>
      <c r="S286" s="1"/>
      <c r="T286" s="1"/>
      <c r="U286" s="1"/>
      <c r="V286" s="1"/>
      <c r="W286" s="1"/>
      <c r="X286" s="1"/>
      <c r="Y286" s="1"/>
      <c r="Z286" s="1"/>
      <c r="AA286" s="1"/>
    </row>
    <row r="287" spans="1:27" ht="14.25" customHeight="1">
      <c r="A287" s="475"/>
      <c r="B287" s="476"/>
      <c r="C287" s="466" t="s">
        <v>1168</v>
      </c>
      <c r="D287" s="467"/>
      <c r="E287" s="366"/>
      <c r="F287" s="367"/>
      <c r="G287" s="368"/>
      <c r="H287" s="513"/>
      <c r="I287" s="375"/>
      <c r="J287" s="1"/>
      <c r="K287" s="22"/>
      <c r="L287" s="1"/>
      <c r="M287" s="1"/>
      <c r="N287" s="1"/>
      <c r="O287" s="1"/>
      <c r="P287" s="1"/>
      <c r="Q287" s="1"/>
      <c r="R287" s="1"/>
      <c r="S287" s="1"/>
      <c r="T287" s="1"/>
      <c r="U287" s="1"/>
      <c r="V287" s="1"/>
      <c r="W287" s="1"/>
      <c r="X287" s="1"/>
      <c r="Y287" s="1"/>
      <c r="Z287" s="1"/>
      <c r="AA287" s="1"/>
    </row>
    <row r="288" spans="1:27" ht="14.25" customHeight="1">
      <c r="A288" s="475"/>
      <c r="B288" s="369"/>
      <c r="C288" s="474"/>
      <c r="D288" s="467"/>
      <c r="E288" s="374"/>
      <c r="F288" s="367"/>
      <c r="G288" s="368"/>
      <c r="H288" s="513"/>
      <c r="I288" s="375"/>
      <c r="J288" s="1"/>
      <c r="K288" s="22"/>
      <c r="L288" s="1"/>
      <c r="M288" s="1"/>
      <c r="N288" s="1"/>
      <c r="O288" s="1"/>
      <c r="P288" s="1"/>
      <c r="Q288" s="1"/>
      <c r="R288" s="1"/>
      <c r="S288" s="1"/>
      <c r="T288" s="1"/>
      <c r="U288" s="1"/>
      <c r="V288" s="1"/>
      <c r="W288" s="1"/>
      <c r="X288" s="1"/>
      <c r="Y288" s="1"/>
      <c r="Z288" s="1"/>
      <c r="AA288" s="1"/>
    </row>
    <row r="289" spans="1:27" ht="14.25" customHeight="1">
      <c r="A289" s="475" t="s">
        <v>32</v>
      </c>
      <c r="B289" s="476"/>
      <c r="C289" s="474" t="str">
        <f>Finishesh!B289</f>
        <v>SAND AND MORTAR BED 5cm.</v>
      </c>
      <c r="D289" s="467"/>
      <c r="E289" s="366">
        <v>813</v>
      </c>
      <c r="F289" s="367" t="s">
        <v>24</v>
      </c>
      <c r="G289" s="368">
        <v>0.3</v>
      </c>
      <c r="H289" s="513">
        <f>+G289*E289</f>
        <v>243.89999999999998</v>
      </c>
      <c r="I289" s="375"/>
      <c r="J289" s="1"/>
      <c r="K289" s="22">
        <v>702.67</v>
      </c>
      <c r="L289" s="1"/>
      <c r="M289" s="1"/>
      <c r="N289" s="1"/>
      <c r="O289" s="1"/>
      <c r="P289" s="1"/>
      <c r="Q289" s="1"/>
      <c r="R289" s="1"/>
      <c r="S289" s="1"/>
      <c r="T289" s="1"/>
      <c r="U289" s="1"/>
      <c r="V289" s="1"/>
      <c r="W289" s="1"/>
      <c r="X289" s="1"/>
      <c r="Y289" s="1"/>
      <c r="Z289" s="1"/>
      <c r="AA289" s="1"/>
    </row>
    <row r="290" spans="1:27" ht="14.25" customHeight="1">
      <c r="A290" s="475"/>
      <c r="B290" s="369"/>
      <c r="C290" s="474"/>
      <c r="D290" s="467"/>
      <c r="E290" s="374"/>
      <c r="F290" s="367"/>
      <c r="G290" s="368"/>
      <c r="H290" s="513"/>
      <c r="I290" s="375"/>
      <c r="J290" s="1"/>
      <c r="K290" s="22"/>
      <c r="L290" s="1"/>
      <c r="M290" s="1"/>
      <c r="N290" s="1"/>
      <c r="O290" s="1"/>
      <c r="P290" s="1"/>
      <c r="Q290" s="1"/>
      <c r="R290" s="1"/>
      <c r="S290" s="1"/>
      <c r="T290" s="1"/>
      <c r="U290" s="1"/>
      <c r="V290" s="1"/>
      <c r="W290" s="1"/>
      <c r="X290" s="1"/>
      <c r="Y290" s="1"/>
      <c r="Z290" s="1"/>
      <c r="AA290" s="1"/>
    </row>
    <row r="291" spans="1:27" ht="18.600000000000001" customHeight="1">
      <c r="A291" s="475" t="s">
        <v>33</v>
      </c>
      <c r="B291" s="476"/>
      <c r="C291" s="474" t="str">
        <f>Finishesh!B292</f>
        <v>TERRAZZO TILES 30x30x3cm.</v>
      </c>
      <c r="D291" s="467"/>
      <c r="E291" s="366">
        <v>813</v>
      </c>
      <c r="F291" s="367" t="s">
        <v>24</v>
      </c>
      <c r="G291" s="368">
        <v>4</v>
      </c>
      <c r="H291" s="513">
        <f>+G291*E291</f>
        <v>3252</v>
      </c>
      <c r="I291" s="375"/>
      <c r="J291" s="1"/>
      <c r="K291" s="22">
        <v>702.67</v>
      </c>
      <c r="L291" s="1"/>
      <c r="M291" s="1"/>
      <c r="N291" s="1"/>
      <c r="O291" s="1"/>
      <c r="P291" s="1"/>
      <c r="Q291" s="1"/>
      <c r="R291" s="1"/>
      <c r="S291" s="1"/>
      <c r="T291" s="1"/>
      <c r="U291" s="1"/>
      <c r="V291" s="1"/>
      <c r="W291" s="1"/>
      <c r="X291" s="1"/>
      <c r="Y291" s="1"/>
      <c r="Z291" s="1"/>
      <c r="AA291" s="1"/>
    </row>
    <row r="292" spans="1:27" ht="14.25" customHeight="1">
      <c r="A292" s="475"/>
      <c r="B292" s="369"/>
      <c r="C292" s="474"/>
      <c r="D292" s="467"/>
      <c r="E292" s="374"/>
      <c r="F292" s="367"/>
      <c r="G292" s="368"/>
      <c r="H292" s="513"/>
      <c r="I292" s="375"/>
      <c r="J292" s="1"/>
      <c r="K292" s="22"/>
      <c r="L292" s="1"/>
      <c r="M292" s="1"/>
      <c r="N292" s="1"/>
      <c r="O292" s="1"/>
      <c r="P292" s="1"/>
      <c r="Q292" s="1"/>
      <c r="R292" s="1"/>
      <c r="S292" s="1"/>
      <c r="T292" s="1"/>
      <c r="U292" s="1"/>
      <c r="V292" s="1"/>
      <c r="W292" s="1"/>
      <c r="X292" s="1"/>
      <c r="Y292" s="1"/>
      <c r="Z292" s="1"/>
      <c r="AA292" s="1"/>
    </row>
    <row r="293" spans="1:27" ht="25.95" customHeight="1">
      <c r="A293" s="475" t="s">
        <v>53</v>
      </c>
      <c r="B293" s="476"/>
      <c r="C293" s="474" t="str">
        <f>Finishesh!B295</f>
        <v>TERRAZZO SKIRTING 30x10x3cm.</v>
      </c>
      <c r="D293" s="467"/>
      <c r="E293" s="366">
        <f>K293</f>
        <v>33.840000000000003</v>
      </c>
      <c r="F293" s="367" t="s">
        <v>24</v>
      </c>
      <c r="G293" s="368">
        <v>4</v>
      </c>
      <c r="H293" s="513">
        <f>+G293*E293</f>
        <v>135.36000000000001</v>
      </c>
      <c r="I293" s="375"/>
      <c r="J293" s="1"/>
      <c r="K293" s="22">
        <v>33.840000000000003</v>
      </c>
      <c r="L293" s="1"/>
      <c r="M293" s="1"/>
      <c r="N293" s="1"/>
      <c r="O293" s="1"/>
      <c r="P293" s="1"/>
      <c r="Q293" s="1"/>
      <c r="R293" s="1"/>
      <c r="S293" s="1"/>
      <c r="T293" s="1"/>
      <c r="U293" s="1"/>
      <c r="V293" s="1"/>
      <c r="W293" s="1"/>
      <c r="X293" s="1"/>
      <c r="Y293" s="1"/>
      <c r="Z293" s="1"/>
      <c r="AA293" s="1"/>
    </row>
    <row r="294" spans="1:27" ht="14.25" customHeight="1">
      <c r="A294" s="551"/>
      <c r="B294" s="16"/>
      <c r="C294" s="771" t="s">
        <v>35</v>
      </c>
      <c r="D294" s="29"/>
      <c r="E294" s="30"/>
      <c r="F294" s="417"/>
      <c r="G294" s="772" t="s">
        <v>36</v>
      </c>
      <c r="H294" s="521"/>
      <c r="I294" s="382"/>
      <c r="J294" s="1"/>
      <c r="K294" s="22"/>
      <c r="L294" s="1"/>
      <c r="M294" s="1"/>
      <c r="N294" s="1"/>
      <c r="O294" s="1"/>
      <c r="P294" s="1"/>
      <c r="Q294" s="1"/>
      <c r="R294" s="1"/>
      <c r="S294" s="1"/>
      <c r="T294" s="1"/>
      <c r="U294" s="1"/>
      <c r="V294" s="1"/>
      <c r="W294" s="1"/>
      <c r="X294" s="1"/>
      <c r="Y294" s="1"/>
      <c r="Z294" s="1"/>
      <c r="AA294" s="1"/>
    </row>
    <row r="295" spans="1:27" ht="14.25" customHeight="1">
      <c r="A295" s="552"/>
      <c r="B295" s="486"/>
      <c r="C295" s="769"/>
      <c r="D295" s="487"/>
      <c r="E295" s="581"/>
      <c r="F295" s="506"/>
      <c r="G295" s="773"/>
      <c r="H295" s="526">
        <f>SUM(H277:H294)</f>
        <v>10623.060000000001</v>
      </c>
      <c r="I295" s="382"/>
      <c r="J295" s="1"/>
      <c r="K295" s="22"/>
      <c r="L295" s="1"/>
      <c r="M295" s="1"/>
      <c r="N295" s="1"/>
      <c r="O295" s="1"/>
      <c r="P295" s="1"/>
      <c r="Q295" s="1"/>
      <c r="R295" s="1"/>
      <c r="S295" s="1"/>
      <c r="T295" s="1"/>
      <c r="U295" s="1"/>
      <c r="V295" s="1"/>
      <c r="W295" s="1"/>
      <c r="X295" s="1"/>
      <c r="Y295" s="1"/>
      <c r="Z295" s="1"/>
      <c r="AA295" s="1"/>
    </row>
    <row r="296" spans="1:27" ht="14.25" customHeight="1">
      <c r="A296" s="391"/>
      <c r="B296" s="242"/>
      <c r="C296" s="583"/>
      <c r="D296" s="584"/>
      <c r="E296" s="392"/>
      <c r="F296" s="237"/>
      <c r="G296" s="585"/>
      <c r="H296" s="247"/>
      <c r="I296" s="375"/>
      <c r="J296" s="1"/>
      <c r="K296" s="22"/>
      <c r="L296" s="1"/>
      <c r="M296" s="1"/>
      <c r="N296" s="1"/>
      <c r="O296" s="1"/>
      <c r="P296" s="1"/>
      <c r="Q296" s="1"/>
      <c r="R296" s="1"/>
      <c r="S296" s="1"/>
      <c r="T296" s="1"/>
      <c r="U296" s="1"/>
      <c r="V296" s="1"/>
      <c r="W296" s="1"/>
      <c r="X296" s="1"/>
      <c r="Y296" s="1"/>
      <c r="Z296" s="1"/>
      <c r="AA296" s="1"/>
    </row>
    <row r="297" spans="1:27" ht="14.25" customHeight="1">
      <c r="A297" s="391"/>
      <c r="B297" s="242"/>
      <c r="C297" s="586" t="s">
        <v>129</v>
      </c>
      <c r="D297" s="587"/>
      <c r="E297" s="393"/>
      <c r="F297" s="245"/>
      <c r="G297" s="394"/>
      <c r="H297" s="247"/>
      <c r="I297" s="375"/>
      <c r="J297" s="1"/>
      <c r="K297" s="22"/>
      <c r="L297" s="1"/>
      <c r="M297" s="1"/>
      <c r="N297" s="1"/>
      <c r="O297" s="1"/>
      <c r="P297" s="1"/>
      <c r="Q297" s="1"/>
      <c r="R297" s="1"/>
      <c r="S297" s="1"/>
      <c r="T297" s="1"/>
      <c r="U297" s="1"/>
      <c r="V297" s="1"/>
      <c r="W297" s="1"/>
      <c r="X297" s="1"/>
      <c r="Y297" s="1"/>
      <c r="Z297" s="1"/>
      <c r="AA297" s="1"/>
    </row>
    <row r="298" spans="1:27" ht="14.25" customHeight="1">
      <c r="A298" s="395"/>
      <c r="B298" s="588"/>
      <c r="C298" s="589" t="s">
        <v>130</v>
      </c>
      <c r="D298" s="587"/>
      <c r="E298" s="396"/>
      <c r="F298" s="252"/>
      <c r="G298" s="394"/>
      <c r="H298" s="247"/>
      <c r="I298" s="375"/>
      <c r="J298" s="1"/>
      <c r="K298" s="22"/>
      <c r="L298" s="1"/>
      <c r="M298" s="1"/>
      <c r="N298" s="1"/>
      <c r="O298" s="1"/>
      <c r="P298" s="1"/>
      <c r="Q298" s="1"/>
      <c r="R298" s="1"/>
      <c r="S298" s="1"/>
      <c r="T298" s="1"/>
      <c r="U298" s="1"/>
      <c r="V298" s="1"/>
      <c r="W298" s="1"/>
      <c r="X298" s="1"/>
      <c r="Y298" s="1"/>
      <c r="Z298" s="1"/>
      <c r="AA298" s="1"/>
    </row>
    <row r="299" spans="1:27" ht="74.400000000000006" customHeight="1">
      <c r="A299" s="397" t="s">
        <v>22</v>
      </c>
      <c r="B299" s="588"/>
      <c r="C299" s="590" t="s">
        <v>1224</v>
      </c>
      <c r="D299" s="587"/>
      <c r="E299" s="398">
        <v>2838</v>
      </c>
      <c r="F299" s="252" t="s">
        <v>1225</v>
      </c>
      <c r="G299" s="399">
        <v>1.9</v>
      </c>
      <c r="H299" s="254">
        <f>+G299*E299</f>
        <v>5392.2</v>
      </c>
      <c r="I299" s="375"/>
      <c r="J299" s="1"/>
      <c r="K299" s="22"/>
      <c r="L299" s="1"/>
      <c r="M299" s="1"/>
      <c r="N299" s="1"/>
      <c r="O299" s="1"/>
      <c r="P299" s="1"/>
      <c r="Q299" s="1"/>
      <c r="R299" s="1"/>
      <c r="S299" s="1"/>
      <c r="T299" s="1"/>
      <c r="U299" s="1"/>
      <c r="V299" s="1"/>
      <c r="W299" s="1"/>
      <c r="X299" s="1"/>
      <c r="Y299" s="1"/>
      <c r="Z299" s="1"/>
      <c r="AA299" s="1"/>
    </row>
    <row r="300" spans="1:27" ht="13.8">
      <c r="A300" s="397"/>
      <c r="B300" s="588"/>
      <c r="C300" s="590"/>
      <c r="D300" s="587"/>
      <c r="E300" s="400"/>
      <c r="F300" s="252"/>
      <c r="G300" s="401"/>
      <c r="H300" s="247"/>
      <c r="I300" s="375"/>
      <c r="J300" s="1"/>
      <c r="K300" s="22"/>
      <c r="L300" s="1"/>
      <c r="M300" s="1"/>
      <c r="N300" s="1"/>
      <c r="O300" s="1"/>
      <c r="P300" s="1"/>
      <c r="Q300" s="1"/>
      <c r="R300" s="1"/>
      <c r="S300" s="1"/>
      <c r="T300" s="1"/>
      <c r="U300" s="1"/>
      <c r="V300" s="1"/>
      <c r="W300" s="1"/>
      <c r="X300" s="1"/>
      <c r="Y300" s="1"/>
      <c r="Z300" s="1"/>
      <c r="AA300" s="1"/>
    </row>
    <row r="301" spans="1:27" ht="60" customHeight="1">
      <c r="A301" s="397" t="s">
        <v>25</v>
      </c>
      <c r="B301" s="588"/>
      <c r="C301" s="590" t="s">
        <v>1226</v>
      </c>
      <c r="D301" s="587"/>
      <c r="E301" s="398">
        <v>11085</v>
      </c>
      <c r="F301" s="252" t="s">
        <v>1225</v>
      </c>
      <c r="G301" s="399">
        <v>1.4</v>
      </c>
      <c r="H301" s="254">
        <f>+G301*E301</f>
        <v>15518.999999999998</v>
      </c>
      <c r="I301" s="375"/>
      <c r="J301" s="1"/>
      <c r="K301" s="22"/>
      <c r="L301" s="1"/>
      <c r="M301" s="1"/>
      <c r="N301" s="1"/>
      <c r="O301" s="1"/>
      <c r="P301" s="1"/>
      <c r="Q301" s="1"/>
      <c r="R301" s="1"/>
      <c r="S301" s="1"/>
      <c r="T301" s="1"/>
      <c r="U301" s="1"/>
      <c r="V301" s="1"/>
      <c r="W301" s="1"/>
      <c r="X301" s="1"/>
      <c r="Y301" s="1"/>
      <c r="Z301" s="1"/>
      <c r="AA301" s="1"/>
    </row>
    <row r="302" spans="1:27" ht="13.8">
      <c r="A302" s="397"/>
      <c r="B302" s="588"/>
      <c r="C302" s="590"/>
      <c r="D302" s="587"/>
      <c r="E302" s="400"/>
      <c r="F302" s="252"/>
      <c r="G302" s="402"/>
      <c r="H302" s="247"/>
      <c r="I302" s="375"/>
      <c r="J302" s="1"/>
      <c r="K302" s="22">
        <f>Finishesh!T258+Finishesh!V258+'C_Bill No. 3 Main bld (2)'!K312</f>
        <v>3954.2898</v>
      </c>
      <c r="L302" s="1"/>
      <c r="M302" s="1"/>
      <c r="N302" s="1"/>
      <c r="O302" s="1"/>
      <c r="P302" s="1"/>
      <c r="Q302" s="1"/>
      <c r="R302" s="1"/>
      <c r="S302" s="1"/>
      <c r="T302" s="1"/>
      <c r="U302" s="1"/>
      <c r="V302" s="1"/>
      <c r="W302" s="1"/>
      <c r="X302" s="1"/>
      <c r="Y302" s="1"/>
      <c r="Z302" s="1"/>
      <c r="AA302" s="1"/>
    </row>
    <row r="303" spans="1:27" s="380" customFormat="1" ht="41.4">
      <c r="A303" s="405" t="s">
        <v>28</v>
      </c>
      <c r="B303" s="591"/>
      <c r="C303" s="592" t="s">
        <v>1227</v>
      </c>
      <c r="D303" s="593"/>
      <c r="E303" s="406">
        <v>2485</v>
      </c>
      <c r="F303" s="407" t="s">
        <v>1225</v>
      </c>
      <c r="G303" s="408">
        <v>1.4</v>
      </c>
      <c r="H303" s="409">
        <f>+G303*E303</f>
        <v>3479</v>
      </c>
      <c r="I303" s="375"/>
      <c r="J303" s="1"/>
      <c r="K303" s="22"/>
      <c r="L303" s="1"/>
      <c r="M303" s="1"/>
      <c r="N303" s="1"/>
      <c r="O303" s="1"/>
      <c r="P303" s="1"/>
      <c r="Q303" s="1"/>
      <c r="R303" s="1"/>
      <c r="S303" s="1"/>
      <c r="T303" s="1"/>
      <c r="U303" s="1"/>
      <c r="V303" s="1"/>
      <c r="W303" s="1"/>
      <c r="X303" s="1"/>
      <c r="Y303" s="1"/>
      <c r="Z303" s="1"/>
      <c r="AA303" s="1"/>
    </row>
    <row r="304" spans="1:27" s="380" customFormat="1" ht="13.8">
      <c r="A304" s="405"/>
      <c r="B304" s="410"/>
      <c r="C304" s="592"/>
      <c r="D304" s="593"/>
      <c r="E304" s="411"/>
      <c r="F304" s="407"/>
      <c r="G304" s="412"/>
      <c r="H304" s="413"/>
      <c r="I304" s="375"/>
      <c r="J304" s="1"/>
      <c r="K304" s="22"/>
      <c r="L304" s="1"/>
      <c r="M304" s="1"/>
      <c r="N304" s="1"/>
      <c r="O304" s="1"/>
      <c r="P304" s="1"/>
      <c r="Q304" s="1"/>
      <c r="R304" s="1"/>
      <c r="S304" s="1"/>
      <c r="T304" s="1"/>
      <c r="U304" s="1"/>
      <c r="V304" s="1"/>
      <c r="W304" s="1"/>
      <c r="X304" s="1"/>
      <c r="Y304" s="1"/>
      <c r="Z304" s="1"/>
      <c r="AA304" s="1"/>
    </row>
    <row r="305" spans="1:27" ht="26.4" customHeight="1">
      <c r="A305" s="405" t="s">
        <v>31</v>
      </c>
      <c r="B305" s="591"/>
      <c r="C305" s="592" t="s">
        <v>1241</v>
      </c>
      <c r="D305" s="593"/>
      <c r="E305" s="406">
        <v>3725</v>
      </c>
      <c r="F305" s="407" t="s">
        <v>1225</v>
      </c>
      <c r="G305" s="408">
        <v>0.6</v>
      </c>
      <c r="H305" s="409">
        <f>+G305*E305</f>
        <v>2235</v>
      </c>
      <c r="I305" s="375"/>
      <c r="J305" s="1"/>
      <c r="K305" s="22"/>
      <c r="L305" s="1"/>
      <c r="M305" s="1"/>
      <c r="N305" s="1"/>
      <c r="O305" s="1"/>
      <c r="P305" s="1"/>
      <c r="Q305" s="1"/>
      <c r="R305" s="1"/>
      <c r="S305" s="1"/>
      <c r="T305" s="1"/>
      <c r="U305" s="1"/>
      <c r="V305" s="1"/>
      <c r="W305" s="1"/>
      <c r="X305" s="1"/>
      <c r="Y305" s="1"/>
      <c r="Z305" s="1"/>
      <c r="AA305" s="1"/>
    </row>
    <row r="306" spans="1:27" ht="14.25" customHeight="1">
      <c r="A306" s="397"/>
      <c r="B306" s="242"/>
      <c r="C306" s="590"/>
      <c r="D306" s="587"/>
      <c r="E306" s="400"/>
      <c r="F306" s="252"/>
      <c r="G306" s="403"/>
      <c r="H306" s="404"/>
      <c r="I306" s="375"/>
      <c r="J306" s="1"/>
      <c r="K306" s="22"/>
      <c r="L306" s="1"/>
      <c r="M306" s="1"/>
      <c r="N306" s="1"/>
      <c r="O306" s="1"/>
      <c r="P306" s="1"/>
      <c r="Q306" s="1"/>
      <c r="R306" s="1"/>
      <c r="S306" s="1"/>
      <c r="T306" s="1"/>
      <c r="U306" s="1"/>
      <c r="V306" s="1"/>
      <c r="W306" s="1"/>
      <c r="X306" s="1"/>
      <c r="Y306" s="1"/>
      <c r="Z306" s="1"/>
      <c r="AA306" s="1"/>
    </row>
    <row r="307" spans="1:27" ht="26.4" customHeight="1">
      <c r="A307" s="397" t="s">
        <v>32</v>
      </c>
      <c r="B307" s="588"/>
      <c r="C307" s="590" t="s">
        <v>1242</v>
      </c>
      <c r="D307" s="587"/>
      <c r="E307" s="398">
        <v>1353</v>
      </c>
      <c r="F307" s="252" t="s">
        <v>1225</v>
      </c>
      <c r="G307" s="399">
        <v>0.6</v>
      </c>
      <c r="H307" s="254">
        <f>+G307*E307</f>
        <v>811.8</v>
      </c>
      <c r="I307" s="375"/>
      <c r="J307" s="1"/>
      <c r="K307" s="22"/>
      <c r="L307" s="1"/>
      <c r="M307" s="1"/>
      <c r="N307" s="1"/>
      <c r="O307" s="1"/>
      <c r="P307" s="1"/>
      <c r="Q307" s="1"/>
      <c r="R307" s="1"/>
      <c r="S307" s="1"/>
      <c r="T307" s="1"/>
      <c r="U307" s="1"/>
      <c r="V307" s="1"/>
      <c r="W307" s="1"/>
      <c r="X307" s="1"/>
      <c r="Y307" s="1"/>
      <c r="Z307" s="1"/>
      <c r="AA307" s="1"/>
    </row>
    <row r="308" spans="1:27" ht="38.4" customHeight="1">
      <c r="A308" s="397"/>
      <c r="B308" s="242"/>
      <c r="C308" s="590"/>
      <c r="D308" s="587"/>
      <c r="E308" s="400"/>
      <c r="F308" s="252"/>
      <c r="G308" s="403"/>
      <c r="H308" s="404"/>
      <c r="I308" s="375"/>
      <c r="J308" s="1"/>
      <c r="K308" s="22"/>
      <c r="L308" s="1"/>
      <c r="M308" s="1"/>
      <c r="N308" s="1"/>
      <c r="O308" s="1"/>
      <c r="P308" s="1"/>
      <c r="Q308" s="1"/>
      <c r="R308" s="1"/>
      <c r="S308" s="1"/>
      <c r="T308" s="1"/>
      <c r="U308" s="1"/>
      <c r="V308" s="1"/>
      <c r="W308" s="1"/>
      <c r="X308" s="1"/>
      <c r="Y308" s="1"/>
      <c r="Z308" s="1"/>
      <c r="AA308" s="1"/>
    </row>
    <row r="309" spans="1:27" ht="37.799999999999997" customHeight="1">
      <c r="A309" s="397" t="s">
        <v>32</v>
      </c>
      <c r="B309" s="588"/>
      <c r="C309" s="590" t="s">
        <v>1228</v>
      </c>
      <c r="D309" s="587"/>
      <c r="E309" s="398">
        <v>112</v>
      </c>
      <c r="F309" s="252" t="s">
        <v>1225</v>
      </c>
      <c r="G309" s="399">
        <v>0.6</v>
      </c>
      <c r="H309" s="254">
        <f>+G309*E309</f>
        <v>67.2</v>
      </c>
      <c r="I309" s="375"/>
      <c r="J309" s="1"/>
      <c r="K309" s="22"/>
      <c r="L309" s="1"/>
      <c r="M309" s="1"/>
      <c r="N309" s="1"/>
      <c r="O309" s="1"/>
      <c r="P309" s="1"/>
      <c r="Q309" s="1"/>
      <c r="R309" s="1"/>
      <c r="S309" s="1"/>
      <c r="T309" s="1"/>
      <c r="U309" s="1"/>
      <c r="V309" s="1"/>
      <c r="W309" s="1"/>
      <c r="X309" s="1"/>
      <c r="Y309" s="1"/>
      <c r="Z309" s="1"/>
      <c r="AA309" s="1"/>
    </row>
    <row r="310" spans="1:27" ht="14.25" customHeight="1">
      <c r="A310" s="397"/>
      <c r="B310" s="242"/>
      <c r="C310" s="590"/>
      <c r="D310" s="587"/>
      <c r="E310" s="400"/>
      <c r="F310" s="252"/>
      <c r="G310" s="403"/>
      <c r="H310" s="404"/>
      <c r="I310" s="375"/>
      <c r="J310" s="1"/>
      <c r="K310" s="22">
        <f>Finishesh!T258</f>
        <v>409.76099999999997</v>
      </c>
      <c r="L310" s="1"/>
      <c r="M310" s="1"/>
      <c r="N310" s="1"/>
      <c r="O310" s="1"/>
      <c r="P310" s="1"/>
      <c r="Q310" s="1"/>
      <c r="R310" s="1"/>
      <c r="S310" s="1"/>
      <c r="T310" s="1"/>
      <c r="U310" s="1"/>
      <c r="V310" s="1"/>
      <c r="W310" s="1"/>
      <c r="X310" s="1"/>
      <c r="Y310" s="1"/>
      <c r="Z310" s="1"/>
      <c r="AA310" s="1"/>
    </row>
    <row r="311" spans="1:27" ht="42" customHeight="1">
      <c r="A311" s="397" t="s">
        <v>33</v>
      </c>
      <c r="B311" s="588"/>
      <c r="C311" s="590" t="s">
        <v>1243</v>
      </c>
      <c r="D311" s="587"/>
      <c r="E311" s="398">
        <v>114</v>
      </c>
      <c r="F311" s="252" t="s">
        <v>1225</v>
      </c>
      <c r="G311" s="399">
        <v>0.6</v>
      </c>
      <c r="H311" s="254">
        <f>+G311*E311</f>
        <v>68.399999999999991</v>
      </c>
      <c r="I311" s="375"/>
      <c r="J311" s="1"/>
      <c r="K311" s="22"/>
      <c r="L311" s="1"/>
      <c r="M311" s="1"/>
      <c r="N311" s="1"/>
      <c r="O311" s="1"/>
      <c r="P311" s="1"/>
      <c r="Q311" s="1"/>
      <c r="R311" s="1"/>
      <c r="S311" s="1"/>
      <c r="T311" s="1"/>
      <c r="U311" s="1"/>
      <c r="V311" s="1"/>
      <c r="W311" s="1"/>
      <c r="X311" s="1"/>
      <c r="Y311" s="1"/>
      <c r="Z311" s="1"/>
      <c r="AA311" s="1"/>
    </row>
    <row r="312" spans="1:27" ht="14.25" customHeight="1">
      <c r="A312" s="397"/>
      <c r="B312" s="242"/>
      <c r="C312" s="590"/>
      <c r="D312" s="587"/>
      <c r="E312" s="400"/>
      <c r="F312" s="252"/>
      <c r="G312" s="403"/>
      <c r="H312" s="404"/>
      <c r="I312" s="375"/>
      <c r="J312" s="1"/>
      <c r="K312" s="22">
        <v>2838</v>
      </c>
      <c r="L312" s="1"/>
      <c r="M312" s="1"/>
      <c r="N312" s="1"/>
      <c r="O312" s="1"/>
      <c r="P312" s="1"/>
      <c r="Q312" s="1"/>
      <c r="R312" s="1"/>
      <c r="S312" s="1"/>
      <c r="T312" s="1"/>
      <c r="U312" s="1"/>
      <c r="V312" s="1"/>
      <c r="W312" s="1"/>
      <c r="X312" s="1"/>
      <c r="Y312" s="1"/>
      <c r="Z312" s="1"/>
      <c r="AA312" s="1"/>
    </row>
    <row r="313" spans="1:27" ht="52.2" customHeight="1">
      <c r="A313" s="397" t="s">
        <v>53</v>
      </c>
      <c r="B313" s="588"/>
      <c r="C313" s="590" t="s">
        <v>1229</v>
      </c>
      <c r="D313" s="587"/>
      <c r="E313" s="398">
        <v>58</v>
      </c>
      <c r="F313" s="252" t="s">
        <v>1225</v>
      </c>
      <c r="G313" s="399">
        <v>0.6</v>
      </c>
      <c r="H313" s="254">
        <f>+G313*E313</f>
        <v>34.799999999999997</v>
      </c>
      <c r="I313" s="375"/>
      <c r="J313" s="1"/>
      <c r="K313" s="22"/>
      <c r="L313" s="1"/>
      <c r="M313" s="1"/>
      <c r="N313" s="1"/>
      <c r="O313" s="1"/>
      <c r="P313" s="1"/>
      <c r="Q313" s="1"/>
      <c r="R313" s="1"/>
      <c r="S313" s="1"/>
      <c r="T313" s="1"/>
      <c r="U313" s="1"/>
      <c r="V313" s="1"/>
      <c r="W313" s="1"/>
      <c r="X313" s="1"/>
      <c r="Y313" s="1"/>
      <c r="Z313" s="1"/>
      <c r="AA313" s="1"/>
    </row>
    <row r="314" spans="1:27" ht="14.25" customHeight="1">
      <c r="A314" s="397"/>
      <c r="B314" s="588"/>
      <c r="C314" s="590"/>
      <c r="D314" s="587"/>
      <c r="E314" s="400"/>
      <c r="F314" s="252"/>
      <c r="G314" s="403"/>
      <c r="H314" s="404"/>
      <c r="I314" s="375"/>
      <c r="J314" s="1"/>
      <c r="K314" s="22">
        <f>Finishesh!K267</f>
        <v>503.2</v>
      </c>
      <c r="L314" s="1"/>
      <c r="M314" s="1"/>
      <c r="N314" s="1"/>
      <c r="O314" s="1"/>
      <c r="P314" s="1"/>
      <c r="Q314" s="1"/>
      <c r="R314" s="1"/>
      <c r="S314" s="1"/>
      <c r="T314" s="1"/>
      <c r="U314" s="1"/>
      <c r="V314" s="1"/>
      <c r="W314" s="1"/>
      <c r="X314" s="1"/>
      <c r="Y314" s="1"/>
      <c r="Z314" s="1"/>
      <c r="AA314" s="1"/>
    </row>
    <row r="315" spans="1:27" ht="14.25" customHeight="1">
      <c r="A315" s="397" t="s">
        <v>54</v>
      </c>
      <c r="B315" s="588"/>
      <c r="C315" s="590" t="s">
        <v>1253</v>
      </c>
      <c r="D315" s="587"/>
      <c r="E315" s="400"/>
      <c r="F315" s="252"/>
      <c r="G315" s="403"/>
      <c r="H315" s="404">
        <v>5000</v>
      </c>
      <c r="I315" s="387"/>
      <c r="J315" s="1"/>
      <c r="K315" s="22">
        <f>Finishesh!V258</f>
        <v>706.52879999999993</v>
      </c>
      <c r="L315" s="1"/>
      <c r="M315" s="1"/>
      <c r="N315" s="1"/>
      <c r="O315" s="1"/>
      <c r="P315" s="1"/>
      <c r="Q315" s="1"/>
      <c r="R315" s="1"/>
      <c r="S315" s="1"/>
      <c r="T315" s="1"/>
      <c r="U315" s="1"/>
      <c r="V315" s="1"/>
      <c r="W315" s="1"/>
      <c r="X315" s="1"/>
      <c r="Y315" s="1"/>
      <c r="Z315" s="1"/>
      <c r="AA315" s="1"/>
    </row>
    <row r="316" spans="1:27" s="380" customFormat="1" ht="14.25" customHeight="1">
      <c r="A316" s="397"/>
      <c r="B316" s="588"/>
      <c r="C316" s="590"/>
      <c r="D316" s="587"/>
      <c r="E316" s="400"/>
      <c r="F316" s="252"/>
      <c r="G316" s="403"/>
      <c r="H316" s="404"/>
      <c r="I316" s="387"/>
      <c r="J316" s="1"/>
      <c r="K316" s="22"/>
      <c r="L316" s="1"/>
      <c r="M316" s="1"/>
      <c r="N316" s="1"/>
      <c r="O316" s="1"/>
      <c r="P316" s="1"/>
      <c r="Q316" s="1"/>
      <c r="R316" s="1"/>
      <c r="S316" s="1"/>
      <c r="T316" s="1"/>
      <c r="U316" s="1"/>
      <c r="V316" s="1"/>
      <c r="W316" s="1"/>
      <c r="X316" s="1"/>
      <c r="Y316" s="1"/>
      <c r="Z316" s="1"/>
      <c r="AA316" s="1"/>
    </row>
    <row r="317" spans="1:27" s="380" customFormat="1" ht="14.25" customHeight="1">
      <c r="A317" s="397"/>
      <c r="B317" s="242"/>
      <c r="C317" s="590" t="s">
        <v>1230</v>
      </c>
      <c r="D317" s="587"/>
      <c r="E317" s="400"/>
      <c r="F317" s="252"/>
      <c r="G317" s="403"/>
      <c r="H317" s="404"/>
      <c r="I317" s="387"/>
      <c r="J317" s="1"/>
      <c r="K317" s="22"/>
      <c r="L317" s="1"/>
      <c r="M317" s="1"/>
      <c r="N317" s="1"/>
      <c r="O317" s="1"/>
      <c r="P317" s="1"/>
      <c r="Q317" s="1"/>
      <c r="R317" s="1"/>
      <c r="S317" s="1"/>
      <c r="T317" s="1"/>
      <c r="U317" s="1"/>
      <c r="V317" s="1"/>
      <c r="W317" s="1"/>
      <c r="X317" s="1"/>
      <c r="Y317" s="1"/>
      <c r="Z317" s="1"/>
      <c r="AA317" s="1"/>
    </row>
    <row r="318" spans="1:27" ht="14.25" customHeight="1">
      <c r="A318" s="551"/>
      <c r="B318" s="16"/>
      <c r="C318" s="783" t="s">
        <v>35</v>
      </c>
      <c r="D318" s="17"/>
      <c r="E318" s="30"/>
      <c r="F318" s="424"/>
      <c r="G318" s="772" t="s">
        <v>36</v>
      </c>
      <c r="H318" s="521"/>
      <c r="I318" s="382"/>
      <c r="J318" s="1"/>
      <c r="K318" s="22"/>
      <c r="L318" s="1"/>
      <c r="M318" s="1"/>
      <c r="N318" s="1"/>
      <c r="O318" s="1"/>
      <c r="P318" s="1"/>
      <c r="Q318" s="1"/>
      <c r="R318" s="1"/>
      <c r="S318" s="1"/>
      <c r="T318" s="1"/>
      <c r="U318" s="1"/>
      <c r="V318" s="1"/>
      <c r="W318" s="1"/>
      <c r="X318" s="1"/>
      <c r="Y318" s="1"/>
      <c r="Z318" s="1"/>
      <c r="AA318" s="1"/>
    </row>
    <row r="319" spans="1:27" ht="14.25" customHeight="1">
      <c r="A319" s="552"/>
      <c r="B319" s="486"/>
      <c r="C319" s="784"/>
      <c r="D319" s="523"/>
      <c r="E319" s="524"/>
      <c r="F319" s="525"/>
      <c r="G319" s="785"/>
      <c r="H319" s="526">
        <f>SUM(H299:H318)</f>
        <v>32607.399999999998</v>
      </c>
      <c r="I319" s="382"/>
      <c r="J319" s="1"/>
      <c r="K319" s="22"/>
      <c r="L319" s="1"/>
      <c r="M319" s="1"/>
      <c r="N319" s="1"/>
      <c r="O319" s="1"/>
      <c r="P319" s="1"/>
      <c r="Q319" s="1"/>
      <c r="R319" s="1"/>
      <c r="S319" s="1"/>
      <c r="T319" s="1"/>
      <c r="U319" s="1"/>
      <c r="V319" s="1"/>
      <c r="W319" s="1"/>
      <c r="X319" s="1"/>
      <c r="Y319" s="1"/>
      <c r="Z319" s="1"/>
      <c r="AA319" s="1"/>
    </row>
    <row r="320" spans="1:27" ht="14.25" customHeight="1">
      <c r="A320" s="594"/>
      <c r="B320" s="369"/>
      <c r="C320" s="370"/>
      <c r="D320" s="371"/>
      <c r="E320" s="372"/>
      <c r="F320" s="373"/>
      <c r="G320" s="370"/>
      <c r="H320" s="595"/>
      <c r="I320" s="382"/>
      <c r="J320" s="1"/>
      <c r="K320" s="22"/>
      <c r="L320" s="1"/>
      <c r="M320" s="1"/>
      <c r="N320" s="1"/>
      <c r="O320" s="1"/>
      <c r="P320" s="1"/>
      <c r="Q320" s="1"/>
      <c r="R320" s="1"/>
      <c r="S320" s="1"/>
      <c r="T320" s="1"/>
      <c r="U320" s="1"/>
      <c r="V320" s="1"/>
      <c r="W320" s="1"/>
      <c r="X320" s="1"/>
      <c r="Y320" s="1"/>
      <c r="Z320" s="1"/>
      <c r="AA320" s="1"/>
    </row>
    <row r="321" spans="1:27" ht="14.25" customHeight="1">
      <c r="A321" s="465"/>
      <c r="B321" s="369"/>
      <c r="C321" s="514" t="s">
        <v>131</v>
      </c>
      <c r="D321" s="467"/>
      <c r="E321" s="377"/>
      <c r="F321" s="378"/>
      <c r="G321" s="368"/>
      <c r="H321" s="513"/>
      <c r="I321" s="375"/>
      <c r="J321" s="1"/>
      <c r="K321" s="22"/>
      <c r="L321" s="1"/>
      <c r="M321" s="1"/>
      <c r="N321" s="1"/>
      <c r="O321" s="1"/>
      <c r="P321" s="1"/>
      <c r="Q321" s="1"/>
      <c r="R321" s="1"/>
      <c r="S321" s="1"/>
      <c r="T321" s="1"/>
      <c r="U321" s="1"/>
      <c r="V321" s="1"/>
      <c r="W321" s="1"/>
      <c r="X321" s="1"/>
      <c r="Y321" s="1"/>
      <c r="Z321" s="1"/>
      <c r="AA321" s="1"/>
    </row>
    <row r="322" spans="1:27" ht="14.25" customHeight="1">
      <c r="A322" s="475"/>
      <c r="B322" s="476"/>
      <c r="C322" s="516"/>
      <c r="D322" s="467"/>
      <c r="E322" s="374"/>
      <c r="F322" s="367"/>
      <c r="G322" s="375"/>
      <c r="H322" s="513"/>
      <c r="I322" s="375"/>
      <c r="J322" s="1"/>
      <c r="K322" s="22"/>
      <c r="L322" s="1"/>
      <c r="M322" s="1"/>
      <c r="N322" s="1"/>
      <c r="O322" s="1"/>
      <c r="P322" s="1"/>
      <c r="Q322" s="1"/>
      <c r="R322" s="1"/>
      <c r="S322" s="1"/>
      <c r="T322" s="1"/>
      <c r="U322" s="1"/>
      <c r="V322" s="1"/>
      <c r="W322" s="1"/>
      <c r="X322" s="1"/>
      <c r="Y322" s="1"/>
      <c r="Z322" s="1"/>
      <c r="AA322" s="1"/>
    </row>
    <row r="323" spans="1:27" ht="14.25" customHeight="1">
      <c r="A323" s="596"/>
      <c r="B323" s="476"/>
      <c r="C323" s="578" t="s">
        <v>795</v>
      </c>
      <c r="D323" s="467"/>
      <c r="E323" s="519"/>
      <c r="F323" s="597"/>
      <c r="G323" s="375"/>
      <c r="H323" s="513"/>
      <c r="I323" s="375"/>
      <c r="J323" s="1"/>
      <c r="K323" s="22"/>
      <c r="L323" s="1"/>
      <c r="M323" s="1"/>
      <c r="N323" s="1"/>
      <c r="O323" s="1"/>
      <c r="P323" s="1"/>
      <c r="Q323" s="1"/>
      <c r="R323" s="1"/>
      <c r="S323" s="1"/>
      <c r="T323" s="1"/>
      <c r="U323" s="1"/>
      <c r="V323" s="1"/>
      <c r="W323" s="1"/>
      <c r="X323" s="1"/>
      <c r="Y323" s="1"/>
      <c r="Z323" s="1"/>
      <c r="AA323" s="1"/>
    </row>
    <row r="324" spans="1:27" ht="14.25" customHeight="1">
      <c r="A324" s="475"/>
      <c r="B324" s="476"/>
      <c r="C324" s="474"/>
      <c r="D324" s="467"/>
      <c r="E324" s="374"/>
      <c r="F324" s="367"/>
      <c r="G324" s="375"/>
      <c r="H324" s="513"/>
      <c r="I324" s="375"/>
      <c r="J324" s="1"/>
      <c r="K324" s="22"/>
      <c r="L324" s="1"/>
      <c r="M324" s="1"/>
      <c r="N324" s="1"/>
      <c r="O324" s="1"/>
      <c r="P324" s="1"/>
      <c r="Q324" s="1"/>
      <c r="R324" s="1"/>
      <c r="S324" s="1"/>
      <c r="T324" s="1"/>
      <c r="U324" s="1"/>
      <c r="V324" s="1"/>
      <c r="W324" s="1"/>
      <c r="X324" s="1"/>
      <c r="Y324" s="1"/>
      <c r="Z324" s="1"/>
      <c r="AA324" s="1"/>
    </row>
    <row r="325" spans="1:27" ht="14.25" customHeight="1">
      <c r="A325" s="475"/>
      <c r="B325" s="476"/>
      <c r="C325" s="577" t="s">
        <v>1164</v>
      </c>
      <c r="D325" s="467"/>
      <c r="E325" s="374"/>
      <c r="F325" s="554"/>
      <c r="G325" s="375"/>
      <c r="H325" s="513"/>
      <c r="I325" s="375"/>
      <c r="J325" s="1"/>
      <c r="K325" s="22"/>
      <c r="L325" s="1"/>
      <c r="M325" s="1"/>
      <c r="N325" s="1"/>
      <c r="O325" s="1"/>
      <c r="P325" s="1"/>
      <c r="Q325" s="1"/>
      <c r="R325" s="1"/>
      <c r="S325" s="1"/>
      <c r="T325" s="1"/>
      <c r="U325" s="1"/>
      <c r="V325" s="1"/>
      <c r="W325" s="1"/>
      <c r="X325" s="1"/>
      <c r="Y325" s="1"/>
      <c r="Z325" s="1"/>
      <c r="AA325" s="1"/>
    </row>
    <row r="326" spans="1:27" ht="14.25" customHeight="1">
      <c r="A326" s="475"/>
      <c r="B326" s="369"/>
      <c r="C326" s="474"/>
      <c r="D326" s="467"/>
      <c r="E326" s="374"/>
      <c r="F326" s="367"/>
      <c r="G326" s="368"/>
      <c r="H326" s="513"/>
      <c r="I326" s="375"/>
      <c r="J326" s="1"/>
      <c r="K326" s="22"/>
      <c r="L326" s="1"/>
      <c r="M326" s="1"/>
      <c r="N326" s="1"/>
      <c r="O326" s="1"/>
      <c r="P326" s="1"/>
      <c r="Q326" s="1"/>
      <c r="R326" s="1"/>
      <c r="S326" s="1"/>
      <c r="T326" s="1"/>
      <c r="U326" s="1"/>
      <c r="V326" s="1"/>
      <c r="W326" s="1"/>
      <c r="X326" s="1"/>
      <c r="Y326" s="1"/>
      <c r="Z326" s="1"/>
      <c r="AA326" s="1"/>
    </row>
    <row r="327" spans="1:27" ht="96.6">
      <c r="A327" s="475" t="s">
        <v>22</v>
      </c>
      <c r="B327" s="476"/>
      <c r="C327" s="474" t="s">
        <v>1165</v>
      </c>
      <c r="D327" s="467"/>
      <c r="E327" s="366">
        <v>1985</v>
      </c>
      <c r="F327" s="367" t="s">
        <v>24</v>
      </c>
      <c r="G327" s="368">
        <v>4.8</v>
      </c>
      <c r="H327" s="513">
        <f>+G327*E327</f>
        <v>9528</v>
      </c>
      <c r="I327" s="375"/>
      <c r="J327" s="1"/>
      <c r="K327" s="22">
        <f>Finishesh!W258</f>
        <v>3281.8619660000013</v>
      </c>
      <c r="L327" s="1"/>
      <c r="M327" s="1"/>
      <c r="N327" s="1"/>
      <c r="O327" s="1"/>
      <c r="P327" s="1"/>
      <c r="Q327" s="1"/>
      <c r="R327" s="1"/>
      <c r="S327" s="1"/>
      <c r="T327" s="1"/>
      <c r="U327" s="1"/>
      <c r="V327" s="1"/>
      <c r="W327" s="1"/>
      <c r="X327" s="1"/>
      <c r="Y327" s="1"/>
      <c r="Z327" s="1"/>
      <c r="AA327" s="1"/>
    </row>
    <row r="328" spans="1:27" ht="14.25" customHeight="1">
      <c r="A328" s="475"/>
      <c r="B328" s="369"/>
      <c r="C328" s="474"/>
      <c r="D328" s="467"/>
      <c r="E328" s="374"/>
      <c r="F328" s="367"/>
      <c r="G328" s="368"/>
      <c r="H328" s="513"/>
      <c r="I328" s="375"/>
      <c r="J328" s="1"/>
      <c r="K328" s="22"/>
      <c r="L328" s="1"/>
      <c r="M328" s="1"/>
      <c r="N328" s="1"/>
      <c r="O328" s="1"/>
      <c r="P328" s="1"/>
      <c r="Q328" s="1"/>
      <c r="R328" s="1"/>
      <c r="S328" s="1"/>
      <c r="T328" s="1"/>
      <c r="U328" s="1"/>
      <c r="V328" s="1"/>
      <c r="W328" s="1"/>
      <c r="X328" s="1"/>
      <c r="Y328" s="1"/>
      <c r="Z328" s="1"/>
      <c r="AA328" s="1"/>
    </row>
    <row r="329" spans="1:27" ht="14.25" customHeight="1">
      <c r="A329" s="551"/>
      <c r="B329" s="16"/>
      <c r="C329" s="783" t="s">
        <v>35</v>
      </c>
      <c r="D329" s="17"/>
      <c r="E329" s="30"/>
      <c r="F329" s="424"/>
      <c r="G329" s="772" t="s">
        <v>36</v>
      </c>
      <c r="H329" s="521"/>
      <c r="I329" s="382"/>
      <c r="J329" s="1"/>
      <c r="K329" s="22"/>
      <c r="L329" s="1"/>
      <c r="M329" s="1"/>
      <c r="N329" s="1"/>
      <c r="O329" s="1"/>
      <c r="P329" s="1"/>
      <c r="Q329" s="1"/>
      <c r="R329" s="1"/>
      <c r="S329" s="1"/>
      <c r="T329" s="1"/>
      <c r="U329" s="1"/>
      <c r="V329" s="1"/>
      <c r="W329" s="1"/>
      <c r="X329" s="1"/>
      <c r="Y329" s="1"/>
      <c r="Z329" s="1"/>
      <c r="AA329" s="1"/>
    </row>
    <row r="330" spans="1:27" ht="14.25" customHeight="1">
      <c r="A330" s="598"/>
      <c r="B330" s="534"/>
      <c r="C330" s="786"/>
      <c r="D330" s="535"/>
      <c r="E330" s="536"/>
      <c r="F330" s="537"/>
      <c r="G330" s="788"/>
      <c r="H330" s="538">
        <f>SUM(H327:H329)</f>
        <v>9528</v>
      </c>
      <c r="I330" s="382"/>
      <c r="J330" s="1"/>
      <c r="K330" s="22"/>
      <c r="L330" s="1"/>
      <c r="M330" s="1"/>
      <c r="N330" s="1"/>
      <c r="O330" s="1"/>
      <c r="P330" s="1"/>
      <c r="Q330" s="1"/>
      <c r="R330" s="1"/>
      <c r="S330" s="1"/>
      <c r="T330" s="1"/>
      <c r="U330" s="1"/>
      <c r="V330" s="1"/>
      <c r="W330" s="1"/>
      <c r="X330" s="1"/>
      <c r="Y330" s="1"/>
      <c r="Z330" s="1"/>
      <c r="AA330" s="1"/>
    </row>
    <row r="331" spans="1:27" ht="14.25" customHeight="1">
      <c r="A331" s="539"/>
      <c r="B331" s="540"/>
      <c r="C331" s="564"/>
      <c r="D331" s="565"/>
      <c r="E331" s="575"/>
      <c r="F331" s="543"/>
      <c r="G331" s="576"/>
      <c r="H331" s="545"/>
      <c r="I331" s="375"/>
      <c r="J331" s="1"/>
      <c r="K331" s="22"/>
      <c r="L331" s="1"/>
      <c r="M331" s="1"/>
      <c r="N331" s="1"/>
      <c r="O331" s="1"/>
      <c r="P331" s="1"/>
      <c r="Q331" s="1"/>
      <c r="R331" s="1"/>
      <c r="S331" s="1"/>
      <c r="T331" s="1"/>
      <c r="U331" s="1"/>
      <c r="V331" s="1"/>
      <c r="W331" s="1"/>
      <c r="X331" s="1"/>
      <c r="Y331" s="1"/>
      <c r="Z331" s="1"/>
      <c r="AA331" s="1"/>
    </row>
    <row r="332" spans="1:27" ht="14.25" customHeight="1">
      <c r="A332" s="465"/>
      <c r="B332" s="369"/>
      <c r="C332" s="514" t="s">
        <v>132</v>
      </c>
      <c r="D332" s="467"/>
      <c r="E332" s="377"/>
      <c r="F332" s="378"/>
      <c r="G332" s="368"/>
      <c r="H332" s="513"/>
      <c r="I332" s="375"/>
      <c r="J332" s="1"/>
      <c r="K332" s="22"/>
      <c r="L332" s="1"/>
      <c r="M332" s="1"/>
      <c r="N332" s="1"/>
      <c r="O332" s="1"/>
      <c r="P332" s="1"/>
      <c r="Q332" s="1"/>
      <c r="R332" s="1"/>
      <c r="S332" s="1"/>
      <c r="T332" s="1"/>
      <c r="U332" s="1"/>
      <c r="V332" s="1"/>
      <c r="W332" s="1"/>
      <c r="X332" s="1"/>
      <c r="Y332" s="1"/>
      <c r="Z332" s="1"/>
      <c r="AA332" s="1"/>
    </row>
    <row r="333" spans="1:27" ht="14.25" customHeight="1">
      <c r="A333" s="465"/>
      <c r="B333" s="369"/>
      <c r="C333" s="474"/>
      <c r="D333" s="467"/>
      <c r="E333" s="377"/>
      <c r="F333" s="378"/>
      <c r="G333" s="368"/>
      <c r="H333" s="513"/>
      <c r="I333" s="375"/>
      <c r="J333" s="1"/>
      <c r="K333" s="22"/>
      <c r="L333" s="1"/>
      <c r="M333" s="1"/>
      <c r="N333" s="1"/>
      <c r="O333" s="1"/>
      <c r="P333" s="1"/>
      <c r="Q333" s="1"/>
      <c r="R333" s="1"/>
      <c r="S333" s="1"/>
      <c r="T333" s="1"/>
      <c r="U333" s="1"/>
      <c r="V333" s="1"/>
      <c r="W333" s="1"/>
      <c r="X333" s="1"/>
      <c r="Y333" s="1"/>
      <c r="Z333" s="1"/>
      <c r="AA333" s="1"/>
    </row>
    <row r="334" spans="1:27" ht="14.25" customHeight="1">
      <c r="A334" s="391"/>
      <c r="B334" s="242"/>
      <c r="C334" s="590"/>
      <c r="D334" s="587"/>
      <c r="E334" s="393"/>
      <c r="F334" s="245"/>
      <c r="G334" s="403"/>
      <c r="H334" s="404"/>
      <c r="I334" s="375"/>
      <c r="J334" s="1"/>
      <c r="K334" s="22"/>
      <c r="L334" s="1"/>
      <c r="M334" s="1"/>
      <c r="N334" s="1"/>
      <c r="O334" s="1"/>
      <c r="P334" s="1"/>
      <c r="Q334" s="1"/>
      <c r="R334" s="1"/>
      <c r="S334" s="1"/>
      <c r="T334" s="1"/>
      <c r="U334" s="1"/>
      <c r="V334" s="1"/>
      <c r="W334" s="1"/>
      <c r="X334" s="1"/>
      <c r="Y334" s="1"/>
      <c r="Z334" s="1"/>
      <c r="AA334" s="1"/>
    </row>
    <row r="335" spans="1:27" ht="21.6" customHeight="1">
      <c r="A335" s="397"/>
      <c r="B335" s="588"/>
      <c r="C335" s="589" t="s">
        <v>133</v>
      </c>
      <c r="D335" s="587"/>
      <c r="E335" s="396"/>
      <c r="F335" s="252"/>
      <c r="G335" s="414"/>
      <c r="H335" s="404"/>
      <c r="I335" s="375"/>
      <c r="J335" s="1"/>
      <c r="K335" s="22">
        <f>Finishesh!L258</f>
        <v>230.17259999999999</v>
      </c>
      <c r="L335" s="1"/>
      <c r="M335" s="1"/>
      <c r="N335" s="1"/>
      <c r="O335" s="1"/>
      <c r="P335" s="1"/>
      <c r="Q335" s="1"/>
      <c r="R335" s="1"/>
      <c r="S335" s="1"/>
      <c r="T335" s="1"/>
      <c r="U335" s="1"/>
      <c r="V335" s="1"/>
      <c r="W335" s="1"/>
      <c r="X335" s="1"/>
      <c r="Y335" s="1"/>
      <c r="Z335" s="1"/>
      <c r="AA335" s="1"/>
    </row>
    <row r="336" spans="1:27" ht="13.8">
      <c r="A336" s="391"/>
      <c r="B336" s="242"/>
      <c r="C336" s="590"/>
      <c r="D336" s="587"/>
      <c r="E336" s="393"/>
      <c r="F336" s="245"/>
      <c r="G336" s="403"/>
      <c r="H336" s="404"/>
      <c r="I336" s="387"/>
      <c r="J336" s="1"/>
      <c r="K336" s="22">
        <f>Finishesh!U258</f>
        <v>11737.802004841868</v>
      </c>
      <c r="L336" s="1"/>
      <c r="M336" s="1"/>
      <c r="N336" s="1"/>
      <c r="O336" s="1"/>
      <c r="P336" s="1"/>
      <c r="Q336" s="1"/>
      <c r="R336" s="1"/>
      <c r="S336" s="1"/>
      <c r="T336" s="1"/>
      <c r="U336" s="1"/>
      <c r="V336" s="1"/>
      <c r="W336" s="1"/>
      <c r="X336" s="1"/>
      <c r="Y336" s="1"/>
      <c r="Z336" s="1"/>
      <c r="AA336" s="1"/>
    </row>
    <row r="337" spans="1:27" ht="96.6">
      <c r="A337" s="405" t="s">
        <v>22</v>
      </c>
      <c r="B337" s="591"/>
      <c r="C337" s="592" t="s">
        <v>1232</v>
      </c>
      <c r="D337" s="593"/>
      <c r="E337" s="406">
        <v>2624.5709999999999</v>
      </c>
      <c r="F337" s="407" t="s">
        <v>1225</v>
      </c>
      <c r="G337" s="408">
        <v>5</v>
      </c>
      <c r="H337" s="409">
        <f>+G337*E337</f>
        <v>13122.855</v>
      </c>
      <c r="I337" s="375"/>
      <c r="J337" s="1"/>
      <c r="K337" s="22">
        <f>Finishesh!L258</f>
        <v>230.17259999999999</v>
      </c>
      <c r="L337" s="1"/>
      <c r="M337" s="1"/>
      <c r="N337" s="1"/>
      <c r="O337" s="1"/>
      <c r="P337" s="1"/>
      <c r="Q337" s="1"/>
      <c r="R337" s="1"/>
      <c r="S337" s="1"/>
      <c r="T337" s="1"/>
      <c r="U337" s="1"/>
      <c r="V337" s="1"/>
      <c r="W337" s="1"/>
      <c r="X337" s="1"/>
      <c r="Y337" s="1"/>
      <c r="Z337" s="1"/>
      <c r="AA337" s="1"/>
    </row>
    <row r="338" spans="1:27" ht="14.25" customHeight="1">
      <c r="A338" s="391"/>
      <c r="B338" s="242"/>
      <c r="C338" s="590"/>
      <c r="D338" s="587"/>
      <c r="E338" s="393"/>
      <c r="F338" s="245"/>
      <c r="G338" s="403"/>
      <c r="H338" s="404"/>
      <c r="I338" s="375"/>
      <c r="J338" s="1"/>
      <c r="K338" s="22"/>
      <c r="L338" s="1"/>
      <c r="M338" s="1"/>
      <c r="N338" s="1"/>
      <c r="O338" s="1"/>
      <c r="P338" s="1"/>
      <c r="Q338" s="1"/>
      <c r="R338" s="1"/>
      <c r="S338" s="1"/>
      <c r="T338" s="1"/>
      <c r="U338" s="1"/>
      <c r="V338" s="1"/>
      <c r="W338" s="1"/>
      <c r="X338" s="1"/>
      <c r="Y338" s="1"/>
      <c r="Z338" s="1"/>
      <c r="AA338" s="1"/>
    </row>
    <row r="339" spans="1:27" ht="82.8">
      <c r="A339" s="397" t="s">
        <v>25</v>
      </c>
      <c r="B339" s="588"/>
      <c r="C339" s="599" t="s">
        <v>1233</v>
      </c>
      <c r="D339" s="587"/>
      <c r="E339" s="398">
        <f>+Finishesh!N258</f>
        <v>3816.4806660000008</v>
      </c>
      <c r="F339" s="252" t="s">
        <v>1225</v>
      </c>
      <c r="G339" s="399">
        <v>5</v>
      </c>
      <c r="H339" s="254">
        <f>+G339*E339</f>
        <v>19082.403330000005</v>
      </c>
      <c r="I339" s="387"/>
      <c r="J339" s="1"/>
      <c r="K339" s="22">
        <f>Finishesh!N258</f>
        <v>3816.4806660000008</v>
      </c>
      <c r="L339" s="1"/>
      <c r="M339" s="1"/>
      <c r="N339" s="1"/>
      <c r="O339" s="1"/>
      <c r="P339" s="1"/>
      <c r="Q339" s="1"/>
      <c r="R339" s="1"/>
      <c r="S339" s="1"/>
      <c r="T339" s="1"/>
      <c r="U339" s="1"/>
      <c r="V339" s="1"/>
      <c r="W339" s="1"/>
      <c r="X339" s="1"/>
      <c r="Y339" s="1"/>
      <c r="Z339" s="1"/>
      <c r="AA339" s="1"/>
    </row>
    <row r="340" spans="1:27" ht="14.25" customHeight="1">
      <c r="A340" s="391"/>
      <c r="B340" s="588"/>
      <c r="C340" s="590"/>
      <c r="D340" s="587"/>
      <c r="E340" s="393"/>
      <c r="F340" s="245"/>
      <c r="G340" s="403"/>
      <c r="H340" s="404"/>
      <c r="I340" s="375"/>
      <c r="J340" s="1"/>
      <c r="K340" s="22"/>
      <c r="L340" s="1"/>
      <c r="M340" s="1"/>
      <c r="N340" s="1"/>
      <c r="O340" s="1"/>
      <c r="P340" s="1"/>
      <c r="Q340" s="1"/>
      <c r="R340" s="1"/>
      <c r="S340" s="1"/>
      <c r="T340" s="1"/>
      <c r="U340" s="1"/>
      <c r="V340" s="1"/>
      <c r="W340" s="1"/>
      <c r="X340" s="1"/>
      <c r="Y340" s="1"/>
      <c r="Z340" s="1"/>
      <c r="AA340" s="1"/>
    </row>
    <row r="341" spans="1:27" ht="14.25" customHeight="1">
      <c r="A341" s="397" t="s">
        <v>28</v>
      </c>
      <c r="B341" s="588"/>
      <c r="C341" s="590" t="s">
        <v>134</v>
      </c>
      <c r="D341" s="587"/>
      <c r="E341" s="398">
        <v>880.29899999999998</v>
      </c>
      <c r="F341" s="252" t="s">
        <v>95</v>
      </c>
      <c r="G341" s="399">
        <v>1.5</v>
      </c>
      <c r="H341" s="254">
        <f>+G341*E341</f>
        <v>1320.4485</v>
      </c>
      <c r="I341" s="375"/>
      <c r="J341" s="1"/>
      <c r="K341" s="22"/>
      <c r="L341" s="1"/>
      <c r="M341" s="1"/>
      <c r="N341" s="1"/>
      <c r="O341" s="1"/>
      <c r="P341" s="1"/>
      <c r="Q341" s="1"/>
      <c r="R341" s="1"/>
      <c r="S341" s="1"/>
      <c r="T341" s="1"/>
      <c r="U341" s="1"/>
      <c r="V341" s="1"/>
      <c r="W341" s="1"/>
      <c r="X341" s="1"/>
      <c r="Y341" s="1"/>
      <c r="Z341" s="1"/>
      <c r="AA341" s="1"/>
    </row>
    <row r="342" spans="1:27" ht="13.8">
      <c r="A342" s="397"/>
      <c r="B342" s="588"/>
      <c r="C342" s="590"/>
      <c r="D342" s="587"/>
      <c r="E342" s="400"/>
      <c r="F342" s="252"/>
      <c r="G342" s="414"/>
      <c r="H342" s="404"/>
      <c r="I342" s="375"/>
      <c r="J342" s="1"/>
      <c r="K342" s="22">
        <f>Finishesh!P258</f>
        <v>17.972999999999999</v>
      </c>
      <c r="L342" s="1"/>
      <c r="M342" s="1"/>
      <c r="N342" s="1"/>
      <c r="O342" s="1"/>
      <c r="P342" s="1"/>
      <c r="Q342" s="1"/>
      <c r="R342" s="1"/>
      <c r="S342" s="1"/>
      <c r="T342" s="1"/>
      <c r="U342" s="1"/>
      <c r="V342" s="1"/>
      <c r="W342" s="1"/>
      <c r="X342" s="1"/>
      <c r="Y342" s="1"/>
      <c r="Z342" s="1"/>
      <c r="AA342" s="1"/>
    </row>
    <row r="343" spans="1:27" ht="96.6">
      <c r="A343" s="405" t="s">
        <v>31</v>
      </c>
      <c r="B343" s="591"/>
      <c r="C343" s="600" t="s">
        <v>1234</v>
      </c>
      <c r="D343" s="593"/>
      <c r="E343" s="406">
        <f>+Finishesh!O258</f>
        <v>657.78520000000003</v>
      </c>
      <c r="F343" s="407" t="s">
        <v>1225</v>
      </c>
      <c r="G343" s="408">
        <v>4.5</v>
      </c>
      <c r="H343" s="409">
        <f>+G343*E343</f>
        <v>2960.0334000000003</v>
      </c>
      <c r="I343" s="375"/>
      <c r="J343" s="1"/>
      <c r="K343" s="22">
        <f>Finishesh!Q258</f>
        <v>12.8</v>
      </c>
      <c r="L343" s="1"/>
      <c r="M343" s="1"/>
      <c r="N343" s="1"/>
      <c r="O343" s="1"/>
      <c r="P343" s="1"/>
      <c r="Q343" s="1"/>
      <c r="R343" s="1"/>
      <c r="S343" s="1"/>
      <c r="T343" s="1"/>
      <c r="U343" s="1"/>
      <c r="V343" s="1"/>
      <c r="W343" s="1"/>
      <c r="X343" s="1"/>
      <c r="Y343" s="1"/>
      <c r="Z343" s="1"/>
      <c r="AA343" s="1"/>
    </row>
    <row r="344" spans="1:27" ht="13.8">
      <c r="A344" s="475"/>
      <c r="B344" s="476"/>
      <c r="C344" s="474"/>
      <c r="D344" s="467"/>
      <c r="E344" s="366"/>
      <c r="F344" s="367"/>
      <c r="G344" s="368"/>
      <c r="H344" s="513"/>
      <c r="I344" s="375"/>
      <c r="J344" s="1"/>
      <c r="K344" s="22">
        <f>Finishesh!Q259</f>
        <v>0</v>
      </c>
      <c r="L344" s="1"/>
      <c r="M344" s="1"/>
      <c r="N344" s="1"/>
      <c r="O344" s="1"/>
      <c r="P344" s="1"/>
      <c r="Q344" s="1"/>
      <c r="R344" s="1"/>
      <c r="S344" s="1"/>
      <c r="T344" s="702"/>
      <c r="U344" s="1"/>
      <c r="V344" s="1"/>
      <c r="W344" s="1"/>
      <c r="X344" s="1"/>
      <c r="Y344" s="1"/>
      <c r="Z344" s="1"/>
      <c r="AA344" s="1"/>
    </row>
    <row r="345" spans="1:27" ht="14.25" customHeight="1">
      <c r="A345" s="475" t="s">
        <v>32</v>
      </c>
      <c r="B345" s="476"/>
      <c r="C345" s="474" t="s">
        <v>1247</v>
      </c>
      <c r="D345" s="467"/>
      <c r="E345" s="422">
        <f>+Finishesh!L258</f>
        <v>230.17259999999999</v>
      </c>
      <c r="F345" s="407" t="s">
        <v>1225</v>
      </c>
      <c r="G345" s="408">
        <v>5.8</v>
      </c>
      <c r="H345" s="409">
        <f>+G345*E345</f>
        <v>1335.00108</v>
      </c>
      <c r="I345" s="375"/>
      <c r="J345" s="1"/>
      <c r="K345" s="22"/>
      <c r="L345" s="1"/>
      <c r="M345" s="1"/>
      <c r="N345" s="1"/>
      <c r="O345" s="1"/>
      <c r="P345" s="1"/>
      <c r="Q345" s="1"/>
      <c r="R345" s="1"/>
      <c r="S345" s="1"/>
      <c r="T345" s="1"/>
      <c r="U345" s="1"/>
      <c r="V345" s="1"/>
      <c r="W345" s="1"/>
      <c r="X345" s="1"/>
      <c r="Y345" s="1"/>
      <c r="Z345" s="1"/>
      <c r="AA345" s="1"/>
    </row>
    <row r="346" spans="1:27" ht="14.25" customHeight="1">
      <c r="A346" s="475"/>
      <c r="B346" s="476"/>
      <c r="C346" s="474"/>
      <c r="D346" s="467"/>
      <c r="E346" s="359"/>
      <c r="F346" s="360"/>
      <c r="G346" s="375"/>
      <c r="H346" s="513"/>
      <c r="I346" s="375"/>
      <c r="J346" s="1"/>
      <c r="K346" s="22"/>
      <c r="L346" s="1"/>
      <c r="M346" s="1"/>
      <c r="N346" s="1"/>
      <c r="O346" s="1"/>
      <c r="P346" s="1"/>
      <c r="Q346" s="1"/>
      <c r="R346" s="1"/>
      <c r="S346" s="1"/>
      <c r="T346" s="1"/>
      <c r="U346" s="1"/>
      <c r="V346" s="1"/>
      <c r="W346" s="1"/>
      <c r="X346" s="1"/>
      <c r="Y346" s="1"/>
      <c r="Z346" s="1"/>
      <c r="AA346" s="1"/>
    </row>
    <row r="347" spans="1:27" ht="14.25" customHeight="1">
      <c r="A347" s="551"/>
      <c r="B347" s="16"/>
      <c r="C347" s="771" t="s">
        <v>35</v>
      </c>
      <c r="D347" s="29"/>
      <c r="E347" s="30"/>
      <c r="F347" s="417"/>
      <c r="G347" s="772" t="s">
        <v>36</v>
      </c>
      <c r="H347" s="521"/>
      <c r="I347" s="382"/>
      <c r="J347" s="1"/>
      <c r="K347" s="22"/>
      <c r="L347" s="1"/>
      <c r="M347" s="1"/>
      <c r="N347" s="1"/>
      <c r="O347" s="1"/>
      <c r="P347" s="1"/>
      <c r="Q347" s="1"/>
      <c r="R347" s="1"/>
      <c r="S347" s="1"/>
      <c r="T347" s="1"/>
      <c r="U347" s="1"/>
      <c r="V347" s="1"/>
      <c r="W347" s="1"/>
      <c r="X347" s="1"/>
      <c r="Y347" s="1"/>
      <c r="Z347" s="1"/>
      <c r="AA347" s="1"/>
    </row>
    <row r="348" spans="1:27" ht="14.25" customHeight="1">
      <c r="A348" s="598"/>
      <c r="B348" s="534"/>
      <c r="C348" s="774"/>
      <c r="D348" s="559"/>
      <c r="E348" s="560"/>
      <c r="F348" s="561"/>
      <c r="G348" s="775"/>
      <c r="H348" s="538">
        <f>SUM(H336:H347)</f>
        <v>37820.741310000005</v>
      </c>
      <c r="I348" s="382"/>
      <c r="J348" s="1"/>
      <c r="K348" s="22"/>
      <c r="L348" s="1"/>
      <c r="M348" s="1"/>
      <c r="N348" s="1"/>
      <c r="O348" s="1"/>
      <c r="P348" s="1"/>
      <c r="Q348" s="1"/>
      <c r="R348" s="1"/>
      <c r="S348" s="1"/>
      <c r="T348" s="1"/>
      <c r="U348" s="1"/>
      <c r="V348" s="1"/>
      <c r="W348" s="1"/>
      <c r="X348" s="1"/>
      <c r="Y348" s="1"/>
      <c r="Z348" s="1"/>
      <c r="AA348" s="1"/>
    </row>
    <row r="349" spans="1:27" ht="14.25" customHeight="1">
      <c r="A349" s="465"/>
      <c r="B349" s="369"/>
      <c r="C349" s="474"/>
      <c r="D349" s="467"/>
      <c r="E349" s="377"/>
      <c r="F349" s="378"/>
      <c r="G349" s="368"/>
      <c r="H349" s="513"/>
      <c r="I349" s="375"/>
      <c r="J349" s="1"/>
      <c r="K349" s="22"/>
      <c r="L349" s="1"/>
      <c r="M349" s="1"/>
      <c r="N349" s="1"/>
      <c r="O349" s="1"/>
      <c r="P349" s="1"/>
      <c r="Q349" s="1"/>
      <c r="R349" s="1"/>
      <c r="S349" s="1"/>
      <c r="T349" s="1"/>
      <c r="U349" s="1"/>
      <c r="V349" s="1"/>
      <c r="W349" s="1"/>
      <c r="X349" s="1"/>
      <c r="Y349" s="1"/>
      <c r="Z349" s="1"/>
      <c r="AA349" s="1"/>
    </row>
    <row r="350" spans="1:27" ht="14.25" customHeight="1">
      <c r="A350" s="475"/>
      <c r="B350" s="476"/>
      <c r="C350" s="466" t="s">
        <v>1240</v>
      </c>
      <c r="D350" s="467"/>
      <c r="E350" s="374"/>
      <c r="F350" s="367"/>
      <c r="G350" s="368"/>
      <c r="H350" s="513"/>
      <c r="I350" s="375"/>
      <c r="J350" s="1"/>
      <c r="K350" s="22"/>
      <c r="L350" s="1"/>
      <c r="M350" s="1"/>
      <c r="N350" s="1"/>
      <c r="O350" s="1"/>
      <c r="P350" s="1"/>
      <c r="Q350" s="1"/>
      <c r="R350" s="1"/>
      <c r="S350" s="1"/>
      <c r="T350" s="1"/>
      <c r="U350" s="1"/>
      <c r="V350" s="1"/>
      <c r="W350" s="1"/>
      <c r="X350" s="1"/>
      <c r="Y350" s="1"/>
      <c r="Z350" s="1"/>
      <c r="AA350" s="1"/>
    </row>
    <row r="351" spans="1:27" ht="14.25" customHeight="1">
      <c r="A351" s="475"/>
      <c r="B351" s="476"/>
      <c r="C351" s="474"/>
      <c r="D351" s="467"/>
      <c r="E351" s="374"/>
      <c r="F351" s="367"/>
      <c r="G351" s="368"/>
      <c r="H351" s="513"/>
      <c r="I351" s="375"/>
      <c r="J351" s="1"/>
      <c r="K351" s="22"/>
      <c r="L351" s="1"/>
      <c r="M351" s="1"/>
      <c r="N351" s="1"/>
      <c r="O351" s="1"/>
      <c r="P351" s="1"/>
      <c r="Q351" s="1"/>
      <c r="R351" s="1"/>
      <c r="S351" s="1"/>
      <c r="T351" s="1"/>
      <c r="U351" s="1"/>
      <c r="V351" s="1"/>
      <c r="W351" s="1"/>
      <c r="X351" s="1"/>
      <c r="Y351" s="1"/>
      <c r="Z351" s="1"/>
      <c r="AA351" s="1"/>
    </row>
    <row r="352" spans="1:27" ht="27.6">
      <c r="A352" s="475" t="s">
        <v>22</v>
      </c>
      <c r="B352" s="476"/>
      <c r="C352" s="474" t="s">
        <v>1235</v>
      </c>
      <c r="D352" s="467"/>
      <c r="E352" s="366">
        <v>298</v>
      </c>
      <c r="F352" s="367" t="s">
        <v>1236</v>
      </c>
      <c r="G352" s="368">
        <v>3</v>
      </c>
      <c r="H352" s="513">
        <f>+G352*E352</f>
        <v>894</v>
      </c>
      <c r="I352" s="375"/>
      <c r="J352" s="1"/>
      <c r="K352" s="22">
        <f>Finishesh!K262*2</f>
        <v>320</v>
      </c>
      <c r="L352" s="1"/>
      <c r="M352" s="1"/>
      <c r="N352" s="1"/>
      <c r="O352" s="1"/>
      <c r="P352" s="1"/>
      <c r="Q352" s="1"/>
      <c r="R352" s="1"/>
      <c r="S352" s="1"/>
      <c r="T352" s="1"/>
      <c r="U352" s="1"/>
      <c r="V352" s="1"/>
      <c r="W352" s="1"/>
      <c r="X352" s="1"/>
      <c r="Y352" s="1"/>
      <c r="Z352" s="1"/>
      <c r="AA352" s="1"/>
    </row>
    <row r="353" spans="1:27" ht="14.25" customHeight="1">
      <c r="A353" s="475"/>
      <c r="B353" s="476"/>
      <c r="C353" s="474"/>
      <c r="D353" s="467"/>
      <c r="E353" s="374"/>
      <c r="F353" s="367"/>
      <c r="G353" s="375"/>
      <c r="H353" s="513"/>
      <c r="I353" s="375"/>
      <c r="J353" s="1"/>
      <c r="K353" s="22"/>
      <c r="L353" s="1"/>
      <c r="M353" s="1"/>
      <c r="N353" s="1"/>
      <c r="O353" s="1"/>
      <c r="P353" s="1"/>
      <c r="Q353" s="1"/>
      <c r="R353" s="1"/>
      <c r="S353" s="1"/>
      <c r="T353" s="1"/>
      <c r="U353" s="1"/>
      <c r="V353" s="1"/>
      <c r="W353" s="1"/>
      <c r="X353" s="1"/>
      <c r="Y353" s="1"/>
      <c r="Z353" s="1"/>
      <c r="AA353" s="1"/>
    </row>
    <row r="354" spans="1:27" ht="14.25" customHeight="1">
      <c r="A354" s="475"/>
      <c r="B354" s="476"/>
      <c r="C354" s="474"/>
      <c r="D354" s="467"/>
      <c r="E354" s="374"/>
      <c r="F354" s="367"/>
      <c r="G354" s="601"/>
      <c r="H354" s="513"/>
      <c r="I354" s="375"/>
      <c r="J354" s="1"/>
      <c r="K354" s="22"/>
      <c r="L354" s="1"/>
      <c r="M354" s="1"/>
      <c r="N354" s="1"/>
      <c r="O354" s="1"/>
      <c r="P354" s="1"/>
      <c r="Q354" s="1"/>
      <c r="R354" s="1"/>
      <c r="S354" s="1"/>
      <c r="T354" s="1"/>
      <c r="U354" s="1"/>
      <c r="V354" s="1"/>
      <c r="W354" s="1"/>
      <c r="X354" s="1"/>
      <c r="Y354" s="1"/>
      <c r="Z354" s="1"/>
      <c r="AA354" s="1"/>
    </row>
    <row r="355" spans="1:27" ht="13.8">
      <c r="A355" s="475"/>
      <c r="B355" s="476"/>
      <c r="C355" s="474"/>
      <c r="D355" s="467"/>
      <c r="E355" s="366"/>
      <c r="F355" s="367"/>
      <c r="G355" s="368"/>
      <c r="H355" s="513"/>
      <c r="I355" s="375"/>
      <c r="J355" s="1"/>
      <c r="K355" s="22">
        <v>128</v>
      </c>
      <c r="L355" s="1"/>
      <c r="M355" s="1"/>
      <c r="N355" s="1"/>
      <c r="O355" s="1"/>
      <c r="P355" s="1"/>
      <c r="Q355" s="1"/>
      <c r="R355" s="1"/>
      <c r="S355" s="1"/>
      <c r="T355" s="1"/>
      <c r="U355" s="1"/>
      <c r="V355" s="1"/>
      <c r="W355" s="1"/>
      <c r="X355" s="1"/>
      <c r="Y355" s="1"/>
      <c r="Z355" s="1"/>
      <c r="AA355" s="1"/>
    </row>
    <row r="356" spans="1:27" ht="14.25" customHeight="1">
      <c r="A356" s="475"/>
      <c r="B356" s="476"/>
      <c r="C356" s="474"/>
      <c r="D356" s="467"/>
      <c r="E356" s="374"/>
      <c r="F356" s="367"/>
      <c r="G356" s="375"/>
      <c r="H356" s="513"/>
      <c r="I356" s="375"/>
      <c r="J356" s="3"/>
      <c r="K356" s="24"/>
      <c r="L356" s="3"/>
      <c r="M356" s="3"/>
      <c r="N356" s="3"/>
      <c r="O356" s="3"/>
      <c r="P356" s="3"/>
      <c r="Q356" s="3"/>
      <c r="R356" s="3"/>
      <c r="S356" s="3"/>
      <c r="T356" s="3"/>
      <c r="U356" s="3"/>
      <c r="V356" s="3"/>
      <c r="W356" s="3"/>
      <c r="X356" s="3"/>
      <c r="Y356" s="3"/>
      <c r="Z356" s="3"/>
      <c r="AA356" s="3"/>
    </row>
    <row r="357" spans="1:27" ht="14.25" customHeight="1">
      <c r="A357" s="475"/>
      <c r="B357" s="476"/>
      <c r="C357" s="514" t="s">
        <v>136</v>
      </c>
      <c r="D357" s="467"/>
      <c r="E357" s="519"/>
      <c r="F357" s="367"/>
      <c r="G357" s="375"/>
      <c r="H357" s="513"/>
      <c r="I357" s="375"/>
      <c r="J357" s="3"/>
      <c r="K357" s="24"/>
      <c r="L357" s="3"/>
      <c r="M357" s="3"/>
      <c r="N357" s="3"/>
      <c r="O357" s="3"/>
      <c r="P357" s="3"/>
      <c r="Q357" s="3"/>
      <c r="R357" s="3"/>
      <c r="S357" s="3"/>
      <c r="T357" s="3"/>
      <c r="U357" s="3"/>
      <c r="V357" s="3"/>
      <c r="W357" s="3"/>
      <c r="X357" s="3"/>
      <c r="Y357" s="3"/>
      <c r="Z357" s="3"/>
      <c r="AA357" s="3"/>
    </row>
    <row r="358" spans="1:27" ht="92.4">
      <c r="A358" s="475" t="s">
        <v>32</v>
      </c>
      <c r="B358" s="476"/>
      <c r="C358" s="473" t="s">
        <v>1231</v>
      </c>
      <c r="D358" s="467"/>
      <c r="E358" s="374"/>
      <c r="F358" s="367"/>
      <c r="G358" s="375"/>
      <c r="H358" s="513"/>
      <c r="I358" s="375"/>
      <c r="J358" s="3"/>
      <c r="K358" s="24"/>
      <c r="L358" s="3"/>
      <c r="M358" s="3"/>
      <c r="N358" s="3"/>
      <c r="O358" s="3"/>
      <c r="P358" s="3"/>
      <c r="Q358" s="3"/>
      <c r="R358" s="3"/>
      <c r="S358" s="3"/>
      <c r="T358" s="3"/>
      <c r="U358" s="3"/>
      <c r="V358" s="3"/>
      <c r="W358" s="3"/>
      <c r="X358" s="3"/>
      <c r="Y358" s="3"/>
      <c r="Z358" s="3"/>
      <c r="AA358" s="3"/>
    </row>
    <row r="359" spans="1:27" ht="14.25" customHeight="1">
      <c r="A359" s="475"/>
      <c r="B359" s="476"/>
      <c r="C359" s="474"/>
      <c r="D359" s="467"/>
      <c r="E359" s="374"/>
      <c r="F359" s="367"/>
      <c r="G359" s="375"/>
      <c r="H359" s="513"/>
      <c r="I359" s="375"/>
      <c r="J359" s="3"/>
      <c r="K359" s="24"/>
      <c r="L359" s="3"/>
      <c r="M359" s="3"/>
      <c r="N359" s="3"/>
      <c r="O359" s="3"/>
      <c r="P359" s="3"/>
      <c r="Q359" s="3"/>
      <c r="R359" s="3"/>
      <c r="S359" s="3"/>
      <c r="T359" s="3"/>
      <c r="U359" s="3"/>
      <c r="V359" s="3"/>
      <c r="W359" s="3"/>
      <c r="X359" s="3"/>
      <c r="Y359" s="3"/>
      <c r="Z359" s="3"/>
      <c r="AA359" s="3"/>
    </row>
    <row r="360" spans="1:27" ht="14.25" customHeight="1">
      <c r="A360" s="475"/>
      <c r="B360" s="476"/>
      <c r="C360" s="37" t="s">
        <v>967</v>
      </c>
      <c r="D360" s="467"/>
      <c r="E360" s="366">
        <f>K360</f>
        <v>370.41599999999988</v>
      </c>
      <c r="F360" s="367" t="s">
        <v>24</v>
      </c>
      <c r="G360" s="375">
        <v>40</v>
      </c>
      <c r="H360" s="513">
        <f>(E360*G360)</f>
        <v>14816.639999999996</v>
      </c>
      <c r="I360" s="375"/>
      <c r="J360" s="3"/>
      <c r="K360" s="24">
        <f>'D&amp;W'!BD37</f>
        <v>370.41599999999988</v>
      </c>
      <c r="L360" s="3"/>
      <c r="M360" s="3"/>
      <c r="N360" s="3"/>
      <c r="O360" s="3"/>
      <c r="P360" s="3"/>
      <c r="Q360" s="3"/>
      <c r="R360" s="3"/>
      <c r="S360" s="3"/>
      <c r="T360" s="3"/>
      <c r="U360" s="3"/>
      <c r="V360" s="3"/>
      <c r="W360" s="3"/>
      <c r="X360" s="3"/>
      <c r="Y360" s="3"/>
      <c r="Z360" s="3"/>
      <c r="AA360" s="3"/>
    </row>
    <row r="361" spans="1:27" ht="14.25" customHeight="1">
      <c r="A361" s="475"/>
      <c r="B361" s="476"/>
      <c r="C361" s="474"/>
      <c r="D361" s="467"/>
      <c r="E361" s="366"/>
      <c r="F361" s="554"/>
      <c r="G361" s="375"/>
      <c r="H361" s="513"/>
      <c r="I361" s="375"/>
      <c r="J361" s="3"/>
      <c r="K361" s="24"/>
      <c r="L361" s="3"/>
      <c r="M361" s="3"/>
      <c r="N361" s="3"/>
      <c r="O361" s="3"/>
      <c r="P361" s="3"/>
      <c r="Q361" s="3"/>
      <c r="R361" s="3"/>
      <c r="S361" s="3"/>
      <c r="T361" s="3"/>
      <c r="U361" s="3"/>
      <c r="V361" s="3"/>
      <c r="W361" s="3"/>
      <c r="X361" s="3"/>
      <c r="Y361" s="3"/>
      <c r="Z361" s="3"/>
      <c r="AA361" s="3"/>
    </row>
    <row r="362" spans="1:27" ht="14.25" customHeight="1">
      <c r="A362" s="475"/>
      <c r="B362" s="476"/>
      <c r="C362" s="37" t="s">
        <v>968</v>
      </c>
      <c r="D362" s="467"/>
      <c r="E362" s="366">
        <f>K362</f>
        <v>114.79600000000002</v>
      </c>
      <c r="F362" s="367" t="s">
        <v>24</v>
      </c>
      <c r="G362" s="375">
        <v>20</v>
      </c>
      <c r="H362" s="513">
        <f t="shared" ref="H362" si="6">(E362*G362)</f>
        <v>2295.9200000000005</v>
      </c>
      <c r="I362" s="375"/>
      <c r="J362" s="3"/>
      <c r="K362" s="24">
        <f>'D&amp;W'!AF45+'D&amp;W'!AF52</f>
        <v>114.79600000000002</v>
      </c>
      <c r="L362" s="3"/>
      <c r="M362" s="3"/>
      <c r="N362" s="3"/>
      <c r="O362" s="3"/>
      <c r="P362" s="3"/>
      <c r="Q362" s="3"/>
      <c r="R362" s="3"/>
      <c r="S362" s="3"/>
      <c r="T362" s="3"/>
      <c r="U362" s="3"/>
      <c r="V362" s="3"/>
      <c r="W362" s="3"/>
      <c r="X362" s="3"/>
      <c r="Y362" s="3"/>
      <c r="Z362" s="3"/>
      <c r="AA362" s="3"/>
    </row>
    <row r="363" spans="1:27" ht="14.25" customHeight="1">
      <c r="A363" s="483"/>
      <c r="B363" s="16"/>
      <c r="C363" s="783" t="s">
        <v>35</v>
      </c>
      <c r="D363" s="17"/>
      <c r="E363" s="30"/>
      <c r="F363" s="424"/>
      <c r="G363" s="772" t="s">
        <v>36</v>
      </c>
      <c r="H363" s="521"/>
      <c r="I363" s="382"/>
      <c r="J363" s="1"/>
      <c r="K363" s="22"/>
      <c r="L363" s="1"/>
      <c r="M363" s="1"/>
      <c r="N363" s="1"/>
      <c r="O363" s="1"/>
      <c r="P363" s="1"/>
      <c r="Q363" s="1"/>
      <c r="R363" s="1"/>
      <c r="S363" s="1"/>
      <c r="T363" s="1"/>
      <c r="U363" s="1"/>
      <c r="V363" s="1"/>
      <c r="W363" s="1"/>
      <c r="X363" s="1"/>
      <c r="Y363" s="1"/>
      <c r="Z363" s="1"/>
      <c r="AA363" s="1"/>
    </row>
    <row r="364" spans="1:27" ht="14.25" customHeight="1">
      <c r="A364" s="485" t="s">
        <v>13</v>
      </c>
      <c r="B364" s="486"/>
      <c r="C364" s="784"/>
      <c r="D364" s="523"/>
      <c r="E364" s="524"/>
      <c r="F364" s="525"/>
      <c r="G364" s="785"/>
      <c r="H364" s="526">
        <f>SUM(H352:H363)</f>
        <v>18006.559999999998</v>
      </c>
      <c r="I364" s="383"/>
      <c r="J364" s="1"/>
      <c r="K364" s="22"/>
      <c r="L364" s="1"/>
      <c r="M364" s="1"/>
      <c r="N364" s="1"/>
      <c r="O364" s="1"/>
      <c r="P364" s="1"/>
      <c r="Q364" s="1"/>
      <c r="R364" s="1"/>
      <c r="S364" s="1"/>
      <c r="T364" s="1"/>
      <c r="U364" s="1"/>
      <c r="V364" s="1"/>
      <c r="W364" s="1"/>
      <c r="X364" s="1"/>
      <c r="Y364" s="1"/>
      <c r="Z364" s="1"/>
      <c r="AA364" s="1"/>
    </row>
    <row r="365" spans="1:27" ht="14.25" customHeight="1">
      <c r="A365" s="465"/>
      <c r="B365" s="369"/>
      <c r="C365" s="373"/>
      <c r="D365" s="371"/>
      <c r="E365" s="499"/>
      <c r="F365" s="25"/>
      <c r="G365" s="500"/>
      <c r="H365" s="513"/>
      <c r="I365" s="375"/>
      <c r="J365" s="3"/>
      <c r="K365" s="24"/>
      <c r="L365" s="3"/>
      <c r="M365" s="3"/>
      <c r="N365" s="3"/>
      <c r="O365" s="3"/>
      <c r="P365" s="3"/>
      <c r="Q365" s="3"/>
      <c r="R365" s="3"/>
      <c r="S365" s="3"/>
      <c r="T365" s="3"/>
      <c r="U365" s="3"/>
      <c r="V365" s="3"/>
      <c r="W365" s="3"/>
      <c r="X365" s="3"/>
      <c r="Y365" s="3"/>
      <c r="Z365" s="3"/>
      <c r="AA365" s="3"/>
    </row>
    <row r="366" spans="1:27" ht="13.8">
      <c r="A366" s="483"/>
      <c r="B366" s="16"/>
      <c r="C366" s="789" t="s">
        <v>137</v>
      </c>
      <c r="D366" s="17"/>
      <c r="E366" s="40"/>
      <c r="F366" s="417"/>
      <c r="G366" s="772" t="s">
        <v>36</v>
      </c>
      <c r="H366" s="602"/>
      <c r="I366" s="375"/>
      <c r="J366" s="1"/>
      <c r="K366" s="22"/>
      <c r="L366" s="1"/>
      <c r="M366" s="1"/>
      <c r="N366" s="1"/>
      <c r="O366" s="1"/>
      <c r="P366" s="1"/>
      <c r="Q366" s="1"/>
      <c r="R366" s="1"/>
      <c r="S366" s="1"/>
      <c r="T366" s="1"/>
      <c r="U366" s="1"/>
      <c r="V366" s="1"/>
      <c r="W366" s="1"/>
      <c r="X366" s="1"/>
      <c r="Y366" s="1"/>
      <c r="Z366" s="1"/>
      <c r="AA366" s="1"/>
    </row>
    <row r="367" spans="1:27" ht="14.25" customHeight="1">
      <c r="A367" s="533" t="s">
        <v>13</v>
      </c>
      <c r="B367" s="534"/>
      <c r="C367" s="790"/>
      <c r="D367" s="559"/>
      <c r="E367" s="603"/>
      <c r="F367" s="561"/>
      <c r="G367" s="775"/>
      <c r="H367" s="604">
        <f>SUM(H364+H348+H330+H319+H295+H273+H263+H221+H188+H167+H152+H124+H95+H79+H53+H29)</f>
        <v>490778.86190414889</v>
      </c>
      <c r="I367" s="375"/>
      <c r="J367" s="1"/>
      <c r="K367" s="22"/>
      <c r="L367" s="1"/>
      <c r="M367" s="1"/>
      <c r="N367" s="1"/>
      <c r="O367" s="1"/>
      <c r="P367" s="1"/>
      <c r="Q367" s="1"/>
      <c r="R367" s="1"/>
      <c r="S367" s="1"/>
      <c r="T367" s="1"/>
      <c r="U367" s="1"/>
      <c r="V367" s="1"/>
      <c r="W367" s="1"/>
      <c r="X367" s="1"/>
      <c r="Y367" s="1"/>
      <c r="Z367" s="1"/>
      <c r="AA367" s="1"/>
    </row>
    <row r="368" spans="1:27" ht="14.25" customHeight="1">
      <c r="A368" s="1"/>
      <c r="B368" s="1"/>
      <c r="C368" s="1"/>
      <c r="D368" s="1"/>
      <c r="E368" s="20"/>
      <c r="F368" s="21"/>
      <c r="G368" s="28"/>
      <c r="H368" s="28"/>
      <c r="I368" s="28"/>
      <c r="J368" s="3"/>
      <c r="K368" s="24"/>
      <c r="L368" s="3"/>
      <c r="M368" s="3"/>
      <c r="N368" s="3"/>
      <c r="O368" s="3"/>
      <c r="P368" s="3"/>
      <c r="Q368" s="3"/>
      <c r="R368" s="3"/>
      <c r="S368" s="3"/>
      <c r="T368" s="3"/>
      <c r="U368" s="3"/>
      <c r="V368" s="3"/>
      <c r="W368" s="3"/>
      <c r="X368" s="3"/>
      <c r="Y368" s="3"/>
      <c r="Z368" s="3"/>
      <c r="AA368" s="3"/>
    </row>
    <row r="369" spans="1:27" ht="14.25" customHeight="1">
      <c r="A369" s="1"/>
      <c r="B369" s="1"/>
      <c r="C369" s="1"/>
      <c r="D369" s="1"/>
      <c r="E369" s="20"/>
      <c r="F369" s="21"/>
      <c r="G369" s="28"/>
      <c r="H369" s="28"/>
      <c r="I369" s="28"/>
      <c r="J369" s="3"/>
      <c r="K369" s="24"/>
      <c r="L369" s="3"/>
      <c r="M369" s="3"/>
      <c r="N369" s="3"/>
      <c r="O369" s="3"/>
      <c r="P369" s="3"/>
      <c r="Q369" s="3"/>
      <c r="R369" s="3"/>
      <c r="S369" s="3"/>
      <c r="T369" s="3"/>
      <c r="U369" s="3"/>
      <c r="V369" s="3"/>
      <c r="W369" s="3"/>
      <c r="X369" s="3"/>
      <c r="Y369" s="3"/>
      <c r="Z369" s="3"/>
      <c r="AA369" s="3"/>
    </row>
    <row r="370" spans="1:27" ht="14.25" customHeight="1">
      <c r="A370" s="1"/>
      <c r="B370" s="1"/>
      <c r="C370" s="1"/>
      <c r="D370" s="1"/>
      <c r="E370" s="20"/>
      <c r="F370" s="21"/>
      <c r="G370" s="28"/>
      <c r="H370" s="28"/>
      <c r="I370" s="28"/>
      <c r="J370" s="3"/>
      <c r="K370" s="24"/>
      <c r="L370" s="3"/>
      <c r="M370" s="3"/>
      <c r="N370" s="3"/>
      <c r="O370" s="3"/>
      <c r="P370" s="3"/>
      <c r="Q370" s="3"/>
      <c r="R370" s="3"/>
      <c r="S370" s="3"/>
      <c r="T370" s="3"/>
      <c r="U370" s="3"/>
      <c r="V370" s="3"/>
      <c r="W370" s="3"/>
      <c r="X370" s="3"/>
      <c r="Y370" s="3"/>
      <c r="Z370" s="3"/>
      <c r="AA370" s="3"/>
    </row>
    <row r="371" spans="1:27" ht="14.25" customHeight="1">
      <c r="A371" s="1"/>
      <c r="B371" s="1"/>
      <c r="C371" s="1"/>
      <c r="D371" s="1"/>
      <c r="E371" s="20"/>
      <c r="F371" s="21"/>
      <c r="G371" s="28"/>
      <c r="H371" s="28"/>
      <c r="I371" s="28"/>
      <c r="J371" s="3"/>
      <c r="K371" s="24"/>
      <c r="L371" s="3"/>
      <c r="M371" s="3"/>
      <c r="N371" s="3"/>
      <c r="O371" s="3"/>
      <c r="P371" s="3"/>
      <c r="Q371" s="3"/>
      <c r="R371" s="3"/>
      <c r="S371" s="3"/>
      <c r="T371" s="3"/>
      <c r="U371" s="3"/>
      <c r="V371" s="3"/>
      <c r="W371" s="3"/>
      <c r="X371" s="3"/>
      <c r="Y371" s="3"/>
      <c r="Z371" s="3"/>
      <c r="AA371" s="3"/>
    </row>
    <row r="372" spans="1:27" ht="14.25" customHeight="1">
      <c r="A372" s="1"/>
      <c r="B372" s="1"/>
      <c r="C372" s="1"/>
      <c r="D372" s="1"/>
      <c r="E372" s="20"/>
      <c r="F372" s="21"/>
      <c r="G372" s="28"/>
      <c r="H372" s="28"/>
      <c r="I372" s="28"/>
      <c r="J372" s="3"/>
      <c r="K372" s="24"/>
      <c r="L372" s="3"/>
      <c r="M372" s="3"/>
      <c r="N372" s="3"/>
      <c r="O372" s="3"/>
      <c r="P372" s="3"/>
      <c r="Q372" s="3"/>
      <c r="R372" s="3"/>
      <c r="S372" s="3"/>
      <c r="T372" s="3"/>
      <c r="U372" s="3"/>
      <c r="V372" s="3"/>
      <c r="W372" s="3"/>
      <c r="X372" s="3"/>
      <c r="Y372" s="3"/>
      <c r="Z372" s="3"/>
      <c r="AA372" s="3"/>
    </row>
    <row r="373" spans="1:27" ht="14.25" customHeight="1">
      <c r="A373" s="1"/>
      <c r="B373" s="1"/>
      <c r="C373" s="1"/>
      <c r="D373" s="1"/>
      <c r="E373" s="20"/>
      <c r="F373" s="21"/>
      <c r="G373" s="28"/>
      <c r="H373" s="28"/>
      <c r="I373" s="28"/>
      <c r="J373" s="3"/>
      <c r="K373" s="24"/>
      <c r="L373" s="3"/>
      <c r="M373" s="3"/>
      <c r="N373" s="3"/>
      <c r="O373" s="3"/>
      <c r="P373" s="3"/>
      <c r="Q373" s="3"/>
      <c r="R373" s="3"/>
      <c r="S373" s="3"/>
      <c r="T373" s="3"/>
      <c r="U373" s="3"/>
      <c r="V373" s="3"/>
      <c r="W373" s="3"/>
      <c r="X373" s="3"/>
      <c r="Y373" s="3"/>
      <c r="Z373" s="3"/>
      <c r="AA373" s="3"/>
    </row>
    <row r="374" spans="1:27" ht="14.25" customHeight="1">
      <c r="A374" s="1"/>
      <c r="B374" s="1"/>
      <c r="C374" s="1"/>
      <c r="D374" s="1"/>
      <c r="E374" s="20"/>
      <c r="F374" s="21"/>
      <c r="G374" s="28"/>
      <c r="H374" s="28"/>
      <c r="I374" s="28"/>
      <c r="J374" s="3"/>
      <c r="K374" s="24"/>
      <c r="L374" s="3"/>
      <c r="M374" s="3"/>
      <c r="N374" s="3"/>
      <c r="O374" s="3"/>
      <c r="P374" s="3"/>
      <c r="Q374" s="3"/>
      <c r="R374" s="3"/>
      <c r="S374" s="3"/>
      <c r="T374" s="3"/>
      <c r="U374" s="3"/>
      <c r="V374" s="3"/>
      <c r="W374" s="3"/>
      <c r="X374" s="3"/>
      <c r="Y374" s="3"/>
      <c r="Z374" s="3"/>
      <c r="AA374" s="3"/>
    </row>
    <row r="375" spans="1:27" ht="14.25" customHeight="1">
      <c r="A375" s="1"/>
      <c r="B375" s="1"/>
      <c r="C375" s="1"/>
      <c r="D375" s="1"/>
      <c r="E375" s="20"/>
      <c r="F375" s="21"/>
      <c r="G375" s="28"/>
      <c r="H375" s="28"/>
      <c r="I375" s="28"/>
      <c r="J375" s="3"/>
      <c r="K375" s="24"/>
      <c r="L375" s="3"/>
      <c r="M375" s="3"/>
      <c r="N375" s="3"/>
      <c r="O375" s="3"/>
      <c r="P375" s="3"/>
      <c r="Q375" s="3"/>
      <c r="R375" s="3"/>
      <c r="S375" s="3"/>
      <c r="T375" s="3"/>
      <c r="U375" s="3"/>
      <c r="V375" s="3"/>
      <c r="W375" s="3"/>
      <c r="X375" s="3"/>
      <c r="Y375" s="3"/>
      <c r="Z375" s="3"/>
      <c r="AA375" s="3"/>
    </row>
    <row r="376" spans="1:27" ht="14.25" customHeight="1">
      <c r="A376" s="1"/>
      <c r="B376" s="1"/>
      <c r="C376" s="1"/>
      <c r="D376" s="1"/>
      <c r="E376" s="20"/>
      <c r="F376" s="21"/>
      <c r="G376" s="28"/>
      <c r="H376" s="28"/>
      <c r="I376" s="28"/>
      <c r="J376" s="3"/>
      <c r="K376" s="24"/>
      <c r="L376" s="3"/>
      <c r="M376" s="3"/>
      <c r="N376" s="3"/>
      <c r="O376" s="3"/>
      <c r="P376" s="3"/>
      <c r="Q376" s="3"/>
      <c r="R376" s="3"/>
      <c r="S376" s="3"/>
      <c r="T376" s="3"/>
      <c r="U376" s="3"/>
      <c r="V376" s="3"/>
      <c r="W376" s="3"/>
      <c r="X376" s="3"/>
      <c r="Y376" s="3"/>
      <c r="Z376" s="3"/>
      <c r="AA376" s="3"/>
    </row>
    <row r="377" spans="1:27" ht="14.25" customHeight="1">
      <c r="A377" s="1"/>
      <c r="B377" s="1"/>
      <c r="C377" s="1"/>
      <c r="D377" s="1"/>
      <c r="E377" s="20"/>
      <c r="F377" s="21"/>
      <c r="G377" s="28"/>
      <c r="H377" s="28"/>
      <c r="I377" s="28"/>
      <c r="J377" s="3"/>
      <c r="K377" s="24"/>
      <c r="L377" s="3"/>
      <c r="M377" s="3"/>
      <c r="N377" s="3"/>
      <c r="O377" s="3"/>
      <c r="P377" s="3"/>
      <c r="Q377" s="3"/>
      <c r="R377" s="3"/>
      <c r="S377" s="3"/>
      <c r="T377" s="3"/>
      <c r="U377" s="3"/>
      <c r="V377" s="3"/>
      <c r="W377" s="3"/>
      <c r="X377" s="3"/>
      <c r="Y377" s="3"/>
      <c r="Z377" s="3"/>
      <c r="AA377" s="3"/>
    </row>
    <row r="378" spans="1:27" ht="14.25" customHeight="1">
      <c r="A378" s="1"/>
      <c r="B378" s="1"/>
      <c r="C378" s="1"/>
      <c r="D378" s="1"/>
      <c r="E378" s="20"/>
      <c r="F378" s="21"/>
      <c r="G378" s="28"/>
      <c r="H378" s="28"/>
      <c r="I378" s="28"/>
      <c r="J378" s="3"/>
      <c r="K378" s="24"/>
      <c r="L378" s="3"/>
      <c r="M378" s="3"/>
      <c r="N378" s="3"/>
      <c r="O378" s="3"/>
      <c r="P378" s="3"/>
      <c r="Q378" s="3"/>
      <c r="R378" s="3"/>
      <c r="S378" s="3"/>
      <c r="T378" s="3"/>
      <c r="U378" s="3"/>
      <c r="V378" s="3"/>
      <c r="W378" s="3"/>
      <c r="X378" s="3"/>
      <c r="Y378" s="3"/>
      <c r="Z378" s="3"/>
      <c r="AA378" s="3"/>
    </row>
    <row r="379" spans="1:27" ht="14.25" customHeight="1">
      <c r="A379" s="1"/>
      <c r="B379" s="1"/>
      <c r="C379" s="1"/>
      <c r="D379" s="1"/>
      <c r="E379" s="20"/>
      <c r="F379" s="21"/>
      <c r="G379" s="28"/>
      <c r="H379" s="28"/>
      <c r="I379" s="28"/>
      <c r="J379" s="3"/>
      <c r="K379" s="24"/>
      <c r="L379" s="3"/>
      <c r="M379" s="3"/>
      <c r="N379" s="3"/>
      <c r="O379" s="3"/>
      <c r="P379" s="3"/>
      <c r="Q379" s="3"/>
      <c r="R379" s="3"/>
      <c r="S379" s="3"/>
      <c r="T379" s="3"/>
      <c r="U379" s="3"/>
      <c r="V379" s="3"/>
      <c r="W379" s="3"/>
      <c r="X379" s="3"/>
      <c r="Y379" s="3"/>
      <c r="Z379" s="3"/>
      <c r="AA379" s="3"/>
    </row>
    <row r="380" spans="1:27" ht="14.25" customHeight="1">
      <c r="A380" s="1"/>
      <c r="B380" s="1"/>
      <c r="C380" s="1"/>
      <c r="D380" s="1"/>
      <c r="E380" s="20"/>
      <c r="F380" s="21"/>
      <c r="G380" s="28"/>
      <c r="H380" s="28"/>
      <c r="I380" s="28"/>
      <c r="J380" s="3"/>
      <c r="K380" s="24"/>
      <c r="L380" s="3"/>
      <c r="M380" s="3"/>
      <c r="N380" s="3"/>
      <c r="O380" s="3"/>
      <c r="P380" s="3"/>
      <c r="Q380" s="3"/>
      <c r="R380" s="3"/>
      <c r="S380" s="3"/>
      <c r="T380" s="3"/>
      <c r="U380" s="3"/>
      <c r="V380" s="3"/>
      <c r="W380" s="3"/>
      <c r="X380" s="3"/>
      <c r="Y380" s="3"/>
      <c r="Z380" s="3"/>
      <c r="AA380" s="3"/>
    </row>
    <row r="381" spans="1:27" ht="14.25" customHeight="1">
      <c r="A381" s="1"/>
      <c r="B381" s="1"/>
      <c r="C381" s="1"/>
      <c r="D381" s="1"/>
      <c r="E381" s="20"/>
      <c r="F381" s="21"/>
      <c r="G381" s="28"/>
      <c r="H381" s="28"/>
      <c r="I381" s="28"/>
      <c r="J381" s="3"/>
      <c r="K381" s="24"/>
      <c r="L381" s="3"/>
      <c r="M381" s="3"/>
      <c r="N381" s="3"/>
      <c r="O381" s="3"/>
      <c r="P381" s="3"/>
      <c r="Q381" s="3"/>
      <c r="R381" s="3"/>
      <c r="S381" s="3"/>
      <c r="T381" s="3"/>
      <c r="U381" s="3"/>
      <c r="V381" s="3"/>
      <c r="W381" s="3"/>
      <c r="X381" s="3"/>
      <c r="Y381" s="3"/>
      <c r="Z381" s="3"/>
      <c r="AA381" s="3"/>
    </row>
    <row r="382" spans="1:27" ht="14.25" customHeight="1">
      <c r="A382" s="1"/>
      <c r="B382" s="1"/>
      <c r="C382" s="1"/>
      <c r="D382" s="1"/>
      <c r="E382" s="20"/>
      <c r="F382" s="21"/>
      <c r="G382" s="28"/>
      <c r="H382" s="28"/>
      <c r="I382" s="28"/>
      <c r="J382" s="3"/>
      <c r="K382" s="24"/>
      <c r="L382" s="3"/>
      <c r="M382" s="3"/>
      <c r="N382" s="3"/>
      <c r="O382" s="3"/>
      <c r="P382" s="3"/>
      <c r="Q382" s="3"/>
      <c r="R382" s="3"/>
      <c r="S382" s="3"/>
      <c r="T382" s="3"/>
      <c r="U382" s="3"/>
      <c r="V382" s="3"/>
      <c r="W382" s="3"/>
      <c r="X382" s="3"/>
      <c r="Y382" s="3"/>
      <c r="Z382" s="3"/>
      <c r="AA382" s="3"/>
    </row>
    <row r="383" spans="1:27" ht="14.25" customHeight="1">
      <c r="A383" s="1"/>
      <c r="B383" s="1"/>
      <c r="C383" s="1"/>
      <c r="D383" s="1"/>
      <c r="E383" s="20"/>
      <c r="F383" s="21"/>
      <c r="G383" s="28"/>
      <c r="H383" s="28"/>
      <c r="I383" s="28"/>
      <c r="J383" s="3"/>
      <c r="K383" s="24"/>
      <c r="L383" s="3"/>
      <c r="M383" s="3"/>
      <c r="N383" s="3"/>
      <c r="O383" s="3"/>
      <c r="P383" s="3"/>
      <c r="Q383" s="3"/>
      <c r="R383" s="3"/>
      <c r="S383" s="3"/>
      <c r="T383" s="3"/>
      <c r="U383" s="3"/>
      <c r="V383" s="3"/>
      <c r="W383" s="3"/>
      <c r="X383" s="3"/>
      <c r="Y383" s="3"/>
      <c r="Z383" s="3"/>
      <c r="AA383" s="3"/>
    </row>
    <row r="384" spans="1:27" ht="14.25" customHeight="1">
      <c r="A384" s="1"/>
      <c r="B384" s="1"/>
      <c r="C384" s="1"/>
      <c r="D384" s="1"/>
      <c r="E384" s="20"/>
      <c r="F384" s="21"/>
      <c r="G384" s="28"/>
      <c r="H384" s="28"/>
      <c r="I384" s="28"/>
      <c r="J384" s="3"/>
      <c r="K384" s="24"/>
      <c r="L384" s="3"/>
      <c r="M384" s="3"/>
      <c r="N384" s="3"/>
      <c r="O384" s="3"/>
      <c r="P384" s="3"/>
      <c r="Q384" s="3"/>
      <c r="R384" s="3"/>
      <c r="S384" s="3"/>
      <c r="T384" s="3"/>
      <c r="U384" s="3"/>
      <c r="V384" s="3"/>
      <c r="W384" s="3"/>
      <c r="X384" s="3"/>
      <c r="Y384" s="3"/>
      <c r="Z384" s="3"/>
      <c r="AA384" s="3"/>
    </row>
    <row r="385" spans="1:27" ht="14.25" customHeight="1">
      <c r="A385" s="1"/>
      <c r="B385" s="1"/>
      <c r="C385" s="1"/>
      <c r="D385" s="1"/>
      <c r="E385" s="20"/>
      <c r="F385" s="21"/>
      <c r="G385" s="28"/>
      <c r="H385" s="28"/>
      <c r="I385" s="28"/>
      <c r="J385" s="3"/>
      <c r="K385" s="24"/>
      <c r="L385" s="3"/>
      <c r="M385" s="3"/>
      <c r="N385" s="3"/>
      <c r="O385" s="3"/>
      <c r="P385" s="3"/>
      <c r="Q385" s="3"/>
      <c r="R385" s="3"/>
      <c r="S385" s="3"/>
      <c r="T385" s="3"/>
      <c r="U385" s="3"/>
      <c r="V385" s="3"/>
      <c r="W385" s="3"/>
      <c r="X385" s="3"/>
      <c r="Y385" s="3"/>
      <c r="Z385" s="3"/>
      <c r="AA385" s="3"/>
    </row>
    <row r="386" spans="1:27" ht="14.25" customHeight="1">
      <c r="A386" s="1"/>
      <c r="B386" s="1"/>
      <c r="C386" s="1"/>
      <c r="D386" s="1"/>
      <c r="E386" s="20"/>
      <c r="F386" s="21"/>
      <c r="G386" s="28"/>
      <c r="H386" s="28"/>
      <c r="I386" s="28"/>
      <c r="J386" s="3"/>
      <c r="K386" s="24"/>
      <c r="L386" s="3"/>
      <c r="M386" s="3"/>
      <c r="N386" s="3"/>
      <c r="O386" s="3"/>
      <c r="P386" s="3"/>
      <c r="Q386" s="3"/>
      <c r="R386" s="3"/>
      <c r="S386" s="3"/>
      <c r="T386" s="3"/>
      <c r="U386" s="3"/>
      <c r="V386" s="3"/>
      <c r="W386" s="3"/>
      <c r="X386" s="3"/>
      <c r="Y386" s="3"/>
      <c r="Z386" s="3"/>
      <c r="AA386" s="3"/>
    </row>
    <row r="387" spans="1:27" ht="14.25" customHeight="1">
      <c r="A387" s="1"/>
      <c r="B387" s="1"/>
      <c r="C387" s="1"/>
      <c r="D387" s="1"/>
      <c r="E387" s="20"/>
      <c r="F387" s="21"/>
      <c r="G387" s="28"/>
      <c r="H387" s="28"/>
      <c r="I387" s="28"/>
      <c r="J387" s="3"/>
      <c r="K387" s="24"/>
      <c r="L387" s="3"/>
      <c r="M387" s="3"/>
      <c r="N387" s="3"/>
      <c r="O387" s="3"/>
      <c r="P387" s="3"/>
      <c r="Q387" s="3"/>
      <c r="R387" s="3"/>
      <c r="S387" s="3"/>
      <c r="T387" s="3"/>
      <c r="U387" s="3"/>
      <c r="V387" s="3"/>
      <c r="W387" s="3"/>
      <c r="X387" s="3"/>
      <c r="Y387" s="3"/>
      <c r="Z387" s="3"/>
      <c r="AA387" s="3"/>
    </row>
    <row r="388" spans="1:27" ht="14.25" customHeight="1">
      <c r="A388" s="1"/>
      <c r="B388" s="1"/>
      <c r="C388" s="1"/>
      <c r="D388" s="1"/>
      <c r="E388" s="20"/>
      <c r="F388" s="21"/>
      <c r="G388" s="28"/>
      <c r="H388" s="28"/>
      <c r="I388" s="28"/>
      <c r="J388" s="3"/>
      <c r="K388" s="24"/>
      <c r="L388" s="3"/>
      <c r="M388" s="3"/>
      <c r="N388" s="3"/>
      <c r="O388" s="3"/>
      <c r="P388" s="3"/>
      <c r="Q388" s="3"/>
      <c r="R388" s="3"/>
      <c r="S388" s="3"/>
      <c r="T388" s="3"/>
      <c r="U388" s="3"/>
      <c r="V388" s="3"/>
      <c r="W388" s="3"/>
      <c r="X388" s="3"/>
      <c r="Y388" s="3"/>
      <c r="Z388" s="3"/>
      <c r="AA388" s="3"/>
    </row>
    <row r="389" spans="1:27" ht="14.25" customHeight="1">
      <c r="A389" s="1"/>
      <c r="B389" s="1"/>
      <c r="C389" s="1"/>
      <c r="D389" s="1"/>
      <c r="E389" s="20"/>
      <c r="F389" s="21"/>
      <c r="G389" s="28"/>
      <c r="H389" s="28"/>
      <c r="I389" s="28"/>
      <c r="J389" s="3"/>
      <c r="K389" s="24"/>
      <c r="L389" s="3"/>
      <c r="M389" s="3"/>
      <c r="N389" s="3"/>
      <c r="O389" s="3"/>
      <c r="P389" s="3"/>
      <c r="Q389" s="3"/>
      <c r="R389" s="3"/>
      <c r="S389" s="3"/>
      <c r="T389" s="3"/>
      <c r="U389" s="3"/>
      <c r="V389" s="3"/>
      <c r="W389" s="3"/>
      <c r="X389" s="3"/>
      <c r="Y389" s="3"/>
      <c r="Z389" s="3"/>
      <c r="AA389" s="3"/>
    </row>
    <row r="390" spans="1:27" ht="14.25" customHeight="1">
      <c r="A390" s="1"/>
      <c r="B390" s="1"/>
      <c r="C390" s="1"/>
      <c r="D390" s="1"/>
      <c r="E390" s="20"/>
      <c r="F390" s="21"/>
      <c r="G390" s="28"/>
      <c r="H390" s="28"/>
      <c r="I390" s="28"/>
      <c r="J390" s="3"/>
      <c r="K390" s="24"/>
      <c r="L390" s="3"/>
      <c r="M390" s="3"/>
      <c r="N390" s="3"/>
      <c r="O390" s="3"/>
      <c r="P390" s="3"/>
      <c r="Q390" s="3"/>
      <c r="R390" s="3"/>
      <c r="S390" s="3"/>
      <c r="T390" s="3"/>
      <c r="U390" s="3"/>
      <c r="V390" s="3"/>
      <c r="W390" s="3"/>
      <c r="X390" s="3"/>
      <c r="Y390" s="3"/>
      <c r="Z390" s="3"/>
      <c r="AA390" s="3"/>
    </row>
    <row r="391" spans="1:27" ht="14.25" customHeight="1">
      <c r="A391" s="1"/>
      <c r="B391" s="1"/>
      <c r="C391" s="1"/>
      <c r="D391" s="1"/>
      <c r="E391" s="20"/>
      <c r="F391" s="21"/>
      <c r="G391" s="28"/>
      <c r="H391" s="28"/>
      <c r="I391" s="28"/>
      <c r="J391" s="3"/>
      <c r="K391" s="24"/>
      <c r="L391" s="3"/>
      <c r="M391" s="3"/>
      <c r="N391" s="3"/>
      <c r="O391" s="3"/>
      <c r="P391" s="3"/>
      <c r="Q391" s="3"/>
      <c r="R391" s="3"/>
      <c r="S391" s="3"/>
      <c r="T391" s="3"/>
      <c r="U391" s="3"/>
      <c r="V391" s="3"/>
      <c r="W391" s="3"/>
      <c r="X391" s="3"/>
      <c r="Y391" s="3"/>
      <c r="Z391" s="3"/>
      <c r="AA391" s="3"/>
    </row>
    <row r="392" spans="1:27" ht="14.25" customHeight="1">
      <c r="A392" s="1"/>
      <c r="B392" s="1"/>
      <c r="C392" s="1"/>
      <c r="D392" s="1"/>
      <c r="E392" s="20"/>
      <c r="F392" s="21"/>
      <c r="G392" s="28"/>
      <c r="H392" s="28"/>
      <c r="I392" s="28"/>
      <c r="J392" s="3"/>
      <c r="K392" s="24"/>
      <c r="L392" s="3"/>
      <c r="M392" s="3"/>
      <c r="N392" s="3"/>
      <c r="O392" s="3"/>
      <c r="P392" s="3"/>
      <c r="Q392" s="3"/>
      <c r="R392" s="3"/>
      <c r="S392" s="3"/>
      <c r="T392" s="3"/>
      <c r="U392" s="3"/>
      <c r="V392" s="3"/>
      <c r="W392" s="3"/>
      <c r="X392" s="3"/>
      <c r="Y392" s="3"/>
      <c r="Z392" s="3"/>
      <c r="AA392" s="3"/>
    </row>
    <row r="393" spans="1:27" ht="14.25" customHeight="1">
      <c r="A393" s="1"/>
      <c r="B393" s="1"/>
      <c r="C393" s="1"/>
      <c r="D393" s="1"/>
      <c r="E393" s="20"/>
      <c r="F393" s="21"/>
      <c r="G393" s="28"/>
      <c r="H393" s="28"/>
      <c r="I393" s="28"/>
      <c r="J393" s="3"/>
      <c r="K393" s="24"/>
      <c r="L393" s="3"/>
      <c r="M393" s="3"/>
      <c r="N393" s="3"/>
      <c r="O393" s="3"/>
      <c r="P393" s="3"/>
      <c r="Q393" s="3"/>
      <c r="R393" s="3"/>
      <c r="S393" s="3"/>
      <c r="T393" s="3"/>
      <c r="U393" s="3"/>
      <c r="V393" s="3"/>
      <c r="W393" s="3"/>
      <c r="X393" s="3"/>
      <c r="Y393" s="3"/>
      <c r="Z393" s="3"/>
      <c r="AA393" s="3"/>
    </row>
    <row r="394" spans="1:27" ht="14.25" customHeight="1">
      <c r="A394" s="1"/>
      <c r="B394" s="1"/>
      <c r="C394" s="1"/>
      <c r="D394" s="1"/>
      <c r="E394" s="20"/>
      <c r="F394" s="21"/>
      <c r="G394" s="28"/>
      <c r="H394" s="28"/>
      <c r="I394" s="28"/>
      <c r="J394" s="3"/>
      <c r="K394" s="24"/>
      <c r="L394" s="3"/>
      <c r="M394" s="3"/>
      <c r="N394" s="3"/>
      <c r="O394" s="3"/>
      <c r="P394" s="3"/>
      <c r="Q394" s="3"/>
      <c r="R394" s="3"/>
      <c r="S394" s="3"/>
      <c r="T394" s="3"/>
      <c r="U394" s="3"/>
      <c r="V394" s="3"/>
      <c r="W394" s="3"/>
      <c r="X394" s="3"/>
      <c r="Y394" s="3"/>
      <c r="Z394" s="3"/>
      <c r="AA394" s="3"/>
    </row>
    <row r="395" spans="1:27" ht="14.25" customHeight="1">
      <c r="A395" s="1"/>
      <c r="B395" s="1"/>
      <c r="C395" s="1"/>
      <c r="D395" s="1"/>
      <c r="E395" s="20"/>
      <c r="F395" s="21"/>
      <c r="G395" s="28"/>
      <c r="H395" s="28"/>
      <c r="I395" s="28"/>
      <c r="J395" s="3"/>
      <c r="K395" s="24"/>
      <c r="L395" s="3"/>
      <c r="M395" s="3"/>
      <c r="N395" s="3"/>
      <c r="O395" s="3"/>
      <c r="P395" s="3"/>
      <c r="Q395" s="3"/>
      <c r="R395" s="3"/>
      <c r="S395" s="3"/>
      <c r="T395" s="3"/>
      <c r="U395" s="3"/>
      <c r="V395" s="3"/>
      <c r="W395" s="3"/>
      <c r="X395" s="3"/>
      <c r="Y395" s="3"/>
      <c r="Z395" s="3"/>
      <c r="AA395" s="3"/>
    </row>
    <row r="396" spans="1:27" ht="14.25" customHeight="1">
      <c r="A396" s="1"/>
      <c r="B396" s="1"/>
      <c r="C396" s="1"/>
      <c r="D396" s="1"/>
      <c r="E396" s="20"/>
      <c r="F396" s="21"/>
      <c r="G396" s="28"/>
      <c r="H396" s="28"/>
      <c r="I396" s="28"/>
      <c r="J396" s="3"/>
      <c r="K396" s="24"/>
      <c r="L396" s="3"/>
      <c r="M396" s="3"/>
      <c r="N396" s="3"/>
      <c r="O396" s="3"/>
      <c r="P396" s="3"/>
      <c r="Q396" s="3"/>
      <c r="R396" s="3"/>
      <c r="S396" s="3"/>
      <c r="T396" s="3"/>
      <c r="U396" s="3"/>
      <c r="V396" s="3"/>
      <c r="W396" s="3"/>
      <c r="X396" s="3"/>
      <c r="Y396" s="3"/>
      <c r="Z396" s="3"/>
      <c r="AA396" s="3"/>
    </row>
    <row r="397" spans="1:27" ht="14.25" customHeight="1">
      <c r="A397" s="1"/>
      <c r="B397" s="1"/>
      <c r="C397" s="1"/>
      <c r="D397" s="1"/>
      <c r="E397" s="20"/>
      <c r="F397" s="21"/>
      <c r="G397" s="28"/>
      <c r="H397" s="28"/>
      <c r="I397" s="28"/>
      <c r="J397" s="3"/>
      <c r="K397" s="24"/>
      <c r="L397" s="3"/>
      <c r="M397" s="3"/>
      <c r="N397" s="3"/>
      <c r="O397" s="3"/>
      <c r="P397" s="3"/>
      <c r="Q397" s="3"/>
      <c r="R397" s="3"/>
      <c r="S397" s="3"/>
      <c r="T397" s="3"/>
      <c r="U397" s="3"/>
      <c r="V397" s="3"/>
      <c r="W397" s="3"/>
      <c r="X397" s="3"/>
      <c r="Y397" s="3"/>
      <c r="Z397" s="3"/>
      <c r="AA397" s="3"/>
    </row>
    <row r="398" spans="1:27" ht="14.25" customHeight="1">
      <c r="A398" s="1"/>
      <c r="B398" s="1"/>
      <c r="C398" s="1"/>
      <c r="D398" s="1"/>
      <c r="E398" s="20"/>
      <c r="F398" s="21"/>
      <c r="G398" s="28"/>
      <c r="H398" s="28"/>
      <c r="I398" s="28"/>
      <c r="J398" s="3"/>
      <c r="K398" s="24"/>
      <c r="L398" s="3"/>
      <c r="M398" s="3"/>
      <c r="N398" s="3"/>
      <c r="O398" s="3"/>
      <c r="P398" s="3"/>
      <c r="Q398" s="3"/>
      <c r="R398" s="3"/>
      <c r="S398" s="3"/>
      <c r="T398" s="3"/>
      <c r="U398" s="3"/>
      <c r="V398" s="3"/>
      <c r="W398" s="3"/>
      <c r="X398" s="3"/>
      <c r="Y398" s="3"/>
      <c r="Z398" s="3"/>
      <c r="AA398" s="3"/>
    </row>
    <row r="399" spans="1:27" ht="14.25" customHeight="1">
      <c r="A399" s="1"/>
      <c r="B399" s="1"/>
      <c r="C399" s="1"/>
      <c r="D399" s="1"/>
      <c r="E399" s="20"/>
      <c r="F399" s="21"/>
      <c r="G399" s="28"/>
      <c r="H399" s="28"/>
      <c r="I399" s="28"/>
      <c r="J399" s="3"/>
      <c r="K399" s="24"/>
      <c r="L399" s="3"/>
      <c r="M399" s="3"/>
      <c r="N399" s="3"/>
      <c r="O399" s="3"/>
      <c r="P399" s="3"/>
      <c r="Q399" s="3"/>
      <c r="R399" s="3"/>
      <c r="S399" s="3"/>
      <c r="T399" s="3"/>
      <c r="U399" s="3"/>
      <c r="V399" s="3"/>
      <c r="W399" s="3"/>
      <c r="X399" s="3"/>
      <c r="Y399" s="3"/>
      <c r="Z399" s="3"/>
      <c r="AA399" s="3"/>
    </row>
    <row r="400" spans="1:27" ht="14.25" customHeight="1">
      <c r="A400" s="1"/>
      <c r="B400" s="1"/>
      <c r="C400" s="1"/>
      <c r="D400" s="1"/>
      <c r="E400" s="20"/>
      <c r="F400" s="21"/>
      <c r="G400" s="28"/>
      <c r="H400" s="28"/>
      <c r="I400" s="28"/>
      <c r="J400" s="3"/>
      <c r="K400" s="24"/>
      <c r="L400" s="3"/>
      <c r="M400" s="3"/>
      <c r="N400" s="3"/>
      <c r="O400" s="3"/>
      <c r="P400" s="3"/>
      <c r="Q400" s="3"/>
      <c r="R400" s="3"/>
      <c r="S400" s="3"/>
      <c r="T400" s="3"/>
      <c r="U400" s="3"/>
      <c r="V400" s="3"/>
      <c r="W400" s="3"/>
      <c r="X400" s="3"/>
      <c r="Y400" s="3"/>
      <c r="Z400" s="3"/>
      <c r="AA400" s="3"/>
    </row>
    <row r="401" spans="1:27" ht="14.25" customHeight="1">
      <c r="A401" s="1"/>
      <c r="B401" s="1"/>
      <c r="C401" s="1"/>
      <c r="D401" s="1"/>
      <c r="E401" s="20"/>
      <c r="F401" s="21"/>
      <c r="G401" s="28"/>
      <c r="H401" s="28"/>
      <c r="I401" s="28"/>
      <c r="J401" s="3"/>
      <c r="K401" s="24"/>
      <c r="L401" s="3"/>
      <c r="M401" s="3"/>
      <c r="N401" s="3"/>
      <c r="O401" s="3"/>
      <c r="P401" s="3"/>
      <c r="Q401" s="3"/>
      <c r="R401" s="3"/>
      <c r="S401" s="3"/>
      <c r="T401" s="3"/>
      <c r="U401" s="3"/>
      <c r="V401" s="3"/>
      <c r="W401" s="3"/>
      <c r="X401" s="3"/>
      <c r="Y401" s="3"/>
      <c r="Z401" s="3"/>
      <c r="AA401" s="3"/>
    </row>
    <row r="402" spans="1:27" ht="14.25" customHeight="1">
      <c r="A402" s="1"/>
      <c r="B402" s="1"/>
      <c r="C402" s="1"/>
      <c r="D402" s="1"/>
      <c r="E402" s="20"/>
      <c r="F402" s="21"/>
      <c r="G402" s="28"/>
      <c r="H402" s="28"/>
      <c r="I402" s="28"/>
      <c r="J402" s="3"/>
      <c r="K402" s="24"/>
      <c r="L402" s="3"/>
      <c r="M402" s="3"/>
      <c r="N402" s="3"/>
      <c r="O402" s="3"/>
      <c r="P402" s="3"/>
      <c r="Q402" s="3"/>
      <c r="R402" s="3"/>
      <c r="S402" s="3"/>
      <c r="T402" s="3"/>
      <c r="U402" s="3"/>
      <c r="V402" s="3"/>
      <c r="W402" s="3"/>
      <c r="X402" s="3"/>
      <c r="Y402" s="3"/>
      <c r="Z402" s="3"/>
      <c r="AA402" s="3"/>
    </row>
    <row r="403" spans="1:27" ht="14.25" customHeight="1">
      <c r="A403" s="1"/>
      <c r="B403" s="1"/>
      <c r="C403" s="1"/>
      <c r="D403" s="1"/>
      <c r="E403" s="20"/>
      <c r="F403" s="21"/>
      <c r="G403" s="28"/>
      <c r="H403" s="28"/>
      <c r="I403" s="28"/>
      <c r="J403" s="3"/>
      <c r="K403" s="24"/>
      <c r="L403" s="3"/>
      <c r="M403" s="3"/>
      <c r="N403" s="3"/>
      <c r="O403" s="3"/>
      <c r="P403" s="3"/>
      <c r="Q403" s="3"/>
      <c r="R403" s="3"/>
      <c r="S403" s="3"/>
      <c r="T403" s="3"/>
      <c r="U403" s="3"/>
      <c r="V403" s="3"/>
      <c r="W403" s="3"/>
      <c r="X403" s="3"/>
      <c r="Y403" s="3"/>
      <c r="Z403" s="3"/>
      <c r="AA403" s="3"/>
    </row>
    <row r="404" spans="1:27" ht="14.25" customHeight="1">
      <c r="A404" s="1"/>
      <c r="B404" s="1"/>
      <c r="C404" s="1"/>
      <c r="D404" s="1"/>
      <c r="E404" s="20"/>
      <c r="F404" s="21"/>
      <c r="G404" s="28"/>
      <c r="H404" s="28"/>
      <c r="I404" s="28"/>
      <c r="J404" s="3"/>
      <c r="K404" s="24"/>
      <c r="L404" s="3"/>
      <c r="M404" s="3"/>
      <c r="N404" s="3"/>
      <c r="O404" s="3"/>
      <c r="P404" s="3"/>
      <c r="Q404" s="3"/>
      <c r="R404" s="3"/>
      <c r="S404" s="3"/>
      <c r="T404" s="3"/>
      <c r="U404" s="3"/>
      <c r="V404" s="3"/>
      <c r="W404" s="3"/>
      <c r="X404" s="3"/>
      <c r="Y404" s="3"/>
      <c r="Z404" s="3"/>
      <c r="AA404" s="3"/>
    </row>
    <row r="405" spans="1:27" ht="14.25" customHeight="1">
      <c r="A405" s="1"/>
      <c r="B405" s="1"/>
      <c r="C405" s="1"/>
      <c r="D405" s="1"/>
      <c r="E405" s="20"/>
      <c r="F405" s="21"/>
      <c r="G405" s="28"/>
      <c r="H405" s="28"/>
      <c r="I405" s="28"/>
      <c r="J405" s="3"/>
      <c r="K405" s="24"/>
      <c r="L405" s="3"/>
      <c r="M405" s="3"/>
      <c r="N405" s="3"/>
      <c r="O405" s="3"/>
      <c r="P405" s="3"/>
      <c r="Q405" s="3"/>
      <c r="R405" s="3"/>
      <c r="S405" s="3"/>
      <c r="T405" s="3"/>
      <c r="U405" s="3"/>
      <c r="V405" s="3"/>
      <c r="W405" s="3"/>
      <c r="X405" s="3"/>
      <c r="Y405" s="3"/>
      <c r="Z405" s="3"/>
      <c r="AA405" s="3"/>
    </row>
    <row r="406" spans="1:27" ht="14.25" customHeight="1">
      <c r="A406" s="1"/>
      <c r="B406" s="1"/>
      <c r="C406" s="1"/>
      <c r="D406" s="1"/>
      <c r="E406" s="20"/>
      <c r="F406" s="21"/>
      <c r="G406" s="28"/>
      <c r="H406" s="28"/>
      <c r="I406" s="28"/>
      <c r="J406" s="3"/>
      <c r="K406" s="24"/>
      <c r="L406" s="3"/>
      <c r="M406" s="3"/>
      <c r="N406" s="3"/>
      <c r="O406" s="3"/>
      <c r="P406" s="3"/>
      <c r="Q406" s="3"/>
      <c r="R406" s="3"/>
      <c r="S406" s="3"/>
      <c r="T406" s="3"/>
      <c r="U406" s="3"/>
      <c r="V406" s="3"/>
      <c r="W406" s="3"/>
      <c r="X406" s="3"/>
      <c r="Y406" s="3"/>
      <c r="Z406" s="3"/>
      <c r="AA406" s="3"/>
    </row>
    <row r="407" spans="1:27" ht="14.25" customHeight="1">
      <c r="A407" s="1"/>
      <c r="B407" s="1"/>
      <c r="C407" s="1"/>
      <c r="D407" s="1"/>
      <c r="E407" s="20"/>
      <c r="F407" s="21"/>
      <c r="G407" s="28"/>
      <c r="H407" s="28"/>
      <c r="I407" s="28"/>
      <c r="J407" s="3"/>
      <c r="K407" s="24"/>
      <c r="L407" s="3"/>
      <c r="M407" s="3"/>
      <c r="N407" s="3"/>
      <c r="O407" s="3"/>
      <c r="P407" s="3"/>
      <c r="Q407" s="3"/>
      <c r="R407" s="3"/>
      <c r="S407" s="3"/>
      <c r="T407" s="3"/>
      <c r="U407" s="3"/>
      <c r="V407" s="3"/>
      <c r="W407" s="3"/>
      <c r="X407" s="3"/>
      <c r="Y407" s="3"/>
      <c r="Z407" s="3"/>
      <c r="AA407" s="3"/>
    </row>
    <row r="408" spans="1:27" ht="14.25" customHeight="1">
      <c r="A408" s="1"/>
      <c r="B408" s="1"/>
      <c r="C408" s="1"/>
      <c r="D408" s="1"/>
      <c r="E408" s="20"/>
      <c r="F408" s="21"/>
      <c r="G408" s="28"/>
      <c r="H408" s="28"/>
      <c r="I408" s="28"/>
      <c r="J408" s="3"/>
      <c r="K408" s="24"/>
      <c r="L408" s="3"/>
      <c r="M408" s="3"/>
      <c r="N408" s="3"/>
      <c r="O408" s="3"/>
      <c r="P408" s="3"/>
      <c r="Q408" s="3"/>
      <c r="R408" s="3"/>
      <c r="S408" s="3"/>
      <c r="T408" s="3"/>
      <c r="U408" s="3"/>
      <c r="V408" s="3"/>
      <c r="W408" s="3"/>
      <c r="X408" s="3"/>
      <c r="Y408" s="3"/>
      <c r="Z408" s="3"/>
      <c r="AA408" s="3"/>
    </row>
    <row r="409" spans="1:27" ht="14.25" customHeight="1">
      <c r="A409" s="1"/>
      <c r="B409" s="1"/>
      <c r="C409" s="1"/>
      <c r="D409" s="1"/>
      <c r="E409" s="20"/>
      <c r="F409" s="21"/>
      <c r="G409" s="28"/>
      <c r="H409" s="28"/>
      <c r="I409" s="28"/>
      <c r="J409" s="3"/>
      <c r="K409" s="24"/>
      <c r="L409" s="3"/>
      <c r="M409" s="3"/>
      <c r="N409" s="3"/>
      <c r="O409" s="3"/>
      <c r="P409" s="3"/>
      <c r="Q409" s="3"/>
      <c r="R409" s="3"/>
      <c r="S409" s="3"/>
      <c r="T409" s="3"/>
      <c r="U409" s="3"/>
      <c r="V409" s="3"/>
      <c r="W409" s="3"/>
      <c r="X409" s="3"/>
      <c r="Y409" s="3"/>
      <c r="Z409" s="3"/>
      <c r="AA409" s="3"/>
    </row>
    <row r="410" spans="1:27" ht="14.25" customHeight="1">
      <c r="A410" s="1"/>
      <c r="B410" s="1"/>
      <c r="C410" s="1"/>
      <c r="D410" s="1"/>
      <c r="E410" s="20"/>
      <c r="F410" s="21"/>
      <c r="G410" s="28"/>
      <c r="H410" s="28"/>
      <c r="I410" s="28"/>
      <c r="J410" s="3"/>
      <c r="K410" s="24"/>
      <c r="L410" s="3"/>
      <c r="M410" s="3"/>
      <c r="N410" s="3"/>
      <c r="O410" s="3"/>
      <c r="P410" s="3"/>
      <c r="Q410" s="3"/>
      <c r="R410" s="3"/>
      <c r="S410" s="3"/>
      <c r="T410" s="3"/>
      <c r="U410" s="3"/>
      <c r="V410" s="3"/>
      <c r="W410" s="3"/>
      <c r="X410" s="3"/>
      <c r="Y410" s="3"/>
      <c r="Z410" s="3"/>
      <c r="AA410" s="3"/>
    </row>
    <row r="411" spans="1:27" ht="14.25" customHeight="1">
      <c r="A411" s="1"/>
      <c r="B411" s="1"/>
      <c r="C411" s="1"/>
      <c r="D411" s="1"/>
      <c r="E411" s="20"/>
      <c r="F411" s="21"/>
      <c r="G411" s="28"/>
      <c r="H411" s="28"/>
      <c r="I411" s="28"/>
      <c r="J411" s="3"/>
      <c r="K411" s="24"/>
      <c r="L411" s="3"/>
      <c r="M411" s="3"/>
      <c r="N411" s="3"/>
      <c r="O411" s="3"/>
      <c r="P411" s="3"/>
      <c r="Q411" s="3"/>
      <c r="R411" s="3"/>
      <c r="S411" s="3"/>
      <c r="T411" s="3"/>
      <c r="U411" s="3"/>
      <c r="V411" s="3"/>
      <c r="W411" s="3"/>
      <c r="X411" s="3"/>
      <c r="Y411" s="3"/>
      <c r="Z411" s="3"/>
      <c r="AA411" s="3"/>
    </row>
    <row r="412" spans="1:27" ht="14.25" customHeight="1">
      <c r="A412" s="1"/>
      <c r="B412" s="1"/>
      <c r="C412" s="1"/>
      <c r="D412" s="1"/>
      <c r="E412" s="20"/>
      <c r="F412" s="21"/>
      <c r="G412" s="28"/>
      <c r="H412" s="28"/>
      <c r="I412" s="28"/>
      <c r="J412" s="3"/>
      <c r="K412" s="24"/>
      <c r="L412" s="3"/>
      <c r="M412" s="3"/>
      <c r="N412" s="3"/>
      <c r="O412" s="3"/>
      <c r="P412" s="3"/>
      <c r="Q412" s="3"/>
      <c r="R412" s="3"/>
      <c r="S412" s="3"/>
      <c r="T412" s="3"/>
      <c r="U412" s="3"/>
      <c r="V412" s="3"/>
      <c r="W412" s="3"/>
      <c r="X412" s="3"/>
      <c r="Y412" s="3"/>
      <c r="Z412" s="3"/>
      <c r="AA412" s="3"/>
    </row>
    <row r="413" spans="1:27" ht="14.25" customHeight="1">
      <c r="A413" s="1"/>
      <c r="B413" s="1"/>
      <c r="C413" s="1"/>
      <c r="D413" s="1"/>
      <c r="E413" s="20"/>
      <c r="F413" s="21"/>
      <c r="G413" s="28"/>
      <c r="H413" s="28"/>
      <c r="I413" s="28"/>
      <c r="J413" s="3"/>
      <c r="K413" s="24"/>
      <c r="L413" s="3"/>
      <c r="M413" s="3"/>
      <c r="N413" s="3"/>
      <c r="O413" s="3"/>
      <c r="P413" s="3"/>
      <c r="Q413" s="3"/>
      <c r="R413" s="3"/>
      <c r="S413" s="3"/>
      <c r="T413" s="3"/>
      <c r="U413" s="3"/>
      <c r="V413" s="3"/>
      <c r="W413" s="3"/>
      <c r="X413" s="3"/>
      <c r="Y413" s="3"/>
      <c r="Z413" s="3"/>
      <c r="AA413" s="3"/>
    </row>
    <row r="414" spans="1:27" ht="14.25" customHeight="1">
      <c r="A414" s="1"/>
      <c r="B414" s="1"/>
      <c r="C414" s="1"/>
      <c r="D414" s="1"/>
      <c r="E414" s="20"/>
      <c r="F414" s="21"/>
      <c r="G414" s="28"/>
      <c r="H414" s="28"/>
      <c r="I414" s="28"/>
      <c r="J414" s="3"/>
      <c r="K414" s="24"/>
      <c r="L414" s="3"/>
      <c r="M414" s="3"/>
      <c r="N414" s="3"/>
      <c r="O414" s="3"/>
      <c r="P414" s="3"/>
      <c r="Q414" s="3"/>
      <c r="R414" s="3"/>
      <c r="S414" s="3"/>
      <c r="T414" s="3"/>
      <c r="U414" s="3"/>
      <c r="V414" s="3"/>
      <c r="W414" s="3"/>
      <c r="X414" s="3"/>
      <c r="Y414" s="3"/>
      <c r="Z414" s="3"/>
      <c r="AA414" s="3"/>
    </row>
    <row r="415" spans="1:27" ht="14.25" customHeight="1">
      <c r="A415" s="1"/>
      <c r="B415" s="1"/>
      <c r="C415" s="1"/>
      <c r="D415" s="1"/>
      <c r="E415" s="20"/>
      <c r="F415" s="21"/>
      <c r="G415" s="28"/>
      <c r="H415" s="28"/>
      <c r="I415" s="28"/>
      <c r="J415" s="3"/>
      <c r="K415" s="24"/>
      <c r="L415" s="3"/>
      <c r="M415" s="3"/>
      <c r="N415" s="3"/>
      <c r="O415" s="3"/>
      <c r="P415" s="3"/>
      <c r="Q415" s="3"/>
      <c r="R415" s="3"/>
      <c r="S415" s="3"/>
      <c r="T415" s="3"/>
      <c r="U415" s="3"/>
      <c r="V415" s="3"/>
      <c r="W415" s="3"/>
      <c r="X415" s="3"/>
      <c r="Y415" s="3"/>
      <c r="Z415" s="3"/>
      <c r="AA415" s="3"/>
    </row>
    <row r="416" spans="1:27" ht="14.25" customHeight="1">
      <c r="A416" s="1"/>
      <c r="B416" s="1"/>
      <c r="C416" s="1"/>
      <c r="D416" s="1"/>
      <c r="E416" s="20"/>
      <c r="F416" s="21"/>
      <c r="G416" s="28"/>
      <c r="H416" s="28"/>
      <c r="I416" s="28"/>
      <c r="J416" s="3"/>
      <c r="K416" s="24"/>
      <c r="L416" s="3"/>
      <c r="M416" s="3"/>
      <c r="N416" s="3"/>
      <c r="O416" s="3"/>
      <c r="P416" s="3"/>
      <c r="Q416" s="3"/>
      <c r="R416" s="3"/>
      <c r="S416" s="3"/>
      <c r="T416" s="3"/>
      <c r="U416" s="3"/>
      <c r="V416" s="3"/>
      <c r="W416" s="3"/>
      <c r="X416" s="3"/>
      <c r="Y416" s="3"/>
      <c r="Z416" s="3"/>
      <c r="AA416" s="3"/>
    </row>
    <row r="417" spans="1:27" ht="14.25" customHeight="1">
      <c r="A417" s="1"/>
      <c r="B417" s="1"/>
      <c r="C417" s="1"/>
      <c r="D417" s="1"/>
      <c r="E417" s="20"/>
      <c r="F417" s="21"/>
      <c r="G417" s="28"/>
      <c r="H417" s="28"/>
      <c r="I417" s="28"/>
      <c r="J417" s="3"/>
      <c r="K417" s="24"/>
      <c r="L417" s="3"/>
      <c r="M417" s="3"/>
      <c r="N417" s="3"/>
      <c r="O417" s="3"/>
      <c r="P417" s="3"/>
      <c r="Q417" s="3"/>
      <c r="R417" s="3"/>
      <c r="S417" s="3"/>
      <c r="T417" s="3"/>
      <c r="U417" s="3"/>
      <c r="V417" s="3"/>
      <c r="W417" s="3"/>
      <c r="X417" s="3"/>
      <c r="Y417" s="3"/>
      <c r="Z417" s="3"/>
      <c r="AA417" s="3"/>
    </row>
    <row r="418" spans="1:27" ht="14.25" customHeight="1">
      <c r="A418" s="1"/>
      <c r="B418" s="1"/>
      <c r="C418" s="1"/>
      <c r="D418" s="1"/>
      <c r="E418" s="20"/>
      <c r="F418" s="21"/>
      <c r="G418" s="28"/>
      <c r="H418" s="28"/>
      <c r="I418" s="28"/>
      <c r="J418" s="3"/>
      <c r="K418" s="24"/>
      <c r="L418" s="3"/>
      <c r="M418" s="3"/>
      <c r="N418" s="3"/>
      <c r="O418" s="3"/>
      <c r="P418" s="3"/>
      <c r="Q418" s="3"/>
      <c r="R418" s="3"/>
      <c r="S418" s="3"/>
      <c r="T418" s="3"/>
      <c r="U418" s="3"/>
      <c r="V418" s="3"/>
      <c r="W418" s="3"/>
      <c r="X418" s="3"/>
      <c r="Y418" s="3"/>
      <c r="Z418" s="3"/>
      <c r="AA418" s="3"/>
    </row>
    <row r="419" spans="1:27" ht="14.25" customHeight="1">
      <c r="A419" s="1"/>
      <c r="B419" s="1"/>
      <c r="C419" s="1"/>
      <c r="D419" s="1"/>
      <c r="E419" s="20"/>
      <c r="F419" s="21"/>
      <c r="G419" s="28"/>
      <c r="H419" s="28"/>
      <c r="I419" s="28"/>
      <c r="J419" s="3"/>
      <c r="K419" s="24"/>
      <c r="L419" s="3"/>
      <c r="M419" s="3"/>
      <c r="N419" s="3"/>
      <c r="O419" s="3"/>
      <c r="P419" s="3"/>
      <c r="Q419" s="3"/>
      <c r="R419" s="3"/>
      <c r="S419" s="3"/>
      <c r="T419" s="3"/>
      <c r="U419" s="3"/>
      <c r="V419" s="3"/>
      <c r="W419" s="3"/>
      <c r="X419" s="3"/>
      <c r="Y419" s="3"/>
      <c r="Z419" s="3"/>
      <c r="AA419" s="3"/>
    </row>
    <row r="420" spans="1:27" ht="14.25" customHeight="1">
      <c r="A420" s="1"/>
      <c r="B420" s="1"/>
      <c r="C420" s="1"/>
      <c r="D420" s="1"/>
      <c r="E420" s="20"/>
      <c r="F420" s="21"/>
      <c r="G420" s="28"/>
      <c r="H420" s="28"/>
      <c r="I420" s="28"/>
      <c r="J420" s="3"/>
      <c r="K420" s="24"/>
      <c r="L420" s="3"/>
      <c r="M420" s="3"/>
      <c r="N420" s="3"/>
      <c r="O420" s="3"/>
      <c r="P420" s="3"/>
      <c r="Q420" s="3"/>
      <c r="R420" s="3"/>
      <c r="S420" s="3"/>
      <c r="T420" s="3"/>
      <c r="U420" s="3"/>
      <c r="V420" s="3"/>
      <c r="W420" s="3"/>
      <c r="X420" s="3"/>
      <c r="Y420" s="3"/>
      <c r="Z420" s="3"/>
      <c r="AA420" s="3"/>
    </row>
    <row r="421" spans="1:27" ht="14.25" customHeight="1">
      <c r="A421" s="1"/>
      <c r="B421" s="1"/>
      <c r="C421" s="1"/>
      <c r="D421" s="1"/>
      <c r="E421" s="20"/>
      <c r="F421" s="21"/>
      <c r="G421" s="28"/>
      <c r="H421" s="28"/>
      <c r="I421" s="28"/>
      <c r="J421" s="3"/>
      <c r="K421" s="24"/>
      <c r="L421" s="3"/>
      <c r="M421" s="3"/>
      <c r="N421" s="3"/>
      <c r="O421" s="3"/>
      <c r="P421" s="3"/>
      <c r="Q421" s="3"/>
      <c r="R421" s="3"/>
      <c r="S421" s="3"/>
      <c r="T421" s="3"/>
      <c r="U421" s="3"/>
      <c r="V421" s="3"/>
      <c r="W421" s="3"/>
      <c r="X421" s="3"/>
      <c r="Y421" s="3"/>
      <c r="Z421" s="3"/>
      <c r="AA421" s="3"/>
    </row>
    <row r="422" spans="1:27" ht="14.25" customHeight="1">
      <c r="A422" s="1"/>
      <c r="B422" s="1"/>
      <c r="C422" s="1"/>
      <c r="D422" s="1"/>
      <c r="E422" s="20"/>
      <c r="F422" s="21"/>
      <c r="G422" s="28"/>
      <c r="H422" s="28"/>
      <c r="I422" s="28"/>
      <c r="J422" s="3"/>
      <c r="K422" s="24"/>
      <c r="L422" s="3"/>
      <c r="M422" s="3"/>
      <c r="N422" s="3"/>
      <c r="O422" s="3"/>
      <c r="P422" s="3"/>
      <c r="Q422" s="3"/>
      <c r="R422" s="3"/>
      <c r="S422" s="3"/>
      <c r="T422" s="3"/>
      <c r="U422" s="3"/>
      <c r="V422" s="3"/>
      <c r="W422" s="3"/>
      <c r="X422" s="3"/>
      <c r="Y422" s="3"/>
      <c r="Z422" s="3"/>
      <c r="AA422" s="3"/>
    </row>
    <row r="423" spans="1:27" ht="14.25" customHeight="1">
      <c r="A423" s="1"/>
      <c r="B423" s="1"/>
      <c r="C423" s="1"/>
      <c r="D423" s="1"/>
      <c r="E423" s="20"/>
      <c r="F423" s="21"/>
      <c r="G423" s="28"/>
      <c r="H423" s="28"/>
      <c r="I423" s="28"/>
      <c r="J423" s="3"/>
      <c r="K423" s="24"/>
      <c r="L423" s="3"/>
      <c r="M423" s="3"/>
      <c r="N423" s="3"/>
      <c r="O423" s="3"/>
      <c r="P423" s="3"/>
      <c r="Q423" s="3"/>
      <c r="R423" s="3"/>
      <c r="S423" s="3"/>
      <c r="T423" s="3"/>
      <c r="U423" s="3"/>
      <c r="V423" s="3"/>
      <c r="W423" s="3"/>
      <c r="X423" s="3"/>
      <c r="Y423" s="3"/>
      <c r="Z423" s="3"/>
      <c r="AA423" s="3"/>
    </row>
    <row r="424" spans="1:27" ht="14.25" customHeight="1">
      <c r="A424" s="1"/>
      <c r="B424" s="1"/>
      <c r="C424" s="1"/>
      <c r="D424" s="1"/>
      <c r="E424" s="20"/>
      <c r="F424" s="21"/>
      <c r="G424" s="28"/>
      <c r="H424" s="28"/>
      <c r="I424" s="28"/>
      <c r="J424" s="3"/>
      <c r="K424" s="24"/>
      <c r="L424" s="3"/>
      <c r="M424" s="3"/>
      <c r="N424" s="3"/>
      <c r="O424" s="3"/>
      <c r="P424" s="3"/>
      <c r="Q424" s="3"/>
      <c r="R424" s="3"/>
      <c r="S424" s="3"/>
      <c r="T424" s="3"/>
      <c r="U424" s="3"/>
      <c r="V424" s="3"/>
      <c r="W424" s="3"/>
      <c r="X424" s="3"/>
      <c r="Y424" s="3"/>
      <c r="Z424" s="3"/>
      <c r="AA424" s="3"/>
    </row>
    <row r="425" spans="1:27" ht="14.25" customHeight="1">
      <c r="A425" s="1"/>
      <c r="B425" s="1"/>
      <c r="C425" s="1"/>
      <c r="D425" s="1"/>
      <c r="E425" s="20"/>
      <c r="F425" s="21"/>
      <c r="G425" s="28"/>
      <c r="H425" s="28"/>
      <c r="I425" s="28"/>
      <c r="J425" s="3"/>
      <c r="K425" s="24"/>
      <c r="L425" s="3"/>
      <c r="M425" s="3"/>
      <c r="N425" s="3"/>
      <c r="O425" s="3"/>
      <c r="P425" s="3"/>
      <c r="Q425" s="3"/>
      <c r="R425" s="3"/>
      <c r="S425" s="3"/>
      <c r="T425" s="3"/>
      <c r="U425" s="3"/>
      <c r="V425" s="3"/>
      <c r="W425" s="3"/>
      <c r="X425" s="3"/>
      <c r="Y425" s="3"/>
      <c r="Z425" s="3"/>
      <c r="AA425" s="3"/>
    </row>
    <row r="426" spans="1:27" ht="14.25" customHeight="1">
      <c r="A426" s="1"/>
      <c r="B426" s="1"/>
      <c r="C426" s="1"/>
      <c r="D426" s="1"/>
      <c r="E426" s="20"/>
      <c r="F426" s="21"/>
      <c r="G426" s="28"/>
      <c r="H426" s="28"/>
      <c r="I426" s="28"/>
      <c r="J426" s="3"/>
      <c r="K426" s="24"/>
      <c r="L426" s="3"/>
      <c r="M426" s="3"/>
      <c r="N426" s="3"/>
      <c r="O426" s="3"/>
      <c r="P426" s="3"/>
      <c r="Q426" s="3"/>
      <c r="R426" s="3"/>
      <c r="S426" s="3"/>
      <c r="T426" s="3"/>
      <c r="U426" s="3"/>
      <c r="V426" s="3"/>
      <c r="W426" s="3"/>
      <c r="X426" s="3"/>
      <c r="Y426" s="3"/>
      <c r="Z426" s="3"/>
      <c r="AA426" s="3"/>
    </row>
    <row r="427" spans="1:27" ht="14.25" customHeight="1">
      <c r="A427" s="1"/>
      <c r="B427" s="1"/>
      <c r="C427" s="1"/>
      <c r="D427" s="1"/>
      <c r="E427" s="20"/>
      <c r="F427" s="21"/>
      <c r="G427" s="28"/>
      <c r="H427" s="28"/>
      <c r="I427" s="28"/>
      <c r="J427" s="3"/>
      <c r="K427" s="24"/>
      <c r="L427" s="3"/>
      <c r="M427" s="3"/>
      <c r="N427" s="3"/>
      <c r="O427" s="3"/>
      <c r="P427" s="3"/>
      <c r="Q427" s="3"/>
      <c r="R427" s="3"/>
      <c r="S427" s="3"/>
      <c r="T427" s="3"/>
      <c r="U427" s="3"/>
      <c r="V427" s="3"/>
      <c r="W427" s="3"/>
      <c r="X427" s="3"/>
      <c r="Y427" s="3"/>
      <c r="Z427" s="3"/>
      <c r="AA427" s="3"/>
    </row>
    <row r="428" spans="1:27" ht="14.25" customHeight="1">
      <c r="A428" s="1"/>
      <c r="B428" s="1"/>
      <c r="C428" s="1"/>
      <c r="D428" s="1"/>
      <c r="E428" s="20"/>
      <c r="F428" s="21"/>
      <c r="G428" s="28"/>
      <c r="H428" s="28"/>
      <c r="I428" s="28"/>
      <c r="J428" s="3"/>
      <c r="K428" s="24"/>
      <c r="L428" s="3"/>
      <c r="M428" s="3"/>
      <c r="N428" s="3"/>
      <c r="O428" s="3"/>
      <c r="P428" s="3"/>
      <c r="Q428" s="3"/>
      <c r="R428" s="3"/>
      <c r="S428" s="3"/>
      <c r="T428" s="3"/>
      <c r="U428" s="3"/>
      <c r="V428" s="3"/>
      <c r="W428" s="3"/>
      <c r="X428" s="3"/>
      <c r="Y428" s="3"/>
      <c r="Z428" s="3"/>
      <c r="AA428" s="3"/>
    </row>
    <row r="429" spans="1:27" ht="14.25" customHeight="1">
      <c r="A429" s="1"/>
      <c r="B429" s="1"/>
      <c r="C429" s="1"/>
      <c r="D429" s="1"/>
      <c r="E429" s="20"/>
      <c r="F429" s="21"/>
      <c r="G429" s="28"/>
      <c r="H429" s="28"/>
      <c r="I429" s="28"/>
      <c r="J429" s="3"/>
      <c r="K429" s="24"/>
      <c r="L429" s="3"/>
      <c r="M429" s="3"/>
      <c r="N429" s="3"/>
      <c r="O429" s="3"/>
      <c r="P429" s="3"/>
      <c r="Q429" s="3"/>
      <c r="R429" s="3"/>
      <c r="S429" s="3"/>
      <c r="T429" s="3"/>
      <c r="U429" s="3"/>
      <c r="V429" s="3"/>
      <c r="W429" s="3"/>
      <c r="X429" s="3"/>
      <c r="Y429" s="3"/>
      <c r="Z429" s="3"/>
      <c r="AA429" s="3"/>
    </row>
    <row r="430" spans="1:27" ht="14.25" customHeight="1">
      <c r="A430" s="1"/>
      <c r="B430" s="1"/>
      <c r="C430" s="1"/>
      <c r="D430" s="1"/>
      <c r="E430" s="20"/>
      <c r="F430" s="21"/>
      <c r="G430" s="28"/>
      <c r="H430" s="28"/>
      <c r="I430" s="28"/>
      <c r="J430" s="3"/>
      <c r="K430" s="24"/>
      <c r="L430" s="3"/>
      <c r="M430" s="3"/>
      <c r="N430" s="3"/>
      <c r="O430" s="3"/>
      <c r="P430" s="3"/>
      <c r="Q430" s="3"/>
      <c r="R430" s="3"/>
      <c r="S430" s="3"/>
      <c r="T430" s="3"/>
      <c r="U430" s="3"/>
      <c r="V430" s="3"/>
      <c r="W430" s="3"/>
      <c r="X430" s="3"/>
      <c r="Y430" s="3"/>
      <c r="Z430" s="3"/>
      <c r="AA430" s="3"/>
    </row>
    <row r="431" spans="1:27" ht="14.25" customHeight="1">
      <c r="A431" s="1"/>
      <c r="B431" s="1"/>
      <c r="C431" s="1"/>
      <c r="D431" s="1"/>
      <c r="E431" s="20"/>
      <c r="F431" s="21"/>
      <c r="G431" s="28"/>
      <c r="H431" s="28"/>
      <c r="I431" s="28"/>
      <c r="J431" s="3"/>
      <c r="K431" s="24"/>
      <c r="L431" s="3"/>
      <c r="M431" s="3"/>
      <c r="N431" s="3"/>
      <c r="O431" s="3"/>
      <c r="P431" s="3"/>
      <c r="Q431" s="3"/>
      <c r="R431" s="3"/>
      <c r="S431" s="3"/>
      <c r="T431" s="3"/>
      <c r="U431" s="3"/>
      <c r="V431" s="3"/>
      <c r="W431" s="3"/>
      <c r="X431" s="3"/>
      <c r="Y431" s="3"/>
      <c r="Z431" s="3"/>
      <c r="AA431" s="3"/>
    </row>
    <row r="432" spans="1:27" ht="14.25" customHeight="1">
      <c r="A432" s="1"/>
      <c r="B432" s="1"/>
      <c r="C432" s="1"/>
      <c r="D432" s="1"/>
      <c r="E432" s="20"/>
      <c r="F432" s="21"/>
      <c r="G432" s="28"/>
      <c r="H432" s="28"/>
      <c r="I432" s="28"/>
      <c r="J432" s="3"/>
      <c r="K432" s="24"/>
      <c r="L432" s="3"/>
      <c r="M432" s="3"/>
      <c r="N432" s="3"/>
      <c r="O432" s="3"/>
      <c r="P432" s="3"/>
      <c r="Q432" s="3"/>
      <c r="R432" s="3"/>
      <c r="S432" s="3"/>
      <c r="T432" s="3"/>
      <c r="U432" s="3"/>
      <c r="V432" s="3"/>
      <c r="W432" s="3"/>
      <c r="X432" s="3"/>
      <c r="Y432" s="3"/>
      <c r="Z432" s="3"/>
      <c r="AA432" s="3"/>
    </row>
    <row r="433" spans="1:27" ht="14.25" customHeight="1">
      <c r="A433" s="1"/>
      <c r="B433" s="1"/>
      <c r="C433" s="1"/>
      <c r="D433" s="1"/>
      <c r="E433" s="20"/>
      <c r="F433" s="21"/>
      <c r="G433" s="28"/>
      <c r="H433" s="28"/>
      <c r="I433" s="28"/>
      <c r="J433" s="3"/>
      <c r="K433" s="24"/>
      <c r="L433" s="3"/>
      <c r="M433" s="3"/>
      <c r="N433" s="3"/>
      <c r="O433" s="3"/>
      <c r="P433" s="3"/>
      <c r="Q433" s="3"/>
      <c r="R433" s="3"/>
      <c r="S433" s="3"/>
      <c r="T433" s="3"/>
      <c r="U433" s="3"/>
      <c r="V433" s="3"/>
      <c r="W433" s="3"/>
      <c r="X433" s="3"/>
      <c r="Y433" s="3"/>
      <c r="Z433" s="3"/>
      <c r="AA433" s="3"/>
    </row>
    <row r="434" spans="1:27" ht="14.25" customHeight="1">
      <c r="A434" s="1"/>
      <c r="B434" s="1"/>
      <c r="C434" s="1"/>
      <c r="D434" s="1"/>
      <c r="E434" s="20"/>
      <c r="F434" s="21"/>
      <c r="G434" s="28"/>
      <c r="H434" s="28"/>
      <c r="I434" s="28"/>
      <c r="J434" s="3"/>
      <c r="K434" s="24"/>
      <c r="L434" s="3"/>
      <c r="M434" s="3"/>
      <c r="N434" s="3"/>
      <c r="O434" s="3"/>
      <c r="P434" s="3"/>
      <c r="Q434" s="3"/>
      <c r="R434" s="3"/>
      <c r="S434" s="3"/>
      <c r="T434" s="3"/>
      <c r="U434" s="3"/>
      <c r="V434" s="3"/>
      <c r="W434" s="3"/>
      <c r="X434" s="3"/>
      <c r="Y434" s="3"/>
      <c r="Z434" s="3"/>
      <c r="AA434" s="3"/>
    </row>
    <row r="435" spans="1:27" ht="14.25" customHeight="1">
      <c r="A435" s="1"/>
      <c r="B435" s="1"/>
      <c r="C435" s="1"/>
      <c r="D435" s="1"/>
      <c r="E435" s="20"/>
      <c r="F435" s="21"/>
      <c r="G435" s="28"/>
      <c r="H435" s="28"/>
      <c r="I435" s="28"/>
      <c r="J435" s="3"/>
      <c r="K435" s="24"/>
      <c r="L435" s="3"/>
      <c r="M435" s="3"/>
      <c r="N435" s="3"/>
      <c r="O435" s="3"/>
      <c r="P435" s="3"/>
      <c r="Q435" s="3"/>
      <c r="R435" s="3"/>
      <c r="S435" s="3"/>
      <c r="T435" s="3"/>
      <c r="U435" s="3"/>
      <c r="V435" s="3"/>
      <c r="W435" s="3"/>
      <c r="X435" s="3"/>
      <c r="Y435" s="3"/>
      <c r="Z435" s="3"/>
      <c r="AA435" s="3"/>
    </row>
    <row r="436" spans="1:27" ht="14.25" customHeight="1">
      <c r="A436" s="1"/>
      <c r="B436" s="1"/>
      <c r="C436" s="1"/>
      <c r="D436" s="1"/>
      <c r="E436" s="20"/>
      <c r="F436" s="21"/>
      <c r="G436" s="28"/>
      <c r="H436" s="28"/>
      <c r="I436" s="28"/>
      <c r="J436" s="3"/>
      <c r="K436" s="24"/>
      <c r="L436" s="3"/>
      <c r="M436" s="3"/>
      <c r="N436" s="3"/>
      <c r="O436" s="3"/>
      <c r="P436" s="3"/>
      <c r="Q436" s="3"/>
      <c r="R436" s="3"/>
      <c r="S436" s="3"/>
      <c r="T436" s="3"/>
      <c r="U436" s="3"/>
      <c r="V436" s="3"/>
      <c r="W436" s="3"/>
      <c r="X436" s="3"/>
      <c r="Y436" s="3"/>
      <c r="Z436" s="3"/>
      <c r="AA436" s="3"/>
    </row>
    <row r="437" spans="1:27" ht="14.25" customHeight="1">
      <c r="A437" s="1"/>
      <c r="B437" s="1"/>
      <c r="C437" s="1"/>
      <c r="D437" s="1"/>
      <c r="E437" s="20"/>
      <c r="F437" s="21"/>
      <c r="G437" s="28"/>
      <c r="H437" s="28"/>
      <c r="I437" s="28"/>
      <c r="J437" s="3"/>
      <c r="K437" s="24"/>
      <c r="L437" s="3"/>
      <c r="M437" s="3"/>
      <c r="N437" s="3"/>
      <c r="O437" s="3"/>
      <c r="P437" s="3"/>
      <c r="Q437" s="3"/>
      <c r="R437" s="3"/>
      <c r="S437" s="3"/>
      <c r="T437" s="3"/>
      <c r="U437" s="3"/>
      <c r="V437" s="3"/>
      <c r="W437" s="3"/>
      <c r="X437" s="3"/>
      <c r="Y437" s="3"/>
      <c r="Z437" s="3"/>
      <c r="AA437" s="3"/>
    </row>
    <row r="438" spans="1:27" ht="14.25" customHeight="1">
      <c r="A438" s="1"/>
      <c r="B438" s="1"/>
      <c r="C438" s="1"/>
      <c r="D438" s="1"/>
      <c r="E438" s="20"/>
      <c r="F438" s="21"/>
      <c r="G438" s="28"/>
      <c r="H438" s="28"/>
      <c r="I438" s="28"/>
      <c r="J438" s="3"/>
      <c r="K438" s="24"/>
      <c r="L438" s="3"/>
      <c r="M438" s="3"/>
      <c r="N438" s="3"/>
      <c r="O438" s="3"/>
      <c r="P438" s="3"/>
      <c r="Q438" s="3"/>
      <c r="R438" s="3"/>
      <c r="S438" s="3"/>
      <c r="T438" s="3"/>
      <c r="U438" s="3"/>
      <c r="V438" s="3"/>
      <c r="W438" s="3"/>
      <c r="X438" s="3"/>
      <c r="Y438" s="3"/>
      <c r="Z438" s="3"/>
      <c r="AA438" s="3"/>
    </row>
    <row r="439" spans="1:27" ht="14.25" customHeight="1">
      <c r="A439" s="1"/>
      <c r="B439" s="1"/>
      <c r="C439" s="1"/>
      <c r="D439" s="1"/>
      <c r="E439" s="20"/>
      <c r="F439" s="21"/>
      <c r="G439" s="28"/>
      <c r="H439" s="28"/>
      <c r="I439" s="28"/>
      <c r="J439" s="3"/>
      <c r="K439" s="24"/>
      <c r="L439" s="3"/>
      <c r="M439" s="3"/>
      <c r="N439" s="3"/>
      <c r="O439" s="3"/>
      <c r="P439" s="3"/>
      <c r="Q439" s="3"/>
      <c r="R439" s="3"/>
      <c r="S439" s="3"/>
      <c r="T439" s="3"/>
      <c r="U439" s="3"/>
      <c r="V439" s="3"/>
      <c r="W439" s="3"/>
      <c r="X439" s="3"/>
      <c r="Y439" s="3"/>
      <c r="Z439" s="3"/>
      <c r="AA439" s="3"/>
    </row>
    <row r="440" spans="1:27" ht="14.25" customHeight="1">
      <c r="A440" s="1"/>
      <c r="B440" s="1"/>
      <c r="C440" s="1"/>
      <c r="D440" s="1"/>
      <c r="E440" s="20"/>
      <c r="F440" s="21"/>
      <c r="G440" s="28"/>
      <c r="H440" s="28"/>
      <c r="I440" s="28"/>
      <c r="J440" s="3"/>
      <c r="K440" s="24"/>
      <c r="L440" s="3"/>
      <c r="M440" s="3"/>
      <c r="N440" s="3"/>
      <c r="O440" s="3"/>
      <c r="P440" s="3"/>
      <c r="Q440" s="3"/>
      <c r="R440" s="3"/>
      <c r="S440" s="3"/>
      <c r="T440" s="3"/>
      <c r="U440" s="3"/>
      <c r="V440" s="3"/>
      <c r="W440" s="3"/>
      <c r="X440" s="3"/>
      <c r="Y440" s="3"/>
      <c r="Z440" s="3"/>
      <c r="AA440" s="3"/>
    </row>
    <row r="441" spans="1:27" ht="14.25" customHeight="1">
      <c r="A441" s="1"/>
      <c r="B441" s="1"/>
      <c r="C441" s="1"/>
      <c r="D441" s="1"/>
      <c r="E441" s="20"/>
      <c r="F441" s="21"/>
      <c r="G441" s="28"/>
      <c r="H441" s="28"/>
      <c r="I441" s="28"/>
      <c r="J441" s="3"/>
      <c r="K441" s="24"/>
      <c r="L441" s="3"/>
      <c r="M441" s="3"/>
      <c r="N441" s="3"/>
      <c r="O441" s="3"/>
      <c r="P441" s="3"/>
      <c r="Q441" s="3"/>
      <c r="R441" s="3"/>
      <c r="S441" s="3"/>
      <c r="T441" s="3"/>
      <c r="U441" s="3"/>
      <c r="V441" s="3"/>
      <c r="W441" s="3"/>
      <c r="X441" s="3"/>
      <c r="Y441" s="3"/>
      <c r="Z441" s="3"/>
      <c r="AA441" s="3"/>
    </row>
    <row r="442" spans="1:27" ht="14.25" customHeight="1">
      <c r="A442" s="1"/>
      <c r="B442" s="1"/>
      <c r="C442" s="1"/>
      <c r="D442" s="1"/>
      <c r="E442" s="20"/>
      <c r="F442" s="21"/>
      <c r="G442" s="28"/>
      <c r="H442" s="28"/>
      <c r="I442" s="28"/>
      <c r="J442" s="3"/>
      <c r="K442" s="24"/>
      <c r="L442" s="3"/>
      <c r="M442" s="3"/>
      <c r="N442" s="3"/>
      <c r="O442" s="3"/>
      <c r="P442" s="3"/>
      <c r="Q442" s="3"/>
      <c r="R442" s="3"/>
      <c r="S442" s="3"/>
      <c r="T442" s="3"/>
      <c r="U442" s="3"/>
      <c r="V442" s="3"/>
      <c r="W442" s="3"/>
      <c r="X442" s="3"/>
      <c r="Y442" s="3"/>
      <c r="Z442" s="3"/>
      <c r="AA442" s="3"/>
    </row>
    <row r="443" spans="1:27" ht="14.25" customHeight="1">
      <c r="A443" s="1"/>
      <c r="B443" s="1"/>
      <c r="C443" s="1"/>
      <c r="D443" s="1"/>
      <c r="E443" s="20"/>
      <c r="F443" s="21"/>
      <c r="G443" s="28"/>
      <c r="H443" s="28"/>
      <c r="I443" s="28"/>
      <c r="J443" s="3"/>
      <c r="K443" s="24"/>
      <c r="L443" s="3"/>
      <c r="M443" s="3"/>
      <c r="N443" s="3"/>
      <c r="O443" s="3"/>
      <c r="P443" s="3"/>
      <c r="Q443" s="3"/>
      <c r="R443" s="3"/>
      <c r="S443" s="3"/>
      <c r="T443" s="3"/>
      <c r="U443" s="3"/>
      <c r="V443" s="3"/>
      <c r="W443" s="3"/>
      <c r="X443" s="3"/>
      <c r="Y443" s="3"/>
      <c r="Z443" s="3"/>
      <c r="AA443" s="3"/>
    </row>
    <row r="444" spans="1:27" ht="14.25" customHeight="1">
      <c r="A444" s="1"/>
      <c r="B444" s="1"/>
      <c r="C444" s="1"/>
      <c r="D444" s="1"/>
      <c r="E444" s="20"/>
      <c r="F444" s="21"/>
      <c r="G444" s="28"/>
      <c r="H444" s="28"/>
      <c r="I444" s="28"/>
      <c r="J444" s="3"/>
      <c r="K444" s="24"/>
      <c r="L444" s="3"/>
      <c r="M444" s="3"/>
      <c r="N444" s="3"/>
      <c r="O444" s="3"/>
      <c r="P444" s="3"/>
      <c r="Q444" s="3"/>
      <c r="R444" s="3"/>
      <c r="S444" s="3"/>
      <c r="T444" s="3"/>
      <c r="U444" s="3"/>
      <c r="V444" s="3"/>
      <c r="W444" s="3"/>
      <c r="X444" s="3"/>
      <c r="Y444" s="3"/>
      <c r="Z444" s="3"/>
      <c r="AA444" s="3"/>
    </row>
    <row r="445" spans="1:27" ht="14.25" customHeight="1">
      <c r="A445" s="1"/>
      <c r="B445" s="1"/>
      <c r="C445" s="1"/>
      <c r="D445" s="1"/>
      <c r="E445" s="20"/>
      <c r="F445" s="21"/>
      <c r="G445" s="28"/>
      <c r="H445" s="28"/>
      <c r="I445" s="28"/>
      <c r="J445" s="3"/>
      <c r="K445" s="24"/>
      <c r="L445" s="3"/>
      <c r="M445" s="3"/>
      <c r="N445" s="3"/>
      <c r="O445" s="3"/>
      <c r="P445" s="3"/>
      <c r="Q445" s="3"/>
      <c r="R445" s="3"/>
      <c r="S445" s="3"/>
      <c r="T445" s="3"/>
      <c r="U445" s="3"/>
      <c r="V445" s="3"/>
      <c r="W445" s="3"/>
      <c r="X445" s="3"/>
      <c r="Y445" s="3"/>
      <c r="Z445" s="3"/>
      <c r="AA445" s="3"/>
    </row>
    <row r="446" spans="1:27" ht="14.25" customHeight="1">
      <c r="A446" s="1"/>
      <c r="B446" s="1"/>
      <c r="C446" s="1"/>
      <c r="D446" s="1"/>
      <c r="E446" s="20"/>
      <c r="F446" s="21"/>
      <c r="G446" s="28"/>
      <c r="H446" s="28"/>
      <c r="I446" s="28"/>
      <c r="J446" s="3"/>
      <c r="K446" s="24"/>
      <c r="L446" s="3"/>
      <c r="M446" s="3"/>
      <c r="N446" s="3"/>
      <c r="O446" s="3"/>
      <c r="P446" s="3"/>
      <c r="Q446" s="3"/>
      <c r="R446" s="3"/>
      <c r="S446" s="3"/>
      <c r="T446" s="3"/>
      <c r="U446" s="3"/>
      <c r="V446" s="3"/>
      <c r="W446" s="3"/>
      <c r="X446" s="3"/>
      <c r="Y446" s="3"/>
      <c r="Z446" s="3"/>
      <c r="AA446" s="3"/>
    </row>
    <row r="447" spans="1:27" ht="14.25" customHeight="1">
      <c r="A447" s="1"/>
      <c r="B447" s="1"/>
      <c r="C447" s="1"/>
      <c r="D447" s="1"/>
      <c r="E447" s="20"/>
      <c r="F447" s="21"/>
      <c r="G447" s="28"/>
      <c r="H447" s="28"/>
      <c r="I447" s="28"/>
      <c r="J447" s="3"/>
      <c r="K447" s="24"/>
      <c r="L447" s="3"/>
      <c r="M447" s="3"/>
      <c r="N447" s="3"/>
      <c r="O447" s="3"/>
      <c r="P447" s="3"/>
      <c r="Q447" s="3"/>
      <c r="R447" s="3"/>
      <c r="S447" s="3"/>
      <c r="T447" s="3"/>
      <c r="U447" s="3"/>
      <c r="V447" s="3"/>
      <c r="W447" s="3"/>
      <c r="X447" s="3"/>
      <c r="Y447" s="3"/>
      <c r="Z447" s="3"/>
      <c r="AA447" s="3"/>
    </row>
    <row r="448" spans="1:27" ht="14.25" customHeight="1">
      <c r="A448" s="1"/>
      <c r="B448" s="1"/>
      <c r="C448" s="1"/>
      <c r="D448" s="1"/>
      <c r="E448" s="20"/>
      <c r="F448" s="21"/>
      <c r="G448" s="28"/>
      <c r="H448" s="28"/>
      <c r="I448" s="28"/>
      <c r="J448" s="3"/>
      <c r="K448" s="24"/>
      <c r="L448" s="3"/>
      <c r="M448" s="3"/>
      <c r="N448" s="3"/>
      <c r="O448" s="3"/>
      <c r="P448" s="3"/>
      <c r="Q448" s="3"/>
      <c r="R448" s="3"/>
      <c r="S448" s="3"/>
      <c r="T448" s="3"/>
      <c r="U448" s="3"/>
      <c r="V448" s="3"/>
      <c r="W448" s="3"/>
      <c r="X448" s="3"/>
      <c r="Y448" s="3"/>
      <c r="Z448" s="3"/>
      <c r="AA448" s="3"/>
    </row>
    <row r="449" spans="1:27" ht="14.25" customHeight="1">
      <c r="A449" s="1"/>
      <c r="B449" s="1"/>
      <c r="C449" s="1"/>
      <c r="D449" s="1"/>
      <c r="E449" s="20"/>
      <c r="F449" s="21"/>
      <c r="G449" s="28"/>
      <c r="H449" s="28"/>
      <c r="I449" s="28"/>
      <c r="J449" s="3"/>
      <c r="K449" s="24"/>
      <c r="L449" s="3"/>
      <c r="M449" s="3"/>
      <c r="N449" s="3"/>
      <c r="O449" s="3"/>
      <c r="P449" s="3"/>
      <c r="Q449" s="3"/>
      <c r="R449" s="3"/>
      <c r="S449" s="3"/>
      <c r="T449" s="3"/>
      <c r="U449" s="3"/>
      <c r="V449" s="3"/>
      <c r="W449" s="3"/>
      <c r="X449" s="3"/>
      <c r="Y449" s="3"/>
      <c r="Z449" s="3"/>
      <c r="AA449" s="3"/>
    </row>
    <row r="450" spans="1:27" ht="14.25" customHeight="1">
      <c r="A450" s="1"/>
      <c r="B450" s="1"/>
      <c r="C450" s="1"/>
      <c r="D450" s="1"/>
      <c r="E450" s="20"/>
      <c r="F450" s="21"/>
      <c r="G450" s="28"/>
      <c r="H450" s="28"/>
      <c r="I450" s="28"/>
      <c r="J450" s="3"/>
      <c r="K450" s="24"/>
      <c r="L450" s="3"/>
      <c r="M450" s="3"/>
      <c r="N450" s="3"/>
      <c r="O450" s="3"/>
      <c r="P450" s="3"/>
      <c r="Q450" s="3"/>
      <c r="R450" s="3"/>
      <c r="S450" s="3"/>
      <c r="T450" s="3"/>
      <c r="U450" s="3"/>
      <c r="V450" s="3"/>
      <c r="W450" s="3"/>
      <c r="X450" s="3"/>
      <c r="Y450" s="3"/>
      <c r="Z450" s="3"/>
      <c r="AA450" s="3"/>
    </row>
    <row r="451" spans="1:27" ht="14.25" customHeight="1">
      <c r="A451" s="1"/>
      <c r="B451" s="1"/>
      <c r="C451" s="1"/>
      <c r="D451" s="1"/>
      <c r="E451" s="20"/>
      <c r="F451" s="21"/>
      <c r="G451" s="28"/>
      <c r="H451" s="28"/>
      <c r="I451" s="28"/>
      <c r="J451" s="3"/>
      <c r="K451" s="24"/>
      <c r="L451" s="3"/>
      <c r="M451" s="3"/>
      <c r="N451" s="3"/>
      <c r="O451" s="3"/>
      <c r="P451" s="3"/>
      <c r="Q451" s="3"/>
      <c r="R451" s="3"/>
      <c r="S451" s="3"/>
      <c r="T451" s="3"/>
      <c r="U451" s="3"/>
      <c r="V451" s="3"/>
      <c r="W451" s="3"/>
      <c r="X451" s="3"/>
      <c r="Y451" s="3"/>
      <c r="Z451" s="3"/>
      <c r="AA451" s="3"/>
    </row>
    <row r="452" spans="1:27" ht="14.25" customHeight="1">
      <c r="A452" s="1"/>
      <c r="B452" s="1"/>
      <c r="C452" s="1"/>
      <c r="D452" s="1"/>
      <c r="E452" s="20"/>
      <c r="F452" s="21"/>
      <c r="G452" s="28"/>
      <c r="H452" s="28"/>
      <c r="I452" s="28"/>
      <c r="J452" s="3"/>
      <c r="K452" s="24"/>
      <c r="L452" s="3"/>
      <c r="M452" s="3"/>
      <c r="N452" s="3"/>
      <c r="O452" s="3"/>
      <c r="P452" s="3"/>
      <c r="Q452" s="3"/>
      <c r="R452" s="3"/>
      <c r="S452" s="3"/>
      <c r="T452" s="3"/>
      <c r="U452" s="3"/>
      <c r="V452" s="3"/>
      <c r="W452" s="3"/>
      <c r="X452" s="3"/>
      <c r="Y452" s="3"/>
      <c r="Z452" s="3"/>
      <c r="AA452" s="3"/>
    </row>
    <row r="453" spans="1:27" ht="14.25" customHeight="1">
      <c r="A453" s="1"/>
      <c r="B453" s="1"/>
      <c r="C453" s="1"/>
      <c r="D453" s="1"/>
      <c r="E453" s="20"/>
      <c r="F453" s="21"/>
      <c r="G453" s="28"/>
      <c r="H453" s="28"/>
      <c r="I453" s="28"/>
      <c r="J453" s="3"/>
      <c r="K453" s="24"/>
      <c r="L453" s="3"/>
      <c r="M453" s="3"/>
      <c r="N453" s="3"/>
      <c r="O453" s="3"/>
      <c r="P453" s="3"/>
      <c r="Q453" s="3"/>
      <c r="R453" s="3"/>
      <c r="S453" s="3"/>
      <c r="T453" s="3"/>
      <c r="U453" s="3"/>
      <c r="V453" s="3"/>
      <c r="W453" s="3"/>
      <c r="X453" s="3"/>
      <c r="Y453" s="3"/>
      <c r="Z453" s="3"/>
      <c r="AA453" s="3"/>
    </row>
    <row r="454" spans="1:27" ht="14.25" customHeight="1">
      <c r="A454" s="1"/>
      <c r="B454" s="1"/>
      <c r="C454" s="1"/>
      <c r="D454" s="1"/>
      <c r="E454" s="20"/>
      <c r="F454" s="21"/>
      <c r="G454" s="28"/>
      <c r="H454" s="28"/>
      <c r="I454" s="28"/>
      <c r="J454" s="3"/>
      <c r="K454" s="24"/>
      <c r="L454" s="3"/>
      <c r="M454" s="3"/>
      <c r="N454" s="3"/>
      <c r="O454" s="3"/>
      <c r="P454" s="3"/>
      <c r="Q454" s="3"/>
      <c r="R454" s="3"/>
      <c r="S454" s="3"/>
      <c r="T454" s="3"/>
      <c r="U454" s="3"/>
      <c r="V454" s="3"/>
      <c r="W454" s="3"/>
      <c r="X454" s="3"/>
      <c r="Y454" s="3"/>
      <c r="Z454" s="3"/>
      <c r="AA454" s="3"/>
    </row>
    <row r="455" spans="1:27" ht="14.25" customHeight="1">
      <c r="A455" s="1"/>
      <c r="B455" s="1"/>
      <c r="C455" s="1"/>
      <c r="D455" s="1"/>
      <c r="E455" s="20"/>
      <c r="F455" s="21"/>
      <c r="G455" s="28"/>
      <c r="H455" s="28"/>
      <c r="I455" s="28"/>
      <c r="J455" s="3"/>
      <c r="K455" s="24"/>
      <c r="L455" s="3"/>
      <c r="M455" s="3"/>
      <c r="N455" s="3"/>
      <c r="O455" s="3"/>
      <c r="P455" s="3"/>
      <c r="Q455" s="3"/>
      <c r="R455" s="3"/>
      <c r="S455" s="3"/>
      <c r="T455" s="3"/>
      <c r="U455" s="3"/>
      <c r="V455" s="3"/>
      <c r="W455" s="3"/>
      <c r="X455" s="3"/>
      <c r="Y455" s="3"/>
      <c r="Z455" s="3"/>
      <c r="AA455" s="3"/>
    </row>
    <row r="456" spans="1:27" ht="14.25" customHeight="1">
      <c r="A456" s="1"/>
      <c r="B456" s="1"/>
      <c r="C456" s="1"/>
      <c r="D456" s="1"/>
      <c r="E456" s="20"/>
      <c r="F456" s="21"/>
      <c r="G456" s="28"/>
      <c r="H456" s="28"/>
      <c r="I456" s="28"/>
      <c r="J456" s="3"/>
      <c r="K456" s="24"/>
      <c r="L456" s="3"/>
      <c r="M456" s="3"/>
      <c r="N456" s="3"/>
      <c r="O456" s="3"/>
      <c r="P456" s="3"/>
      <c r="Q456" s="3"/>
      <c r="R456" s="3"/>
      <c r="S456" s="3"/>
      <c r="T456" s="3"/>
      <c r="U456" s="3"/>
      <c r="V456" s="3"/>
      <c r="W456" s="3"/>
      <c r="X456" s="3"/>
      <c r="Y456" s="3"/>
      <c r="Z456" s="3"/>
      <c r="AA456" s="3"/>
    </row>
    <row r="457" spans="1:27" ht="14.25" customHeight="1">
      <c r="A457" s="1"/>
      <c r="B457" s="1"/>
      <c r="C457" s="1"/>
      <c r="D457" s="1"/>
      <c r="E457" s="20"/>
      <c r="F457" s="21"/>
      <c r="G457" s="28"/>
      <c r="H457" s="28"/>
      <c r="I457" s="28"/>
      <c r="J457" s="3"/>
      <c r="K457" s="24"/>
      <c r="L457" s="3"/>
      <c r="M457" s="3"/>
      <c r="N457" s="3"/>
      <c r="O457" s="3"/>
      <c r="P457" s="3"/>
      <c r="Q457" s="3"/>
      <c r="R457" s="3"/>
      <c r="S457" s="3"/>
      <c r="T457" s="3"/>
      <c r="U457" s="3"/>
      <c r="V457" s="3"/>
      <c r="W457" s="3"/>
      <c r="X457" s="3"/>
      <c r="Y457" s="3"/>
      <c r="Z457" s="3"/>
      <c r="AA457" s="3"/>
    </row>
    <row r="458" spans="1:27" ht="14.25" customHeight="1">
      <c r="A458" s="1"/>
      <c r="B458" s="1"/>
      <c r="C458" s="1"/>
      <c r="D458" s="1"/>
      <c r="E458" s="20"/>
      <c r="F458" s="21"/>
      <c r="G458" s="28"/>
      <c r="H458" s="28"/>
      <c r="I458" s="28"/>
      <c r="J458" s="3"/>
      <c r="K458" s="24"/>
      <c r="L458" s="3"/>
      <c r="M458" s="3"/>
      <c r="N458" s="3"/>
      <c r="O458" s="3"/>
      <c r="P458" s="3"/>
      <c r="Q458" s="3"/>
      <c r="R458" s="3"/>
      <c r="S458" s="3"/>
      <c r="T458" s="3"/>
      <c r="U458" s="3"/>
      <c r="V458" s="3"/>
      <c r="W458" s="3"/>
      <c r="X458" s="3"/>
      <c r="Y458" s="3"/>
      <c r="Z458" s="3"/>
      <c r="AA458" s="3"/>
    </row>
    <row r="459" spans="1:27" ht="14.25" customHeight="1">
      <c r="A459" s="1"/>
      <c r="B459" s="1"/>
      <c r="C459" s="1"/>
      <c r="D459" s="1"/>
      <c r="E459" s="20"/>
      <c r="F459" s="21"/>
      <c r="G459" s="28"/>
      <c r="H459" s="28"/>
      <c r="I459" s="28"/>
      <c r="J459" s="3"/>
      <c r="K459" s="24"/>
      <c r="L459" s="3"/>
      <c r="M459" s="3"/>
      <c r="N459" s="3"/>
      <c r="O459" s="3"/>
      <c r="P459" s="3"/>
      <c r="Q459" s="3"/>
      <c r="R459" s="3"/>
      <c r="S459" s="3"/>
      <c r="T459" s="3"/>
      <c r="U459" s="3"/>
      <c r="V459" s="3"/>
      <c r="W459" s="3"/>
      <c r="X459" s="3"/>
      <c r="Y459" s="3"/>
      <c r="Z459" s="3"/>
      <c r="AA459" s="3"/>
    </row>
    <row r="460" spans="1:27" ht="14.25" customHeight="1">
      <c r="A460" s="1"/>
      <c r="B460" s="1"/>
      <c r="C460" s="1"/>
      <c r="D460" s="1"/>
      <c r="E460" s="20"/>
      <c r="F460" s="21"/>
      <c r="G460" s="28"/>
      <c r="H460" s="28"/>
      <c r="I460" s="28"/>
      <c r="J460" s="3"/>
      <c r="K460" s="24"/>
      <c r="L460" s="3"/>
      <c r="M460" s="3"/>
      <c r="N460" s="3"/>
      <c r="O460" s="3"/>
      <c r="P460" s="3"/>
      <c r="Q460" s="3"/>
      <c r="R460" s="3"/>
      <c r="S460" s="3"/>
      <c r="T460" s="3"/>
      <c r="U460" s="3"/>
      <c r="V460" s="3"/>
      <c r="W460" s="3"/>
      <c r="X460" s="3"/>
      <c r="Y460" s="3"/>
      <c r="Z460" s="3"/>
      <c r="AA460" s="3"/>
    </row>
    <row r="461" spans="1:27" ht="14.25" customHeight="1">
      <c r="A461" s="1"/>
      <c r="B461" s="1"/>
      <c r="C461" s="1"/>
      <c r="D461" s="1"/>
      <c r="E461" s="20"/>
      <c r="F461" s="21"/>
      <c r="G461" s="28"/>
      <c r="H461" s="28"/>
      <c r="I461" s="28"/>
      <c r="J461" s="3"/>
      <c r="K461" s="24"/>
      <c r="L461" s="3"/>
      <c r="M461" s="3"/>
      <c r="N461" s="3"/>
      <c r="O461" s="3"/>
      <c r="P461" s="3"/>
      <c r="Q461" s="3"/>
      <c r="R461" s="3"/>
      <c r="S461" s="3"/>
      <c r="T461" s="3"/>
      <c r="U461" s="3"/>
      <c r="V461" s="3"/>
      <c r="W461" s="3"/>
      <c r="X461" s="3"/>
      <c r="Y461" s="3"/>
      <c r="Z461" s="3"/>
      <c r="AA461" s="3"/>
    </row>
    <row r="462" spans="1:27" ht="14.25" customHeight="1">
      <c r="A462" s="1"/>
      <c r="B462" s="1"/>
      <c r="C462" s="1"/>
      <c r="D462" s="1"/>
      <c r="E462" s="20"/>
      <c r="F462" s="21"/>
      <c r="G462" s="28"/>
      <c r="H462" s="28"/>
      <c r="I462" s="28"/>
      <c r="J462" s="3"/>
      <c r="K462" s="24"/>
      <c r="L462" s="3"/>
      <c r="M462" s="3"/>
      <c r="N462" s="3"/>
      <c r="O462" s="3"/>
      <c r="P462" s="3"/>
      <c r="Q462" s="3"/>
      <c r="R462" s="3"/>
      <c r="S462" s="3"/>
      <c r="T462" s="3"/>
      <c r="U462" s="3"/>
      <c r="V462" s="3"/>
      <c r="W462" s="3"/>
      <c r="X462" s="3"/>
      <c r="Y462" s="3"/>
      <c r="Z462" s="3"/>
      <c r="AA462" s="3"/>
    </row>
    <row r="463" spans="1:27" ht="14.25" customHeight="1">
      <c r="A463" s="1"/>
      <c r="B463" s="1"/>
      <c r="C463" s="1"/>
      <c r="D463" s="1"/>
      <c r="E463" s="20"/>
      <c r="F463" s="21"/>
      <c r="G463" s="28"/>
      <c r="H463" s="28"/>
      <c r="I463" s="28"/>
      <c r="J463" s="3"/>
      <c r="K463" s="24"/>
      <c r="L463" s="3"/>
      <c r="M463" s="3"/>
      <c r="N463" s="3"/>
      <c r="O463" s="3"/>
      <c r="P463" s="3"/>
      <c r="Q463" s="3"/>
      <c r="R463" s="3"/>
      <c r="S463" s="3"/>
      <c r="T463" s="3"/>
      <c r="U463" s="3"/>
      <c r="V463" s="3"/>
      <c r="W463" s="3"/>
      <c r="X463" s="3"/>
      <c r="Y463" s="3"/>
      <c r="Z463" s="3"/>
      <c r="AA463" s="3"/>
    </row>
    <row r="464" spans="1:27" ht="14.25" customHeight="1">
      <c r="A464" s="1"/>
      <c r="B464" s="1"/>
      <c r="C464" s="1"/>
      <c r="D464" s="1"/>
      <c r="E464" s="20"/>
      <c r="F464" s="21"/>
      <c r="G464" s="28"/>
      <c r="H464" s="28"/>
      <c r="I464" s="28"/>
      <c r="J464" s="3"/>
      <c r="K464" s="24"/>
      <c r="L464" s="3"/>
      <c r="M464" s="3"/>
      <c r="N464" s="3"/>
      <c r="O464" s="3"/>
      <c r="P464" s="3"/>
      <c r="Q464" s="3"/>
      <c r="R464" s="3"/>
      <c r="S464" s="3"/>
      <c r="T464" s="3"/>
      <c r="U464" s="3"/>
      <c r="V464" s="3"/>
      <c r="W464" s="3"/>
      <c r="X464" s="3"/>
      <c r="Y464" s="3"/>
      <c r="Z464" s="3"/>
      <c r="AA464" s="3"/>
    </row>
    <row r="465" spans="1:27" ht="14.25" customHeight="1">
      <c r="A465" s="1"/>
      <c r="B465" s="1"/>
      <c r="C465" s="1"/>
      <c r="D465" s="1"/>
      <c r="E465" s="20"/>
      <c r="F465" s="21"/>
      <c r="G465" s="28"/>
      <c r="H465" s="28"/>
      <c r="I465" s="28"/>
      <c r="J465" s="3"/>
      <c r="K465" s="24"/>
      <c r="L465" s="3"/>
      <c r="M465" s="3"/>
      <c r="N465" s="3"/>
      <c r="O465" s="3"/>
      <c r="P465" s="3"/>
      <c r="Q465" s="3"/>
      <c r="R465" s="3"/>
      <c r="S465" s="3"/>
      <c r="T465" s="3"/>
      <c r="U465" s="3"/>
      <c r="V465" s="3"/>
      <c r="W465" s="3"/>
      <c r="X465" s="3"/>
      <c r="Y465" s="3"/>
      <c r="Z465" s="3"/>
      <c r="AA465" s="3"/>
    </row>
    <row r="466" spans="1:27" ht="14.25" customHeight="1">
      <c r="A466" s="1"/>
      <c r="B466" s="1"/>
      <c r="C466" s="1"/>
      <c r="D466" s="1"/>
      <c r="E466" s="20"/>
      <c r="F466" s="21"/>
      <c r="G466" s="28"/>
      <c r="H466" s="28"/>
      <c r="I466" s="28"/>
      <c r="J466" s="3"/>
      <c r="K466" s="24"/>
      <c r="L466" s="3"/>
      <c r="M466" s="3"/>
      <c r="N466" s="3"/>
      <c r="O466" s="3"/>
      <c r="P466" s="3"/>
      <c r="Q466" s="3"/>
      <c r="R466" s="3"/>
      <c r="S466" s="3"/>
      <c r="T466" s="3"/>
      <c r="U466" s="3"/>
      <c r="V466" s="3"/>
      <c r="W466" s="3"/>
      <c r="X466" s="3"/>
      <c r="Y466" s="3"/>
      <c r="Z466" s="3"/>
      <c r="AA466" s="3"/>
    </row>
    <row r="467" spans="1:27" ht="14.25" customHeight="1">
      <c r="A467" s="1"/>
      <c r="B467" s="1"/>
      <c r="C467" s="1"/>
      <c r="D467" s="1"/>
      <c r="E467" s="20"/>
      <c r="F467" s="21"/>
      <c r="G467" s="28"/>
      <c r="H467" s="28"/>
      <c r="I467" s="28"/>
      <c r="J467" s="3"/>
      <c r="K467" s="24"/>
      <c r="L467" s="3"/>
      <c r="M467" s="3"/>
      <c r="N467" s="3"/>
      <c r="O467" s="3"/>
      <c r="P467" s="3"/>
      <c r="Q467" s="3"/>
      <c r="R467" s="3"/>
      <c r="S467" s="3"/>
      <c r="T467" s="3"/>
      <c r="U467" s="3"/>
      <c r="V467" s="3"/>
      <c r="W467" s="3"/>
      <c r="X467" s="3"/>
      <c r="Y467" s="3"/>
      <c r="Z467" s="3"/>
      <c r="AA467" s="3"/>
    </row>
    <row r="468" spans="1:27" ht="14.25" customHeight="1">
      <c r="A468" s="1"/>
      <c r="B468" s="1"/>
      <c r="C468" s="1"/>
      <c r="D468" s="1"/>
      <c r="E468" s="20"/>
      <c r="F468" s="21"/>
      <c r="G468" s="28"/>
      <c r="H468" s="28"/>
      <c r="I468" s="28"/>
      <c r="J468" s="3"/>
      <c r="K468" s="24"/>
      <c r="L468" s="3"/>
      <c r="M468" s="3"/>
      <c r="N468" s="3"/>
      <c r="O468" s="3"/>
      <c r="P468" s="3"/>
      <c r="Q468" s="3"/>
      <c r="R468" s="3"/>
      <c r="S468" s="3"/>
      <c r="T468" s="3"/>
      <c r="U468" s="3"/>
      <c r="V468" s="3"/>
      <c r="W468" s="3"/>
      <c r="X468" s="3"/>
      <c r="Y468" s="3"/>
      <c r="Z468" s="3"/>
      <c r="AA468" s="3"/>
    </row>
    <row r="469" spans="1:27" ht="14.25" customHeight="1">
      <c r="A469" s="1"/>
      <c r="B469" s="1"/>
      <c r="C469" s="1"/>
      <c r="D469" s="1"/>
      <c r="E469" s="20"/>
      <c r="F469" s="21"/>
      <c r="G469" s="28"/>
      <c r="H469" s="28"/>
      <c r="I469" s="28"/>
      <c r="J469" s="3"/>
      <c r="K469" s="24"/>
      <c r="L469" s="3"/>
      <c r="M469" s="3"/>
      <c r="N469" s="3"/>
      <c r="O469" s="3"/>
      <c r="P469" s="3"/>
      <c r="Q469" s="3"/>
      <c r="R469" s="3"/>
      <c r="S469" s="3"/>
      <c r="T469" s="3"/>
      <c r="U469" s="3"/>
      <c r="V469" s="3"/>
      <c r="W469" s="3"/>
      <c r="X469" s="3"/>
      <c r="Y469" s="3"/>
      <c r="Z469" s="3"/>
      <c r="AA469" s="3"/>
    </row>
    <row r="470" spans="1:27" ht="14.25" customHeight="1">
      <c r="A470" s="1"/>
      <c r="B470" s="1"/>
      <c r="C470" s="1"/>
      <c r="D470" s="1"/>
      <c r="E470" s="20"/>
      <c r="F470" s="21"/>
      <c r="G470" s="28"/>
      <c r="H470" s="28"/>
      <c r="I470" s="28"/>
      <c r="J470" s="3"/>
      <c r="K470" s="24"/>
      <c r="L470" s="3"/>
      <c r="M470" s="3"/>
      <c r="N470" s="3"/>
      <c r="O470" s="3"/>
      <c r="P470" s="3"/>
      <c r="Q470" s="3"/>
      <c r="R470" s="3"/>
      <c r="S470" s="3"/>
      <c r="T470" s="3"/>
      <c r="U470" s="3"/>
      <c r="V470" s="3"/>
      <c r="W470" s="3"/>
      <c r="X470" s="3"/>
      <c r="Y470" s="3"/>
      <c r="Z470" s="3"/>
      <c r="AA470" s="3"/>
    </row>
    <row r="471" spans="1:27" ht="14.25" customHeight="1">
      <c r="A471" s="1"/>
      <c r="B471" s="1"/>
      <c r="C471" s="1"/>
      <c r="D471" s="1"/>
      <c r="E471" s="20"/>
      <c r="F471" s="21"/>
      <c r="G471" s="28"/>
      <c r="H471" s="28"/>
      <c r="I471" s="28"/>
      <c r="J471" s="3"/>
      <c r="K471" s="24"/>
      <c r="L471" s="3"/>
      <c r="M471" s="3"/>
      <c r="N471" s="3"/>
      <c r="O471" s="3"/>
      <c r="P471" s="3"/>
      <c r="Q471" s="3"/>
      <c r="R471" s="3"/>
      <c r="S471" s="3"/>
      <c r="T471" s="3"/>
      <c r="U471" s="3"/>
      <c r="V471" s="3"/>
      <c r="W471" s="3"/>
      <c r="X471" s="3"/>
      <c r="Y471" s="3"/>
      <c r="Z471" s="3"/>
      <c r="AA471" s="3"/>
    </row>
    <row r="472" spans="1:27" ht="14.25" customHeight="1">
      <c r="A472" s="1"/>
      <c r="B472" s="1"/>
      <c r="C472" s="1"/>
      <c r="D472" s="1"/>
      <c r="E472" s="20"/>
      <c r="F472" s="21"/>
      <c r="G472" s="28"/>
      <c r="H472" s="28"/>
      <c r="I472" s="28"/>
      <c r="J472" s="3"/>
      <c r="K472" s="24"/>
      <c r="L472" s="3"/>
      <c r="M472" s="3"/>
      <c r="N472" s="3"/>
      <c r="O472" s="3"/>
      <c r="P472" s="3"/>
      <c r="Q472" s="3"/>
      <c r="R472" s="3"/>
      <c r="S472" s="3"/>
      <c r="T472" s="3"/>
      <c r="U472" s="3"/>
      <c r="V472" s="3"/>
      <c r="W472" s="3"/>
      <c r="X472" s="3"/>
      <c r="Y472" s="3"/>
      <c r="Z472" s="3"/>
      <c r="AA472" s="3"/>
    </row>
    <row r="473" spans="1:27" ht="14.25" customHeight="1">
      <c r="A473" s="1"/>
      <c r="B473" s="1"/>
      <c r="C473" s="1"/>
      <c r="D473" s="1"/>
      <c r="E473" s="20"/>
      <c r="F473" s="21"/>
      <c r="G473" s="28"/>
      <c r="H473" s="28"/>
      <c r="I473" s="28"/>
      <c r="J473" s="3"/>
      <c r="K473" s="24"/>
      <c r="L473" s="3"/>
      <c r="M473" s="3"/>
      <c r="N473" s="3"/>
      <c r="O473" s="3"/>
      <c r="P473" s="3"/>
      <c r="Q473" s="3"/>
      <c r="R473" s="3"/>
      <c r="S473" s="3"/>
      <c r="T473" s="3"/>
      <c r="U473" s="3"/>
      <c r="V473" s="3"/>
      <c r="W473" s="3"/>
      <c r="X473" s="3"/>
      <c r="Y473" s="3"/>
      <c r="Z473" s="3"/>
      <c r="AA473" s="3"/>
    </row>
    <row r="474" spans="1:27" ht="14.25" customHeight="1">
      <c r="A474" s="1"/>
      <c r="B474" s="1"/>
      <c r="C474" s="1"/>
      <c r="D474" s="1"/>
      <c r="E474" s="20"/>
      <c r="F474" s="21"/>
      <c r="G474" s="28"/>
      <c r="H474" s="28"/>
      <c r="I474" s="28"/>
      <c r="J474" s="3"/>
      <c r="K474" s="24"/>
      <c r="L474" s="3"/>
      <c r="M474" s="3"/>
      <c r="N474" s="3"/>
      <c r="O474" s="3"/>
      <c r="P474" s="3"/>
      <c r="Q474" s="3"/>
      <c r="R474" s="3"/>
      <c r="S474" s="3"/>
      <c r="T474" s="3"/>
      <c r="U474" s="3"/>
      <c r="V474" s="3"/>
      <c r="W474" s="3"/>
      <c r="X474" s="3"/>
      <c r="Y474" s="3"/>
      <c r="Z474" s="3"/>
      <c r="AA474" s="3"/>
    </row>
    <row r="475" spans="1:27" ht="14.25" customHeight="1">
      <c r="A475" s="1"/>
      <c r="B475" s="1"/>
      <c r="C475" s="1"/>
      <c r="D475" s="1"/>
      <c r="E475" s="20"/>
      <c r="F475" s="21"/>
      <c r="G475" s="28"/>
      <c r="H475" s="28"/>
      <c r="I475" s="28"/>
      <c r="J475" s="3"/>
      <c r="K475" s="24"/>
      <c r="L475" s="3"/>
      <c r="M475" s="3"/>
      <c r="N475" s="3"/>
      <c r="O475" s="3"/>
      <c r="P475" s="3"/>
      <c r="Q475" s="3"/>
      <c r="R475" s="3"/>
      <c r="S475" s="3"/>
      <c r="T475" s="3"/>
      <c r="U475" s="3"/>
      <c r="V475" s="3"/>
      <c r="W475" s="3"/>
      <c r="X475" s="3"/>
      <c r="Y475" s="3"/>
      <c r="Z475" s="3"/>
      <c r="AA475" s="3"/>
    </row>
    <row r="476" spans="1:27" ht="14.25" customHeight="1">
      <c r="A476" s="1"/>
      <c r="B476" s="1"/>
      <c r="C476" s="1"/>
      <c r="D476" s="1"/>
      <c r="E476" s="20"/>
      <c r="F476" s="21"/>
      <c r="G476" s="28"/>
      <c r="H476" s="28"/>
      <c r="I476" s="28"/>
      <c r="J476" s="3"/>
      <c r="K476" s="24"/>
      <c r="L476" s="3"/>
      <c r="M476" s="3"/>
      <c r="N476" s="3"/>
      <c r="O476" s="3"/>
      <c r="P476" s="3"/>
      <c r="Q476" s="3"/>
      <c r="R476" s="3"/>
      <c r="S476" s="3"/>
      <c r="T476" s="3"/>
      <c r="U476" s="3"/>
      <c r="V476" s="3"/>
      <c r="W476" s="3"/>
      <c r="X476" s="3"/>
      <c r="Y476" s="3"/>
      <c r="Z476" s="3"/>
      <c r="AA476" s="3"/>
    </row>
    <row r="477" spans="1:27" ht="14.25" customHeight="1">
      <c r="A477" s="1"/>
      <c r="B477" s="1"/>
      <c r="C477" s="1"/>
      <c r="D477" s="1"/>
      <c r="E477" s="20"/>
      <c r="F477" s="21"/>
      <c r="G477" s="28"/>
      <c r="H477" s="28"/>
      <c r="I477" s="28"/>
      <c r="J477" s="3"/>
      <c r="K477" s="24"/>
      <c r="L477" s="3"/>
      <c r="M477" s="3"/>
      <c r="N477" s="3"/>
      <c r="O477" s="3"/>
      <c r="P477" s="3"/>
      <c r="Q477" s="3"/>
      <c r="R477" s="3"/>
      <c r="S477" s="3"/>
      <c r="T477" s="3"/>
      <c r="U477" s="3"/>
      <c r="V477" s="3"/>
      <c r="W477" s="3"/>
      <c r="X477" s="3"/>
      <c r="Y477" s="3"/>
      <c r="Z477" s="3"/>
      <c r="AA477" s="3"/>
    </row>
    <row r="478" spans="1:27" ht="14.25" customHeight="1">
      <c r="A478" s="1"/>
      <c r="B478" s="1"/>
      <c r="C478" s="1"/>
      <c r="D478" s="1"/>
      <c r="E478" s="20"/>
      <c r="F478" s="21"/>
      <c r="G478" s="28"/>
      <c r="H478" s="28"/>
      <c r="I478" s="28"/>
      <c r="J478" s="3"/>
      <c r="K478" s="24"/>
      <c r="L478" s="3"/>
      <c r="M478" s="3"/>
      <c r="N478" s="3"/>
      <c r="O478" s="3"/>
      <c r="P478" s="3"/>
      <c r="Q478" s="3"/>
      <c r="R478" s="3"/>
      <c r="S478" s="3"/>
      <c r="T478" s="3"/>
      <c r="U478" s="3"/>
      <c r="V478" s="3"/>
      <c r="W478" s="3"/>
      <c r="X478" s="3"/>
      <c r="Y478" s="3"/>
      <c r="Z478" s="3"/>
      <c r="AA478" s="3"/>
    </row>
    <row r="479" spans="1:27" ht="14.25" customHeight="1">
      <c r="A479" s="1"/>
      <c r="B479" s="1"/>
      <c r="C479" s="1"/>
      <c r="D479" s="1"/>
      <c r="E479" s="20"/>
      <c r="F479" s="21"/>
      <c r="G479" s="28"/>
      <c r="H479" s="28"/>
      <c r="I479" s="28"/>
      <c r="J479" s="3"/>
      <c r="K479" s="24"/>
      <c r="L479" s="3"/>
      <c r="M479" s="3"/>
      <c r="N479" s="3"/>
      <c r="O479" s="3"/>
      <c r="P479" s="3"/>
      <c r="Q479" s="3"/>
      <c r="R479" s="3"/>
      <c r="S479" s="3"/>
      <c r="T479" s="3"/>
      <c r="U479" s="3"/>
      <c r="V479" s="3"/>
      <c r="W479" s="3"/>
      <c r="X479" s="3"/>
      <c r="Y479" s="3"/>
      <c r="Z479" s="3"/>
      <c r="AA479" s="3"/>
    </row>
    <row r="480" spans="1:27" ht="14.25" customHeight="1">
      <c r="A480" s="1"/>
      <c r="B480" s="1"/>
      <c r="C480" s="1"/>
      <c r="D480" s="1"/>
      <c r="E480" s="20"/>
      <c r="F480" s="21"/>
      <c r="G480" s="28"/>
      <c r="H480" s="28"/>
      <c r="I480" s="28"/>
      <c r="J480" s="3"/>
      <c r="K480" s="24"/>
      <c r="L480" s="3"/>
      <c r="M480" s="3"/>
      <c r="N480" s="3"/>
      <c r="O480" s="3"/>
      <c r="P480" s="3"/>
      <c r="Q480" s="3"/>
      <c r="R480" s="3"/>
      <c r="S480" s="3"/>
      <c r="T480" s="3"/>
      <c r="U480" s="3"/>
      <c r="V480" s="3"/>
      <c r="W480" s="3"/>
      <c r="X480" s="3"/>
      <c r="Y480" s="3"/>
      <c r="Z480" s="3"/>
      <c r="AA480" s="3"/>
    </row>
    <row r="481" spans="1:27" ht="14.25" customHeight="1">
      <c r="A481" s="1"/>
      <c r="B481" s="1"/>
      <c r="C481" s="1"/>
      <c r="D481" s="1"/>
      <c r="E481" s="20"/>
      <c r="F481" s="21"/>
      <c r="G481" s="28"/>
      <c r="H481" s="28"/>
      <c r="I481" s="28"/>
      <c r="J481" s="3"/>
      <c r="K481" s="24"/>
      <c r="L481" s="3"/>
      <c r="M481" s="3"/>
      <c r="N481" s="3"/>
      <c r="O481" s="3"/>
      <c r="P481" s="3"/>
      <c r="Q481" s="3"/>
      <c r="R481" s="3"/>
      <c r="S481" s="3"/>
      <c r="T481" s="3"/>
      <c r="U481" s="3"/>
      <c r="V481" s="3"/>
      <c r="W481" s="3"/>
      <c r="X481" s="3"/>
      <c r="Y481" s="3"/>
      <c r="Z481" s="3"/>
      <c r="AA481" s="3"/>
    </row>
    <row r="482" spans="1:27" ht="14.25" customHeight="1">
      <c r="A482" s="1"/>
      <c r="B482" s="1"/>
      <c r="C482" s="1"/>
      <c r="D482" s="1"/>
      <c r="E482" s="20"/>
      <c r="F482" s="21"/>
      <c r="G482" s="28"/>
      <c r="H482" s="28"/>
      <c r="I482" s="28"/>
      <c r="J482" s="3"/>
      <c r="K482" s="24"/>
      <c r="L482" s="3"/>
      <c r="M482" s="3"/>
      <c r="N482" s="3"/>
      <c r="O482" s="3"/>
      <c r="P482" s="3"/>
      <c r="Q482" s="3"/>
      <c r="R482" s="3"/>
      <c r="S482" s="3"/>
      <c r="T482" s="3"/>
      <c r="U482" s="3"/>
      <c r="V482" s="3"/>
      <c r="W482" s="3"/>
      <c r="X482" s="3"/>
      <c r="Y482" s="3"/>
      <c r="Z482" s="3"/>
      <c r="AA482" s="3"/>
    </row>
    <row r="483" spans="1:27" ht="14.25" customHeight="1">
      <c r="A483" s="1"/>
      <c r="B483" s="1"/>
      <c r="C483" s="1"/>
      <c r="D483" s="1"/>
      <c r="E483" s="20"/>
      <c r="F483" s="21"/>
      <c r="G483" s="28"/>
      <c r="H483" s="28"/>
      <c r="I483" s="28"/>
      <c r="J483" s="3"/>
      <c r="K483" s="24"/>
      <c r="L483" s="3"/>
      <c r="M483" s="3"/>
      <c r="N483" s="3"/>
      <c r="O483" s="3"/>
      <c r="P483" s="3"/>
      <c r="Q483" s="3"/>
      <c r="R483" s="3"/>
      <c r="S483" s="3"/>
      <c r="T483" s="3"/>
      <c r="U483" s="3"/>
      <c r="V483" s="3"/>
      <c r="W483" s="3"/>
      <c r="X483" s="3"/>
      <c r="Y483" s="3"/>
      <c r="Z483" s="3"/>
      <c r="AA483" s="3"/>
    </row>
    <row r="484" spans="1:27" ht="14.25" customHeight="1">
      <c r="A484" s="1"/>
      <c r="B484" s="1"/>
      <c r="C484" s="1"/>
      <c r="D484" s="1"/>
      <c r="E484" s="20"/>
      <c r="F484" s="21"/>
      <c r="G484" s="28"/>
      <c r="H484" s="28"/>
      <c r="I484" s="28"/>
      <c r="J484" s="3"/>
      <c r="K484" s="24"/>
      <c r="L484" s="3"/>
      <c r="M484" s="3"/>
      <c r="N484" s="3"/>
      <c r="O484" s="3"/>
      <c r="P484" s="3"/>
      <c r="Q484" s="3"/>
      <c r="R484" s="3"/>
      <c r="S484" s="3"/>
      <c r="T484" s="3"/>
      <c r="U484" s="3"/>
      <c r="V484" s="3"/>
      <c r="W484" s="3"/>
      <c r="X484" s="3"/>
      <c r="Y484" s="3"/>
      <c r="Z484" s="3"/>
      <c r="AA484" s="3"/>
    </row>
    <row r="485" spans="1:27" ht="14.25" customHeight="1">
      <c r="A485" s="1"/>
      <c r="B485" s="1"/>
      <c r="C485" s="1"/>
      <c r="D485" s="1"/>
      <c r="E485" s="20"/>
      <c r="F485" s="21"/>
      <c r="G485" s="28"/>
      <c r="H485" s="28"/>
      <c r="I485" s="28"/>
      <c r="J485" s="3"/>
      <c r="K485" s="24"/>
      <c r="L485" s="3"/>
      <c r="M485" s="3"/>
      <c r="N485" s="3"/>
      <c r="O485" s="3"/>
      <c r="P485" s="3"/>
      <c r="Q485" s="3"/>
      <c r="R485" s="3"/>
      <c r="S485" s="3"/>
      <c r="T485" s="3"/>
      <c r="U485" s="3"/>
      <c r="V485" s="3"/>
      <c r="W485" s="3"/>
      <c r="X485" s="3"/>
      <c r="Y485" s="3"/>
      <c r="Z485" s="3"/>
      <c r="AA485" s="3"/>
    </row>
    <row r="486" spans="1:27" ht="14.25" customHeight="1">
      <c r="A486" s="1"/>
      <c r="B486" s="1"/>
      <c r="C486" s="1"/>
      <c r="D486" s="1"/>
      <c r="E486" s="20"/>
      <c r="F486" s="21"/>
      <c r="G486" s="28"/>
      <c r="H486" s="28"/>
      <c r="I486" s="28"/>
      <c r="J486" s="3"/>
      <c r="K486" s="24"/>
      <c r="L486" s="3"/>
      <c r="M486" s="3"/>
      <c r="N486" s="3"/>
      <c r="O486" s="3"/>
      <c r="P486" s="3"/>
      <c r="Q486" s="3"/>
      <c r="R486" s="3"/>
      <c r="S486" s="3"/>
      <c r="T486" s="3"/>
      <c r="U486" s="3"/>
      <c r="V486" s="3"/>
      <c r="W486" s="3"/>
      <c r="X486" s="3"/>
      <c r="Y486" s="3"/>
      <c r="Z486" s="3"/>
      <c r="AA486" s="3"/>
    </row>
    <row r="487" spans="1:27" ht="14.25" customHeight="1">
      <c r="A487" s="1"/>
      <c r="B487" s="1"/>
      <c r="C487" s="1"/>
      <c r="D487" s="1"/>
      <c r="E487" s="20"/>
      <c r="F487" s="21"/>
      <c r="G487" s="28"/>
      <c r="H487" s="28"/>
      <c r="I487" s="28"/>
      <c r="J487" s="3"/>
      <c r="K487" s="24"/>
      <c r="L487" s="3"/>
      <c r="M487" s="3"/>
      <c r="N487" s="3"/>
      <c r="O487" s="3"/>
      <c r="P487" s="3"/>
      <c r="Q487" s="3"/>
      <c r="R487" s="3"/>
      <c r="S487" s="3"/>
      <c r="T487" s="3"/>
      <c r="U487" s="3"/>
      <c r="V487" s="3"/>
      <c r="W487" s="3"/>
      <c r="X487" s="3"/>
      <c r="Y487" s="3"/>
      <c r="Z487" s="3"/>
      <c r="AA487" s="3"/>
    </row>
    <row r="488" spans="1:27" ht="14.25" customHeight="1">
      <c r="A488" s="1"/>
      <c r="B488" s="1"/>
      <c r="C488" s="1"/>
      <c r="D488" s="1"/>
      <c r="E488" s="20"/>
      <c r="F488" s="21"/>
      <c r="G488" s="28"/>
      <c r="H488" s="28"/>
      <c r="I488" s="28"/>
      <c r="J488" s="3"/>
      <c r="K488" s="24"/>
      <c r="L488" s="3"/>
      <c r="M488" s="3"/>
      <c r="N488" s="3"/>
      <c r="O488" s="3"/>
      <c r="P488" s="3"/>
      <c r="Q488" s="3"/>
      <c r="R488" s="3"/>
      <c r="S488" s="3"/>
      <c r="T488" s="3"/>
      <c r="U488" s="3"/>
      <c r="V488" s="3"/>
      <c r="W488" s="3"/>
      <c r="X488" s="3"/>
      <c r="Y488" s="3"/>
      <c r="Z488" s="3"/>
      <c r="AA488" s="3"/>
    </row>
    <row r="489" spans="1:27" ht="14.25" customHeight="1">
      <c r="A489" s="1"/>
      <c r="B489" s="1"/>
      <c r="C489" s="1"/>
      <c r="D489" s="1"/>
      <c r="E489" s="20"/>
      <c r="F489" s="21"/>
      <c r="G489" s="28"/>
      <c r="H489" s="28"/>
      <c r="I489" s="28"/>
      <c r="J489" s="3"/>
      <c r="K489" s="24"/>
      <c r="L489" s="3"/>
      <c r="M489" s="3"/>
      <c r="N489" s="3"/>
      <c r="O489" s="3"/>
      <c r="P489" s="3"/>
      <c r="Q489" s="3"/>
      <c r="R489" s="3"/>
      <c r="S489" s="3"/>
      <c r="T489" s="3"/>
      <c r="U489" s="3"/>
      <c r="V489" s="3"/>
      <c r="W489" s="3"/>
      <c r="X489" s="3"/>
      <c r="Y489" s="3"/>
      <c r="Z489" s="3"/>
      <c r="AA489" s="3"/>
    </row>
    <row r="490" spans="1:27" ht="14.25" customHeight="1">
      <c r="A490" s="1"/>
      <c r="B490" s="1"/>
      <c r="C490" s="1"/>
      <c r="D490" s="1"/>
      <c r="E490" s="20"/>
      <c r="F490" s="21"/>
      <c r="G490" s="28"/>
      <c r="H490" s="28"/>
      <c r="I490" s="28"/>
      <c r="J490" s="3"/>
      <c r="K490" s="24"/>
      <c r="L490" s="3"/>
      <c r="M490" s="3"/>
      <c r="N490" s="3"/>
      <c r="O490" s="3"/>
      <c r="P490" s="3"/>
      <c r="Q490" s="3"/>
      <c r="R490" s="3"/>
      <c r="S490" s="3"/>
      <c r="T490" s="3"/>
      <c r="U490" s="3"/>
      <c r="V490" s="3"/>
      <c r="W490" s="3"/>
      <c r="X490" s="3"/>
      <c r="Y490" s="3"/>
      <c r="Z490" s="3"/>
      <c r="AA490" s="3"/>
    </row>
    <row r="491" spans="1:27" ht="14.25" customHeight="1">
      <c r="A491" s="1"/>
      <c r="B491" s="1"/>
      <c r="C491" s="1"/>
      <c r="D491" s="1"/>
      <c r="E491" s="20"/>
      <c r="F491" s="21"/>
      <c r="G491" s="28"/>
      <c r="H491" s="28"/>
      <c r="I491" s="28"/>
      <c r="J491" s="3"/>
      <c r="K491" s="24"/>
      <c r="L491" s="3"/>
      <c r="M491" s="3"/>
      <c r="N491" s="3"/>
      <c r="O491" s="3"/>
      <c r="P491" s="3"/>
      <c r="Q491" s="3"/>
      <c r="R491" s="3"/>
      <c r="S491" s="3"/>
      <c r="T491" s="3"/>
      <c r="U491" s="3"/>
      <c r="V491" s="3"/>
      <c r="W491" s="3"/>
      <c r="X491" s="3"/>
      <c r="Y491" s="3"/>
      <c r="Z491" s="3"/>
      <c r="AA491" s="3"/>
    </row>
    <row r="492" spans="1:27" ht="14.25" customHeight="1">
      <c r="A492" s="1"/>
      <c r="B492" s="1"/>
      <c r="C492" s="1"/>
      <c r="D492" s="1"/>
      <c r="E492" s="20"/>
      <c r="F492" s="21"/>
      <c r="G492" s="28"/>
      <c r="H492" s="28"/>
      <c r="I492" s="28"/>
      <c r="J492" s="3"/>
      <c r="K492" s="24"/>
      <c r="L492" s="3"/>
      <c r="M492" s="3"/>
      <c r="N492" s="3"/>
      <c r="O492" s="3"/>
      <c r="P492" s="3"/>
      <c r="Q492" s="3"/>
      <c r="R492" s="3"/>
      <c r="S492" s="3"/>
      <c r="T492" s="3"/>
      <c r="U492" s="3"/>
      <c r="V492" s="3"/>
      <c r="W492" s="3"/>
      <c r="X492" s="3"/>
      <c r="Y492" s="3"/>
      <c r="Z492" s="3"/>
      <c r="AA492" s="3"/>
    </row>
    <row r="493" spans="1:27" ht="14.25" customHeight="1">
      <c r="A493" s="1"/>
      <c r="B493" s="1"/>
      <c r="C493" s="1"/>
      <c r="D493" s="1"/>
      <c r="E493" s="20"/>
      <c r="F493" s="21"/>
      <c r="G493" s="28"/>
      <c r="H493" s="28"/>
      <c r="I493" s="28"/>
      <c r="J493" s="3"/>
      <c r="K493" s="24"/>
      <c r="L493" s="3"/>
      <c r="M493" s="3"/>
      <c r="N493" s="3"/>
      <c r="O493" s="3"/>
      <c r="P493" s="3"/>
      <c r="Q493" s="3"/>
      <c r="R493" s="3"/>
      <c r="S493" s="3"/>
      <c r="T493" s="3"/>
      <c r="U493" s="3"/>
      <c r="V493" s="3"/>
      <c r="W493" s="3"/>
      <c r="X493" s="3"/>
      <c r="Y493" s="3"/>
      <c r="Z493" s="3"/>
      <c r="AA493" s="3"/>
    </row>
    <row r="494" spans="1:27" ht="14.25" customHeight="1">
      <c r="A494" s="1"/>
      <c r="B494" s="1"/>
      <c r="C494" s="1"/>
      <c r="D494" s="1"/>
      <c r="E494" s="20"/>
      <c r="F494" s="21"/>
      <c r="G494" s="28"/>
      <c r="H494" s="28"/>
      <c r="I494" s="28"/>
      <c r="J494" s="3"/>
      <c r="K494" s="24"/>
      <c r="L494" s="3"/>
      <c r="M494" s="3"/>
      <c r="N494" s="3"/>
      <c r="O494" s="3"/>
      <c r="P494" s="3"/>
      <c r="Q494" s="3"/>
      <c r="R494" s="3"/>
      <c r="S494" s="3"/>
      <c r="T494" s="3"/>
      <c r="U494" s="3"/>
      <c r="V494" s="3"/>
      <c r="W494" s="3"/>
      <c r="X494" s="3"/>
      <c r="Y494" s="3"/>
      <c r="Z494" s="3"/>
      <c r="AA494" s="3"/>
    </row>
    <row r="495" spans="1:27" ht="14.25" customHeight="1">
      <c r="A495" s="1"/>
      <c r="B495" s="1"/>
      <c r="C495" s="1"/>
      <c r="D495" s="1"/>
      <c r="E495" s="20"/>
      <c r="F495" s="21"/>
      <c r="G495" s="28"/>
      <c r="H495" s="28"/>
      <c r="I495" s="28"/>
      <c r="J495" s="3"/>
      <c r="K495" s="24"/>
      <c r="L495" s="3"/>
      <c r="M495" s="3"/>
      <c r="N495" s="3"/>
      <c r="O495" s="3"/>
      <c r="P495" s="3"/>
      <c r="Q495" s="3"/>
      <c r="R495" s="3"/>
      <c r="S495" s="3"/>
      <c r="T495" s="3"/>
      <c r="U495" s="3"/>
      <c r="V495" s="3"/>
      <c r="W495" s="3"/>
      <c r="X495" s="3"/>
      <c r="Y495" s="3"/>
      <c r="Z495" s="3"/>
      <c r="AA495" s="3"/>
    </row>
    <row r="496" spans="1:27" ht="14.25" customHeight="1">
      <c r="A496" s="1"/>
      <c r="B496" s="1"/>
      <c r="C496" s="1"/>
      <c r="D496" s="1"/>
      <c r="E496" s="20"/>
      <c r="F496" s="21"/>
      <c r="G496" s="28"/>
      <c r="H496" s="28"/>
      <c r="I496" s="28"/>
      <c r="J496" s="3"/>
      <c r="K496" s="24"/>
      <c r="L496" s="3"/>
      <c r="M496" s="3"/>
      <c r="N496" s="3"/>
      <c r="O496" s="3"/>
      <c r="P496" s="3"/>
      <c r="Q496" s="3"/>
      <c r="R496" s="3"/>
      <c r="S496" s="3"/>
      <c r="T496" s="3"/>
      <c r="U496" s="3"/>
      <c r="V496" s="3"/>
      <c r="W496" s="3"/>
      <c r="X496" s="3"/>
      <c r="Y496" s="3"/>
      <c r="Z496" s="3"/>
      <c r="AA496" s="3"/>
    </row>
    <row r="497" spans="1:27" ht="14.25" customHeight="1">
      <c r="A497" s="1"/>
      <c r="B497" s="1"/>
      <c r="C497" s="1"/>
      <c r="D497" s="1"/>
      <c r="E497" s="20"/>
      <c r="F497" s="21"/>
      <c r="G497" s="28"/>
      <c r="H497" s="28"/>
      <c r="I497" s="28"/>
      <c r="J497" s="3"/>
      <c r="K497" s="24"/>
      <c r="L497" s="3"/>
      <c r="M497" s="3"/>
      <c r="N497" s="3"/>
      <c r="O497" s="3"/>
      <c r="P497" s="3"/>
      <c r="Q497" s="3"/>
      <c r="R497" s="3"/>
      <c r="S497" s="3"/>
      <c r="T497" s="3"/>
      <c r="U497" s="3"/>
      <c r="V497" s="3"/>
      <c r="W497" s="3"/>
      <c r="X497" s="3"/>
      <c r="Y497" s="3"/>
      <c r="Z497" s="3"/>
      <c r="AA497" s="3"/>
    </row>
    <row r="498" spans="1:27" ht="14.25" customHeight="1">
      <c r="A498" s="1"/>
      <c r="B498" s="1"/>
      <c r="C498" s="1"/>
      <c r="D498" s="1"/>
      <c r="E498" s="20"/>
      <c r="F498" s="21"/>
      <c r="G498" s="28"/>
      <c r="H498" s="28"/>
      <c r="I498" s="28"/>
      <c r="J498" s="3"/>
      <c r="K498" s="24"/>
      <c r="L498" s="3"/>
      <c r="M498" s="3"/>
      <c r="N498" s="3"/>
      <c r="O498" s="3"/>
      <c r="P498" s="3"/>
      <c r="Q498" s="3"/>
      <c r="R498" s="3"/>
      <c r="S498" s="3"/>
      <c r="T498" s="3"/>
      <c r="U498" s="3"/>
      <c r="V498" s="3"/>
      <c r="W498" s="3"/>
      <c r="X498" s="3"/>
      <c r="Y498" s="3"/>
      <c r="Z498" s="3"/>
      <c r="AA498" s="3"/>
    </row>
    <row r="499" spans="1:27" ht="14.25" customHeight="1">
      <c r="A499" s="1"/>
      <c r="B499" s="1"/>
      <c r="C499" s="1"/>
      <c r="D499" s="1"/>
      <c r="E499" s="20"/>
      <c r="F499" s="21"/>
      <c r="G499" s="28"/>
      <c r="H499" s="28"/>
      <c r="I499" s="28"/>
      <c r="J499" s="3"/>
      <c r="K499" s="24"/>
      <c r="L499" s="3"/>
      <c r="M499" s="3"/>
      <c r="N499" s="3"/>
      <c r="O499" s="3"/>
      <c r="P499" s="3"/>
      <c r="Q499" s="3"/>
      <c r="R499" s="3"/>
      <c r="S499" s="3"/>
      <c r="T499" s="3"/>
      <c r="U499" s="3"/>
      <c r="V499" s="3"/>
      <c r="W499" s="3"/>
      <c r="X499" s="3"/>
      <c r="Y499" s="3"/>
      <c r="Z499" s="3"/>
      <c r="AA499" s="3"/>
    </row>
    <row r="500" spans="1:27" ht="14.25" customHeight="1">
      <c r="A500" s="1"/>
      <c r="B500" s="1"/>
      <c r="C500" s="1"/>
      <c r="D500" s="1"/>
      <c r="E500" s="20"/>
      <c r="F500" s="21"/>
      <c r="G500" s="28"/>
      <c r="H500" s="28"/>
      <c r="I500" s="28"/>
      <c r="J500" s="3"/>
      <c r="K500" s="24"/>
      <c r="L500" s="3"/>
      <c r="M500" s="3"/>
      <c r="N500" s="3"/>
      <c r="O500" s="3"/>
      <c r="P500" s="3"/>
      <c r="Q500" s="3"/>
      <c r="R500" s="3"/>
      <c r="S500" s="3"/>
      <c r="T500" s="3"/>
      <c r="U500" s="3"/>
      <c r="V500" s="3"/>
      <c r="W500" s="3"/>
      <c r="X500" s="3"/>
      <c r="Y500" s="3"/>
      <c r="Z500" s="3"/>
      <c r="AA500" s="3"/>
    </row>
    <row r="501" spans="1:27" ht="14.25" customHeight="1">
      <c r="A501" s="1"/>
      <c r="B501" s="1"/>
      <c r="C501" s="1"/>
      <c r="D501" s="1"/>
      <c r="E501" s="20"/>
      <c r="F501" s="21"/>
      <c r="G501" s="28"/>
      <c r="H501" s="28"/>
      <c r="I501" s="28"/>
      <c r="J501" s="3"/>
      <c r="K501" s="24"/>
      <c r="L501" s="3"/>
      <c r="M501" s="3"/>
      <c r="N501" s="3"/>
      <c r="O501" s="3"/>
      <c r="P501" s="3"/>
      <c r="Q501" s="3"/>
      <c r="R501" s="3"/>
      <c r="S501" s="3"/>
      <c r="T501" s="3"/>
      <c r="U501" s="3"/>
      <c r="V501" s="3"/>
      <c r="W501" s="3"/>
      <c r="X501" s="3"/>
      <c r="Y501" s="3"/>
      <c r="Z501" s="3"/>
      <c r="AA501" s="3"/>
    </row>
    <row r="502" spans="1:27" ht="14.25" customHeight="1">
      <c r="A502" s="1"/>
      <c r="B502" s="1"/>
      <c r="C502" s="1"/>
      <c r="D502" s="1"/>
      <c r="E502" s="20"/>
      <c r="F502" s="21"/>
      <c r="G502" s="28"/>
      <c r="H502" s="28"/>
      <c r="I502" s="28"/>
      <c r="J502" s="3"/>
      <c r="K502" s="24"/>
      <c r="L502" s="3"/>
      <c r="M502" s="3"/>
      <c r="N502" s="3"/>
      <c r="O502" s="3"/>
      <c r="P502" s="3"/>
      <c r="Q502" s="3"/>
      <c r="R502" s="3"/>
      <c r="S502" s="3"/>
      <c r="T502" s="3"/>
      <c r="U502" s="3"/>
      <c r="V502" s="3"/>
      <c r="W502" s="3"/>
      <c r="X502" s="3"/>
      <c r="Y502" s="3"/>
      <c r="Z502" s="3"/>
      <c r="AA502" s="3"/>
    </row>
    <row r="503" spans="1:27" ht="14.25" customHeight="1">
      <c r="A503" s="1"/>
      <c r="B503" s="1"/>
      <c r="C503" s="1"/>
      <c r="D503" s="1"/>
      <c r="E503" s="20"/>
      <c r="F503" s="21"/>
      <c r="G503" s="28"/>
      <c r="H503" s="28"/>
      <c r="I503" s="28"/>
      <c r="J503" s="3"/>
      <c r="K503" s="24"/>
      <c r="L503" s="3"/>
      <c r="M503" s="3"/>
      <c r="N503" s="3"/>
      <c r="O503" s="3"/>
      <c r="P503" s="3"/>
      <c r="Q503" s="3"/>
      <c r="R503" s="3"/>
      <c r="S503" s="3"/>
      <c r="T503" s="3"/>
      <c r="U503" s="3"/>
      <c r="V503" s="3"/>
      <c r="W503" s="3"/>
      <c r="X503" s="3"/>
      <c r="Y503" s="3"/>
      <c r="Z503" s="3"/>
      <c r="AA503" s="3"/>
    </row>
    <row r="504" spans="1:27" ht="14.25" customHeight="1">
      <c r="A504" s="1"/>
      <c r="B504" s="1"/>
      <c r="C504" s="1"/>
      <c r="D504" s="1"/>
      <c r="E504" s="20"/>
      <c r="F504" s="21"/>
      <c r="G504" s="28"/>
      <c r="H504" s="28"/>
      <c r="I504" s="28"/>
      <c r="J504" s="3"/>
      <c r="K504" s="24"/>
      <c r="L504" s="3"/>
      <c r="M504" s="3"/>
      <c r="N504" s="3"/>
      <c r="O504" s="3"/>
      <c r="P504" s="3"/>
      <c r="Q504" s="3"/>
      <c r="R504" s="3"/>
      <c r="S504" s="3"/>
      <c r="T504" s="3"/>
      <c r="U504" s="3"/>
      <c r="V504" s="3"/>
      <c r="W504" s="3"/>
      <c r="X504" s="3"/>
      <c r="Y504" s="3"/>
      <c r="Z504" s="3"/>
      <c r="AA504" s="3"/>
    </row>
    <row r="505" spans="1:27" ht="14.25" customHeight="1">
      <c r="A505" s="1"/>
      <c r="B505" s="1"/>
      <c r="C505" s="1"/>
      <c r="D505" s="1"/>
      <c r="E505" s="20"/>
      <c r="F505" s="21"/>
      <c r="G505" s="28"/>
      <c r="H505" s="28"/>
      <c r="I505" s="28"/>
      <c r="J505" s="3"/>
      <c r="K505" s="24"/>
      <c r="L505" s="3"/>
      <c r="M505" s="3"/>
      <c r="N505" s="3"/>
      <c r="O505" s="3"/>
      <c r="P505" s="3"/>
      <c r="Q505" s="3"/>
      <c r="R505" s="3"/>
      <c r="S505" s="3"/>
      <c r="T505" s="3"/>
      <c r="U505" s="3"/>
      <c r="V505" s="3"/>
      <c r="W505" s="3"/>
      <c r="X505" s="3"/>
      <c r="Y505" s="3"/>
      <c r="Z505" s="3"/>
      <c r="AA505" s="3"/>
    </row>
    <row r="506" spans="1:27" ht="14.25" customHeight="1">
      <c r="A506" s="1"/>
      <c r="B506" s="1"/>
      <c r="C506" s="1"/>
      <c r="D506" s="1"/>
      <c r="E506" s="20"/>
      <c r="F506" s="21"/>
      <c r="G506" s="28"/>
      <c r="H506" s="28"/>
      <c r="I506" s="28"/>
      <c r="J506" s="3"/>
      <c r="K506" s="24"/>
      <c r="L506" s="3"/>
      <c r="M506" s="3"/>
      <c r="N506" s="3"/>
      <c r="O506" s="3"/>
      <c r="P506" s="3"/>
      <c r="Q506" s="3"/>
      <c r="R506" s="3"/>
      <c r="S506" s="3"/>
      <c r="T506" s="3"/>
      <c r="U506" s="3"/>
      <c r="V506" s="3"/>
      <c r="W506" s="3"/>
      <c r="X506" s="3"/>
      <c r="Y506" s="3"/>
      <c r="Z506" s="3"/>
      <c r="AA506" s="3"/>
    </row>
    <row r="507" spans="1:27" ht="14.25" customHeight="1">
      <c r="A507" s="1"/>
      <c r="B507" s="1"/>
      <c r="C507" s="1"/>
      <c r="D507" s="1"/>
      <c r="E507" s="20"/>
      <c r="F507" s="21"/>
      <c r="G507" s="28"/>
      <c r="H507" s="28"/>
      <c r="I507" s="28"/>
      <c r="J507" s="3"/>
      <c r="K507" s="24"/>
      <c r="L507" s="3"/>
      <c r="M507" s="3"/>
      <c r="N507" s="3"/>
      <c r="O507" s="3"/>
      <c r="P507" s="3"/>
      <c r="Q507" s="3"/>
      <c r="R507" s="3"/>
      <c r="S507" s="3"/>
      <c r="T507" s="3"/>
      <c r="U507" s="3"/>
      <c r="V507" s="3"/>
      <c r="W507" s="3"/>
      <c r="X507" s="3"/>
      <c r="Y507" s="3"/>
      <c r="Z507" s="3"/>
      <c r="AA507" s="3"/>
    </row>
    <row r="508" spans="1:27" ht="14.25" customHeight="1">
      <c r="A508" s="1"/>
      <c r="B508" s="1"/>
      <c r="C508" s="1"/>
      <c r="D508" s="1"/>
      <c r="E508" s="20"/>
      <c r="F508" s="21"/>
      <c r="G508" s="28"/>
      <c r="H508" s="28"/>
      <c r="I508" s="28"/>
      <c r="J508" s="3"/>
      <c r="K508" s="24"/>
      <c r="L508" s="3"/>
      <c r="M508" s="3"/>
      <c r="N508" s="3"/>
      <c r="O508" s="3"/>
      <c r="P508" s="3"/>
      <c r="Q508" s="3"/>
      <c r="R508" s="3"/>
      <c r="S508" s="3"/>
      <c r="T508" s="3"/>
      <c r="U508" s="3"/>
      <c r="V508" s="3"/>
      <c r="W508" s="3"/>
      <c r="X508" s="3"/>
      <c r="Y508" s="3"/>
      <c r="Z508" s="3"/>
      <c r="AA508" s="3"/>
    </row>
    <row r="509" spans="1:27" ht="14.25" customHeight="1">
      <c r="A509" s="1"/>
      <c r="B509" s="1"/>
      <c r="C509" s="1"/>
      <c r="D509" s="1"/>
      <c r="E509" s="20"/>
      <c r="F509" s="21"/>
      <c r="G509" s="28"/>
      <c r="H509" s="28"/>
      <c r="I509" s="28"/>
      <c r="J509" s="3"/>
      <c r="K509" s="24"/>
      <c r="L509" s="3"/>
      <c r="M509" s="3"/>
      <c r="N509" s="3"/>
      <c r="O509" s="3"/>
      <c r="P509" s="3"/>
      <c r="Q509" s="3"/>
      <c r="R509" s="3"/>
      <c r="S509" s="3"/>
      <c r="T509" s="3"/>
      <c r="U509" s="3"/>
      <c r="V509" s="3"/>
      <c r="W509" s="3"/>
      <c r="X509" s="3"/>
      <c r="Y509" s="3"/>
      <c r="Z509" s="3"/>
      <c r="AA509" s="3"/>
    </row>
    <row r="510" spans="1:27" ht="14.25" customHeight="1">
      <c r="A510" s="1"/>
      <c r="B510" s="1"/>
      <c r="C510" s="1"/>
      <c r="D510" s="1"/>
      <c r="E510" s="20"/>
      <c r="F510" s="21"/>
      <c r="G510" s="28"/>
      <c r="H510" s="28"/>
      <c r="I510" s="28"/>
      <c r="J510" s="3"/>
      <c r="K510" s="24"/>
      <c r="L510" s="3"/>
      <c r="M510" s="3"/>
      <c r="N510" s="3"/>
      <c r="O510" s="3"/>
      <c r="P510" s="3"/>
      <c r="Q510" s="3"/>
      <c r="R510" s="3"/>
      <c r="S510" s="3"/>
      <c r="T510" s="3"/>
      <c r="U510" s="3"/>
      <c r="V510" s="3"/>
      <c r="W510" s="3"/>
      <c r="X510" s="3"/>
      <c r="Y510" s="3"/>
      <c r="Z510" s="3"/>
      <c r="AA510" s="3"/>
    </row>
    <row r="511" spans="1:27" ht="14.25" customHeight="1">
      <c r="A511" s="1"/>
      <c r="B511" s="1"/>
      <c r="C511" s="1"/>
      <c r="D511" s="1"/>
      <c r="E511" s="20"/>
      <c r="F511" s="21"/>
      <c r="G511" s="28"/>
      <c r="H511" s="28"/>
      <c r="I511" s="28"/>
      <c r="J511" s="3"/>
      <c r="K511" s="24"/>
      <c r="L511" s="3"/>
      <c r="M511" s="3"/>
      <c r="N511" s="3"/>
      <c r="O511" s="3"/>
      <c r="P511" s="3"/>
      <c r="Q511" s="3"/>
      <c r="R511" s="3"/>
      <c r="S511" s="3"/>
      <c r="T511" s="3"/>
      <c r="U511" s="3"/>
      <c r="V511" s="3"/>
      <c r="W511" s="3"/>
      <c r="X511" s="3"/>
      <c r="Y511" s="3"/>
      <c r="Z511" s="3"/>
      <c r="AA511" s="3"/>
    </row>
    <row r="512" spans="1:27" ht="14.25" customHeight="1">
      <c r="A512" s="1"/>
      <c r="B512" s="1"/>
      <c r="C512" s="1"/>
      <c r="D512" s="1"/>
      <c r="E512" s="20"/>
      <c r="F512" s="21"/>
      <c r="G512" s="28"/>
      <c r="H512" s="28"/>
      <c r="I512" s="28"/>
      <c r="J512" s="3"/>
      <c r="K512" s="24"/>
      <c r="L512" s="3"/>
      <c r="M512" s="3"/>
      <c r="N512" s="3"/>
      <c r="O512" s="3"/>
      <c r="P512" s="3"/>
      <c r="Q512" s="3"/>
      <c r="R512" s="3"/>
      <c r="S512" s="3"/>
      <c r="T512" s="3"/>
      <c r="U512" s="3"/>
      <c r="V512" s="3"/>
      <c r="W512" s="3"/>
      <c r="X512" s="3"/>
      <c r="Y512" s="3"/>
      <c r="Z512" s="3"/>
      <c r="AA512" s="3"/>
    </row>
    <row r="513" spans="1:27" ht="14.25" customHeight="1">
      <c r="A513" s="1"/>
      <c r="B513" s="1"/>
      <c r="C513" s="1"/>
      <c r="D513" s="1"/>
      <c r="E513" s="20"/>
      <c r="F513" s="21"/>
      <c r="G513" s="28"/>
      <c r="H513" s="28"/>
      <c r="I513" s="28"/>
      <c r="J513" s="3"/>
      <c r="K513" s="24"/>
      <c r="L513" s="3"/>
      <c r="M513" s="3"/>
      <c r="N513" s="3"/>
      <c r="O513" s="3"/>
      <c r="P513" s="3"/>
      <c r="Q513" s="3"/>
      <c r="R513" s="3"/>
      <c r="S513" s="3"/>
      <c r="T513" s="3"/>
      <c r="U513" s="3"/>
      <c r="V513" s="3"/>
      <c r="W513" s="3"/>
      <c r="X513" s="3"/>
      <c r="Y513" s="3"/>
      <c r="Z513" s="3"/>
      <c r="AA513" s="3"/>
    </row>
    <row r="514" spans="1:27" ht="14.25" customHeight="1">
      <c r="A514" s="1"/>
      <c r="B514" s="1"/>
      <c r="C514" s="1"/>
      <c r="D514" s="1"/>
      <c r="E514" s="20"/>
      <c r="F514" s="21"/>
      <c r="G514" s="28"/>
      <c r="H514" s="28"/>
      <c r="I514" s="28"/>
      <c r="J514" s="3"/>
      <c r="K514" s="24"/>
      <c r="L514" s="3"/>
      <c r="M514" s="3"/>
      <c r="N514" s="3"/>
      <c r="O514" s="3"/>
      <c r="P514" s="3"/>
      <c r="Q514" s="3"/>
      <c r="R514" s="3"/>
      <c r="S514" s="3"/>
      <c r="T514" s="3"/>
      <c r="U514" s="3"/>
      <c r="V514" s="3"/>
      <c r="W514" s="3"/>
      <c r="X514" s="3"/>
      <c r="Y514" s="3"/>
      <c r="Z514" s="3"/>
      <c r="AA514" s="3"/>
    </row>
    <row r="515" spans="1:27" ht="14.25" customHeight="1">
      <c r="A515" s="1"/>
      <c r="B515" s="1"/>
      <c r="C515" s="1"/>
      <c r="D515" s="1"/>
      <c r="E515" s="20"/>
      <c r="F515" s="21"/>
      <c r="G515" s="28"/>
      <c r="H515" s="28"/>
      <c r="I515" s="28"/>
      <c r="J515" s="3"/>
      <c r="K515" s="24"/>
      <c r="L515" s="3"/>
      <c r="M515" s="3"/>
      <c r="N515" s="3"/>
      <c r="O515" s="3"/>
      <c r="P515" s="3"/>
      <c r="Q515" s="3"/>
      <c r="R515" s="3"/>
      <c r="S515" s="3"/>
      <c r="T515" s="3"/>
      <c r="U515" s="3"/>
      <c r="V515" s="3"/>
      <c r="W515" s="3"/>
      <c r="X515" s="3"/>
      <c r="Y515" s="3"/>
      <c r="Z515" s="3"/>
      <c r="AA515" s="3"/>
    </row>
    <row r="516" spans="1:27" ht="14.25" customHeight="1">
      <c r="A516" s="1"/>
      <c r="B516" s="1"/>
      <c r="C516" s="1"/>
      <c r="D516" s="1"/>
      <c r="E516" s="20"/>
      <c r="F516" s="21"/>
      <c r="G516" s="28"/>
      <c r="H516" s="28"/>
      <c r="I516" s="28"/>
      <c r="J516" s="3"/>
      <c r="K516" s="24"/>
      <c r="L516" s="3"/>
      <c r="M516" s="3"/>
      <c r="N516" s="3"/>
      <c r="O516" s="3"/>
      <c r="P516" s="3"/>
      <c r="Q516" s="3"/>
      <c r="R516" s="3"/>
      <c r="S516" s="3"/>
      <c r="T516" s="3"/>
      <c r="U516" s="3"/>
      <c r="V516" s="3"/>
      <c r="W516" s="3"/>
      <c r="X516" s="3"/>
      <c r="Y516" s="3"/>
      <c r="Z516" s="3"/>
      <c r="AA516" s="3"/>
    </row>
    <row r="517" spans="1:27" ht="14.25" customHeight="1">
      <c r="A517" s="1"/>
      <c r="B517" s="1"/>
      <c r="C517" s="1"/>
      <c r="D517" s="1"/>
      <c r="E517" s="20"/>
      <c r="F517" s="21"/>
      <c r="G517" s="28"/>
      <c r="H517" s="28"/>
      <c r="I517" s="28"/>
      <c r="J517" s="3"/>
      <c r="K517" s="24"/>
      <c r="L517" s="3"/>
      <c r="M517" s="3"/>
      <c r="N517" s="3"/>
      <c r="O517" s="3"/>
      <c r="P517" s="3"/>
      <c r="Q517" s="3"/>
      <c r="R517" s="3"/>
      <c r="S517" s="3"/>
      <c r="T517" s="3"/>
      <c r="U517" s="3"/>
      <c r="V517" s="3"/>
      <c r="W517" s="3"/>
      <c r="X517" s="3"/>
      <c r="Y517" s="3"/>
      <c r="Z517" s="3"/>
      <c r="AA517" s="3"/>
    </row>
    <row r="518" spans="1:27" ht="14.25" customHeight="1">
      <c r="A518" s="1"/>
      <c r="B518" s="1"/>
      <c r="C518" s="1"/>
      <c r="D518" s="1"/>
      <c r="E518" s="20"/>
      <c r="F518" s="21"/>
      <c r="G518" s="28"/>
      <c r="H518" s="28"/>
      <c r="I518" s="28"/>
      <c r="J518" s="3"/>
      <c r="K518" s="24"/>
      <c r="L518" s="3"/>
      <c r="M518" s="3"/>
      <c r="N518" s="3"/>
      <c r="O518" s="3"/>
      <c r="P518" s="3"/>
      <c r="Q518" s="3"/>
      <c r="R518" s="3"/>
      <c r="S518" s="3"/>
      <c r="T518" s="3"/>
      <c r="U518" s="3"/>
      <c r="V518" s="3"/>
      <c r="W518" s="3"/>
      <c r="X518" s="3"/>
      <c r="Y518" s="3"/>
      <c r="Z518" s="3"/>
      <c r="AA518" s="3"/>
    </row>
    <row r="519" spans="1:27" ht="14.25" customHeight="1">
      <c r="A519" s="1"/>
      <c r="B519" s="1"/>
      <c r="C519" s="1"/>
      <c r="D519" s="1"/>
      <c r="E519" s="20"/>
      <c r="F519" s="21"/>
      <c r="G519" s="28"/>
      <c r="H519" s="28"/>
      <c r="I519" s="28"/>
      <c r="J519" s="3"/>
      <c r="K519" s="24"/>
      <c r="L519" s="3"/>
      <c r="M519" s="3"/>
      <c r="N519" s="3"/>
      <c r="O519" s="3"/>
      <c r="P519" s="3"/>
      <c r="Q519" s="3"/>
      <c r="R519" s="3"/>
      <c r="S519" s="3"/>
      <c r="T519" s="3"/>
      <c r="U519" s="3"/>
      <c r="V519" s="3"/>
      <c r="W519" s="3"/>
      <c r="X519" s="3"/>
      <c r="Y519" s="3"/>
      <c r="Z519" s="3"/>
      <c r="AA519" s="3"/>
    </row>
    <row r="520" spans="1:27" ht="14.25" customHeight="1">
      <c r="A520" s="1"/>
      <c r="B520" s="1"/>
      <c r="C520" s="1"/>
      <c r="D520" s="1"/>
      <c r="E520" s="20"/>
      <c r="F520" s="21"/>
      <c r="G520" s="28"/>
      <c r="H520" s="28"/>
      <c r="I520" s="28"/>
      <c r="J520" s="3"/>
      <c r="K520" s="24"/>
      <c r="L520" s="3"/>
      <c r="M520" s="3"/>
      <c r="N520" s="3"/>
      <c r="O520" s="3"/>
      <c r="P520" s="3"/>
      <c r="Q520" s="3"/>
      <c r="R520" s="3"/>
      <c r="S520" s="3"/>
      <c r="T520" s="3"/>
      <c r="U520" s="3"/>
      <c r="V520" s="3"/>
      <c r="W520" s="3"/>
      <c r="X520" s="3"/>
      <c r="Y520" s="3"/>
      <c r="Z520" s="3"/>
      <c r="AA520" s="3"/>
    </row>
    <row r="521" spans="1:27" ht="14.25" customHeight="1">
      <c r="A521" s="1"/>
      <c r="B521" s="1"/>
      <c r="C521" s="1"/>
      <c r="D521" s="1"/>
      <c r="E521" s="20"/>
      <c r="F521" s="21"/>
      <c r="G521" s="28"/>
      <c r="H521" s="28"/>
      <c r="I521" s="28"/>
      <c r="J521" s="3"/>
      <c r="K521" s="24"/>
      <c r="L521" s="3"/>
      <c r="M521" s="3"/>
      <c r="N521" s="3"/>
      <c r="O521" s="3"/>
      <c r="P521" s="3"/>
      <c r="Q521" s="3"/>
      <c r="R521" s="3"/>
      <c r="S521" s="3"/>
      <c r="T521" s="3"/>
      <c r="U521" s="3"/>
      <c r="V521" s="3"/>
      <c r="W521" s="3"/>
      <c r="X521" s="3"/>
      <c r="Y521" s="3"/>
      <c r="Z521" s="3"/>
      <c r="AA521" s="3"/>
    </row>
    <row r="522" spans="1:27" ht="14.25" customHeight="1">
      <c r="A522" s="1"/>
      <c r="B522" s="1"/>
      <c r="C522" s="1"/>
      <c r="D522" s="1"/>
      <c r="E522" s="20"/>
      <c r="F522" s="21"/>
      <c r="G522" s="28"/>
      <c r="H522" s="28"/>
      <c r="I522" s="28"/>
      <c r="J522" s="3"/>
      <c r="K522" s="24"/>
      <c r="L522" s="3"/>
      <c r="M522" s="3"/>
      <c r="N522" s="3"/>
      <c r="O522" s="3"/>
      <c r="P522" s="3"/>
      <c r="Q522" s="3"/>
      <c r="R522" s="3"/>
      <c r="S522" s="3"/>
      <c r="T522" s="3"/>
      <c r="U522" s="3"/>
      <c r="V522" s="3"/>
      <c r="W522" s="3"/>
      <c r="X522" s="3"/>
      <c r="Y522" s="3"/>
      <c r="Z522" s="3"/>
      <c r="AA522" s="3"/>
    </row>
    <row r="523" spans="1:27" ht="14.25" customHeight="1">
      <c r="A523" s="1"/>
      <c r="B523" s="1"/>
      <c r="C523" s="1"/>
      <c r="D523" s="1"/>
      <c r="E523" s="20"/>
      <c r="F523" s="21"/>
      <c r="G523" s="28"/>
      <c r="H523" s="28"/>
      <c r="I523" s="28"/>
      <c r="J523" s="3"/>
      <c r="K523" s="24"/>
      <c r="L523" s="3"/>
      <c r="M523" s="3"/>
      <c r="N523" s="3"/>
      <c r="O523" s="3"/>
      <c r="P523" s="3"/>
      <c r="Q523" s="3"/>
      <c r="R523" s="3"/>
      <c r="S523" s="3"/>
      <c r="T523" s="3"/>
      <c r="U523" s="3"/>
      <c r="V523" s="3"/>
      <c r="W523" s="3"/>
      <c r="X523" s="3"/>
      <c r="Y523" s="3"/>
      <c r="Z523" s="3"/>
      <c r="AA523" s="3"/>
    </row>
    <row r="524" spans="1:27" ht="14.25" customHeight="1">
      <c r="A524" s="1"/>
      <c r="B524" s="1"/>
      <c r="C524" s="1"/>
      <c r="D524" s="1"/>
      <c r="E524" s="20"/>
      <c r="F524" s="21"/>
      <c r="G524" s="28"/>
      <c r="H524" s="28"/>
      <c r="I524" s="28"/>
      <c r="J524" s="3"/>
      <c r="K524" s="24"/>
      <c r="L524" s="3"/>
      <c r="M524" s="3"/>
      <c r="N524" s="3"/>
      <c r="O524" s="3"/>
      <c r="P524" s="3"/>
      <c r="Q524" s="3"/>
      <c r="R524" s="3"/>
      <c r="S524" s="3"/>
      <c r="T524" s="3"/>
      <c r="U524" s="3"/>
      <c r="V524" s="3"/>
      <c r="W524" s="3"/>
      <c r="X524" s="3"/>
      <c r="Y524" s="3"/>
      <c r="Z524" s="3"/>
      <c r="AA524" s="3"/>
    </row>
    <row r="525" spans="1:27" ht="14.25" customHeight="1">
      <c r="A525" s="1"/>
      <c r="B525" s="1"/>
      <c r="C525" s="1"/>
      <c r="D525" s="1"/>
      <c r="E525" s="20"/>
      <c r="F525" s="21"/>
      <c r="G525" s="28"/>
      <c r="H525" s="28"/>
      <c r="I525" s="28"/>
      <c r="J525" s="3"/>
      <c r="K525" s="24"/>
      <c r="L525" s="3"/>
      <c r="M525" s="3"/>
      <c r="N525" s="3"/>
      <c r="O525" s="3"/>
      <c r="P525" s="3"/>
      <c r="Q525" s="3"/>
      <c r="R525" s="3"/>
      <c r="S525" s="3"/>
      <c r="T525" s="3"/>
      <c r="U525" s="3"/>
      <c r="V525" s="3"/>
      <c r="W525" s="3"/>
      <c r="X525" s="3"/>
      <c r="Y525" s="3"/>
      <c r="Z525" s="3"/>
      <c r="AA525" s="3"/>
    </row>
    <row r="526" spans="1:27" ht="14.25" customHeight="1">
      <c r="A526" s="1"/>
      <c r="B526" s="1"/>
      <c r="C526" s="1"/>
      <c r="D526" s="1"/>
      <c r="E526" s="20"/>
      <c r="F526" s="21"/>
      <c r="G526" s="28"/>
      <c r="H526" s="28"/>
      <c r="I526" s="28"/>
      <c r="J526" s="3"/>
      <c r="K526" s="24"/>
      <c r="L526" s="3"/>
      <c r="M526" s="3"/>
      <c r="N526" s="3"/>
      <c r="O526" s="3"/>
      <c r="P526" s="3"/>
      <c r="Q526" s="3"/>
      <c r="R526" s="3"/>
      <c r="S526" s="3"/>
      <c r="T526" s="3"/>
      <c r="U526" s="3"/>
      <c r="V526" s="3"/>
      <c r="W526" s="3"/>
      <c r="X526" s="3"/>
      <c r="Y526" s="3"/>
      <c r="Z526" s="3"/>
      <c r="AA526" s="3"/>
    </row>
    <row r="527" spans="1:27" ht="14.25" customHeight="1">
      <c r="A527" s="1"/>
      <c r="B527" s="1"/>
      <c r="C527" s="1"/>
      <c r="D527" s="1"/>
      <c r="E527" s="20"/>
      <c r="F527" s="21"/>
      <c r="G527" s="28"/>
      <c r="H527" s="28"/>
      <c r="I527" s="28"/>
      <c r="J527" s="3"/>
      <c r="K527" s="24"/>
      <c r="L527" s="3"/>
      <c r="M527" s="3"/>
      <c r="N527" s="3"/>
      <c r="O527" s="3"/>
      <c r="P527" s="3"/>
      <c r="Q527" s="3"/>
      <c r="R527" s="3"/>
      <c r="S527" s="3"/>
      <c r="T527" s="3"/>
      <c r="U527" s="3"/>
      <c r="V527" s="3"/>
      <c r="W527" s="3"/>
      <c r="X527" s="3"/>
      <c r="Y527" s="3"/>
      <c r="Z527" s="3"/>
      <c r="AA527" s="3"/>
    </row>
    <row r="528" spans="1:27" ht="14.25" customHeight="1">
      <c r="A528" s="1"/>
      <c r="B528" s="1"/>
      <c r="C528" s="1"/>
      <c r="D528" s="1"/>
      <c r="E528" s="20"/>
      <c r="F528" s="21"/>
      <c r="G528" s="28"/>
      <c r="H528" s="28"/>
      <c r="I528" s="28"/>
      <c r="J528" s="3"/>
      <c r="K528" s="24"/>
      <c r="L528" s="3"/>
      <c r="M528" s="3"/>
      <c r="N528" s="3"/>
      <c r="O528" s="3"/>
      <c r="P528" s="3"/>
      <c r="Q528" s="3"/>
      <c r="R528" s="3"/>
      <c r="S528" s="3"/>
      <c r="T528" s="3"/>
      <c r="U528" s="3"/>
      <c r="V528" s="3"/>
      <c r="W528" s="3"/>
      <c r="X528" s="3"/>
      <c r="Y528" s="3"/>
      <c r="Z528" s="3"/>
      <c r="AA528" s="3"/>
    </row>
    <row r="529" spans="1:27" ht="14.25" customHeight="1">
      <c r="A529" s="1"/>
      <c r="B529" s="1"/>
      <c r="C529" s="1"/>
      <c r="D529" s="1"/>
      <c r="E529" s="20"/>
      <c r="F529" s="21"/>
      <c r="G529" s="28"/>
      <c r="H529" s="28"/>
      <c r="I529" s="28"/>
      <c r="J529" s="3"/>
      <c r="K529" s="24"/>
      <c r="L529" s="3"/>
      <c r="M529" s="3"/>
      <c r="N529" s="3"/>
      <c r="O529" s="3"/>
      <c r="P529" s="3"/>
      <c r="Q529" s="3"/>
      <c r="R529" s="3"/>
      <c r="S529" s="3"/>
      <c r="T529" s="3"/>
      <c r="U529" s="3"/>
      <c r="V529" s="3"/>
      <c r="W529" s="3"/>
      <c r="X529" s="3"/>
      <c r="Y529" s="3"/>
      <c r="Z529" s="3"/>
      <c r="AA529" s="3"/>
    </row>
    <row r="530" spans="1:27" ht="14.25" customHeight="1">
      <c r="A530" s="1"/>
      <c r="B530" s="1"/>
      <c r="C530" s="1"/>
      <c r="D530" s="1"/>
      <c r="E530" s="20"/>
      <c r="F530" s="21"/>
      <c r="G530" s="28"/>
      <c r="H530" s="28"/>
      <c r="I530" s="28"/>
      <c r="J530" s="3"/>
      <c r="K530" s="24"/>
      <c r="L530" s="3"/>
      <c r="M530" s="3"/>
      <c r="N530" s="3"/>
      <c r="O530" s="3"/>
      <c r="P530" s="3"/>
      <c r="Q530" s="3"/>
      <c r="R530" s="3"/>
      <c r="S530" s="3"/>
      <c r="T530" s="3"/>
      <c r="U530" s="3"/>
      <c r="V530" s="3"/>
      <c r="W530" s="3"/>
      <c r="X530" s="3"/>
      <c r="Y530" s="3"/>
      <c r="Z530" s="3"/>
      <c r="AA530" s="3"/>
    </row>
    <row r="531" spans="1:27" ht="14.25" customHeight="1">
      <c r="A531" s="1"/>
      <c r="B531" s="1"/>
      <c r="C531" s="1"/>
      <c r="D531" s="1"/>
      <c r="E531" s="20"/>
      <c r="F531" s="21"/>
      <c r="G531" s="28"/>
      <c r="H531" s="28"/>
      <c r="I531" s="28"/>
      <c r="J531" s="3"/>
      <c r="K531" s="24"/>
      <c r="L531" s="3"/>
      <c r="M531" s="3"/>
      <c r="N531" s="3"/>
      <c r="O531" s="3"/>
      <c r="P531" s="3"/>
      <c r="Q531" s="3"/>
      <c r="R531" s="3"/>
      <c r="S531" s="3"/>
      <c r="T531" s="3"/>
      <c r="U531" s="3"/>
      <c r="V531" s="3"/>
      <c r="W531" s="3"/>
      <c r="X531" s="3"/>
      <c r="Y531" s="3"/>
      <c r="Z531" s="3"/>
      <c r="AA531" s="3"/>
    </row>
    <row r="532" spans="1:27" ht="14.25" customHeight="1">
      <c r="A532" s="1"/>
      <c r="B532" s="1"/>
      <c r="C532" s="1"/>
      <c r="D532" s="1"/>
      <c r="E532" s="20"/>
      <c r="F532" s="21"/>
      <c r="G532" s="28"/>
      <c r="H532" s="28"/>
      <c r="I532" s="28"/>
      <c r="J532" s="3"/>
      <c r="K532" s="24"/>
      <c r="L532" s="3"/>
      <c r="M532" s="3"/>
      <c r="N532" s="3"/>
      <c r="O532" s="3"/>
      <c r="P532" s="3"/>
      <c r="Q532" s="3"/>
      <c r="R532" s="3"/>
      <c r="S532" s="3"/>
      <c r="T532" s="3"/>
      <c r="U532" s="3"/>
      <c r="V532" s="3"/>
      <c r="W532" s="3"/>
      <c r="X532" s="3"/>
      <c r="Y532" s="3"/>
      <c r="Z532" s="3"/>
      <c r="AA532" s="3"/>
    </row>
    <row r="533" spans="1:27" ht="14.25" customHeight="1">
      <c r="A533" s="1"/>
      <c r="B533" s="1"/>
      <c r="C533" s="1"/>
      <c r="D533" s="1"/>
      <c r="E533" s="20"/>
      <c r="F533" s="21"/>
      <c r="G533" s="28"/>
      <c r="H533" s="28"/>
      <c r="I533" s="28"/>
      <c r="J533" s="3"/>
      <c r="K533" s="24"/>
      <c r="L533" s="3"/>
      <c r="M533" s="3"/>
      <c r="N533" s="3"/>
      <c r="O533" s="3"/>
      <c r="P533" s="3"/>
      <c r="Q533" s="3"/>
      <c r="R533" s="3"/>
      <c r="S533" s="3"/>
      <c r="T533" s="3"/>
      <c r="U533" s="3"/>
      <c r="V533" s="3"/>
      <c r="W533" s="3"/>
      <c r="X533" s="3"/>
      <c r="Y533" s="3"/>
      <c r="Z533" s="3"/>
      <c r="AA533" s="3"/>
    </row>
    <row r="534" spans="1:27" ht="14.25" customHeight="1">
      <c r="A534" s="1"/>
      <c r="B534" s="1"/>
      <c r="C534" s="1"/>
      <c r="D534" s="1"/>
      <c r="E534" s="20"/>
      <c r="F534" s="21"/>
      <c r="G534" s="28"/>
      <c r="H534" s="28"/>
      <c r="I534" s="28"/>
      <c r="J534" s="3"/>
      <c r="K534" s="24"/>
      <c r="L534" s="3"/>
      <c r="M534" s="3"/>
      <c r="N534" s="3"/>
      <c r="O534" s="3"/>
      <c r="P534" s="3"/>
      <c r="Q534" s="3"/>
      <c r="R534" s="3"/>
      <c r="S534" s="3"/>
      <c r="T534" s="3"/>
      <c r="U534" s="3"/>
      <c r="V534" s="3"/>
      <c r="W534" s="3"/>
      <c r="X534" s="3"/>
      <c r="Y534" s="3"/>
      <c r="Z534" s="3"/>
      <c r="AA534" s="3"/>
    </row>
    <row r="535" spans="1:27" ht="14.25" customHeight="1">
      <c r="A535" s="1"/>
      <c r="B535" s="1"/>
      <c r="C535" s="1"/>
      <c r="D535" s="1"/>
      <c r="E535" s="20"/>
      <c r="F535" s="21"/>
      <c r="G535" s="28"/>
      <c r="H535" s="28"/>
      <c r="I535" s="28"/>
      <c r="J535" s="3"/>
      <c r="K535" s="24"/>
      <c r="L535" s="3"/>
      <c r="M535" s="3"/>
      <c r="N535" s="3"/>
      <c r="O535" s="3"/>
      <c r="P535" s="3"/>
      <c r="Q535" s="3"/>
      <c r="R535" s="3"/>
      <c r="S535" s="3"/>
      <c r="T535" s="3"/>
      <c r="U535" s="3"/>
      <c r="V535" s="3"/>
      <c r="W535" s="3"/>
      <c r="X535" s="3"/>
      <c r="Y535" s="3"/>
      <c r="Z535" s="3"/>
      <c r="AA535" s="3"/>
    </row>
    <row r="536" spans="1:27" ht="14.25" customHeight="1">
      <c r="A536" s="1"/>
      <c r="B536" s="1"/>
      <c r="C536" s="1"/>
      <c r="D536" s="1"/>
      <c r="E536" s="20"/>
      <c r="F536" s="21"/>
      <c r="G536" s="28"/>
      <c r="H536" s="28"/>
      <c r="I536" s="28"/>
      <c r="J536" s="3"/>
      <c r="K536" s="24"/>
      <c r="L536" s="3"/>
      <c r="M536" s="3"/>
      <c r="N536" s="3"/>
      <c r="O536" s="3"/>
      <c r="P536" s="3"/>
      <c r="Q536" s="3"/>
      <c r="R536" s="3"/>
      <c r="S536" s="3"/>
      <c r="T536" s="3"/>
      <c r="U536" s="3"/>
      <c r="V536" s="3"/>
      <c r="W536" s="3"/>
      <c r="X536" s="3"/>
      <c r="Y536" s="3"/>
      <c r="Z536" s="3"/>
      <c r="AA536" s="3"/>
    </row>
    <row r="537" spans="1:27" ht="14.25" customHeight="1">
      <c r="A537" s="1"/>
      <c r="B537" s="1"/>
      <c r="C537" s="1"/>
      <c r="D537" s="1"/>
      <c r="E537" s="20"/>
      <c r="F537" s="21"/>
      <c r="G537" s="28"/>
      <c r="H537" s="28"/>
      <c r="I537" s="28"/>
      <c r="J537" s="3"/>
      <c r="K537" s="24"/>
      <c r="L537" s="3"/>
      <c r="M537" s="3"/>
      <c r="N537" s="3"/>
      <c r="O537" s="3"/>
      <c r="P537" s="3"/>
      <c r="Q537" s="3"/>
      <c r="R537" s="3"/>
      <c r="S537" s="3"/>
      <c r="T537" s="3"/>
      <c r="U537" s="3"/>
      <c r="V537" s="3"/>
      <c r="W537" s="3"/>
      <c r="X537" s="3"/>
      <c r="Y537" s="3"/>
      <c r="Z537" s="3"/>
      <c r="AA537" s="3"/>
    </row>
    <row r="538" spans="1:27" ht="14.25" customHeight="1">
      <c r="A538" s="1"/>
      <c r="B538" s="1"/>
      <c r="C538" s="1"/>
      <c r="D538" s="1"/>
      <c r="E538" s="20"/>
      <c r="F538" s="21"/>
      <c r="G538" s="28"/>
      <c r="H538" s="28"/>
      <c r="I538" s="28"/>
      <c r="J538" s="3"/>
      <c r="K538" s="24"/>
      <c r="L538" s="3"/>
      <c r="M538" s="3"/>
      <c r="N538" s="3"/>
      <c r="O538" s="3"/>
      <c r="P538" s="3"/>
      <c r="Q538" s="3"/>
      <c r="R538" s="3"/>
      <c r="S538" s="3"/>
      <c r="T538" s="3"/>
      <c r="U538" s="3"/>
      <c r="V538" s="3"/>
      <c r="W538" s="3"/>
      <c r="X538" s="3"/>
      <c r="Y538" s="3"/>
      <c r="Z538" s="3"/>
      <c r="AA538" s="3"/>
    </row>
    <row r="539" spans="1:27" ht="14.25" customHeight="1">
      <c r="A539" s="1"/>
      <c r="B539" s="1"/>
      <c r="C539" s="1"/>
      <c r="D539" s="1"/>
      <c r="E539" s="20"/>
      <c r="F539" s="21"/>
      <c r="G539" s="28"/>
      <c r="H539" s="28"/>
      <c r="I539" s="28"/>
      <c r="J539" s="3"/>
      <c r="K539" s="24"/>
      <c r="L539" s="3"/>
      <c r="M539" s="3"/>
      <c r="N539" s="3"/>
      <c r="O539" s="3"/>
      <c r="P539" s="3"/>
      <c r="Q539" s="3"/>
      <c r="R539" s="3"/>
      <c r="S539" s="3"/>
      <c r="T539" s="3"/>
      <c r="U539" s="3"/>
      <c r="V539" s="3"/>
      <c r="W539" s="3"/>
      <c r="X539" s="3"/>
      <c r="Y539" s="3"/>
      <c r="Z539" s="3"/>
      <c r="AA539" s="3"/>
    </row>
    <row r="540" spans="1:27" ht="14.25" customHeight="1">
      <c r="A540" s="1"/>
      <c r="B540" s="1"/>
      <c r="C540" s="1"/>
      <c r="D540" s="1"/>
      <c r="E540" s="20"/>
      <c r="F540" s="21"/>
      <c r="G540" s="28"/>
      <c r="H540" s="28"/>
      <c r="I540" s="28"/>
      <c r="J540" s="3"/>
      <c r="K540" s="24"/>
      <c r="L540" s="3"/>
      <c r="M540" s="3"/>
      <c r="N540" s="3"/>
      <c r="O540" s="3"/>
      <c r="P540" s="3"/>
      <c r="Q540" s="3"/>
      <c r="R540" s="3"/>
      <c r="S540" s="3"/>
      <c r="T540" s="3"/>
      <c r="U540" s="3"/>
      <c r="V540" s="3"/>
      <c r="W540" s="3"/>
      <c r="X540" s="3"/>
      <c r="Y540" s="3"/>
      <c r="Z540" s="3"/>
      <c r="AA540" s="3"/>
    </row>
    <row r="541" spans="1:27" ht="14.25" customHeight="1">
      <c r="A541" s="1"/>
      <c r="B541" s="1"/>
      <c r="C541" s="1"/>
      <c r="D541" s="1"/>
      <c r="E541" s="20"/>
      <c r="F541" s="21"/>
      <c r="G541" s="28"/>
      <c r="H541" s="28"/>
      <c r="I541" s="28"/>
      <c r="J541" s="3"/>
      <c r="K541" s="24"/>
      <c r="L541" s="3"/>
      <c r="M541" s="3"/>
      <c r="N541" s="3"/>
      <c r="O541" s="3"/>
      <c r="P541" s="3"/>
      <c r="Q541" s="3"/>
      <c r="R541" s="3"/>
      <c r="S541" s="3"/>
      <c r="T541" s="3"/>
      <c r="U541" s="3"/>
      <c r="V541" s="3"/>
      <c r="W541" s="3"/>
      <c r="X541" s="3"/>
      <c r="Y541" s="3"/>
      <c r="Z541" s="3"/>
      <c r="AA541" s="3"/>
    </row>
    <row r="542" spans="1:27" ht="14.25" customHeight="1">
      <c r="A542" s="1"/>
      <c r="B542" s="1"/>
      <c r="C542" s="1"/>
      <c r="D542" s="1"/>
      <c r="E542" s="20"/>
      <c r="F542" s="21"/>
      <c r="G542" s="28"/>
      <c r="H542" s="28"/>
      <c r="I542" s="28"/>
      <c r="J542" s="3"/>
      <c r="K542" s="24"/>
      <c r="L542" s="3"/>
      <c r="M542" s="3"/>
      <c r="N542" s="3"/>
      <c r="O542" s="3"/>
      <c r="P542" s="3"/>
      <c r="Q542" s="3"/>
      <c r="R542" s="3"/>
      <c r="S542" s="3"/>
      <c r="T542" s="3"/>
      <c r="U542" s="3"/>
      <c r="V542" s="3"/>
      <c r="W542" s="3"/>
      <c r="X542" s="3"/>
      <c r="Y542" s="3"/>
      <c r="Z542" s="3"/>
      <c r="AA542" s="3"/>
    </row>
    <row r="543" spans="1:27" ht="14.25" customHeight="1">
      <c r="A543" s="1"/>
      <c r="B543" s="1"/>
      <c r="C543" s="1"/>
      <c r="D543" s="1"/>
      <c r="E543" s="20"/>
      <c r="F543" s="21"/>
      <c r="G543" s="28"/>
      <c r="H543" s="28"/>
      <c r="I543" s="28"/>
      <c r="J543" s="3"/>
      <c r="K543" s="24"/>
      <c r="L543" s="3"/>
      <c r="M543" s="3"/>
      <c r="N543" s="3"/>
      <c r="O543" s="3"/>
      <c r="P543" s="3"/>
      <c r="Q543" s="3"/>
      <c r="R543" s="3"/>
      <c r="S543" s="3"/>
      <c r="T543" s="3"/>
      <c r="U543" s="3"/>
      <c r="V543" s="3"/>
      <c r="W543" s="3"/>
      <c r="X543" s="3"/>
      <c r="Y543" s="3"/>
      <c r="Z543" s="3"/>
      <c r="AA543" s="3"/>
    </row>
    <row r="544" spans="1:27" ht="14.25" customHeight="1">
      <c r="A544" s="1"/>
      <c r="B544" s="1"/>
      <c r="C544" s="1"/>
      <c r="D544" s="1"/>
      <c r="E544" s="20"/>
      <c r="F544" s="21"/>
      <c r="G544" s="28"/>
      <c r="H544" s="28"/>
      <c r="I544" s="28"/>
      <c r="J544" s="3"/>
      <c r="K544" s="24"/>
      <c r="L544" s="3"/>
      <c r="M544" s="3"/>
      <c r="N544" s="3"/>
      <c r="O544" s="3"/>
      <c r="P544" s="3"/>
      <c r="Q544" s="3"/>
      <c r="R544" s="3"/>
      <c r="S544" s="3"/>
      <c r="T544" s="3"/>
      <c r="U544" s="3"/>
      <c r="V544" s="3"/>
      <c r="W544" s="3"/>
      <c r="X544" s="3"/>
      <c r="Y544" s="3"/>
      <c r="Z544" s="3"/>
      <c r="AA544" s="3"/>
    </row>
    <row r="545" spans="1:27" ht="14.25" customHeight="1">
      <c r="A545" s="1"/>
      <c r="B545" s="1"/>
      <c r="C545" s="1"/>
      <c r="D545" s="1"/>
      <c r="E545" s="20"/>
      <c r="F545" s="21"/>
      <c r="G545" s="28"/>
      <c r="H545" s="28"/>
      <c r="I545" s="28"/>
      <c r="J545" s="3"/>
      <c r="K545" s="24"/>
      <c r="L545" s="3"/>
      <c r="M545" s="3"/>
      <c r="N545" s="3"/>
      <c r="O545" s="3"/>
      <c r="P545" s="3"/>
      <c r="Q545" s="3"/>
      <c r="R545" s="3"/>
      <c r="S545" s="3"/>
      <c r="T545" s="3"/>
      <c r="U545" s="3"/>
      <c r="V545" s="3"/>
      <c r="W545" s="3"/>
      <c r="X545" s="3"/>
      <c r="Y545" s="3"/>
      <c r="Z545" s="3"/>
      <c r="AA545" s="3"/>
    </row>
    <row r="546" spans="1:27" ht="14.25" customHeight="1">
      <c r="A546" s="1"/>
      <c r="B546" s="1"/>
      <c r="C546" s="1"/>
      <c r="D546" s="1"/>
      <c r="E546" s="20"/>
      <c r="F546" s="21"/>
      <c r="G546" s="28"/>
      <c r="H546" s="28"/>
      <c r="I546" s="28"/>
      <c r="J546" s="3"/>
      <c r="K546" s="24"/>
      <c r="L546" s="3"/>
      <c r="M546" s="3"/>
      <c r="N546" s="3"/>
      <c r="O546" s="3"/>
      <c r="P546" s="3"/>
      <c r="Q546" s="3"/>
      <c r="R546" s="3"/>
      <c r="S546" s="3"/>
      <c r="T546" s="3"/>
      <c r="U546" s="3"/>
      <c r="V546" s="3"/>
      <c r="W546" s="3"/>
      <c r="X546" s="3"/>
      <c r="Y546" s="3"/>
      <c r="Z546" s="3"/>
      <c r="AA546" s="3"/>
    </row>
    <row r="547" spans="1:27" ht="14.25" customHeight="1">
      <c r="A547" s="1"/>
      <c r="B547" s="1"/>
      <c r="C547" s="1"/>
      <c r="D547" s="1"/>
      <c r="E547" s="20"/>
      <c r="F547" s="21"/>
      <c r="G547" s="28"/>
      <c r="H547" s="28"/>
      <c r="I547" s="28"/>
      <c r="J547" s="3"/>
      <c r="K547" s="24"/>
      <c r="L547" s="3"/>
      <c r="M547" s="3"/>
      <c r="N547" s="3"/>
      <c r="O547" s="3"/>
      <c r="P547" s="3"/>
      <c r="Q547" s="3"/>
      <c r="R547" s="3"/>
      <c r="S547" s="3"/>
      <c r="T547" s="3"/>
      <c r="U547" s="3"/>
      <c r="V547" s="3"/>
      <c r="W547" s="3"/>
      <c r="X547" s="3"/>
      <c r="Y547" s="3"/>
      <c r="Z547" s="3"/>
      <c r="AA547" s="3"/>
    </row>
    <row r="548" spans="1:27" ht="14.25" customHeight="1">
      <c r="A548" s="1"/>
      <c r="B548" s="1"/>
      <c r="C548" s="1"/>
      <c r="D548" s="1"/>
      <c r="E548" s="20"/>
      <c r="F548" s="21"/>
      <c r="G548" s="28"/>
      <c r="H548" s="28"/>
      <c r="I548" s="28"/>
      <c r="J548" s="3"/>
      <c r="K548" s="24"/>
      <c r="L548" s="3"/>
      <c r="M548" s="3"/>
      <c r="N548" s="3"/>
      <c r="O548" s="3"/>
      <c r="P548" s="3"/>
      <c r="Q548" s="3"/>
      <c r="R548" s="3"/>
      <c r="S548" s="3"/>
      <c r="T548" s="3"/>
      <c r="U548" s="3"/>
      <c r="V548" s="3"/>
      <c r="W548" s="3"/>
      <c r="X548" s="3"/>
      <c r="Y548" s="3"/>
      <c r="Z548" s="3"/>
      <c r="AA548" s="3"/>
    </row>
    <row r="549" spans="1:27" ht="14.25" customHeight="1">
      <c r="A549" s="1"/>
      <c r="B549" s="1"/>
      <c r="C549" s="1"/>
      <c r="D549" s="1"/>
      <c r="E549" s="20"/>
      <c r="F549" s="21"/>
      <c r="G549" s="28"/>
      <c r="H549" s="28"/>
      <c r="I549" s="28"/>
      <c r="J549" s="3"/>
      <c r="K549" s="24"/>
      <c r="L549" s="3"/>
      <c r="M549" s="3"/>
      <c r="N549" s="3"/>
      <c r="O549" s="3"/>
      <c r="P549" s="3"/>
      <c r="Q549" s="3"/>
      <c r="R549" s="3"/>
      <c r="S549" s="3"/>
      <c r="T549" s="3"/>
      <c r="U549" s="3"/>
      <c r="V549" s="3"/>
      <c r="W549" s="3"/>
      <c r="X549" s="3"/>
      <c r="Y549" s="3"/>
      <c r="Z549" s="3"/>
      <c r="AA549" s="3"/>
    </row>
    <row r="550" spans="1:27" ht="14.25" customHeight="1">
      <c r="A550" s="1"/>
      <c r="B550" s="1"/>
      <c r="C550" s="1"/>
      <c r="D550" s="1"/>
      <c r="E550" s="20"/>
      <c r="F550" s="21"/>
      <c r="G550" s="28"/>
      <c r="H550" s="28"/>
      <c r="I550" s="28"/>
      <c r="J550" s="3"/>
      <c r="K550" s="24"/>
      <c r="L550" s="3"/>
      <c r="M550" s="3"/>
      <c r="N550" s="3"/>
      <c r="O550" s="3"/>
      <c r="P550" s="3"/>
      <c r="Q550" s="3"/>
      <c r="R550" s="3"/>
      <c r="S550" s="3"/>
      <c r="T550" s="3"/>
      <c r="U550" s="3"/>
      <c r="V550" s="3"/>
      <c r="W550" s="3"/>
      <c r="X550" s="3"/>
      <c r="Y550" s="3"/>
      <c r="Z550" s="3"/>
      <c r="AA550" s="3"/>
    </row>
    <row r="551" spans="1:27" ht="14.25" customHeight="1">
      <c r="A551" s="1"/>
      <c r="B551" s="1"/>
      <c r="C551" s="1"/>
      <c r="D551" s="1"/>
      <c r="E551" s="20"/>
      <c r="F551" s="21"/>
      <c r="G551" s="28"/>
      <c r="H551" s="28"/>
      <c r="I551" s="28"/>
      <c r="J551" s="3"/>
      <c r="K551" s="24"/>
      <c r="L551" s="3"/>
      <c r="M551" s="3"/>
      <c r="N551" s="3"/>
      <c r="O551" s="3"/>
      <c r="P551" s="3"/>
      <c r="Q551" s="3"/>
      <c r="R551" s="3"/>
      <c r="S551" s="3"/>
      <c r="T551" s="3"/>
      <c r="U551" s="3"/>
      <c r="V551" s="3"/>
      <c r="W551" s="3"/>
      <c r="X551" s="3"/>
      <c r="Y551" s="3"/>
      <c r="Z551" s="3"/>
      <c r="AA551" s="3"/>
    </row>
    <row r="552" spans="1:27" ht="14.25" customHeight="1">
      <c r="A552" s="1"/>
      <c r="B552" s="1"/>
      <c r="C552" s="1"/>
      <c r="D552" s="1"/>
      <c r="E552" s="20"/>
      <c r="F552" s="21"/>
      <c r="G552" s="28"/>
      <c r="H552" s="28"/>
      <c r="I552" s="28"/>
      <c r="J552" s="3"/>
      <c r="K552" s="24"/>
      <c r="L552" s="3"/>
      <c r="M552" s="3"/>
      <c r="N552" s="3"/>
      <c r="O552" s="3"/>
      <c r="P552" s="3"/>
      <c r="Q552" s="3"/>
      <c r="R552" s="3"/>
      <c r="S552" s="3"/>
      <c r="T552" s="3"/>
      <c r="U552" s="3"/>
      <c r="V552" s="3"/>
      <c r="W552" s="3"/>
      <c r="X552" s="3"/>
      <c r="Y552" s="3"/>
      <c r="Z552" s="3"/>
      <c r="AA552" s="3"/>
    </row>
    <row r="553" spans="1:27" ht="14.25" customHeight="1">
      <c r="A553" s="1"/>
      <c r="B553" s="1"/>
      <c r="C553" s="1"/>
      <c r="D553" s="1"/>
      <c r="E553" s="20"/>
      <c r="F553" s="21"/>
      <c r="G553" s="28"/>
      <c r="H553" s="28"/>
      <c r="I553" s="28"/>
      <c r="J553" s="3"/>
      <c r="K553" s="24"/>
      <c r="L553" s="3"/>
      <c r="M553" s="3"/>
      <c r="N553" s="3"/>
      <c r="O553" s="3"/>
      <c r="P553" s="3"/>
      <c r="Q553" s="3"/>
      <c r="R553" s="3"/>
      <c r="S553" s="3"/>
      <c r="T553" s="3"/>
      <c r="U553" s="3"/>
      <c r="V553" s="3"/>
      <c r="W553" s="3"/>
      <c r="X553" s="3"/>
      <c r="Y553" s="3"/>
      <c r="Z553" s="3"/>
      <c r="AA553" s="3"/>
    </row>
    <row r="554" spans="1:27" ht="14.25" customHeight="1">
      <c r="A554" s="1"/>
      <c r="B554" s="1"/>
      <c r="C554" s="1"/>
      <c r="D554" s="1"/>
      <c r="E554" s="20"/>
      <c r="F554" s="21"/>
      <c r="G554" s="28"/>
      <c r="H554" s="28"/>
      <c r="I554" s="28"/>
      <c r="J554" s="3"/>
      <c r="K554" s="24"/>
      <c r="L554" s="3"/>
      <c r="M554" s="3"/>
      <c r="N554" s="3"/>
      <c r="O554" s="3"/>
      <c r="P554" s="3"/>
      <c r="Q554" s="3"/>
      <c r="R554" s="3"/>
      <c r="S554" s="3"/>
      <c r="T554" s="3"/>
      <c r="U554" s="3"/>
      <c r="V554" s="3"/>
      <c r="W554" s="3"/>
      <c r="X554" s="3"/>
      <c r="Y554" s="3"/>
      <c r="Z554" s="3"/>
      <c r="AA554" s="3"/>
    </row>
    <row r="555" spans="1:27" ht="14.25" customHeight="1">
      <c r="A555" s="1"/>
      <c r="B555" s="1"/>
      <c r="C555" s="1"/>
      <c r="D555" s="1"/>
      <c r="E555" s="20"/>
      <c r="F555" s="21"/>
      <c r="G555" s="28"/>
      <c r="H555" s="28"/>
      <c r="I555" s="28"/>
      <c r="J555" s="3"/>
      <c r="K555" s="24"/>
      <c r="L555" s="3"/>
      <c r="M555" s="3"/>
      <c r="N555" s="3"/>
      <c r="O555" s="3"/>
      <c r="P555" s="3"/>
      <c r="Q555" s="3"/>
      <c r="R555" s="3"/>
      <c r="S555" s="3"/>
      <c r="T555" s="3"/>
      <c r="U555" s="3"/>
      <c r="V555" s="3"/>
      <c r="W555" s="3"/>
      <c r="X555" s="3"/>
      <c r="Y555" s="3"/>
      <c r="Z555" s="3"/>
      <c r="AA555" s="3"/>
    </row>
    <row r="556" spans="1:27" ht="14.25" customHeight="1">
      <c r="A556" s="1"/>
      <c r="B556" s="1"/>
      <c r="C556" s="1"/>
      <c r="D556" s="1"/>
      <c r="E556" s="20"/>
      <c r="F556" s="21"/>
      <c r="G556" s="28"/>
      <c r="H556" s="28"/>
      <c r="I556" s="28"/>
      <c r="J556" s="3"/>
      <c r="K556" s="24"/>
      <c r="L556" s="3"/>
      <c r="M556" s="3"/>
      <c r="N556" s="3"/>
      <c r="O556" s="3"/>
      <c r="P556" s="3"/>
      <c r="Q556" s="3"/>
      <c r="R556" s="3"/>
      <c r="S556" s="3"/>
      <c r="T556" s="3"/>
      <c r="U556" s="3"/>
      <c r="V556" s="3"/>
      <c r="W556" s="3"/>
      <c r="X556" s="3"/>
      <c r="Y556" s="3"/>
      <c r="Z556" s="3"/>
      <c r="AA556" s="3"/>
    </row>
    <row r="557" spans="1:27" ht="14.25" customHeight="1">
      <c r="A557" s="1"/>
      <c r="B557" s="1"/>
      <c r="C557" s="1"/>
      <c r="D557" s="1"/>
      <c r="E557" s="20"/>
      <c r="F557" s="21"/>
      <c r="G557" s="28"/>
      <c r="H557" s="28"/>
      <c r="I557" s="28"/>
      <c r="J557" s="3"/>
      <c r="K557" s="24"/>
      <c r="L557" s="3"/>
      <c r="M557" s="3"/>
      <c r="N557" s="3"/>
      <c r="O557" s="3"/>
      <c r="P557" s="3"/>
      <c r="Q557" s="3"/>
      <c r="R557" s="3"/>
      <c r="S557" s="3"/>
      <c r="T557" s="3"/>
      <c r="U557" s="3"/>
      <c r="V557" s="3"/>
      <c r="W557" s="3"/>
      <c r="X557" s="3"/>
      <c r="Y557" s="3"/>
      <c r="Z557" s="3"/>
      <c r="AA557" s="3"/>
    </row>
    <row r="558" spans="1:27" ht="14.25" customHeight="1">
      <c r="A558" s="1"/>
      <c r="B558" s="1"/>
      <c r="C558" s="1"/>
      <c r="D558" s="1"/>
      <c r="E558" s="20"/>
      <c r="F558" s="21"/>
      <c r="G558" s="28"/>
      <c r="H558" s="28"/>
      <c r="I558" s="28"/>
      <c r="J558" s="3"/>
      <c r="K558" s="24"/>
      <c r="L558" s="3"/>
      <c r="M558" s="3"/>
      <c r="N558" s="3"/>
      <c r="O558" s="3"/>
      <c r="P558" s="3"/>
      <c r="Q558" s="3"/>
      <c r="R558" s="3"/>
      <c r="S558" s="3"/>
      <c r="T558" s="3"/>
      <c r="U558" s="3"/>
      <c r="V558" s="3"/>
      <c r="W558" s="3"/>
      <c r="X558" s="3"/>
      <c r="Y558" s="3"/>
      <c r="Z558" s="3"/>
      <c r="AA558" s="3"/>
    </row>
    <row r="559" spans="1:27" ht="14.25" customHeight="1">
      <c r="A559" s="1"/>
      <c r="B559" s="1"/>
      <c r="C559" s="1"/>
      <c r="D559" s="1"/>
      <c r="E559" s="20"/>
      <c r="F559" s="21"/>
      <c r="G559" s="28"/>
      <c r="H559" s="28"/>
      <c r="I559" s="28"/>
      <c r="J559" s="3"/>
      <c r="K559" s="24"/>
      <c r="L559" s="3"/>
      <c r="M559" s="3"/>
      <c r="N559" s="3"/>
      <c r="O559" s="3"/>
      <c r="P559" s="3"/>
      <c r="Q559" s="3"/>
      <c r="R559" s="3"/>
      <c r="S559" s="3"/>
      <c r="T559" s="3"/>
      <c r="U559" s="3"/>
      <c r="V559" s="3"/>
      <c r="W559" s="3"/>
      <c r="X559" s="3"/>
      <c r="Y559" s="3"/>
      <c r="Z559" s="3"/>
      <c r="AA559" s="3"/>
    </row>
    <row r="560" spans="1:27" ht="14.25" customHeight="1">
      <c r="A560" s="1"/>
      <c r="B560" s="1"/>
      <c r="C560" s="1"/>
      <c r="D560" s="1"/>
      <c r="E560" s="20"/>
      <c r="F560" s="21"/>
      <c r="G560" s="28"/>
      <c r="H560" s="28"/>
      <c r="I560" s="28"/>
      <c r="J560" s="3"/>
      <c r="K560" s="24"/>
      <c r="L560" s="3"/>
      <c r="M560" s="3"/>
      <c r="N560" s="3"/>
      <c r="O560" s="3"/>
      <c r="P560" s="3"/>
      <c r="Q560" s="3"/>
      <c r="R560" s="3"/>
      <c r="S560" s="3"/>
      <c r="T560" s="3"/>
      <c r="U560" s="3"/>
      <c r="V560" s="3"/>
      <c r="W560" s="3"/>
      <c r="X560" s="3"/>
      <c r="Y560" s="3"/>
      <c r="Z560" s="3"/>
      <c r="AA560" s="3"/>
    </row>
    <row r="561" spans="1:27" ht="14.25" customHeight="1">
      <c r="A561" s="1"/>
      <c r="B561" s="1"/>
      <c r="C561" s="1"/>
      <c r="D561" s="1"/>
      <c r="E561" s="20"/>
      <c r="F561" s="21"/>
      <c r="G561" s="28"/>
      <c r="H561" s="28"/>
      <c r="I561" s="28"/>
      <c r="J561" s="3"/>
      <c r="K561" s="24"/>
      <c r="L561" s="3"/>
      <c r="M561" s="3"/>
      <c r="N561" s="3"/>
      <c r="O561" s="3"/>
      <c r="P561" s="3"/>
      <c r="Q561" s="3"/>
      <c r="R561" s="3"/>
      <c r="S561" s="3"/>
      <c r="T561" s="3"/>
      <c r="U561" s="3"/>
      <c r="V561" s="3"/>
      <c r="W561" s="3"/>
      <c r="X561" s="3"/>
      <c r="Y561" s="3"/>
      <c r="Z561" s="3"/>
      <c r="AA561" s="3"/>
    </row>
    <row r="562" spans="1:27" ht="14.25" customHeight="1">
      <c r="A562" s="1"/>
      <c r="B562" s="1"/>
      <c r="C562" s="1"/>
      <c r="D562" s="1"/>
      <c r="E562" s="20"/>
      <c r="F562" s="21"/>
      <c r="G562" s="28"/>
      <c r="H562" s="28"/>
      <c r="I562" s="28"/>
      <c r="J562" s="3"/>
      <c r="K562" s="24"/>
      <c r="L562" s="3"/>
      <c r="M562" s="3"/>
      <c r="N562" s="3"/>
      <c r="O562" s="3"/>
      <c r="P562" s="3"/>
      <c r="Q562" s="3"/>
      <c r="R562" s="3"/>
      <c r="S562" s="3"/>
      <c r="T562" s="3"/>
      <c r="U562" s="3"/>
      <c r="V562" s="3"/>
      <c r="W562" s="3"/>
      <c r="X562" s="3"/>
      <c r="Y562" s="3"/>
      <c r="Z562" s="3"/>
      <c r="AA562" s="3"/>
    </row>
    <row r="563" spans="1:27" ht="14.25" customHeight="1">
      <c r="A563" s="1"/>
      <c r="B563" s="1"/>
      <c r="C563" s="1"/>
      <c r="D563" s="1"/>
      <c r="E563" s="20"/>
      <c r="F563" s="21"/>
      <c r="G563" s="28"/>
      <c r="H563" s="28"/>
      <c r="I563" s="28"/>
      <c r="J563" s="3"/>
      <c r="K563" s="24"/>
      <c r="L563" s="3"/>
      <c r="M563" s="3"/>
      <c r="N563" s="3"/>
      <c r="O563" s="3"/>
      <c r="P563" s="3"/>
      <c r="Q563" s="3"/>
      <c r="R563" s="3"/>
      <c r="S563" s="3"/>
      <c r="T563" s="3"/>
      <c r="U563" s="3"/>
      <c r="V563" s="3"/>
      <c r="W563" s="3"/>
      <c r="X563" s="3"/>
      <c r="Y563" s="3"/>
      <c r="Z563" s="3"/>
      <c r="AA563" s="3"/>
    </row>
    <row r="564" spans="1:27" ht="14.25" customHeight="1">
      <c r="A564" s="1"/>
      <c r="B564" s="1"/>
      <c r="C564" s="1"/>
      <c r="D564" s="1"/>
      <c r="E564" s="20"/>
      <c r="F564" s="21"/>
      <c r="G564" s="28"/>
      <c r="H564" s="28"/>
      <c r="I564" s="28"/>
      <c r="J564" s="3"/>
      <c r="K564" s="24"/>
      <c r="L564" s="3"/>
      <c r="M564" s="3"/>
      <c r="N564" s="3"/>
      <c r="O564" s="3"/>
      <c r="P564" s="3"/>
      <c r="Q564" s="3"/>
      <c r="R564" s="3"/>
      <c r="S564" s="3"/>
      <c r="T564" s="3"/>
      <c r="U564" s="3"/>
      <c r="V564" s="3"/>
      <c r="W564" s="3"/>
      <c r="X564" s="3"/>
      <c r="Y564" s="3"/>
      <c r="Z564" s="3"/>
      <c r="AA564" s="3"/>
    </row>
    <row r="565" spans="1:27" ht="14.25" customHeight="1">
      <c r="A565" s="1"/>
      <c r="B565" s="1"/>
      <c r="C565" s="1"/>
      <c r="D565" s="1"/>
      <c r="E565" s="20"/>
      <c r="F565" s="21"/>
      <c r="G565" s="28"/>
      <c r="H565" s="28"/>
      <c r="I565" s="28"/>
      <c r="J565" s="3"/>
      <c r="K565" s="24"/>
      <c r="L565" s="3"/>
      <c r="M565" s="3"/>
      <c r="N565" s="3"/>
      <c r="O565" s="3"/>
      <c r="P565" s="3"/>
      <c r="Q565" s="3"/>
      <c r="R565" s="3"/>
      <c r="S565" s="3"/>
      <c r="T565" s="3"/>
      <c r="U565" s="3"/>
      <c r="V565" s="3"/>
      <c r="W565" s="3"/>
      <c r="X565" s="3"/>
      <c r="Y565" s="3"/>
      <c r="Z565" s="3"/>
      <c r="AA565" s="3"/>
    </row>
    <row r="566" spans="1:27" ht="14.25" customHeight="1">
      <c r="A566" s="1"/>
      <c r="B566" s="1"/>
      <c r="C566" s="1"/>
      <c r="D566" s="1"/>
      <c r="E566" s="20"/>
      <c r="F566" s="21"/>
      <c r="G566" s="28"/>
      <c r="H566" s="28"/>
      <c r="I566" s="28"/>
      <c r="J566" s="3"/>
      <c r="K566" s="24"/>
      <c r="L566" s="3"/>
      <c r="M566" s="3"/>
      <c r="N566" s="3"/>
      <c r="O566" s="3"/>
      <c r="P566" s="3"/>
      <c r="Q566" s="3"/>
      <c r="R566" s="3"/>
      <c r="S566" s="3"/>
      <c r="T566" s="3"/>
      <c r="U566" s="3"/>
      <c r="V566" s="3"/>
      <c r="W566" s="3"/>
      <c r="X566" s="3"/>
      <c r="Y566" s="3"/>
      <c r="Z566" s="3"/>
      <c r="AA566" s="3"/>
    </row>
    <row r="567" spans="1:27" ht="14.25" customHeight="1">
      <c r="A567" s="1"/>
      <c r="B567" s="1"/>
      <c r="C567" s="1"/>
      <c r="D567" s="1"/>
      <c r="E567" s="20"/>
      <c r="F567" s="21"/>
      <c r="G567" s="28"/>
      <c r="H567" s="28"/>
      <c r="I567" s="28"/>
      <c r="J567" s="3"/>
      <c r="K567" s="24"/>
      <c r="L567" s="3"/>
      <c r="M567" s="3"/>
      <c r="N567" s="3"/>
      <c r="O567" s="3"/>
      <c r="P567" s="3"/>
      <c r="Q567" s="3"/>
      <c r="R567" s="3"/>
      <c r="S567" s="3"/>
      <c r="T567" s="3"/>
      <c r="U567" s="3"/>
      <c r="V567" s="3"/>
      <c r="W567" s="3"/>
      <c r="X567" s="3"/>
      <c r="Y567" s="3"/>
      <c r="Z567" s="3"/>
      <c r="AA567" s="3"/>
    </row>
    <row r="568" spans="1:27" ht="14.25" customHeight="1">
      <c r="A568" s="1"/>
      <c r="B568" s="1"/>
      <c r="C568" s="1"/>
      <c r="D568" s="1"/>
      <c r="E568" s="20"/>
      <c r="F568" s="21"/>
      <c r="G568" s="28"/>
      <c r="H568" s="28"/>
      <c r="I568" s="28"/>
      <c r="J568" s="3"/>
      <c r="K568" s="24"/>
      <c r="L568" s="3"/>
      <c r="M568" s="3"/>
      <c r="N568" s="3"/>
      <c r="O568" s="3"/>
      <c r="P568" s="3"/>
      <c r="Q568" s="3"/>
      <c r="R568" s="3"/>
      <c r="S568" s="3"/>
      <c r="T568" s="3"/>
      <c r="U568" s="3"/>
      <c r="V568" s="3"/>
      <c r="W568" s="3"/>
      <c r="X568" s="3"/>
      <c r="Y568" s="3"/>
      <c r="Z568" s="3"/>
      <c r="AA568" s="3"/>
    </row>
    <row r="569" spans="1:27" ht="14.25" customHeight="1">
      <c r="A569" s="1"/>
      <c r="B569" s="1"/>
      <c r="C569" s="1"/>
      <c r="D569" s="1"/>
      <c r="E569" s="20"/>
      <c r="F569" s="21"/>
      <c r="G569" s="28"/>
      <c r="H569" s="28"/>
      <c r="I569" s="28"/>
      <c r="J569" s="3"/>
      <c r="K569" s="24"/>
      <c r="L569" s="3"/>
      <c r="M569" s="3"/>
      <c r="N569" s="3"/>
      <c r="O569" s="3"/>
      <c r="P569" s="3"/>
      <c r="Q569" s="3"/>
      <c r="R569" s="3"/>
      <c r="S569" s="3"/>
      <c r="T569" s="3"/>
      <c r="U569" s="3"/>
      <c r="V569" s="3"/>
      <c r="W569" s="3"/>
      <c r="X569" s="3"/>
      <c r="Y569" s="3"/>
      <c r="Z569" s="3"/>
      <c r="AA569" s="3"/>
    </row>
    <row r="570" spans="1:27" ht="14.25" customHeight="1">
      <c r="A570" s="1"/>
      <c r="B570" s="1"/>
      <c r="C570" s="1"/>
      <c r="D570" s="1"/>
      <c r="E570" s="20"/>
      <c r="F570" s="21"/>
      <c r="G570" s="28"/>
      <c r="H570" s="28"/>
      <c r="I570" s="28"/>
      <c r="J570" s="3"/>
      <c r="K570" s="24"/>
      <c r="L570" s="3"/>
      <c r="M570" s="3"/>
      <c r="N570" s="3"/>
      <c r="O570" s="3"/>
      <c r="P570" s="3"/>
      <c r="Q570" s="3"/>
      <c r="R570" s="3"/>
      <c r="S570" s="3"/>
      <c r="T570" s="3"/>
      <c r="U570" s="3"/>
      <c r="V570" s="3"/>
      <c r="W570" s="3"/>
      <c r="X570" s="3"/>
      <c r="Y570" s="3"/>
      <c r="Z570" s="3"/>
      <c r="AA570" s="3"/>
    </row>
    <row r="571" spans="1:27" ht="14.25" customHeight="1">
      <c r="A571" s="1"/>
      <c r="B571" s="1"/>
      <c r="C571" s="1"/>
      <c r="D571" s="1"/>
      <c r="E571" s="20"/>
      <c r="F571" s="21"/>
      <c r="G571" s="28"/>
      <c r="H571" s="28"/>
      <c r="I571" s="28"/>
      <c r="J571" s="3"/>
      <c r="K571" s="24"/>
      <c r="L571" s="3"/>
      <c r="M571" s="3"/>
      <c r="N571" s="3"/>
      <c r="O571" s="3"/>
      <c r="P571" s="3"/>
      <c r="Q571" s="3"/>
      <c r="R571" s="3"/>
      <c r="S571" s="3"/>
      <c r="T571" s="3"/>
      <c r="U571" s="3"/>
      <c r="V571" s="3"/>
      <c r="W571" s="3"/>
      <c r="X571" s="3"/>
      <c r="Y571" s="3"/>
      <c r="Z571" s="3"/>
      <c r="AA571" s="3"/>
    </row>
    <row r="572" spans="1:27" ht="14.25" customHeight="1">
      <c r="A572" s="1"/>
      <c r="B572" s="1"/>
      <c r="C572" s="1"/>
      <c r="D572" s="1"/>
      <c r="E572" s="20"/>
      <c r="F572" s="21"/>
      <c r="G572" s="28"/>
      <c r="H572" s="28"/>
      <c r="I572" s="28"/>
      <c r="J572" s="3"/>
      <c r="K572" s="24"/>
      <c r="L572" s="3"/>
      <c r="M572" s="3"/>
      <c r="N572" s="3"/>
      <c r="O572" s="3"/>
      <c r="P572" s="3"/>
      <c r="Q572" s="3"/>
      <c r="R572" s="3"/>
      <c r="S572" s="3"/>
      <c r="T572" s="3"/>
      <c r="U572" s="3"/>
      <c r="V572" s="3"/>
      <c r="W572" s="3"/>
      <c r="X572" s="3"/>
      <c r="Y572" s="3"/>
      <c r="Z572" s="3"/>
      <c r="AA572" s="3"/>
    </row>
    <row r="573" spans="1:27" ht="14.25" customHeight="1">
      <c r="A573" s="1"/>
      <c r="B573" s="1"/>
      <c r="C573" s="1"/>
      <c r="D573" s="1"/>
      <c r="E573" s="20"/>
      <c r="F573" s="21"/>
      <c r="G573" s="28"/>
      <c r="H573" s="28"/>
      <c r="I573" s="28"/>
      <c r="J573" s="3"/>
      <c r="K573" s="24"/>
      <c r="L573" s="3"/>
      <c r="M573" s="3"/>
      <c r="N573" s="3"/>
      <c r="O573" s="3"/>
      <c r="P573" s="3"/>
      <c r="Q573" s="3"/>
      <c r="R573" s="3"/>
      <c r="S573" s="3"/>
      <c r="T573" s="3"/>
      <c r="U573" s="3"/>
      <c r="V573" s="3"/>
      <c r="W573" s="3"/>
      <c r="X573" s="3"/>
      <c r="Y573" s="3"/>
      <c r="Z573" s="3"/>
      <c r="AA573" s="3"/>
    </row>
    <row r="574" spans="1:27" ht="14.25" customHeight="1">
      <c r="A574" s="1"/>
      <c r="B574" s="1"/>
      <c r="C574" s="1"/>
      <c r="D574" s="1"/>
      <c r="E574" s="20"/>
      <c r="F574" s="21"/>
      <c r="G574" s="28"/>
      <c r="H574" s="28"/>
      <c r="I574" s="28"/>
      <c r="J574" s="3"/>
      <c r="K574" s="24"/>
      <c r="L574" s="3"/>
      <c r="M574" s="3"/>
      <c r="N574" s="3"/>
      <c r="O574" s="3"/>
      <c r="P574" s="3"/>
      <c r="Q574" s="3"/>
      <c r="R574" s="3"/>
      <c r="S574" s="3"/>
      <c r="T574" s="3"/>
      <c r="U574" s="3"/>
      <c r="V574" s="3"/>
      <c r="W574" s="3"/>
      <c r="X574" s="3"/>
      <c r="Y574" s="3"/>
      <c r="Z574" s="3"/>
      <c r="AA574" s="3"/>
    </row>
    <row r="575" spans="1:27" ht="14.25" customHeight="1">
      <c r="A575" s="1"/>
      <c r="B575" s="1"/>
      <c r="C575" s="1"/>
      <c r="D575" s="1"/>
      <c r="E575" s="20"/>
      <c r="F575" s="21"/>
      <c r="G575" s="28"/>
      <c r="H575" s="28"/>
      <c r="I575" s="28"/>
      <c r="J575" s="3"/>
      <c r="K575" s="24"/>
      <c r="L575" s="3"/>
      <c r="M575" s="3"/>
      <c r="N575" s="3"/>
      <c r="O575" s="3"/>
      <c r="P575" s="3"/>
      <c r="Q575" s="3"/>
      <c r="R575" s="3"/>
      <c r="S575" s="3"/>
      <c r="T575" s="3"/>
      <c r="U575" s="3"/>
      <c r="V575" s="3"/>
      <c r="W575" s="3"/>
      <c r="X575" s="3"/>
      <c r="Y575" s="3"/>
      <c r="Z575" s="3"/>
      <c r="AA575" s="3"/>
    </row>
    <row r="576" spans="1:27" ht="14.25" customHeight="1">
      <c r="A576" s="1"/>
      <c r="B576" s="1"/>
      <c r="C576" s="1"/>
      <c r="D576" s="1"/>
      <c r="E576" s="20"/>
      <c r="F576" s="21"/>
      <c r="G576" s="28"/>
      <c r="H576" s="28"/>
      <c r="I576" s="28"/>
      <c r="J576" s="3"/>
      <c r="K576" s="24"/>
      <c r="L576" s="3"/>
      <c r="M576" s="3"/>
      <c r="N576" s="3"/>
      <c r="O576" s="3"/>
      <c r="P576" s="3"/>
      <c r="Q576" s="3"/>
      <c r="R576" s="3"/>
      <c r="S576" s="3"/>
      <c r="T576" s="3"/>
      <c r="U576" s="3"/>
      <c r="V576" s="3"/>
      <c r="W576" s="3"/>
      <c r="X576" s="3"/>
      <c r="Y576" s="3"/>
      <c r="Z576" s="3"/>
      <c r="AA576" s="3"/>
    </row>
    <row r="577" spans="1:27" ht="14.25" customHeight="1">
      <c r="A577" s="1"/>
      <c r="B577" s="1"/>
      <c r="C577" s="1"/>
      <c r="D577" s="1"/>
      <c r="E577" s="20"/>
      <c r="F577" s="21"/>
      <c r="G577" s="28"/>
      <c r="H577" s="28"/>
      <c r="I577" s="28"/>
      <c r="J577" s="3"/>
      <c r="K577" s="24"/>
      <c r="L577" s="3"/>
      <c r="M577" s="3"/>
      <c r="N577" s="3"/>
      <c r="O577" s="3"/>
      <c r="P577" s="3"/>
      <c r="Q577" s="3"/>
      <c r="R577" s="3"/>
      <c r="S577" s="3"/>
      <c r="T577" s="3"/>
      <c r="U577" s="3"/>
      <c r="V577" s="3"/>
      <c r="W577" s="3"/>
      <c r="X577" s="3"/>
      <c r="Y577" s="3"/>
      <c r="Z577" s="3"/>
      <c r="AA577" s="3"/>
    </row>
    <row r="578" spans="1:27" ht="14.25" customHeight="1">
      <c r="A578" s="1"/>
      <c r="B578" s="1"/>
      <c r="C578" s="1"/>
      <c r="D578" s="1"/>
      <c r="E578" s="20"/>
      <c r="F578" s="21"/>
      <c r="G578" s="28"/>
      <c r="H578" s="28"/>
      <c r="I578" s="28"/>
      <c r="J578" s="3"/>
      <c r="K578" s="24"/>
      <c r="L578" s="3"/>
      <c r="M578" s="3"/>
      <c r="N578" s="3"/>
      <c r="O578" s="3"/>
      <c r="P578" s="3"/>
      <c r="Q578" s="3"/>
      <c r="R578" s="3"/>
      <c r="S578" s="3"/>
      <c r="T578" s="3"/>
      <c r="U578" s="3"/>
      <c r="V578" s="3"/>
      <c r="W578" s="3"/>
      <c r="X578" s="3"/>
      <c r="Y578" s="3"/>
      <c r="Z578" s="3"/>
      <c r="AA578" s="3"/>
    </row>
    <row r="579" spans="1:27" ht="14.25" customHeight="1">
      <c r="A579" s="1"/>
      <c r="B579" s="1"/>
      <c r="C579" s="1"/>
      <c r="D579" s="1"/>
      <c r="E579" s="20"/>
      <c r="F579" s="21"/>
      <c r="G579" s="28"/>
      <c r="H579" s="28"/>
      <c r="I579" s="28"/>
      <c r="J579" s="3"/>
      <c r="K579" s="24"/>
      <c r="L579" s="3"/>
      <c r="M579" s="3"/>
      <c r="N579" s="3"/>
      <c r="O579" s="3"/>
      <c r="P579" s="3"/>
      <c r="Q579" s="3"/>
      <c r="R579" s="3"/>
      <c r="S579" s="3"/>
      <c r="T579" s="3"/>
      <c r="U579" s="3"/>
      <c r="V579" s="3"/>
      <c r="W579" s="3"/>
      <c r="X579" s="3"/>
      <c r="Y579" s="3"/>
      <c r="Z579" s="3"/>
      <c r="AA579" s="3"/>
    </row>
    <row r="580" spans="1:27" ht="14.25" customHeight="1">
      <c r="A580" s="1"/>
      <c r="B580" s="1"/>
      <c r="C580" s="1"/>
      <c r="D580" s="1"/>
      <c r="E580" s="20"/>
      <c r="F580" s="21"/>
      <c r="G580" s="28"/>
      <c r="H580" s="28"/>
      <c r="I580" s="28"/>
      <c r="J580" s="3"/>
      <c r="K580" s="24"/>
      <c r="L580" s="3"/>
      <c r="M580" s="3"/>
      <c r="N580" s="3"/>
      <c r="O580" s="3"/>
      <c r="P580" s="3"/>
      <c r="Q580" s="3"/>
      <c r="R580" s="3"/>
      <c r="S580" s="3"/>
      <c r="T580" s="3"/>
      <c r="U580" s="3"/>
      <c r="V580" s="3"/>
      <c r="W580" s="3"/>
      <c r="X580" s="3"/>
      <c r="Y580" s="3"/>
      <c r="Z580" s="3"/>
      <c r="AA580" s="3"/>
    </row>
    <row r="581" spans="1:27" ht="14.25" customHeight="1">
      <c r="A581" s="1"/>
      <c r="B581" s="1"/>
      <c r="C581" s="1"/>
      <c r="D581" s="1"/>
      <c r="E581" s="20"/>
      <c r="F581" s="21"/>
      <c r="G581" s="28"/>
      <c r="H581" s="28"/>
      <c r="I581" s="28"/>
      <c r="J581" s="3"/>
      <c r="K581" s="24"/>
      <c r="L581" s="3"/>
      <c r="M581" s="3"/>
      <c r="N581" s="3"/>
      <c r="O581" s="3"/>
      <c r="P581" s="3"/>
      <c r="Q581" s="3"/>
      <c r="R581" s="3"/>
      <c r="S581" s="3"/>
      <c r="T581" s="3"/>
      <c r="U581" s="3"/>
      <c r="V581" s="3"/>
      <c r="W581" s="3"/>
      <c r="X581" s="3"/>
      <c r="Y581" s="3"/>
      <c r="Z581" s="3"/>
      <c r="AA581" s="3"/>
    </row>
    <row r="582" spans="1:27" ht="14.25" customHeight="1">
      <c r="A582" s="1"/>
      <c r="B582" s="1"/>
      <c r="C582" s="1"/>
      <c r="D582" s="1"/>
      <c r="E582" s="20"/>
      <c r="F582" s="21"/>
      <c r="G582" s="28"/>
      <c r="H582" s="28"/>
      <c r="I582" s="28"/>
      <c r="J582" s="3"/>
      <c r="K582" s="24"/>
      <c r="L582" s="3"/>
      <c r="M582" s="3"/>
      <c r="N582" s="3"/>
      <c r="O582" s="3"/>
      <c r="P582" s="3"/>
      <c r="Q582" s="3"/>
      <c r="R582" s="3"/>
      <c r="S582" s="3"/>
      <c r="T582" s="3"/>
      <c r="U582" s="3"/>
      <c r="V582" s="3"/>
      <c r="W582" s="3"/>
      <c r="X582" s="3"/>
      <c r="Y582" s="3"/>
      <c r="Z582" s="3"/>
      <c r="AA582" s="3"/>
    </row>
    <row r="583" spans="1:27" ht="14.25" customHeight="1">
      <c r="A583" s="1"/>
      <c r="B583" s="1"/>
      <c r="C583" s="1"/>
      <c r="D583" s="1"/>
      <c r="E583" s="20"/>
      <c r="F583" s="21"/>
      <c r="G583" s="28"/>
      <c r="H583" s="28"/>
      <c r="I583" s="28"/>
      <c r="J583" s="3"/>
      <c r="K583" s="24"/>
      <c r="L583" s="3"/>
      <c r="M583" s="3"/>
      <c r="N583" s="3"/>
      <c r="O583" s="3"/>
      <c r="P583" s="3"/>
      <c r="Q583" s="3"/>
      <c r="R583" s="3"/>
      <c r="S583" s="3"/>
      <c r="T583" s="3"/>
      <c r="U583" s="3"/>
      <c r="V583" s="3"/>
      <c r="W583" s="3"/>
      <c r="X583" s="3"/>
      <c r="Y583" s="3"/>
      <c r="Z583" s="3"/>
      <c r="AA583" s="3"/>
    </row>
    <row r="584" spans="1:27" ht="14.25" customHeight="1">
      <c r="A584" s="1"/>
      <c r="B584" s="1"/>
      <c r="C584" s="1"/>
      <c r="D584" s="1"/>
      <c r="E584" s="20"/>
      <c r="F584" s="21"/>
      <c r="G584" s="28"/>
      <c r="H584" s="28"/>
      <c r="I584" s="28"/>
      <c r="J584" s="3"/>
      <c r="K584" s="24"/>
      <c r="L584" s="3"/>
      <c r="M584" s="3"/>
      <c r="N584" s="3"/>
      <c r="O584" s="3"/>
      <c r="P584" s="3"/>
      <c r="Q584" s="3"/>
      <c r="R584" s="3"/>
      <c r="S584" s="3"/>
      <c r="T584" s="3"/>
      <c r="U584" s="3"/>
      <c r="V584" s="3"/>
      <c r="W584" s="3"/>
      <c r="X584" s="3"/>
      <c r="Y584" s="3"/>
      <c r="Z584" s="3"/>
      <c r="AA584" s="3"/>
    </row>
    <row r="585" spans="1:27" ht="14.25" customHeight="1">
      <c r="A585" s="1"/>
      <c r="B585" s="1"/>
      <c r="C585" s="1"/>
      <c r="D585" s="1"/>
      <c r="E585" s="20"/>
      <c r="F585" s="21"/>
      <c r="G585" s="28"/>
      <c r="H585" s="28"/>
      <c r="I585" s="28"/>
      <c r="J585" s="3"/>
      <c r="K585" s="24"/>
      <c r="L585" s="3"/>
      <c r="M585" s="3"/>
      <c r="N585" s="3"/>
      <c r="O585" s="3"/>
      <c r="P585" s="3"/>
      <c r="Q585" s="3"/>
      <c r="R585" s="3"/>
      <c r="S585" s="3"/>
      <c r="T585" s="3"/>
      <c r="U585" s="3"/>
      <c r="V585" s="3"/>
      <c r="W585" s="3"/>
      <c r="X585" s="3"/>
      <c r="Y585" s="3"/>
      <c r="Z585" s="3"/>
      <c r="AA585" s="3"/>
    </row>
    <row r="586" spans="1:27" ht="14.25" customHeight="1">
      <c r="A586" s="1"/>
      <c r="B586" s="1"/>
      <c r="C586" s="1"/>
      <c r="D586" s="1"/>
      <c r="E586" s="20"/>
      <c r="F586" s="21"/>
      <c r="G586" s="28"/>
      <c r="H586" s="28"/>
      <c r="I586" s="28"/>
      <c r="J586" s="3"/>
      <c r="K586" s="24"/>
      <c r="L586" s="3"/>
      <c r="M586" s="3"/>
      <c r="N586" s="3"/>
      <c r="O586" s="3"/>
      <c r="P586" s="3"/>
      <c r="Q586" s="3"/>
      <c r="R586" s="3"/>
      <c r="S586" s="3"/>
      <c r="T586" s="3"/>
      <c r="U586" s="3"/>
      <c r="V586" s="3"/>
      <c r="W586" s="3"/>
      <c r="X586" s="3"/>
      <c r="Y586" s="3"/>
      <c r="Z586" s="3"/>
      <c r="AA586" s="3"/>
    </row>
    <row r="587" spans="1:27" ht="14.25" customHeight="1">
      <c r="A587" s="1"/>
      <c r="B587" s="1"/>
      <c r="C587" s="1"/>
      <c r="D587" s="1"/>
      <c r="E587" s="20"/>
      <c r="F587" s="21"/>
      <c r="G587" s="28"/>
      <c r="H587" s="28"/>
      <c r="I587" s="28"/>
      <c r="J587" s="3"/>
      <c r="K587" s="24"/>
      <c r="L587" s="3"/>
      <c r="M587" s="3"/>
      <c r="N587" s="3"/>
      <c r="O587" s="3"/>
      <c r="P587" s="3"/>
      <c r="Q587" s="3"/>
      <c r="R587" s="3"/>
      <c r="S587" s="3"/>
      <c r="T587" s="3"/>
      <c r="U587" s="3"/>
      <c r="V587" s="3"/>
      <c r="W587" s="3"/>
      <c r="X587" s="3"/>
      <c r="Y587" s="3"/>
      <c r="Z587" s="3"/>
      <c r="AA587" s="3"/>
    </row>
    <row r="588" spans="1:27" ht="14.25" customHeight="1">
      <c r="A588" s="1"/>
      <c r="B588" s="1"/>
      <c r="C588" s="1"/>
      <c r="D588" s="1"/>
      <c r="E588" s="20"/>
      <c r="F588" s="21"/>
      <c r="G588" s="28"/>
      <c r="H588" s="28"/>
      <c r="I588" s="28"/>
      <c r="J588" s="3"/>
      <c r="K588" s="24"/>
      <c r="L588" s="3"/>
      <c r="M588" s="3"/>
      <c r="N588" s="3"/>
      <c r="O588" s="3"/>
      <c r="P588" s="3"/>
      <c r="Q588" s="3"/>
      <c r="R588" s="3"/>
      <c r="S588" s="3"/>
      <c r="T588" s="3"/>
      <c r="U588" s="3"/>
      <c r="V588" s="3"/>
      <c r="W588" s="3"/>
      <c r="X588" s="3"/>
      <c r="Y588" s="3"/>
      <c r="Z588" s="3"/>
      <c r="AA588" s="3"/>
    </row>
    <row r="589" spans="1:27" ht="14.25" customHeight="1">
      <c r="A589" s="1"/>
      <c r="B589" s="1"/>
      <c r="C589" s="1"/>
      <c r="D589" s="1"/>
      <c r="E589" s="20"/>
      <c r="F589" s="21"/>
      <c r="G589" s="28"/>
      <c r="H589" s="28"/>
      <c r="I589" s="28"/>
      <c r="J589" s="3"/>
      <c r="K589" s="24"/>
      <c r="L589" s="3"/>
      <c r="M589" s="3"/>
      <c r="N589" s="3"/>
      <c r="O589" s="3"/>
      <c r="P589" s="3"/>
      <c r="Q589" s="3"/>
      <c r="R589" s="3"/>
      <c r="S589" s="3"/>
      <c r="T589" s="3"/>
      <c r="U589" s="3"/>
      <c r="V589" s="3"/>
      <c r="W589" s="3"/>
      <c r="X589" s="3"/>
      <c r="Y589" s="3"/>
      <c r="Z589" s="3"/>
      <c r="AA589" s="3"/>
    </row>
    <row r="590" spans="1:27" ht="14.25" customHeight="1">
      <c r="A590" s="1"/>
      <c r="B590" s="1"/>
      <c r="C590" s="1"/>
      <c r="D590" s="1"/>
      <c r="E590" s="20"/>
      <c r="F590" s="21"/>
      <c r="G590" s="28"/>
      <c r="H590" s="28"/>
      <c r="I590" s="28"/>
      <c r="J590" s="3"/>
      <c r="K590" s="24"/>
      <c r="L590" s="3"/>
      <c r="M590" s="3"/>
      <c r="N590" s="3"/>
      <c r="O590" s="3"/>
      <c r="P590" s="3"/>
      <c r="Q590" s="3"/>
      <c r="R590" s="3"/>
      <c r="S590" s="3"/>
      <c r="T590" s="3"/>
      <c r="U590" s="3"/>
      <c r="V590" s="3"/>
      <c r="W590" s="3"/>
      <c r="X590" s="3"/>
      <c r="Y590" s="3"/>
      <c r="Z590" s="3"/>
      <c r="AA590" s="3"/>
    </row>
    <row r="591" spans="1:27" ht="14.25" customHeight="1">
      <c r="A591" s="1"/>
      <c r="B591" s="1"/>
      <c r="C591" s="1"/>
      <c r="D591" s="1"/>
      <c r="E591" s="20"/>
      <c r="F591" s="21"/>
      <c r="G591" s="28"/>
      <c r="H591" s="28"/>
      <c r="I591" s="28"/>
      <c r="J591" s="3"/>
      <c r="K591" s="24"/>
      <c r="L591" s="3"/>
      <c r="M591" s="3"/>
      <c r="N591" s="3"/>
      <c r="O591" s="3"/>
      <c r="P591" s="3"/>
      <c r="Q591" s="3"/>
      <c r="R591" s="3"/>
      <c r="S591" s="3"/>
      <c r="T591" s="3"/>
      <c r="U591" s="3"/>
      <c r="V591" s="3"/>
      <c r="W591" s="3"/>
      <c r="X591" s="3"/>
      <c r="Y591" s="3"/>
      <c r="Z591" s="3"/>
      <c r="AA591" s="3"/>
    </row>
    <row r="592" spans="1:27" ht="14.25" customHeight="1">
      <c r="A592" s="1"/>
      <c r="B592" s="1"/>
      <c r="C592" s="1"/>
      <c r="D592" s="1"/>
      <c r="E592" s="20"/>
      <c r="F592" s="21"/>
      <c r="G592" s="28"/>
      <c r="H592" s="28"/>
      <c r="I592" s="28"/>
      <c r="J592" s="3"/>
      <c r="K592" s="24"/>
      <c r="L592" s="3"/>
      <c r="M592" s="3"/>
      <c r="N592" s="3"/>
      <c r="O592" s="3"/>
      <c r="P592" s="3"/>
      <c r="Q592" s="3"/>
      <c r="R592" s="3"/>
      <c r="S592" s="3"/>
      <c r="T592" s="3"/>
      <c r="U592" s="3"/>
      <c r="V592" s="3"/>
      <c r="W592" s="3"/>
      <c r="X592" s="3"/>
      <c r="Y592" s="3"/>
      <c r="Z592" s="3"/>
      <c r="AA592" s="3"/>
    </row>
    <row r="593" spans="1:27" ht="14.25" customHeight="1">
      <c r="A593" s="1"/>
      <c r="B593" s="1"/>
      <c r="C593" s="1"/>
      <c r="D593" s="1"/>
      <c r="E593" s="20"/>
      <c r="F593" s="21"/>
      <c r="G593" s="28"/>
      <c r="H593" s="28"/>
      <c r="I593" s="28"/>
      <c r="J593" s="3"/>
      <c r="K593" s="24"/>
      <c r="L593" s="3"/>
      <c r="M593" s="3"/>
      <c r="N593" s="3"/>
      <c r="O593" s="3"/>
      <c r="P593" s="3"/>
      <c r="Q593" s="3"/>
      <c r="R593" s="3"/>
      <c r="S593" s="3"/>
      <c r="T593" s="3"/>
      <c r="U593" s="3"/>
      <c r="V593" s="3"/>
      <c r="W593" s="3"/>
      <c r="X593" s="3"/>
      <c r="Y593" s="3"/>
      <c r="Z593" s="3"/>
      <c r="AA593" s="3"/>
    </row>
    <row r="594" spans="1:27" ht="14.25" customHeight="1">
      <c r="A594" s="1"/>
      <c r="B594" s="1"/>
      <c r="C594" s="1"/>
      <c r="D594" s="1"/>
      <c r="E594" s="20"/>
      <c r="F594" s="21"/>
      <c r="G594" s="28"/>
      <c r="H594" s="28"/>
      <c r="I594" s="28"/>
      <c r="J594" s="3"/>
      <c r="K594" s="24"/>
      <c r="L594" s="3"/>
      <c r="M594" s="3"/>
      <c r="N594" s="3"/>
      <c r="O594" s="3"/>
      <c r="P594" s="3"/>
      <c r="Q594" s="3"/>
      <c r="R594" s="3"/>
      <c r="S594" s="3"/>
      <c r="T594" s="3"/>
      <c r="U594" s="3"/>
      <c r="V594" s="3"/>
      <c r="W594" s="3"/>
      <c r="X594" s="3"/>
      <c r="Y594" s="3"/>
      <c r="Z594" s="3"/>
      <c r="AA594" s="3"/>
    </row>
    <row r="595" spans="1:27" ht="14.25" customHeight="1">
      <c r="A595" s="1"/>
      <c r="B595" s="1"/>
      <c r="C595" s="1"/>
      <c r="D595" s="1"/>
      <c r="E595" s="20"/>
      <c r="F595" s="21"/>
      <c r="G595" s="28"/>
      <c r="H595" s="28"/>
      <c r="I595" s="28"/>
      <c r="J595" s="3"/>
      <c r="K595" s="24"/>
      <c r="L595" s="3"/>
      <c r="M595" s="3"/>
      <c r="N595" s="3"/>
      <c r="O595" s="3"/>
      <c r="P595" s="3"/>
      <c r="Q595" s="3"/>
      <c r="R595" s="3"/>
      <c r="S595" s="3"/>
      <c r="T595" s="3"/>
      <c r="U595" s="3"/>
      <c r="V595" s="3"/>
      <c r="W595" s="3"/>
      <c r="X595" s="3"/>
      <c r="Y595" s="3"/>
      <c r="Z595" s="3"/>
      <c r="AA595" s="3"/>
    </row>
    <row r="596" spans="1:27" ht="14.25" customHeight="1">
      <c r="A596" s="1"/>
      <c r="B596" s="1"/>
      <c r="C596" s="1"/>
      <c r="D596" s="1"/>
      <c r="E596" s="20"/>
      <c r="F596" s="21"/>
      <c r="G596" s="28"/>
      <c r="H596" s="28"/>
      <c r="I596" s="28"/>
      <c r="J596" s="3"/>
      <c r="K596" s="24"/>
      <c r="L596" s="3"/>
      <c r="M596" s="3"/>
      <c r="N596" s="3"/>
      <c r="O596" s="3"/>
      <c r="P596" s="3"/>
      <c r="Q596" s="3"/>
      <c r="R596" s="3"/>
      <c r="S596" s="3"/>
      <c r="T596" s="3"/>
      <c r="U596" s="3"/>
      <c r="V596" s="3"/>
      <c r="W596" s="3"/>
      <c r="X596" s="3"/>
      <c r="Y596" s="3"/>
      <c r="Z596" s="3"/>
      <c r="AA596" s="3"/>
    </row>
    <row r="597" spans="1:27" ht="14.25" customHeight="1">
      <c r="A597" s="1"/>
      <c r="B597" s="1"/>
      <c r="C597" s="1"/>
      <c r="D597" s="1"/>
      <c r="E597" s="20"/>
      <c r="F597" s="21"/>
      <c r="G597" s="28"/>
      <c r="H597" s="28"/>
      <c r="I597" s="28"/>
      <c r="J597" s="3"/>
      <c r="K597" s="24"/>
      <c r="L597" s="3"/>
      <c r="M597" s="3"/>
      <c r="N597" s="3"/>
      <c r="O597" s="3"/>
      <c r="P597" s="3"/>
      <c r="Q597" s="3"/>
      <c r="R597" s="3"/>
      <c r="S597" s="3"/>
      <c r="T597" s="3"/>
      <c r="U597" s="3"/>
      <c r="V597" s="3"/>
      <c r="W597" s="3"/>
      <c r="X597" s="3"/>
      <c r="Y597" s="3"/>
      <c r="Z597" s="3"/>
      <c r="AA597" s="3"/>
    </row>
    <row r="598" spans="1:27" ht="14.25" customHeight="1">
      <c r="A598" s="1"/>
      <c r="B598" s="1"/>
      <c r="C598" s="1"/>
      <c r="D598" s="1"/>
      <c r="E598" s="20"/>
      <c r="F598" s="21"/>
      <c r="G598" s="28"/>
      <c r="H598" s="28"/>
      <c r="I598" s="28"/>
      <c r="J598" s="3"/>
      <c r="K598" s="24"/>
      <c r="L598" s="3"/>
      <c r="M598" s="3"/>
      <c r="N598" s="3"/>
      <c r="O598" s="3"/>
      <c r="P598" s="3"/>
      <c r="Q598" s="3"/>
      <c r="R598" s="3"/>
      <c r="S598" s="3"/>
      <c r="T598" s="3"/>
      <c r="U598" s="3"/>
      <c r="V598" s="3"/>
      <c r="W598" s="3"/>
      <c r="X598" s="3"/>
      <c r="Y598" s="3"/>
      <c r="Z598" s="3"/>
      <c r="AA598" s="3"/>
    </row>
    <row r="599" spans="1:27" ht="14.25" customHeight="1">
      <c r="A599" s="1"/>
      <c r="B599" s="1"/>
      <c r="C599" s="1"/>
      <c r="D599" s="1"/>
      <c r="E599" s="20"/>
      <c r="F599" s="21"/>
      <c r="G599" s="28"/>
      <c r="H599" s="28"/>
      <c r="I599" s="28"/>
      <c r="J599" s="3"/>
      <c r="K599" s="24"/>
      <c r="L599" s="3"/>
      <c r="M599" s="3"/>
      <c r="N599" s="3"/>
      <c r="O599" s="3"/>
      <c r="P599" s="3"/>
      <c r="Q599" s="3"/>
      <c r="R599" s="3"/>
      <c r="S599" s="3"/>
      <c r="T599" s="3"/>
      <c r="U599" s="3"/>
      <c r="V599" s="3"/>
      <c r="W599" s="3"/>
      <c r="X599" s="3"/>
      <c r="Y599" s="3"/>
      <c r="Z599" s="3"/>
      <c r="AA599" s="3"/>
    </row>
    <row r="600" spans="1:27" ht="14.25" customHeight="1">
      <c r="A600" s="1"/>
      <c r="B600" s="1"/>
      <c r="C600" s="1"/>
      <c r="D600" s="1"/>
      <c r="E600" s="20"/>
      <c r="F600" s="21"/>
      <c r="G600" s="28"/>
      <c r="H600" s="28"/>
      <c r="I600" s="28"/>
      <c r="J600" s="3"/>
      <c r="K600" s="24"/>
      <c r="L600" s="3"/>
      <c r="M600" s="3"/>
      <c r="N600" s="3"/>
      <c r="O600" s="3"/>
      <c r="P600" s="3"/>
      <c r="Q600" s="3"/>
      <c r="R600" s="3"/>
      <c r="S600" s="3"/>
      <c r="T600" s="3"/>
      <c r="U600" s="3"/>
      <c r="V600" s="3"/>
      <c r="W600" s="3"/>
      <c r="X600" s="3"/>
      <c r="Y600" s="3"/>
      <c r="Z600" s="3"/>
      <c r="AA600" s="3"/>
    </row>
    <row r="601" spans="1:27" ht="14.25" customHeight="1">
      <c r="A601" s="1"/>
      <c r="B601" s="1"/>
      <c r="C601" s="1"/>
      <c r="D601" s="1"/>
      <c r="E601" s="20"/>
      <c r="F601" s="21"/>
      <c r="G601" s="28"/>
      <c r="H601" s="28"/>
      <c r="I601" s="28"/>
      <c r="J601" s="3"/>
      <c r="K601" s="24"/>
      <c r="L601" s="3"/>
      <c r="M601" s="3"/>
      <c r="N601" s="3"/>
      <c r="O601" s="3"/>
      <c r="P601" s="3"/>
      <c r="Q601" s="3"/>
      <c r="R601" s="3"/>
      <c r="S601" s="3"/>
      <c r="T601" s="3"/>
      <c r="U601" s="3"/>
      <c r="V601" s="3"/>
      <c r="W601" s="3"/>
      <c r="X601" s="3"/>
      <c r="Y601" s="3"/>
      <c r="Z601" s="3"/>
      <c r="AA601" s="3"/>
    </row>
    <row r="602" spans="1:27" ht="14.25" customHeight="1">
      <c r="A602" s="1"/>
      <c r="B602" s="1"/>
      <c r="C602" s="1"/>
      <c r="D602" s="1"/>
      <c r="E602" s="20"/>
      <c r="F602" s="21"/>
      <c r="G602" s="28"/>
      <c r="H602" s="28"/>
      <c r="I602" s="28"/>
      <c r="J602" s="3"/>
      <c r="K602" s="24"/>
      <c r="L602" s="3"/>
      <c r="M602" s="3"/>
      <c r="N602" s="3"/>
      <c r="O602" s="3"/>
      <c r="P602" s="3"/>
      <c r="Q602" s="3"/>
      <c r="R602" s="3"/>
      <c r="S602" s="3"/>
      <c r="T602" s="3"/>
      <c r="U602" s="3"/>
      <c r="V602" s="3"/>
      <c r="W602" s="3"/>
      <c r="X602" s="3"/>
      <c r="Y602" s="3"/>
      <c r="Z602" s="3"/>
      <c r="AA602" s="3"/>
    </row>
    <row r="603" spans="1:27" ht="14.25" customHeight="1">
      <c r="A603" s="1"/>
      <c r="B603" s="1"/>
      <c r="C603" s="1"/>
      <c r="D603" s="1"/>
      <c r="E603" s="20"/>
      <c r="F603" s="21"/>
      <c r="G603" s="28"/>
      <c r="H603" s="28"/>
      <c r="I603" s="28"/>
      <c r="J603" s="3"/>
      <c r="K603" s="24"/>
      <c r="L603" s="3"/>
      <c r="M603" s="3"/>
      <c r="N603" s="3"/>
      <c r="O603" s="3"/>
      <c r="P603" s="3"/>
      <c r="Q603" s="3"/>
      <c r="R603" s="3"/>
      <c r="S603" s="3"/>
      <c r="T603" s="3"/>
      <c r="U603" s="3"/>
      <c r="V603" s="3"/>
      <c r="W603" s="3"/>
      <c r="X603" s="3"/>
      <c r="Y603" s="3"/>
      <c r="Z603" s="3"/>
      <c r="AA603" s="3"/>
    </row>
    <row r="604" spans="1:27" ht="14.25" customHeight="1">
      <c r="A604" s="1"/>
      <c r="B604" s="1"/>
      <c r="C604" s="1"/>
      <c r="D604" s="1"/>
      <c r="E604" s="20"/>
      <c r="F604" s="21"/>
      <c r="G604" s="28"/>
      <c r="H604" s="28"/>
      <c r="I604" s="28"/>
      <c r="J604" s="3"/>
      <c r="K604" s="24"/>
      <c r="L604" s="3"/>
      <c r="M604" s="3"/>
      <c r="N604" s="3"/>
      <c r="O604" s="3"/>
      <c r="P604" s="3"/>
      <c r="Q604" s="3"/>
      <c r="R604" s="3"/>
      <c r="S604" s="3"/>
      <c r="T604" s="3"/>
      <c r="U604" s="3"/>
      <c r="V604" s="3"/>
      <c r="W604" s="3"/>
      <c r="X604" s="3"/>
      <c r="Y604" s="3"/>
      <c r="Z604" s="3"/>
      <c r="AA604" s="3"/>
    </row>
    <row r="605" spans="1:27" ht="14.25" customHeight="1">
      <c r="A605" s="1"/>
      <c r="B605" s="1"/>
      <c r="C605" s="1"/>
      <c r="D605" s="1"/>
      <c r="E605" s="20"/>
      <c r="F605" s="21"/>
      <c r="G605" s="28"/>
      <c r="H605" s="28"/>
      <c r="I605" s="28"/>
      <c r="J605" s="3"/>
      <c r="K605" s="24"/>
      <c r="L605" s="3"/>
      <c r="M605" s="3"/>
      <c r="N605" s="3"/>
      <c r="O605" s="3"/>
      <c r="P605" s="3"/>
      <c r="Q605" s="3"/>
      <c r="R605" s="3"/>
      <c r="S605" s="3"/>
      <c r="T605" s="3"/>
      <c r="U605" s="3"/>
      <c r="V605" s="3"/>
      <c r="W605" s="3"/>
      <c r="X605" s="3"/>
      <c r="Y605" s="3"/>
      <c r="Z605" s="3"/>
      <c r="AA605" s="3"/>
    </row>
    <row r="606" spans="1:27" ht="14.25" customHeight="1">
      <c r="A606" s="1"/>
      <c r="B606" s="1"/>
      <c r="C606" s="1"/>
      <c r="D606" s="1"/>
      <c r="E606" s="20"/>
      <c r="F606" s="21"/>
      <c r="G606" s="28"/>
      <c r="H606" s="28"/>
      <c r="I606" s="28"/>
      <c r="J606" s="3"/>
      <c r="K606" s="24"/>
      <c r="L606" s="3"/>
      <c r="M606" s="3"/>
      <c r="N606" s="3"/>
      <c r="O606" s="3"/>
      <c r="P606" s="3"/>
      <c r="Q606" s="3"/>
      <c r="R606" s="3"/>
      <c r="S606" s="3"/>
      <c r="T606" s="3"/>
      <c r="U606" s="3"/>
      <c r="V606" s="3"/>
      <c r="W606" s="3"/>
      <c r="X606" s="3"/>
      <c r="Y606" s="3"/>
      <c r="Z606" s="3"/>
      <c r="AA606" s="3"/>
    </row>
    <row r="607" spans="1:27" ht="14.25" customHeight="1">
      <c r="A607" s="1"/>
      <c r="B607" s="1"/>
      <c r="C607" s="1"/>
      <c r="D607" s="1"/>
      <c r="E607" s="20"/>
      <c r="F607" s="21"/>
      <c r="G607" s="28"/>
      <c r="H607" s="28"/>
      <c r="I607" s="28"/>
      <c r="J607" s="3"/>
      <c r="K607" s="24"/>
      <c r="L607" s="3"/>
      <c r="M607" s="3"/>
      <c r="N607" s="3"/>
      <c r="O607" s="3"/>
      <c r="P607" s="3"/>
      <c r="Q607" s="3"/>
      <c r="R607" s="3"/>
      <c r="S607" s="3"/>
      <c r="T607" s="3"/>
      <c r="U607" s="3"/>
      <c r="V607" s="3"/>
      <c r="W607" s="3"/>
      <c r="X607" s="3"/>
      <c r="Y607" s="3"/>
      <c r="Z607" s="3"/>
      <c r="AA607" s="3"/>
    </row>
    <row r="608" spans="1:27" ht="14.25" customHeight="1">
      <c r="A608" s="1"/>
      <c r="B608" s="1"/>
      <c r="C608" s="1"/>
      <c r="D608" s="1"/>
      <c r="E608" s="20"/>
      <c r="F608" s="21"/>
      <c r="G608" s="28"/>
      <c r="H608" s="28"/>
      <c r="I608" s="28"/>
      <c r="J608" s="3"/>
      <c r="K608" s="24"/>
      <c r="L608" s="3"/>
      <c r="M608" s="3"/>
      <c r="N608" s="3"/>
      <c r="O608" s="3"/>
      <c r="P608" s="3"/>
      <c r="Q608" s="3"/>
      <c r="R608" s="3"/>
      <c r="S608" s="3"/>
      <c r="T608" s="3"/>
      <c r="U608" s="3"/>
      <c r="V608" s="3"/>
      <c r="W608" s="3"/>
      <c r="X608" s="3"/>
      <c r="Y608" s="3"/>
      <c r="Z608" s="3"/>
      <c r="AA608" s="3"/>
    </row>
    <row r="609" spans="1:27" ht="14.25" customHeight="1">
      <c r="A609" s="1"/>
      <c r="B609" s="1"/>
      <c r="C609" s="1"/>
      <c r="D609" s="1"/>
      <c r="E609" s="20"/>
      <c r="F609" s="21"/>
      <c r="G609" s="28"/>
      <c r="H609" s="28"/>
      <c r="I609" s="28"/>
      <c r="J609" s="3"/>
      <c r="K609" s="24"/>
      <c r="L609" s="3"/>
      <c r="M609" s="3"/>
      <c r="N609" s="3"/>
      <c r="O609" s="3"/>
      <c r="P609" s="3"/>
      <c r="Q609" s="3"/>
      <c r="R609" s="3"/>
      <c r="S609" s="3"/>
      <c r="T609" s="3"/>
      <c r="U609" s="3"/>
      <c r="V609" s="3"/>
      <c r="W609" s="3"/>
      <c r="X609" s="3"/>
      <c r="Y609" s="3"/>
      <c r="Z609" s="3"/>
      <c r="AA609" s="3"/>
    </row>
    <row r="610" spans="1:27" ht="14.25" customHeight="1">
      <c r="A610" s="1"/>
      <c r="B610" s="1"/>
      <c r="C610" s="1"/>
      <c r="D610" s="1"/>
      <c r="E610" s="20"/>
      <c r="F610" s="21"/>
      <c r="G610" s="28"/>
      <c r="H610" s="28"/>
      <c r="I610" s="28"/>
      <c r="J610" s="3"/>
      <c r="K610" s="24"/>
      <c r="L610" s="3"/>
      <c r="M610" s="3"/>
      <c r="N610" s="3"/>
      <c r="O610" s="3"/>
      <c r="P610" s="3"/>
      <c r="Q610" s="3"/>
      <c r="R610" s="3"/>
      <c r="S610" s="3"/>
      <c r="T610" s="3"/>
      <c r="U610" s="3"/>
      <c r="V610" s="3"/>
      <c r="W610" s="3"/>
      <c r="X610" s="3"/>
      <c r="Y610" s="3"/>
      <c r="Z610" s="3"/>
      <c r="AA610" s="3"/>
    </row>
    <row r="611" spans="1:27" ht="14.25" customHeight="1">
      <c r="A611" s="1"/>
      <c r="B611" s="1"/>
      <c r="C611" s="1"/>
      <c r="D611" s="1"/>
      <c r="E611" s="20"/>
      <c r="F611" s="21"/>
      <c r="G611" s="28"/>
      <c r="H611" s="28"/>
      <c r="I611" s="28"/>
      <c r="J611" s="3"/>
      <c r="K611" s="24"/>
      <c r="L611" s="3"/>
      <c r="M611" s="3"/>
      <c r="N611" s="3"/>
      <c r="O611" s="3"/>
      <c r="P611" s="3"/>
      <c r="Q611" s="3"/>
      <c r="R611" s="3"/>
      <c r="S611" s="3"/>
      <c r="T611" s="3"/>
      <c r="U611" s="3"/>
      <c r="V611" s="3"/>
      <c r="W611" s="3"/>
      <c r="X611" s="3"/>
      <c r="Y611" s="3"/>
      <c r="Z611" s="3"/>
      <c r="AA611" s="3"/>
    </row>
    <row r="612" spans="1:27" ht="14.25" customHeight="1">
      <c r="A612" s="1"/>
      <c r="B612" s="1"/>
      <c r="C612" s="1"/>
      <c r="D612" s="1"/>
      <c r="E612" s="20"/>
      <c r="F612" s="21"/>
      <c r="G612" s="28"/>
      <c r="H612" s="28"/>
      <c r="I612" s="28"/>
      <c r="J612" s="3"/>
      <c r="K612" s="24"/>
      <c r="L612" s="3"/>
      <c r="M612" s="3"/>
      <c r="N612" s="3"/>
      <c r="O612" s="3"/>
      <c r="P612" s="3"/>
      <c r="Q612" s="3"/>
      <c r="R612" s="3"/>
      <c r="S612" s="3"/>
      <c r="T612" s="3"/>
      <c r="U612" s="3"/>
      <c r="V612" s="3"/>
      <c r="W612" s="3"/>
      <c r="X612" s="3"/>
      <c r="Y612" s="3"/>
      <c r="Z612" s="3"/>
      <c r="AA612" s="3"/>
    </row>
    <row r="613" spans="1:27" ht="14.25" customHeight="1">
      <c r="A613" s="1"/>
      <c r="B613" s="1"/>
      <c r="C613" s="1"/>
      <c r="D613" s="1"/>
      <c r="E613" s="20"/>
      <c r="F613" s="21"/>
      <c r="G613" s="28"/>
      <c r="H613" s="28"/>
      <c r="I613" s="28"/>
      <c r="J613" s="3"/>
      <c r="K613" s="24"/>
      <c r="L613" s="3"/>
      <c r="M613" s="3"/>
      <c r="N613" s="3"/>
      <c r="O613" s="3"/>
      <c r="P613" s="3"/>
      <c r="Q613" s="3"/>
      <c r="R613" s="3"/>
      <c r="S613" s="3"/>
      <c r="T613" s="3"/>
      <c r="U613" s="3"/>
      <c r="V613" s="3"/>
      <c r="W613" s="3"/>
      <c r="X613" s="3"/>
      <c r="Y613" s="3"/>
      <c r="Z613" s="3"/>
      <c r="AA613" s="3"/>
    </row>
    <row r="614" spans="1:27" ht="14.25" customHeight="1">
      <c r="A614" s="1"/>
      <c r="B614" s="1"/>
      <c r="C614" s="1"/>
      <c r="D614" s="1"/>
      <c r="E614" s="20"/>
      <c r="F614" s="21"/>
      <c r="G614" s="28"/>
      <c r="H614" s="28"/>
      <c r="I614" s="28"/>
      <c r="J614" s="3"/>
      <c r="K614" s="24"/>
      <c r="L614" s="3"/>
      <c r="M614" s="3"/>
      <c r="N614" s="3"/>
      <c r="O614" s="3"/>
      <c r="P614" s="3"/>
      <c r="Q614" s="3"/>
      <c r="R614" s="3"/>
      <c r="S614" s="3"/>
      <c r="T614" s="3"/>
      <c r="U614" s="3"/>
      <c r="V614" s="3"/>
      <c r="W614" s="3"/>
      <c r="X614" s="3"/>
      <c r="Y614" s="3"/>
      <c r="Z614" s="3"/>
      <c r="AA614" s="3"/>
    </row>
    <row r="615" spans="1:27" ht="14.25" customHeight="1">
      <c r="A615" s="1"/>
      <c r="B615" s="1"/>
      <c r="C615" s="1"/>
      <c r="D615" s="1"/>
      <c r="E615" s="20"/>
      <c r="F615" s="21"/>
      <c r="G615" s="28"/>
      <c r="H615" s="28"/>
      <c r="I615" s="28"/>
      <c r="J615" s="3"/>
      <c r="K615" s="24"/>
      <c r="L615" s="3"/>
      <c r="M615" s="3"/>
      <c r="N615" s="3"/>
      <c r="O615" s="3"/>
      <c r="P615" s="3"/>
      <c r="Q615" s="3"/>
      <c r="R615" s="3"/>
      <c r="S615" s="3"/>
      <c r="T615" s="3"/>
      <c r="U615" s="3"/>
      <c r="V615" s="3"/>
      <c r="W615" s="3"/>
      <c r="X615" s="3"/>
      <c r="Y615" s="3"/>
      <c r="Z615" s="3"/>
      <c r="AA615" s="3"/>
    </row>
    <row r="616" spans="1:27" ht="14.25" customHeight="1">
      <c r="A616" s="1"/>
      <c r="B616" s="1"/>
      <c r="C616" s="1"/>
      <c r="D616" s="1"/>
      <c r="E616" s="20"/>
      <c r="F616" s="21"/>
      <c r="G616" s="28"/>
      <c r="H616" s="28"/>
      <c r="I616" s="28"/>
      <c r="J616" s="3"/>
      <c r="K616" s="24"/>
      <c r="L616" s="3"/>
      <c r="M616" s="3"/>
      <c r="N616" s="3"/>
      <c r="O616" s="3"/>
      <c r="P616" s="3"/>
      <c r="Q616" s="3"/>
      <c r="R616" s="3"/>
      <c r="S616" s="3"/>
      <c r="T616" s="3"/>
      <c r="U616" s="3"/>
      <c r="V616" s="3"/>
      <c r="W616" s="3"/>
      <c r="X616" s="3"/>
      <c r="Y616" s="3"/>
      <c r="Z616" s="3"/>
      <c r="AA616" s="3"/>
    </row>
    <row r="617" spans="1:27" ht="14.25" customHeight="1">
      <c r="A617" s="1"/>
      <c r="B617" s="1"/>
      <c r="C617" s="1"/>
      <c r="D617" s="1"/>
      <c r="E617" s="20"/>
      <c r="F617" s="21"/>
      <c r="G617" s="28"/>
      <c r="H617" s="28"/>
      <c r="I617" s="28"/>
      <c r="J617" s="3"/>
      <c r="K617" s="24"/>
      <c r="L617" s="3"/>
      <c r="M617" s="3"/>
      <c r="N617" s="3"/>
      <c r="O617" s="3"/>
      <c r="P617" s="3"/>
      <c r="Q617" s="3"/>
      <c r="R617" s="3"/>
      <c r="S617" s="3"/>
      <c r="T617" s="3"/>
      <c r="U617" s="3"/>
      <c r="V617" s="3"/>
      <c r="W617" s="3"/>
      <c r="X617" s="3"/>
      <c r="Y617" s="3"/>
      <c r="Z617" s="3"/>
      <c r="AA617" s="3"/>
    </row>
    <row r="618" spans="1:27" ht="14.25" customHeight="1">
      <c r="A618" s="1"/>
      <c r="B618" s="1"/>
      <c r="C618" s="1"/>
      <c r="D618" s="1"/>
      <c r="E618" s="20"/>
      <c r="F618" s="21"/>
      <c r="G618" s="28"/>
      <c r="H618" s="28"/>
      <c r="I618" s="28"/>
      <c r="J618" s="3"/>
      <c r="K618" s="24"/>
      <c r="L618" s="3"/>
      <c r="M618" s="3"/>
      <c r="N618" s="3"/>
      <c r="O618" s="3"/>
      <c r="P618" s="3"/>
      <c r="Q618" s="3"/>
      <c r="R618" s="3"/>
      <c r="S618" s="3"/>
      <c r="T618" s="3"/>
      <c r="U618" s="3"/>
      <c r="V618" s="3"/>
      <c r="W618" s="3"/>
      <c r="X618" s="3"/>
      <c r="Y618" s="3"/>
      <c r="Z618" s="3"/>
      <c r="AA618" s="3"/>
    </row>
    <row r="619" spans="1:27" ht="14.25" customHeight="1">
      <c r="A619" s="1"/>
      <c r="B619" s="1"/>
      <c r="C619" s="1"/>
      <c r="D619" s="1"/>
      <c r="E619" s="20"/>
      <c r="F619" s="21"/>
      <c r="G619" s="28"/>
      <c r="H619" s="28"/>
      <c r="I619" s="28"/>
      <c r="J619" s="3"/>
      <c r="K619" s="24"/>
      <c r="L619" s="3"/>
      <c r="M619" s="3"/>
      <c r="N619" s="3"/>
      <c r="O619" s="3"/>
      <c r="P619" s="3"/>
      <c r="Q619" s="3"/>
      <c r="R619" s="3"/>
      <c r="S619" s="3"/>
      <c r="T619" s="3"/>
      <c r="U619" s="3"/>
      <c r="V619" s="3"/>
      <c r="W619" s="3"/>
      <c r="X619" s="3"/>
      <c r="Y619" s="3"/>
      <c r="Z619" s="3"/>
      <c r="AA619" s="3"/>
    </row>
    <row r="620" spans="1:27" ht="14.25" customHeight="1">
      <c r="A620" s="1"/>
      <c r="B620" s="1"/>
      <c r="C620" s="1"/>
      <c r="D620" s="1"/>
      <c r="E620" s="20"/>
      <c r="F620" s="21"/>
      <c r="G620" s="28"/>
      <c r="H620" s="28"/>
      <c r="I620" s="28"/>
      <c r="J620" s="3"/>
      <c r="K620" s="24"/>
      <c r="L620" s="3"/>
      <c r="M620" s="3"/>
      <c r="N620" s="3"/>
      <c r="O620" s="3"/>
      <c r="P620" s="3"/>
      <c r="Q620" s="3"/>
      <c r="R620" s="3"/>
      <c r="S620" s="3"/>
      <c r="T620" s="3"/>
      <c r="U620" s="3"/>
      <c r="V620" s="3"/>
      <c r="W620" s="3"/>
      <c r="X620" s="3"/>
      <c r="Y620" s="3"/>
      <c r="Z620" s="3"/>
      <c r="AA620" s="3"/>
    </row>
    <row r="621" spans="1:27" ht="14.25" customHeight="1">
      <c r="A621" s="1"/>
      <c r="B621" s="1"/>
      <c r="C621" s="1"/>
      <c r="D621" s="1"/>
      <c r="E621" s="20"/>
      <c r="F621" s="21"/>
      <c r="G621" s="28"/>
      <c r="H621" s="28"/>
      <c r="I621" s="28"/>
      <c r="J621" s="3"/>
      <c r="K621" s="24"/>
      <c r="L621" s="3"/>
      <c r="M621" s="3"/>
      <c r="N621" s="3"/>
      <c r="O621" s="3"/>
      <c r="P621" s="3"/>
      <c r="Q621" s="3"/>
      <c r="R621" s="3"/>
      <c r="S621" s="3"/>
      <c r="T621" s="3"/>
      <c r="U621" s="3"/>
      <c r="V621" s="3"/>
      <c r="W621" s="3"/>
      <c r="X621" s="3"/>
      <c r="Y621" s="3"/>
      <c r="Z621" s="3"/>
      <c r="AA621" s="3"/>
    </row>
    <row r="622" spans="1:27" ht="14.25" customHeight="1">
      <c r="A622" s="1"/>
      <c r="B622" s="1"/>
      <c r="C622" s="1"/>
      <c r="D622" s="1"/>
      <c r="E622" s="20"/>
      <c r="F622" s="21"/>
      <c r="G622" s="28"/>
      <c r="H622" s="28"/>
      <c r="I622" s="28"/>
      <c r="J622" s="3"/>
      <c r="K622" s="24"/>
      <c r="L622" s="3"/>
      <c r="M622" s="3"/>
      <c r="N622" s="3"/>
      <c r="O622" s="3"/>
      <c r="P622" s="3"/>
      <c r="Q622" s="3"/>
      <c r="R622" s="3"/>
      <c r="S622" s="3"/>
      <c r="T622" s="3"/>
      <c r="U622" s="3"/>
      <c r="V622" s="3"/>
      <c r="W622" s="3"/>
      <c r="X622" s="3"/>
      <c r="Y622" s="3"/>
      <c r="Z622" s="3"/>
      <c r="AA622" s="3"/>
    </row>
    <row r="623" spans="1:27" ht="14.25" customHeight="1">
      <c r="A623" s="1"/>
      <c r="B623" s="1"/>
      <c r="C623" s="1"/>
      <c r="D623" s="1"/>
      <c r="E623" s="20"/>
      <c r="F623" s="21"/>
      <c r="G623" s="28"/>
      <c r="H623" s="28"/>
      <c r="I623" s="28"/>
      <c r="J623" s="3"/>
      <c r="K623" s="24"/>
      <c r="L623" s="3"/>
      <c r="M623" s="3"/>
      <c r="N623" s="3"/>
      <c r="O623" s="3"/>
      <c r="P623" s="3"/>
      <c r="Q623" s="3"/>
      <c r="R623" s="3"/>
      <c r="S623" s="3"/>
      <c r="T623" s="3"/>
      <c r="U623" s="3"/>
      <c r="V623" s="3"/>
      <c r="W623" s="3"/>
      <c r="X623" s="3"/>
      <c r="Y623" s="3"/>
      <c r="Z623" s="3"/>
      <c r="AA623" s="3"/>
    </row>
    <row r="624" spans="1:27" ht="14.25" customHeight="1">
      <c r="A624" s="1"/>
      <c r="B624" s="1"/>
      <c r="C624" s="1"/>
      <c r="D624" s="1"/>
      <c r="E624" s="20"/>
      <c r="F624" s="21"/>
      <c r="G624" s="28"/>
      <c r="H624" s="28"/>
      <c r="I624" s="28"/>
      <c r="J624" s="3"/>
      <c r="K624" s="24"/>
      <c r="L624" s="3"/>
      <c r="M624" s="3"/>
      <c r="N624" s="3"/>
      <c r="O624" s="3"/>
      <c r="P624" s="3"/>
      <c r="Q624" s="3"/>
      <c r="R624" s="3"/>
      <c r="S624" s="3"/>
      <c r="T624" s="3"/>
      <c r="U624" s="3"/>
      <c r="V624" s="3"/>
      <c r="W624" s="3"/>
      <c r="X624" s="3"/>
      <c r="Y624" s="3"/>
      <c r="Z624" s="3"/>
      <c r="AA624" s="3"/>
    </row>
    <row r="625" spans="1:27" ht="14.25" customHeight="1">
      <c r="A625" s="1"/>
      <c r="B625" s="1"/>
      <c r="C625" s="1"/>
      <c r="D625" s="1"/>
      <c r="E625" s="20"/>
      <c r="F625" s="21"/>
      <c r="G625" s="28"/>
      <c r="H625" s="28"/>
      <c r="I625" s="28"/>
      <c r="J625" s="3"/>
      <c r="K625" s="24"/>
      <c r="L625" s="3"/>
      <c r="M625" s="3"/>
      <c r="N625" s="3"/>
      <c r="O625" s="3"/>
      <c r="P625" s="3"/>
      <c r="Q625" s="3"/>
      <c r="R625" s="3"/>
      <c r="S625" s="3"/>
      <c r="T625" s="3"/>
      <c r="U625" s="3"/>
      <c r="V625" s="3"/>
      <c r="W625" s="3"/>
      <c r="X625" s="3"/>
      <c r="Y625" s="3"/>
      <c r="Z625" s="3"/>
      <c r="AA625" s="3"/>
    </row>
    <row r="626" spans="1:27" ht="14.25" customHeight="1">
      <c r="A626" s="1"/>
      <c r="B626" s="1"/>
      <c r="C626" s="1"/>
      <c r="D626" s="1"/>
      <c r="E626" s="20"/>
      <c r="F626" s="21"/>
      <c r="G626" s="28"/>
      <c r="H626" s="28"/>
      <c r="I626" s="28"/>
      <c r="J626" s="3"/>
      <c r="K626" s="24"/>
      <c r="L626" s="3"/>
      <c r="M626" s="3"/>
      <c r="N626" s="3"/>
      <c r="O626" s="3"/>
      <c r="P626" s="3"/>
      <c r="Q626" s="3"/>
      <c r="R626" s="3"/>
      <c r="S626" s="3"/>
      <c r="T626" s="3"/>
      <c r="U626" s="3"/>
      <c r="V626" s="3"/>
      <c r="W626" s="3"/>
      <c r="X626" s="3"/>
      <c r="Y626" s="3"/>
      <c r="Z626" s="3"/>
      <c r="AA626" s="3"/>
    </row>
    <row r="627" spans="1:27" ht="14.25" customHeight="1">
      <c r="A627" s="1"/>
      <c r="B627" s="1"/>
      <c r="C627" s="1"/>
      <c r="D627" s="1"/>
      <c r="E627" s="20"/>
      <c r="F627" s="21"/>
      <c r="G627" s="28"/>
      <c r="H627" s="28"/>
      <c r="I627" s="28"/>
      <c r="J627" s="3"/>
      <c r="K627" s="24"/>
      <c r="L627" s="3"/>
      <c r="M627" s="3"/>
      <c r="N627" s="3"/>
      <c r="O627" s="3"/>
      <c r="P627" s="3"/>
      <c r="Q627" s="3"/>
      <c r="R627" s="3"/>
      <c r="S627" s="3"/>
      <c r="T627" s="3"/>
      <c r="U627" s="3"/>
      <c r="V627" s="3"/>
      <c r="W627" s="3"/>
      <c r="X627" s="3"/>
      <c r="Y627" s="3"/>
      <c r="Z627" s="3"/>
      <c r="AA627" s="3"/>
    </row>
    <row r="628" spans="1:27" ht="14.25" customHeight="1">
      <c r="A628" s="1"/>
      <c r="B628" s="1"/>
      <c r="C628" s="1"/>
      <c r="D628" s="1"/>
      <c r="E628" s="20"/>
      <c r="F628" s="21"/>
      <c r="G628" s="28"/>
      <c r="H628" s="28"/>
      <c r="I628" s="28"/>
      <c r="J628" s="3"/>
      <c r="K628" s="24"/>
      <c r="L628" s="3"/>
      <c r="M628" s="3"/>
      <c r="N628" s="3"/>
      <c r="O628" s="3"/>
      <c r="P628" s="3"/>
      <c r="Q628" s="3"/>
      <c r="R628" s="3"/>
      <c r="S628" s="3"/>
      <c r="T628" s="3"/>
      <c r="U628" s="3"/>
      <c r="V628" s="3"/>
      <c r="W628" s="3"/>
      <c r="X628" s="3"/>
      <c r="Y628" s="3"/>
      <c r="Z628" s="3"/>
      <c r="AA628" s="3"/>
    </row>
    <row r="629" spans="1:27" ht="14.25" customHeight="1">
      <c r="A629" s="1"/>
      <c r="B629" s="1"/>
      <c r="C629" s="1"/>
      <c r="D629" s="1"/>
      <c r="E629" s="20"/>
      <c r="F629" s="21"/>
      <c r="G629" s="28"/>
      <c r="H629" s="28"/>
      <c r="I629" s="28"/>
      <c r="J629" s="3"/>
      <c r="K629" s="24"/>
      <c r="L629" s="3"/>
      <c r="M629" s="3"/>
      <c r="N629" s="3"/>
      <c r="O629" s="3"/>
      <c r="P629" s="3"/>
      <c r="Q629" s="3"/>
      <c r="R629" s="3"/>
      <c r="S629" s="3"/>
      <c r="T629" s="3"/>
      <c r="U629" s="3"/>
      <c r="V629" s="3"/>
      <c r="W629" s="3"/>
      <c r="X629" s="3"/>
      <c r="Y629" s="3"/>
      <c r="Z629" s="3"/>
      <c r="AA629" s="3"/>
    </row>
    <row r="630" spans="1:27" ht="14.25" customHeight="1">
      <c r="A630" s="1"/>
      <c r="B630" s="1"/>
      <c r="C630" s="1"/>
      <c r="D630" s="1"/>
      <c r="E630" s="20"/>
      <c r="F630" s="21"/>
      <c r="G630" s="28"/>
      <c r="H630" s="28"/>
      <c r="I630" s="28"/>
      <c r="J630" s="3"/>
      <c r="K630" s="24"/>
      <c r="L630" s="3"/>
      <c r="M630" s="3"/>
      <c r="N630" s="3"/>
      <c r="O630" s="3"/>
      <c r="P630" s="3"/>
      <c r="Q630" s="3"/>
      <c r="R630" s="3"/>
      <c r="S630" s="3"/>
      <c r="T630" s="3"/>
      <c r="U630" s="3"/>
      <c r="V630" s="3"/>
      <c r="W630" s="3"/>
      <c r="X630" s="3"/>
      <c r="Y630" s="3"/>
      <c r="Z630" s="3"/>
      <c r="AA630" s="3"/>
    </row>
    <row r="631" spans="1:27" ht="14.25" customHeight="1">
      <c r="A631" s="1"/>
      <c r="B631" s="1"/>
      <c r="C631" s="1"/>
      <c r="D631" s="1"/>
      <c r="E631" s="20"/>
      <c r="F631" s="21"/>
      <c r="G631" s="28"/>
      <c r="H631" s="28"/>
      <c r="I631" s="28"/>
      <c r="J631" s="3"/>
      <c r="K631" s="24"/>
      <c r="L631" s="3"/>
      <c r="M631" s="3"/>
      <c r="N631" s="3"/>
      <c r="O631" s="3"/>
      <c r="P631" s="3"/>
      <c r="Q631" s="3"/>
      <c r="R631" s="3"/>
      <c r="S631" s="3"/>
      <c r="T631" s="3"/>
      <c r="U631" s="3"/>
      <c r="V631" s="3"/>
      <c r="W631" s="3"/>
      <c r="X631" s="3"/>
      <c r="Y631" s="3"/>
      <c r="Z631" s="3"/>
      <c r="AA631" s="3"/>
    </row>
    <row r="632" spans="1:27" ht="14.25" customHeight="1">
      <c r="A632" s="1"/>
      <c r="B632" s="1"/>
      <c r="C632" s="1"/>
      <c r="D632" s="1"/>
      <c r="E632" s="20"/>
      <c r="F632" s="21"/>
      <c r="G632" s="28"/>
      <c r="H632" s="28"/>
      <c r="I632" s="28"/>
      <c r="J632" s="3"/>
      <c r="K632" s="24"/>
      <c r="L632" s="3"/>
      <c r="M632" s="3"/>
      <c r="N632" s="3"/>
      <c r="O632" s="3"/>
      <c r="P632" s="3"/>
      <c r="Q632" s="3"/>
      <c r="R632" s="3"/>
      <c r="S632" s="3"/>
      <c r="T632" s="3"/>
      <c r="U632" s="3"/>
      <c r="V632" s="3"/>
      <c r="W632" s="3"/>
      <c r="X632" s="3"/>
      <c r="Y632" s="3"/>
      <c r="Z632" s="3"/>
      <c r="AA632" s="3"/>
    </row>
    <row r="633" spans="1:27" ht="14.25" customHeight="1">
      <c r="A633" s="1"/>
      <c r="B633" s="1"/>
      <c r="C633" s="1"/>
      <c r="D633" s="1"/>
      <c r="E633" s="20"/>
      <c r="F633" s="21"/>
      <c r="G633" s="28"/>
      <c r="H633" s="28"/>
      <c r="I633" s="28"/>
      <c r="J633" s="3"/>
      <c r="K633" s="24"/>
      <c r="L633" s="3"/>
      <c r="M633" s="3"/>
      <c r="N633" s="3"/>
      <c r="O633" s="3"/>
      <c r="P633" s="3"/>
      <c r="Q633" s="3"/>
      <c r="R633" s="3"/>
      <c r="S633" s="3"/>
      <c r="T633" s="3"/>
      <c r="U633" s="3"/>
      <c r="V633" s="3"/>
      <c r="W633" s="3"/>
      <c r="X633" s="3"/>
      <c r="Y633" s="3"/>
      <c r="Z633" s="3"/>
      <c r="AA633" s="3"/>
    </row>
    <row r="634" spans="1:27" ht="14.25" customHeight="1">
      <c r="A634" s="1"/>
      <c r="B634" s="1"/>
      <c r="C634" s="1"/>
      <c r="D634" s="1"/>
      <c r="E634" s="20"/>
      <c r="F634" s="21"/>
      <c r="G634" s="28"/>
      <c r="H634" s="28"/>
      <c r="I634" s="28"/>
      <c r="J634" s="3"/>
      <c r="K634" s="24"/>
      <c r="L634" s="3"/>
      <c r="M634" s="3"/>
      <c r="N634" s="3"/>
      <c r="O634" s="3"/>
      <c r="P634" s="3"/>
      <c r="Q634" s="3"/>
      <c r="R634" s="3"/>
      <c r="S634" s="3"/>
      <c r="T634" s="3"/>
      <c r="U634" s="3"/>
      <c r="V634" s="3"/>
      <c r="W634" s="3"/>
      <c r="X634" s="3"/>
      <c r="Y634" s="3"/>
      <c r="Z634" s="3"/>
      <c r="AA634" s="3"/>
    </row>
    <row r="635" spans="1:27" ht="14.25" customHeight="1">
      <c r="A635" s="1"/>
      <c r="B635" s="1"/>
      <c r="C635" s="1"/>
      <c r="D635" s="1"/>
      <c r="E635" s="20"/>
      <c r="F635" s="21"/>
      <c r="G635" s="28"/>
      <c r="H635" s="28"/>
      <c r="I635" s="28"/>
      <c r="J635" s="3"/>
      <c r="K635" s="24"/>
      <c r="L635" s="3"/>
      <c r="M635" s="3"/>
      <c r="N635" s="3"/>
      <c r="O635" s="3"/>
      <c r="P635" s="3"/>
      <c r="Q635" s="3"/>
      <c r="R635" s="3"/>
      <c r="S635" s="3"/>
      <c r="T635" s="3"/>
      <c r="U635" s="3"/>
      <c r="V635" s="3"/>
      <c r="W635" s="3"/>
      <c r="X635" s="3"/>
      <c r="Y635" s="3"/>
      <c r="Z635" s="3"/>
      <c r="AA635" s="3"/>
    </row>
    <row r="636" spans="1:27" ht="14.25" customHeight="1">
      <c r="A636" s="1"/>
      <c r="B636" s="1"/>
      <c r="C636" s="1"/>
      <c r="D636" s="1"/>
      <c r="E636" s="20"/>
      <c r="F636" s="21"/>
      <c r="G636" s="28"/>
      <c r="H636" s="28"/>
      <c r="I636" s="28"/>
      <c r="J636" s="3"/>
      <c r="K636" s="24"/>
      <c r="L636" s="3"/>
      <c r="M636" s="3"/>
      <c r="N636" s="3"/>
      <c r="O636" s="3"/>
      <c r="P636" s="3"/>
      <c r="Q636" s="3"/>
      <c r="R636" s="3"/>
      <c r="S636" s="3"/>
      <c r="T636" s="3"/>
      <c r="U636" s="3"/>
      <c r="V636" s="3"/>
      <c r="W636" s="3"/>
      <c r="X636" s="3"/>
      <c r="Y636" s="3"/>
      <c r="Z636" s="3"/>
      <c r="AA636" s="3"/>
    </row>
    <row r="637" spans="1:27" ht="14.25" customHeight="1">
      <c r="A637" s="1"/>
      <c r="B637" s="1"/>
      <c r="C637" s="1"/>
      <c r="D637" s="1"/>
      <c r="E637" s="20"/>
      <c r="F637" s="21"/>
      <c r="G637" s="28"/>
      <c r="H637" s="28"/>
      <c r="I637" s="28"/>
      <c r="J637" s="3"/>
      <c r="K637" s="24"/>
      <c r="L637" s="3"/>
      <c r="M637" s="3"/>
      <c r="N637" s="3"/>
      <c r="O637" s="3"/>
      <c r="P637" s="3"/>
      <c r="Q637" s="3"/>
      <c r="R637" s="3"/>
      <c r="S637" s="3"/>
      <c r="T637" s="3"/>
      <c r="U637" s="3"/>
      <c r="V637" s="3"/>
      <c r="W637" s="3"/>
      <c r="X637" s="3"/>
      <c r="Y637" s="3"/>
      <c r="Z637" s="3"/>
      <c r="AA637" s="3"/>
    </row>
    <row r="638" spans="1:27" ht="14.25" customHeight="1">
      <c r="A638" s="1"/>
      <c r="B638" s="1"/>
      <c r="C638" s="1"/>
      <c r="D638" s="1"/>
      <c r="E638" s="20"/>
      <c r="F638" s="21"/>
      <c r="G638" s="28"/>
      <c r="H638" s="28"/>
      <c r="I638" s="28"/>
      <c r="J638" s="3"/>
      <c r="K638" s="24"/>
      <c r="L638" s="3"/>
      <c r="M638" s="3"/>
      <c r="N638" s="3"/>
      <c r="O638" s="3"/>
      <c r="P638" s="3"/>
      <c r="Q638" s="3"/>
      <c r="R638" s="3"/>
      <c r="S638" s="3"/>
      <c r="T638" s="3"/>
      <c r="U638" s="3"/>
      <c r="V638" s="3"/>
      <c r="W638" s="3"/>
      <c r="X638" s="3"/>
      <c r="Y638" s="3"/>
      <c r="Z638" s="3"/>
      <c r="AA638" s="3"/>
    </row>
    <row r="639" spans="1:27" ht="14.25" customHeight="1">
      <c r="A639" s="1"/>
      <c r="B639" s="1"/>
      <c r="C639" s="1"/>
      <c r="D639" s="1"/>
      <c r="E639" s="20"/>
      <c r="F639" s="21"/>
      <c r="G639" s="28"/>
      <c r="H639" s="28"/>
      <c r="I639" s="28"/>
      <c r="J639" s="3"/>
      <c r="K639" s="24"/>
      <c r="L639" s="3"/>
      <c r="M639" s="3"/>
      <c r="N639" s="3"/>
      <c r="O639" s="3"/>
      <c r="P639" s="3"/>
      <c r="Q639" s="3"/>
      <c r="R639" s="3"/>
      <c r="S639" s="3"/>
      <c r="T639" s="3"/>
      <c r="U639" s="3"/>
      <c r="V639" s="3"/>
      <c r="W639" s="3"/>
      <c r="X639" s="3"/>
      <c r="Y639" s="3"/>
      <c r="Z639" s="3"/>
      <c r="AA639" s="3"/>
    </row>
    <row r="640" spans="1:27" ht="14.25" customHeight="1">
      <c r="A640" s="1"/>
      <c r="B640" s="1"/>
      <c r="C640" s="1"/>
      <c r="D640" s="1"/>
      <c r="E640" s="20"/>
      <c r="F640" s="21"/>
      <c r="G640" s="28"/>
      <c r="H640" s="28"/>
      <c r="I640" s="28"/>
      <c r="J640" s="3"/>
      <c r="K640" s="24"/>
      <c r="L640" s="3"/>
      <c r="M640" s="3"/>
      <c r="N640" s="3"/>
      <c r="O640" s="3"/>
      <c r="P640" s="3"/>
      <c r="Q640" s="3"/>
      <c r="R640" s="3"/>
      <c r="S640" s="3"/>
      <c r="T640" s="3"/>
      <c r="U640" s="3"/>
      <c r="V640" s="3"/>
      <c r="W640" s="3"/>
      <c r="X640" s="3"/>
      <c r="Y640" s="3"/>
      <c r="Z640" s="3"/>
      <c r="AA640" s="3"/>
    </row>
    <row r="641" spans="1:27" ht="14.25" customHeight="1">
      <c r="A641" s="1"/>
      <c r="B641" s="1"/>
      <c r="C641" s="1"/>
      <c r="D641" s="1"/>
      <c r="E641" s="20"/>
      <c r="F641" s="21"/>
      <c r="G641" s="28"/>
      <c r="H641" s="28"/>
      <c r="I641" s="28"/>
      <c r="J641" s="3"/>
      <c r="K641" s="24"/>
      <c r="L641" s="3"/>
      <c r="M641" s="3"/>
      <c r="N641" s="3"/>
      <c r="O641" s="3"/>
      <c r="P641" s="3"/>
      <c r="Q641" s="3"/>
      <c r="R641" s="3"/>
      <c r="S641" s="3"/>
      <c r="T641" s="3"/>
      <c r="U641" s="3"/>
      <c r="V641" s="3"/>
      <c r="W641" s="3"/>
      <c r="X641" s="3"/>
      <c r="Y641" s="3"/>
      <c r="Z641" s="3"/>
      <c r="AA641" s="3"/>
    </row>
    <row r="642" spans="1:27" ht="14.25" customHeight="1">
      <c r="A642" s="1"/>
      <c r="B642" s="1"/>
      <c r="C642" s="1"/>
      <c r="D642" s="1"/>
      <c r="E642" s="20"/>
      <c r="F642" s="21"/>
      <c r="G642" s="28"/>
      <c r="H642" s="28"/>
      <c r="I642" s="28"/>
      <c r="J642" s="3"/>
      <c r="K642" s="24"/>
      <c r="L642" s="3"/>
      <c r="M642" s="3"/>
      <c r="N642" s="3"/>
      <c r="O642" s="3"/>
      <c r="P642" s="3"/>
      <c r="Q642" s="3"/>
      <c r="R642" s="3"/>
      <c r="S642" s="3"/>
      <c r="T642" s="3"/>
      <c r="U642" s="3"/>
      <c r="V642" s="3"/>
      <c r="W642" s="3"/>
      <c r="X642" s="3"/>
      <c r="Y642" s="3"/>
      <c r="Z642" s="3"/>
      <c r="AA642" s="3"/>
    </row>
    <row r="643" spans="1:27" ht="14.25" customHeight="1">
      <c r="A643" s="1"/>
      <c r="B643" s="1"/>
      <c r="C643" s="1"/>
      <c r="D643" s="1"/>
      <c r="E643" s="20"/>
      <c r="F643" s="21"/>
      <c r="G643" s="28"/>
      <c r="H643" s="28"/>
      <c r="I643" s="28"/>
      <c r="J643" s="3"/>
      <c r="K643" s="24"/>
      <c r="L643" s="3"/>
      <c r="M643" s="3"/>
      <c r="N643" s="3"/>
      <c r="O643" s="3"/>
      <c r="P643" s="3"/>
      <c r="Q643" s="3"/>
      <c r="R643" s="3"/>
      <c r="S643" s="3"/>
      <c r="T643" s="3"/>
      <c r="U643" s="3"/>
      <c r="V643" s="3"/>
      <c r="W643" s="3"/>
      <c r="X643" s="3"/>
      <c r="Y643" s="3"/>
      <c r="Z643" s="3"/>
      <c r="AA643" s="3"/>
    </row>
    <row r="644" spans="1:27" ht="14.25" customHeight="1">
      <c r="A644" s="1"/>
      <c r="B644" s="1"/>
      <c r="C644" s="1"/>
      <c r="D644" s="1"/>
      <c r="E644" s="20"/>
      <c r="F644" s="21"/>
      <c r="G644" s="28"/>
      <c r="H644" s="28"/>
      <c r="I644" s="28"/>
      <c r="J644" s="3"/>
      <c r="K644" s="24"/>
      <c r="L644" s="3"/>
      <c r="M644" s="3"/>
      <c r="N644" s="3"/>
      <c r="O644" s="3"/>
      <c r="P644" s="3"/>
      <c r="Q644" s="3"/>
      <c r="R644" s="3"/>
      <c r="S644" s="3"/>
      <c r="T644" s="3"/>
      <c r="U644" s="3"/>
      <c r="V644" s="3"/>
      <c r="W644" s="3"/>
      <c r="X644" s="3"/>
      <c r="Y644" s="3"/>
      <c r="Z644" s="3"/>
      <c r="AA644" s="3"/>
    </row>
    <row r="645" spans="1:27" ht="14.25" customHeight="1">
      <c r="A645" s="1"/>
      <c r="B645" s="1"/>
      <c r="C645" s="1"/>
      <c r="D645" s="1"/>
      <c r="E645" s="20"/>
      <c r="F645" s="21"/>
      <c r="G645" s="28"/>
      <c r="H645" s="28"/>
      <c r="I645" s="28"/>
      <c r="J645" s="3"/>
      <c r="K645" s="24"/>
      <c r="L645" s="3"/>
      <c r="M645" s="3"/>
      <c r="N645" s="3"/>
      <c r="O645" s="3"/>
      <c r="P645" s="3"/>
      <c r="Q645" s="3"/>
      <c r="R645" s="3"/>
      <c r="S645" s="3"/>
      <c r="T645" s="3"/>
      <c r="U645" s="3"/>
      <c r="V645" s="3"/>
      <c r="W645" s="3"/>
      <c r="X645" s="3"/>
      <c r="Y645" s="3"/>
      <c r="Z645" s="3"/>
      <c r="AA645" s="3"/>
    </row>
    <row r="646" spans="1:27" ht="14.25" customHeight="1">
      <c r="A646" s="1"/>
      <c r="B646" s="1"/>
      <c r="C646" s="1"/>
      <c r="D646" s="1"/>
      <c r="E646" s="20"/>
      <c r="F646" s="21"/>
      <c r="G646" s="28"/>
      <c r="H646" s="28"/>
      <c r="I646" s="28"/>
      <c r="J646" s="3"/>
      <c r="K646" s="24"/>
      <c r="L646" s="3"/>
      <c r="M646" s="3"/>
      <c r="N646" s="3"/>
      <c r="O646" s="3"/>
      <c r="P646" s="3"/>
      <c r="Q646" s="3"/>
      <c r="R646" s="3"/>
      <c r="S646" s="3"/>
      <c r="T646" s="3"/>
      <c r="U646" s="3"/>
      <c r="V646" s="3"/>
      <c r="W646" s="3"/>
      <c r="X646" s="3"/>
      <c r="Y646" s="3"/>
      <c r="Z646" s="3"/>
      <c r="AA646" s="3"/>
    </row>
    <row r="647" spans="1:27" ht="14.25" customHeight="1">
      <c r="A647" s="1"/>
      <c r="B647" s="1"/>
      <c r="C647" s="1"/>
      <c r="D647" s="1"/>
      <c r="E647" s="20"/>
      <c r="F647" s="21"/>
      <c r="G647" s="28"/>
      <c r="H647" s="28"/>
      <c r="I647" s="28"/>
      <c r="J647" s="3"/>
      <c r="K647" s="24"/>
      <c r="L647" s="3"/>
      <c r="M647" s="3"/>
      <c r="N647" s="3"/>
      <c r="O647" s="3"/>
      <c r="P647" s="3"/>
      <c r="Q647" s="3"/>
      <c r="R647" s="3"/>
      <c r="S647" s="3"/>
      <c r="T647" s="3"/>
      <c r="U647" s="3"/>
      <c r="V647" s="3"/>
      <c r="W647" s="3"/>
      <c r="X647" s="3"/>
      <c r="Y647" s="3"/>
      <c r="Z647" s="3"/>
      <c r="AA647" s="3"/>
    </row>
    <row r="648" spans="1:27" ht="14.25" customHeight="1">
      <c r="A648" s="1"/>
      <c r="B648" s="1"/>
      <c r="C648" s="1"/>
      <c r="D648" s="1"/>
      <c r="E648" s="20"/>
      <c r="F648" s="21"/>
      <c r="G648" s="28"/>
      <c r="H648" s="28"/>
      <c r="I648" s="28"/>
      <c r="J648" s="3"/>
      <c r="K648" s="24"/>
      <c r="L648" s="3"/>
      <c r="M648" s="3"/>
      <c r="N648" s="3"/>
      <c r="O648" s="3"/>
      <c r="P648" s="3"/>
      <c r="Q648" s="3"/>
      <c r="R648" s="3"/>
      <c r="S648" s="3"/>
      <c r="T648" s="3"/>
      <c r="U648" s="3"/>
      <c r="V648" s="3"/>
      <c r="W648" s="3"/>
      <c r="X648" s="3"/>
      <c r="Y648" s="3"/>
      <c r="Z648" s="3"/>
      <c r="AA648" s="3"/>
    </row>
    <row r="649" spans="1:27" ht="14.25" customHeight="1">
      <c r="A649" s="1"/>
      <c r="B649" s="1"/>
      <c r="C649" s="1"/>
      <c r="D649" s="1"/>
      <c r="E649" s="20"/>
      <c r="F649" s="21"/>
      <c r="G649" s="28"/>
      <c r="H649" s="28"/>
      <c r="I649" s="28"/>
      <c r="J649" s="3"/>
      <c r="K649" s="24"/>
      <c r="L649" s="3"/>
      <c r="M649" s="3"/>
      <c r="N649" s="3"/>
      <c r="O649" s="3"/>
      <c r="P649" s="3"/>
      <c r="Q649" s="3"/>
      <c r="R649" s="3"/>
      <c r="S649" s="3"/>
      <c r="T649" s="3"/>
      <c r="U649" s="3"/>
      <c r="V649" s="3"/>
      <c r="W649" s="3"/>
      <c r="X649" s="3"/>
      <c r="Y649" s="3"/>
      <c r="Z649" s="3"/>
      <c r="AA649" s="3"/>
    </row>
    <row r="650" spans="1:27" ht="14.25" customHeight="1">
      <c r="A650" s="1"/>
      <c r="B650" s="1"/>
      <c r="C650" s="1"/>
      <c r="D650" s="1"/>
      <c r="E650" s="20"/>
      <c r="F650" s="21"/>
      <c r="G650" s="28"/>
      <c r="H650" s="28"/>
      <c r="I650" s="28"/>
      <c r="J650" s="3"/>
      <c r="K650" s="24"/>
      <c r="L650" s="3"/>
      <c r="M650" s="3"/>
      <c r="N650" s="3"/>
      <c r="O650" s="3"/>
      <c r="P650" s="3"/>
      <c r="Q650" s="3"/>
      <c r="R650" s="3"/>
      <c r="S650" s="3"/>
      <c r="T650" s="3"/>
      <c r="U650" s="3"/>
      <c r="V650" s="3"/>
      <c r="W650" s="3"/>
      <c r="X650" s="3"/>
      <c r="Y650" s="3"/>
      <c r="Z650" s="3"/>
      <c r="AA650" s="3"/>
    </row>
    <row r="651" spans="1:27" ht="14.25" customHeight="1">
      <c r="A651" s="1"/>
      <c r="B651" s="1"/>
      <c r="C651" s="1"/>
      <c r="D651" s="1"/>
      <c r="E651" s="20"/>
      <c r="F651" s="21"/>
      <c r="G651" s="28"/>
      <c r="H651" s="28"/>
      <c r="I651" s="28"/>
      <c r="J651" s="3"/>
      <c r="K651" s="24"/>
      <c r="L651" s="3"/>
      <c r="M651" s="3"/>
      <c r="N651" s="3"/>
      <c r="O651" s="3"/>
      <c r="P651" s="3"/>
      <c r="Q651" s="3"/>
      <c r="R651" s="3"/>
      <c r="S651" s="3"/>
      <c r="T651" s="3"/>
      <c r="U651" s="3"/>
      <c r="V651" s="3"/>
      <c r="W651" s="3"/>
      <c r="X651" s="3"/>
      <c r="Y651" s="3"/>
      <c r="Z651" s="3"/>
      <c r="AA651" s="3"/>
    </row>
    <row r="652" spans="1:27" ht="14.25" customHeight="1">
      <c r="A652" s="1"/>
      <c r="B652" s="1"/>
      <c r="C652" s="1"/>
      <c r="D652" s="1"/>
      <c r="E652" s="20"/>
      <c r="F652" s="21"/>
      <c r="G652" s="28"/>
      <c r="H652" s="28"/>
      <c r="I652" s="28"/>
      <c r="J652" s="3"/>
      <c r="K652" s="24"/>
      <c r="L652" s="3"/>
      <c r="M652" s="3"/>
      <c r="N652" s="3"/>
      <c r="O652" s="3"/>
      <c r="P652" s="3"/>
      <c r="Q652" s="3"/>
      <c r="R652" s="3"/>
      <c r="S652" s="3"/>
      <c r="T652" s="3"/>
      <c r="U652" s="3"/>
      <c r="V652" s="3"/>
      <c r="W652" s="3"/>
      <c r="X652" s="3"/>
      <c r="Y652" s="3"/>
      <c r="Z652" s="3"/>
      <c r="AA652" s="3"/>
    </row>
    <row r="653" spans="1:27" ht="14.25" customHeight="1">
      <c r="A653" s="1"/>
      <c r="B653" s="1"/>
      <c r="C653" s="1"/>
      <c r="D653" s="1"/>
      <c r="E653" s="20"/>
      <c r="F653" s="21"/>
      <c r="G653" s="28"/>
      <c r="H653" s="28"/>
      <c r="I653" s="28"/>
      <c r="J653" s="3"/>
      <c r="K653" s="24"/>
      <c r="L653" s="3"/>
      <c r="M653" s="3"/>
      <c r="N653" s="3"/>
      <c r="O653" s="3"/>
      <c r="P653" s="3"/>
      <c r="Q653" s="3"/>
      <c r="R653" s="3"/>
      <c r="S653" s="3"/>
      <c r="T653" s="3"/>
      <c r="U653" s="3"/>
      <c r="V653" s="3"/>
      <c r="W653" s="3"/>
      <c r="X653" s="3"/>
      <c r="Y653" s="3"/>
      <c r="Z653" s="3"/>
      <c r="AA653" s="3"/>
    </row>
    <row r="654" spans="1:27" ht="14.25" customHeight="1">
      <c r="A654" s="1"/>
      <c r="B654" s="1"/>
      <c r="C654" s="1"/>
      <c r="D654" s="1"/>
      <c r="E654" s="20"/>
      <c r="F654" s="21"/>
      <c r="G654" s="28"/>
      <c r="H654" s="28"/>
      <c r="I654" s="28"/>
      <c r="J654" s="3"/>
      <c r="K654" s="24"/>
      <c r="L654" s="3"/>
      <c r="M654" s="3"/>
      <c r="N654" s="3"/>
      <c r="O654" s="3"/>
      <c r="P654" s="3"/>
      <c r="Q654" s="3"/>
      <c r="R654" s="3"/>
      <c r="S654" s="3"/>
      <c r="T654" s="3"/>
      <c r="U654" s="3"/>
      <c r="V654" s="3"/>
      <c r="W654" s="3"/>
      <c r="X654" s="3"/>
      <c r="Y654" s="3"/>
      <c r="Z654" s="3"/>
      <c r="AA654" s="3"/>
    </row>
    <row r="655" spans="1:27" ht="14.25" customHeight="1">
      <c r="A655" s="1"/>
      <c r="B655" s="1"/>
      <c r="C655" s="1"/>
      <c r="D655" s="1"/>
      <c r="E655" s="20"/>
      <c r="F655" s="21"/>
      <c r="G655" s="28"/>
      <c r="H655" s="28"/>
      <c r="I655" s="28"/>
      <c r="J655" s="3"/>
      <c r="K655" s="24"/>
      <c r="L655" s="3"/>
      <c r="M655" s="3"/>
      <c r="N655" s="3"/>
      <c r="O655" s="3"/>
      <c r="P655" s="3"/>
      <c r="Q655" s="3"/>
      <c r="R655" s="3"/>
      <c r="S655" s="3"/>
      <c r="T655" s="3"/>
      <c r="U655" s="3"/>
      <c r="V655" s="3"/>
      <c r="W655" s="3"/>
      <c r="X655" s="3"/>
      <c r="Y655" s="3"/>
      <c r="Z655" s="3"/>
      <c r="AA655" s="3"/>
    </row>
    <row r="656" spans="1:27" ht="14.25" customHeight="1">
      <c r="A656" s="1"/>
      <c r="B656" s="1"/>
      <c r="C656" s="1"/>
      <c r="D656" s="1"/>
      <c r="E656" s="20"/>
      <c r="F656" s="21"/>
      <c r="G656" s="28"/>
      <c r="H656" s="28"/>
      <c r="I656" s="28"/>
      <c r="J656" s="3"/>
      <c r="K656" s="24"/>
      <c r="L656" s="3"/>
      <c r="M656" s="3"/>
      <c r="N656" s="3"/>
      <c r="O656" s="3"/>
      <c r="P656" s="3"/>
      <c r="Q656" s="3"/>
      <c r="R656" s="3"/>
      <c r="S656" s="3"/>
      <c r="T656" s="3"/>
      <c r="U656" s="3"/>
      <c r="V656" s="3"/>
      <c r="W656" s="3"/>
      <c r="X656" s="3"/>
      <c r="Y656" s="3"/>
      <c r="Z656" s="3"/>
      <c r="AA656" s="3"/>
    </row>
    <row r="657" spans="1:27" ht="14.25" customHeight="1">
      <c r="A657" s="1"/>
      <c r="B657" s="1"/>
      <c r="C657" s="1"/>
      <c r="D657" s="1"/>
      <c r="E657" s="20"/>
      <c r="F657" s="21"/>
      <c r="G657" s="28"/>
      <c r="H657" s="28"/>
      <c r="I657" s="28"/>
      <c r="J657" s="3"/>
      <c r="K657" s="24"/>
      <c r="L657" s="3"/>
      <c r="M657" s="3"/>
      <c r="N657" s="3"/>
      <c r="O657" s="3"/>
      <c r="P657" s="3"/>
      <c r="Q657" s="3"/>
      <c r="R657" s="3"/>
      <c r="S657" s="3"/>
      <c r="T657" s="3"/>
      <c r="U657" s="3"/>
      <c r="V657" s="3"/>
      <c r="W657" s="3"/>
      <c r="X657" s="3"/>
      <c r="Y657" s="3"/>
      <c r="Z657" s="3"/>
      <c r="AA657" s="3"/>
    </row>
    <row r="658" spans="1:27" ht="14.25" customHeight="1">
      <c r="A658" s="1"/>
      <c r="B658" s="1"/>
      <c r="C658" s="1"/>
      <c r="D658" s="1"/>
      <c r="E658" s="20"/>
      <c r="F658" s="21"/>
      <c r="G658" s="28"/>
      <c r="H658" s="28"/>
      <c r="I658" s="28"/>
      <c r="J658" s="3"/>
      <c r="K658" s="24"/>
      <c r="L658" s="3"/>
      <c r="M658" s="3"/>
      <c r="N658" s="3"/>
      <c r="O658" s="3"/>
      <c r="P658" s="3"/>
      <c r="Q658" s="3"/>
      <c r="R658" s="3"/>
      <c r="S658" s="3"/>
      <c r="T658" s="3"/>
      <c r="U658" s="3"/>
      <c r="V658" s="3"/>
      <c r="W658" s="3"/>
      <c r="X658" s="3"/>
      <c r="Y658" s="3"/>
      <c r="Z658" s="3"/>
      <c r="AA658" s="3"/>
    </row>
    <row r="659" spans="1:27" ht="14.25" customHeight="1">
      <c r="A659" s="1"/>
      <c r="B659" s="1"/>
      <c r="C659" s="1"/>
      <c r="D659" s="1"/>
      <c r="E659" s="20"/>
      <c r="F659" s="21"/>
      <c r="G659" s="28"/>
      <c r="H659" s="28"/>
      <c r="I659" s="28"/>
      <c r="J659" s="3"/>
      <c r="K659" s="24"/>
      <c r="L659" s="3"/>
      <c r="M659" s="3"/>
      <c r="N659" s="3"/>
      <c r="O659" s="3"/>
      <c r="P659" s="3"/>
      <c r="Q659" s="3"/>
      <c r="R659" s="3"/>
      <c r="S659" s="3"/>
      <c r="T659" s="3"/>
      <c r="U659" s="3"/>
      <c r="V659" s="3"/>
      <c r="W659" s="3"/>
      <c r="X659" s="3"/>
      <c r="Y659" s="3"/>
      <c r="Z659" s="3"/>
      <c r="AA659" s="3"/>
    </row>
    <row r="660" spans="1:27" ht="14.25" customHeight="1">
      <c r="A660" s="1"/>
      <c r="B660" s="1"/>
      <c r="C660" s="1"/>
      <c r="D660" s="1"/>
      <c r="E660" s="20"/>
      <c r="F660" s="21"/>
      <c r="G660" s="28"/>
      <c r="H660" s="28"/>
      <c r="I660" s="28"/>
      <c r="J660" s="3"/>
      <c r="K660" s="24"/>
      <c r="L660" s="3"/>
      <c r="M660" s="3"/>
      <c r="N660" s="3"/>
      <c r="O660" s="3"/>
      <c r="P660" s="3"/>
      <c r="Q660" s="3"/>
      <c r="R660" s="3"/>
      <c r="S660" s="3"/>
      <c r="T660" s="3"/>
      <c r="U660" s="3"/>
      <c r="V660" s="3"/>
      <c r="W660" s="3"/>
      <c r="X660" s="3"/>
      <c r="Y660" s="3"/>
      <c r="Z660" s="3"/>
      <c r="AA660" s="3"/>
    </row>
    <row r="661" spans="1:27" ht="14.25" customHeight="1">
      <c r="A661" s="1"/>
      <c r="B661" s="1"/>
      <c r="C661" s="1"/>
      <c r="D661" s="1"/>
      <c r="E661" s="20"/>
      <c r="F661" s="21"/>
      <c r="G661" s="28"/>
      <c r="H661" s="28"/>
      <c r="I661" s="28"/>
      <c r="J661" s="3"/>
      <c r="K661" s="24"/>
      <c r="L661" s="3"/>
      <c r="M661" s="3"/>
      <c r="N661" s="3"/>
      <c r="O661" s="3"/>
      <c r="P661" s="3"/>
      <c r="Q661" s="3"/>
      <c r="R661" s="3"/>
      <c r="S661" s="3"/>
      <c r="T661" s="3"/>
      <c r="U661" s="3"/>
      <c r="V661" s="3"/>
      <c r="W661" s="3"/>
      <c r="X661" s="3"/>
      <c r="Y661" s="3"/>
      <c r="Z661" s="3"/>
      <c r="AA661" s="3"/>
    </row>
    <row r="662" spans="1:27" ht="14.25" customHeight="1">
      <c r="A662" s="1"/>
      <c r="B662" s="1"/>
      <c r="C662" s="1"/>
      <c r="D662" s="1"/>
      <c r="E662" s="20"/>
      <c r="F662" s="21"/>
      <c r="G662" s="28"/>
      <c r="H662" s="28"/>
      <c r="I662" s="28"/>
      <c r="J662" s="3"/>
      <c r="K662" s="24"/>
      <c r="L662" s="3"/>
      <c r="M662" s="3"/>
      <c r="N662" s="3"/>
      <c r="O662" s="3"/>
      <c r="P662" s="3"/>
      <c r="Q662" s="3"/>
      <c r="R662" s="3"/>
      <c r="S662" s="3"/>
      <c r="T662" s="3"/>
      <c r="U662" s="3"/>
      <c r="V662" s="3"/>
      <c r="W662" s="3"/>
      <c r="X662" s="3"/>
      <c r="Y662" s="3"/>
      <c r="Z662" s="3"/>
      <c r="AA662" s="3"/>
    </row>
    <row r="663" spans="1:27" ht="14.25" customHeight="1">
      <c r="A663" s="1"/>
      <c r="B663" s="1"/>
      <c r="C663" s="1"/>
      <c r="D663" s="1"/>
      <c r="E663" s="20"/>
      <c r="F663" s="21"/>
      <c r="G663" s="28"/>
      <c r="H663" s="28"/>
      <c r="I663" s="28"/>
      <c r="J663" s="3"/>
      <c r="K663" s="24"/>
      <c r="L663" s="3"/>
      <c r="M663" s="3"/>
      <c r="N663" s="3"/>
      <c r="O663" s="3"/>
      <c r="P663" s="3"/>
      <c r="Q663" s="3"/>
      <c r="R663" s="3"/>
      <c r="S663" s="3"/>
      <c r="T663" s="3"/>
      <c r="U663" s="3"/>
      <c r="V663" s="3"/>
      <c r="W663" s="3"/>
      <c r="X663" s="3"/>
      <c r="Y663" s="3"/>
      <c r="Z663" s="3"/>
      <c r="AA663" s="3"/>
    </row>
    <row r="664" spans="1:27" ht="14.25" customHeight="1">
      <c r="A664" s="1"/>
      <c r="B664" s="1"/>
      <c r="C664" s="1"/>
      <c r="D664" s="1"/>
      <c r="E664" s="20"/>
      <c r="F664" s="21"/>
      <c r="G664" s="28"/>
      <c r="H664" s="28"/>
      <c r="I664" s="28"/>
      <c r="J664" s="3"/>
      <c r="K664" s="24"/>
      <c r="L664" s="3"/>
      <c r="M664" s="3"/>
      <c r="N664" s="3"/>
      <c r="O664" s="3"/>
      <c r="P664" s="3"/>
      <c r="Q664" s="3"/>
      <c r="R664" s="3"/>
      <c r="S664" s="3"/>
      <c r="T664" s="3"/>
      <c r="U664" s="3"/>
      <c r="V664" s="3"/>
      <c r="W664" s="3"/>
      <c r="X664" s="3"/>
      <c r="Y664" s="3"/>
      <c r="Z664" s="3"/>
      <c r="AA664" s="3"/>
    </row>
    <row r="665" spans="1:27" ht="14.25" customHeight="1">
      <c r="A665" s="1"/>
      <c r="B665" s="1"/>
      <c r="C665" s="1"/>
      <c r="D665" s="1"/>
      <c r="E665" s="20"/>
      <c r="F665" s="21"/>
      <c r="G665" s="28"/>
      <c r="H665" s="28"/>
      <c r="I665" s="28"/>
      <c r="J665" s="3"/>
      <c r="K665" s="24"/>
      <c r="L665" s="3"/>
      <c r="M665" s="3"/>
      <c r="N665" s="3"/>
      <c r="O665" s="3"/>
      <c r="P665" s="3"/>
      <c r="Q665" s="3"/>
      <c r="R665" s="3"/>
      <c r="S665" s="3"/>
      <c r="T665" s="3"/>
      <c r="U665" s="3"/>
      <c r="V665" s="3"/>
      <c r="W665" s="3"/>
      <c r="X665" s="3"/>
      <c r="Y665" s="3"/>
      <c r="Z665" s="3"/>
      <c r="AA665" s="3"/>
    </row>
    <row r="666" spans="1:27" ht="14.25" customHeight="1">
      <c r="A666" s="1"/>
      <c r="B666" s="1"/>
      <c r="C666" s="1"/>
      <c r="D666" s="1"/>
      <c r="E666" s="20"/>
      <c r="F666" s="21"/>
      <c r="G666" s="28"/>
      <c r="H666" s="28"/>
      <c r="I666" s="28"/>
      <c r="J666" s="3"/>
      <c r="K666" s="24"/>
      <c r="L666" s="3"/>
      <c r="M666" s="3"/>
      <c r="N666" s="3"/>
      <c r="O666" s="3"/>
      <c r="P666" s="3"/>
      <c r="Q666" s="3"/>
      <c r="R666" s="3"/>
      <c r="S666" s="3"/>
      <c r="T666" s="3"/>
      <c r="U666" s="3"/>
      <c r="V666" s="3"/>
      <c r="W666" s="3"/>
      <c r="X666" s="3"/>
      <c r="Y666" s="3"/>
      <c r="Z666" s="3"/>
      <c r="AA666" s="3"/>
    </row>
    <row r="667" spans="1:27" ht="14.25" customHeight="1">
      <c r="A667" s="1"/>
      <c r="B667" s="1"/>
      <c r="C667" s="1"/>
      <c r="D667" s="1"/>
      <c r="E667" s="20"/>
      <c r="F667" s="21"/>
      <c r="G667" s="28"/>
      <c r="H667" s="28"/>
      <c r="I667" s="28"/>
      <c r="J667" s="3"/>
      <c r="K667" s="24"/>
      <c r="L667" s="3"/>
      <c r="M667" s="3"/>
      <c r="N667" s="3"/>
      <c r="O667" s="3"/>
      <c r="P667" s="3"/>
      <c r="Q667" s="3"/>
      <c r="R667" s="3"/>
      <c r="S667" s="3"/>
      <c r="T667" s="3"/>
      <c r="U667" s="3"/>
      <c r="V667" s="3"/>
      <c r="W667" s="3"/>
      <c r="X667" s="3"/>
      <c r="Y667" s="3"/>
      <c r="Z667" s="3"/>
      <c r="AA667" s="3"/>
    </row>
    <row r="668" spans="1:27" ht="14.25" customHeight="1">
      <c r="A668" s="1"/>
      <c r="B668" s="1"/>
      <c r="C668" s="1"/>
      <c r="D668" s="1"/>
      <c r="E668" s="20"/>
      <c r="F668" s="21"/>
      <c r="G668" s="28"/>
      <c r="H668" s="28"/>
      <c r="I668" s="28"/>
      <c r="J668" s="3"/>
      <c r="K668" s="24"/>
      <c r="L668" s="3"/>
      <c r="M668" s="3"/>
      <c r="N668" s="3"/>
      <c r="O668" s="3"/>
      <c r="P668" s="3"/>
      <c r="Q668" s="3"/>
      <c r="R668" s="3"/>
      <c r="S668" s="3"/>
      <c r="T668" s="3"/>
      <c r="U668" s="3"/>
      <c r="V668" s="3"/>
      <c r="W668" s="3"/>
      <c r="X668" s="3"/>
      <c r="Y668" s="3"/>
      <c r="Z668" s="3"/>
      <c r="AA668" s="3"/>
    </row>
    <row r="669" spans="1:27" ht="14.25" customHeight="1">
      <c r="A669" s="1"/>
      <c r="B669" s="1"/>
      <c r="C669" s="1"/>
      <c r="D669" s="1"/>
      <c r="E669" s="20"/>
      <c r="F669" s="21"/>
      <c r="G669" s="28"/>
      <c r="H669" s="28"/>
      <c r="I669" s="28"/>
      <c r="J669" s="3"/>
      <c r="K669" s="24"/>
      <c r="L669" s="3"/>
      <c r="M669" s="3"/>
      <c r="N669" s="3"/>
      <c r="O669" s="3"/>
      <c r="P669" s="3"/>
      <c r="Q669" s="3"/>
      <c r="R669" s="3"/>
      <c r="S669" s="3"/>
      <c r="T669" s="3"/>
      <c r="U669" s="3"/>
      <c r="V669" s="3"/>
      <c r="W669" s="3"/>
      <c r="X669" s="3"/>
      <c r="Y669" s="3"/>
      <c r="Z669" s="3"/>
      <c r="AA669" s="3"/>
    </row>
    <row r="670" spans="1:27" ht="14.25" customHeight="1">
      <c r="A670" s="1"/>
      <c r="B670" s="1"/>
      <c r="C670" s="1"/>
      <c r="D670" s="1"/>
      <c r="E670" s="20"/>
      <c r="F670" s="21"/>
      <c r="G670" s="28"/>
      <c r="H670" s="28"/>
      <c r="I670" s="28"/>
      <c r="J670" s="3"/>
      <c r="K670" s="24"/>
      <c r="L670" s="3"/>
      <c r="M670" s="3"/>
      <c r="N670" s="3"/>
      <c r="O670" s="3"/>
      <c r="P670" s="3"/>
      <c r="Q670" s="3"/>
      <c r="R670" s="3"/>
      <c r="S670" s="3"/>
      <c r="T670" s="3"/>
      <c r="U670" s="3"/>
      <c r="V670" s="3"/>
      <c r="W670" s="3"/>
      <c r="X670" s="3"/>
      <c r="Y670" s="3"/>
      <c r="Z670" s="3"/>
      <c r="AA670" s="3"/>
    </row>
    <row r="671" spans="1:27" ht="14.25" customHeight="1">
      <c r="A671" s="1"/>
      <c r="B671" s="1"/>
      <c r="C671" s="1"/>
      <c r="D671" s="1"/>
      <c r="E671" s="20"/>
      <c r="F671" s="21"/>
      <c r="G671" s="28"/>
      <c r="H671" s="28"/>
      <c r="I671" s="28"/>
      <c r="J671" s="3"/>
      <c r="K671" s="24"/>
      <c r="L671" s="3"/>
      <c r="M671" s="3"/>
      <c r="N671" s="3"/>
      <c r="O671" s="3"/>
      <c r="P671" s="3"/>
      <c r="Q671" s="3"/>
      <c r="R671" s="3"/>
      <c r="S671" s="3"/>
      <c r="T671" s="3"/>
      <c r="U671" s="3"/>
      <c r="V671" s="3"/>
      <c r="W671" s="3"/>
      <c r="X671" s="3"/>
      <c r="Y671" s="3"/>
      <c r="Z671" s="3"/>
      <c r="AA671" s="3"/>
    </row>
    <row r="672" spans="1:27" ht="14.25" customHeight="1">
      <c r="A672" s="1"/>
      <c r="B672" s="1"/>
      <c r="C672" s="1"/>
      <c r="D672" s="1"/>
      <c r="E672" s="20"/>
      <c r="F672" s="21"/>
      <c r="G672" s="28"/>
      <c r="H672" s="28"/>
      <c r="I672" s="28"/>
      <c r="J672" s="3"/>
      <c r="K672" s="24"/>
      <c r="L672" s="3"/>
      <c r="M672" s="3"/>
      <c r="N672" s="3"/>
      <c r="O672" s="3"/>
      <c r="P672" s="3"/>
      <c r="Q672" s="3"/>
      <c r="R672" s="3"/>
      <c r="S672" s="3"/>
      <c r="T672" s="3"/>
      <c r="U672" s="3"/>
      <c r="V672" s="3"/>
      <c r="W672" s="3"/>
      <c r="X672" s="3"/>
      <c r="Y672" s="3"/>
      <c r="Z672" s="3"/>
      <c r="AA672" s="3"/>
    </row>
    <row r="673" spans="1:27" ht="14.25" customHeight="1">
      <c r="A673" s="1"/>
      <c r="B673" s="1"/>
      <c r="C673" s="1"/>
      <c r="D673" s="1"/>
      <c r="E673" s="20"/>
      <c r="F673" s="21"/>
      <c r="G673" s="28"/>
      <c r="H673" s="28"/>
      <c r="I673" s="28"/>
      <c r="J673" s="3"/>
      <c r="K673" s="24"/>
      <c r="L673" s="3"/>
      <c r="M673" s="3"/>
      <c r="N673" s="3"/>
      <c r="O673" s="3"/>
      <c r="P673" s="3"/>
      <c r="Q673" s="3"/>
      <c r="R673" s="3"/>
      <c r="S673" s="3"/>
      <c r="T673" s="3"/>
      <c r="U673" s="3"/>
      <c r="V673" s="3"/>
      <c r="W673" s="3"/>
      <c r="X673" s="3"/>
      <c r="Y673" s="3"/>
      <c r="Z673" s="3"/>
      <c r="AA673" s="3"/>
    </row>
    <row r="674" spans="1:27" ht="14.25" customHeight="1">
      <c r="A674" s="1"/>
      <c r="B674" s="1"/>
      <c r="C674" s="1"/>
      <c r="D674" s="1"/>
      <c r="E674" s="20"/>
      <c r="F674" s="21"/>
      <c r="G674" s="28"/>
      <c r="H674" s="28"/>
      <c r="I674" s="28"/>
      <c r="J674" s="3"/>
      <c r="K674" s="24"/>
      <c r="L674" s="3"/>
      <c r="M674" s="3"/>
      <c r="N674" s="3"/>
      <c r="O674" s="3"/>
      <c r="P674" s="3"/>
      <c r="Q674" s="3"/>
      <c r="R674" s="3"/>
      <c r="S674" s="3"/>
      <c r="T674" s="3"/>
      <c r="U674" s="3"/>
      <c r="V674" s="3"/>
      <c r="W674" s="3"/>
      <c r="X674" s="3"/>
      <c r="Y674" s="3"/>
      <c r="Z674" s="3"/>
      <c r="AA674" s="3"/>
    </row>
    <row r="675" spans="1:27" ht="14.25" customHeight="1">
      <c r="A675" s="1"/>
      <c r="B675" s="1"/>
      <c r="C675" s="1"/>
      <c r="D675" s="1"/>
      <c r="E675" s="20"/>
      <c r="F675" s="21"/>
      <c r="G675" s="28"/>
      <c r="H675" s="28"/>
      <c r="I675" s="28"/>
      <c r="J675" s="3"/>
      <c r="K675" s="24"/>
      <c r="L675" s="3"/>
      <c r="M675" s="3"/>
      <c r="N675" s="3"/>
      <c r="O675" s="3"/>
      <c r="P675" s="3"/>
      <c r="Q675" s="3"/>
      <c r="R675" s="3"/>
      <c r="S675" s="3"/>
      <c r="T675" s="3"/>
      <c r="U675" s="3"/>
      <c r="V675" s="3"/>
      <c r="W675" s="3"/>
      <c r="X675" s="3"/>
      <c r="Y675" s="3"/>
      <c r="Z675" s="3"/>
      <c r="AA675" s="3"/>
    </row>
    <row r="676" spans="1:27" ht="14.25" customHeight="1">
      <c r="A676" s="1"/>
      <c r="B676" s="1"/>
      <c r="C676" s="1"/>
      <c r="D676" s="1"/>
      <c r="E676" s="20"/>
      <c r="F676" s="21"/>
      <c r="G676" s="28"/>
      <c r="H676" s="28"/>
      <c r="I676" s="28"/>
      <c r="J676" s="3"/>
      <c r="K676" s="24"/>
      <c r="L676" s="3"/>
      <c r="M676" s="3"/>
      <c r="N676" s="3"/>
      <c r="O676" s="3"/>
      <c r="P676" s="3"/>
      <c r="Q676" s="3"/>
      <c r="R676" s="3"/>
      <c r="S676" s="3"/>
      <c r="T676" s="3"/>
      <c r="U676" s="3"/>
      <c r="V676" s="3"/>
      <c r="W676" s="3"/>
      <c r="X676" s="3"/>
      <c r="Y676" s="3"/>
      <c r="Z676" s="3"/>
      <c r="AA676" s="3"/>
    </row>
    <row r="677" spans="1:27" ht="14.25" customHeight="1">
      <c r="A677" s="1"/>
      <c r="B677" s="1"/>
      <c r="C677" s="1"/>
      <c r="D677" s="1"/>
      <c r="E677" s="20"/>
      <c r="F677" s="21"/>
      <c r="G677" s="28"/>
      <c r="H677" s="28"/>
      <c r="I677" s="28"/>
      <c r="J677" s="3"/>
      <c r="K677" s="24"/>
      <c r="L677" s="3"/>
      <c r="M677" s="3"/>
      <c r="N677" s="3"/>
      <c r="O677" s="3"/>
      <c r="P677" s="3"/>
      <c r="Q677" s="3"/>
      <c r="R677" s="3"/>
      <c r="S677" s="3"/>
      <c r="T677" s="3"/>
      <c r="U677" s="3"/>
      <c r="V677" s="3"/>
      <c r="W677" s="3"/>
      <c r="X677" s="3"/>
      <c r="Y677" s="3"/>
      <c r="Z677" s="3"/>
      <c r="AA677" s="3"/>
    </row>
    <row r="678" spans="1:27" ht="14.25" customHeight="1">
      <c r="A678" s="1"/>
      <c r="B678" s="1"/>
      <c r="C678" s="1"/>
      <c r="D678" s="1"/>
      <c r="E678" s="20"/>
      <c r="F678" s="21"/>
      <c r="G678" s="28"/>
      <c r="H678" s="28"/>
      <c r="I678" s="28"/>
      <c r="J678" s="3"/>
      <c r="K678" s="24"/>
      <c r="L678" s="3"/>
      <c r="M678" s="3"/>
      <c r="N678" s="3"/>
      <c r="O678" s="3"/>
      <c r="P678" s="3"/>
      <c r="Q678" s="3"/>
      <c r="R678" s="3"/>
      <c r="S678" s="3"/>
      <c r="T678" s="3"/>
      <c r="U678" s="3"/>
      <c r="V678" s="3"/>
      <c r="W678" s="3"/>
      <c r="X678" s="3"/>
      <c r="Y678" s="3"/>
      <c r="Z678" s="3"/>
      <c r="AA678" s="3"/>
    </row>
    <row r="679" spans="1:27" ht="14.25" customHeight="1">
      <c r="A679" s="1"/>
      <c r="B679" s="1"/>
      <c r="C679" s="1"/>
      <c r="D679" s="1"/>
      <c r="E679" s="20"/>
      <c r="F679" s="21"/>
      <c r="G679" s="28"/>
      <c r="H679" s="28"/>
      <c r="I679" s="28"/>
      <c r="J679" s="3"/>
      <c r="K679" s="24"/>
      <c r="L679" s="3"/>
      <c r="M679" s="3"/>
      <c r="N679" s="3"/>
      <c r="O679" s="3"/>
      <c r="P679" s="3"/>
      <c r="Q679" s="3"/>
      <c r="R679" s="3"/>
      <c r="S679" s="3"/>
      <c r="T679" s="3"/>
      <c r="U679" s="3"/>
      <c r="V679" s="3"/>
      <c r="W679" s="3"/>
      <c r="X679" s="3"/>
      <c r="Y679" s="3"/>
      <c r="Z679" s="3"/>
      <c r="AA679" s="3"/>
    </row>
    <row r="680" spans="1:27" ht="14.25" customHeight="1">
      <c r="A680" s="1"/>
      <c r="B680" s="1"/>
      <c r="C680" s="1"/>
      <c r="D680" s="1"/>
      <c r="E680" s="20"/>
      <c r="F680" s="21"/>
      <c r="G680" s="28"/>
      <c r="H680" s="28"/>
      <c r="I680" s="28"/>
      <c r="J680" s="3"/>
      <c r="K680" s="24"/>
      <c r="L680" s="3"/>
      <c r="M680" s="3"/>
      <c r="N680" s="3"/>
      <c r="O680" s="3"/>
      <c r="P680" s="3"/>
      <c r="Q680" s="3"/>
      <c r="R680" s="3"/>
      <c r="S680" s="3"/>
      <c r="T680" s="3"/>
      <c r="U680" s="3"/>
      <c r="V680" s="3"/>
      <c r="W680" s="3"/>
      <c r="X680" s="3"/>
      <c r="Y680" s="3"/>
      <c r="Z680" s="3"/>
      <c r="AA680" s="3"/>
    </row>
    <row r="681" spans="1:27" ht="14.25" customHeight="1">
      <c r="A681" s="1"/>
      <c r="B681" s="1"/>
      <c r="C681" s="1"/>
      <c r="D681" s="1"/>
      <c r="E681" s="20"/>
      <c r="F681" s="21"/>
      <c r="G681" s="28"/>
      <c r="H681" s="28"/>
      <c r="I681" s="28"/>
      <c r="J681" s="3"/>
      <c r="K681" s="24"/>
      <c r="L681" s="3"/>
      <c r="M681" s="3"/>
      <c r="N681" s="3"/>
      <c r="O681" s="3"/>
      <c r="P681" s="3"/>
      <c r="Q681" s="3"/>
      <c r="R681" s="3"/>
      <c r="S681" s="3"/>
      <c r="T681" s="3"/>
      <c r="U681" s="3"/>
      <c r="V681" s="3"/>
      <c r="W681" s="3"/>
      <c r="X681" s="3"/>
      <c r="Y681" s="3"/>
      <c r="Z681" s="3"/>
      <c r="AA681" s="3"/>
    </row>
    <row r="682" spans="1:27" ht="14.25" customHeight="1">
      <c r="A682" s="1"/>
      <c r="B682" s="1"/>
      <c r="C682" s="1"/>
      <c r="D682" s="1"/>
      <c r="E682" s="20"/>
      <c r="F682" s="21"/>
      <c r="G682" s="28"/>
      <c r="H682" s="28"/>
      <c r="I682" s="28"/>
      <c r="J682" s="3"/>
      <c r="K682" s="24"/>
      <c r="L682" s="3"/>
      <c r="M682" s="3"/>
      <c r="N682" s="3"/>
      <c r="O682" s="3"/>
      <c r="P682" s="3"/>
      <c r="Q682" s="3"/>
      <c r="R682" s="3"/>
      <c r="S682" s="3"/>
      <c r="T682" s="3"/>
      <c r="U682" s="3"/>
      <c r="V682" s="3"/>
      <c r="W682" s="3"/>
      <c r="X682" s="3"/>
      <c r="Y682" s="3"/>
      <c r="Z682" s="3"/>
      <c r="AA682" s="3"/>
    </row>
    <row r="683" spans="1:27" ht="14.25" customHeight="1">
      <c r="A683" s="1"/>
      <c r="B683" s="1"/>
      <c r="C683" s="1"/>
      <c r="D683" s="1"/>
      <c r="E683" s="20"/>
      <c r="F683" s="21"/>
      <c r="G683" s="28"/>
      <c r="H683" s="28"/>
      <c r="I683" s="28"/>
      <c r="J683" s="3"/>
      <c r="K683" s="24"/>
      <c r="L683" s="3"/>
      <c r="M683" s="3"/>
      <c r="N683" s="3"/>
      <c r="O683" s="3"/>
      <c r="P683" s="3"/>
      <c r="Q683" s="3"/>
      <c r="R683" s="3"/>
      <c r="S683" s="3"/>
      <c r="T683" s="3"/>
      <c r="U683" s="3"/>
      <c r="V683" s="3"/>
      <c r="W683" s="3"/>
      <c r="X683" s="3"/>
      <c r="Y683" s="3"/>
      <c r="Z683" s="3"/>
      <c r="AA683" s="3"/>
    </row>
    <row r="684" spans="1:27" ht="14.25" customHeight="1">
      <c r="A684" s="1"/>
      <c r="B684" s="1"/>
      <c r="C684" s="1"/>
      <c r="D684" s="1"/>
      <c r="E684" s="20"/>
      <c r="F684" s="21"/>
      <c r="G684" s="28"/>
      <c r="H684" s="28"/>
      <c r="I684" s="28"/>
      <c r="J684" s="3"/>
      <c r="K684" s="24"/>
      <c r="L684" s="3"/>
      <c r="M684" s="3"/>
      <c r="N684" s="3"/>
      <c r="O684" s="3"/>
      <c r="P684" s="3"/>
      <c r="Q684" s="3"/>
      <c r="R684" s="3"/>
      <c r="S684" s="3"/>
      <c r="T684" s="3"/>
      <c r="U684" s="3"/>
      <c r="V684" s="3"/>
      <c r="W684" s="3"/>
      <c r="X684" s="3"/>
      <c r="Y684" s="3"/>
      <c r="Z684" s="3"/>
      <c r="AA684" s="3"/>
    </row>
    <row r="685" spans="1:27" ht="14.25" customHeight="1">
      <c r="A685" s="1"/>
      <c r="B685" s="1"/>
      <c r="C685" s="1"/>
      <c r="D685" s="1"/>
      <c r="E685" s="20"/>
      <c r="F685" s="21"/>
      <c r="G685" s="28"/>
      <c r="H685" s="28"/>
      <c r="I685" s="28"/>
      <c r="J685" s="3"/>
      <c r="K685" s="24"/>
      <c r="L685" s="3"/>
      <c r="M685" s="3"/>
      <c r="N685" s="3"/>
      <c r="O685" s="3"/>
      <c r="P685" s="3"/>
      <c r="Q685" s="3"/>
      <c r="R685" s="3"/>
      <c r="S685" s="3"/>
      <c r="T685" s="3"/>
      <c r="U685" s="3"/>
      <c r="V685" s="3"/>
      <c r="W685" s="3"/>
      <c r="X685" s="3"/>
      <c r="Y685" s="3"/>
      <c r="Z685" s="3"/>
      <c r="AA685" s="3"/>
    </row>
    <row r="686" spans="1:27" ht="14.25" customHeight="1">
      <c r="A686" s="1"/>
      <c r="B686" s="1"/>
      <c r="C686" s="1"/>
      <c r="D686" s="1"/>
      <c r="E686" s="20"/>
      <c r="F686" s="21"/>
      <c r="G686" s="28"/>
      <c r="H686" s="28"/>
      <c r="I686" s="28"/>
      <c r="J686" s="3"/>
      <c r="K686" s="24"/>
      <c r="L686" s="3"/>
      <c r="M686" s="3"/>
      <c r="N686" s="3"/>
      <c r="O686" s="3"/>
      <c r="P686" s="3"/>
      <c r="Q686" s="3"/>
      <c r="R686" s="3"/>
      <c r="S686" s="3"/>
      <c r="T686" s="3"/>
      <c r="U686" s="3"/>
      <c r="V686" s="3"/>
      <c r="W686" s="3"/>
      <c r="X686" s="3"/>
      <c r="Y686" s="3"/>
      <c r="Z686" s="3"/>
      <c r="AA686" s="3"/>
    </row>
    <row r="687" spans="1:27" ht="14.25" customHeight="1">
      <c r="A687" s="1"/>
      <c r="B687" s="1"/>
      <c r="C687" s="1"/>
      <c r="D687" s="1"/>
      <c r="E687" s="20"/>
      <c r="F687" s="21"/>
      <c r="G687" s="28"/>
      <c r="H687" s="28"/>
      <c r="I687" s="28"/>
      <c r="J687" s="3"/>
      <c r="K687" s="24"/>
      <c r="L687" s="3"/>
      <c r="M687" s="3"/>
      <c r="N687" s="3"/>
      <c r="O687" s="3"/>
      <c r="P687" s="3"/>
      <c r="Q687" s="3"/>
      <c r="R687" s="3"/>
      <c r="S687" s="3"/>
      <c r="T687" s="3"/>
      <c r="U687" s="3"/>
      <c r="V687" s="3"/>
      <c r="W687" s="3"/>
      <c r="X687" s="3"/>
      <c r="Y687" s="3"/>
      <c r="Z687" s="3"/>
      <c r="AA687" s="3"/>
    </row>
    <row r="688" spans="1:27" ht="14.25" customHeight="1">
      <c r="A688" s="1"/>
      <c r="B688" s="1"/>
      <c r="C688" s="1"/>
      <c r="D688" s="1"/>
      <c r="E688" s="20"/>
      <c r="F688" s="21"/>
      <c r="G688" s="28"/>
      <c r="H688" s="28"/>
      <c r="I688" s="28"/>
      <c r="J688" s="3"/>
      <c r="K688" s="24"/>
      <c r="L688" s="3"/>
      <c r="M688" s="3"/>
      <c r="N688" s="3"/>
      <c r="O688" s="3"/>
      <c r="P688" s="3"/>
      <c r="Q688" s="3"/>
      <c r="R688" s="3"/>
      <c r="S688" s="3"/>
      <c r="T688" s="3"/>
      <c r="U688" s="3"/>
      <c r="V688" s="3"/>
      <c r="W688" s="3"/>
      <c r="X688" s="3"/>
      <c r="Y688" s="3"/>
      <c r="Z688" s="3"/>
      <c r="AA688" s="3"/>
    </row>
    <row r="689" spans="1:27" ht="14.25" customHeight="1">
      <c r="A689" s="1"/>
      <c r="B689" s="1"/>
      <c r="C689" s="1"/>
      <c r="D689" s="1"/>
      <c r="E689" s="20"/>
      <c r="F689" s="21"/>
      <c r="G689" s="28"/>
      <c r="H689" s="28"/>
      <c r="I689" s="28"/>
      <c r="J689" s="3"/>
      <c r="K689" s="24"/>
      <c r="L689" s="3"/>
      <c r="M689" s="3"/>
      <c r="N689" s="3"/>
      <c r="O689" s="3"/>
      <c r="P689" s="3"/>
      <c r="Q689" s="3"/>
      <c r="R689" s="3"/>
      <c r="S689" s="3"/>
      <c r="T689" s="3"/>
      <c r="U689" s="3"/>
      <c r="V689" s="3"/>
      <c r="W689" s="3"/>
      <c r="X689" s="3"/>
      <c r="Y689" s="3"/>
      <c r="Z689" s="3"/>
      <c r="AA689" s="3"/>
    </row>
    <row r="690" spans="1:27" ht="14.25" customHeight="1">
      <c r="A690" s="1"/>
      <c r="B690" s="1"/>
      <c r="C690" s="1"/>
      <c r="D690" s="1"/>
      <c r="E690" s="20"/>
      <c r="F690" s="21"/>
      <c r="G690" s="28"/>
      <c r="H690" s="28"/>
      <c r="I690" s="28"/>
      <c r="J690" s="3"/>
      <c r="K690" s="24"/>
      <c r="L690" s="3"/>
      <c r="M690" s="3"/>
      <c r="N690" s="3"/>
      <c r="O690" s="3"/>
      <c r="P690" s="3"/>
      <c r="Q690" s="3"/>
      <c r="R690" s="3"/>
      <c r="S690" s="3"/>
      <c r="T690" s="3"/>
      <c r="U690" s="3"/>
      <c r="V690" s="3"/>
      <c r="W690" s="3"/>
      <c r="X690" s="3"/>
      <c r="Y690" s="3"/>
      <c r="Z690" s="3"/>
      <c r="AA690" s="3"/>
    </row>
    <row r="691" spans="1:27" ht="14.25" customHeight="1">
      <c r="A691" s="1"/>
      <c r="B691" s="1"/>
      <c r="C691" s="1"/>
      <c r="D691" s="1"/>
      <c r="E691" s="20"/>
      <c r="F691" s="21"/>
      <c r="G691" s="28"/>
      <c r="H691" s="28"/>
      <c r="I691" s="28"/>
      <c r="J691" s="3"/>
      <c r="K691" s="24"/>
      <c r="L691" s="3"/>
      <c r="M691" s="3"/>
      <c r="N691" s="3"/>
      <c r="O691" s="3"/>
      <c r="P691" s="3"/>
      <c r="Q691" s="3"/>
      <c r="R691" s="3"/>
      <c r="S691" s="3"/>
      <c r="T691" s="3"/>
      <c r="U691" s="3"/>
      <c r="V691" s="3"/>
      <c r="W691" s="3"/>
      <c r="X691" s="3"/>
      <c r="Y691" s="3"/>
      <c r="Z691" s="3"/>
      <c r="AA691" s="3"/>
    </row>
    <row r="692" spans="1:27" ht="14.25" customHeight="1">
      <c r="A692" s="1"/>
      <c r="B692" s="1"/>
      <c r="C692" s="1"/>
      <c r="D692" s="1"/>
      <c r="E692" s="20"/>
      <c r="F692" s="21"/>
      <c r="G692" s="28"/>
      <c r="H692" s="28"/>
      <c r="I692" s="28"/>
      <c r="J692" s="3"/>
      <c r="K692" s="24"/>
      <c r="L692" s="3"/>
      <c r="M692" s="3"/>
      <c r="N692" s="3"/>
      <c r="O692" s="3"/>
      <c r="P692" s="3"/>
      <c r="Q692" s="3"/>
      <c r="R692" s="3"/>
      <c r="S692" s="3"/>
      <c r="T692" s="3"/>
      <c r="U692" s="3"/>
      <c r="V692" s="3"/>
      <c r="W692" s="3"/>
      <c r="X692" s="3"/>
      <c r="Y692" s="3"/>
      <c r="Z692" s="3"/>
      <c r="AA692" s="3"/>
    </row>
    <row r="693" spans="1:27" ht="14.25" customHeight="1">
      <c r="A693" s="1"/>
      <c r="B693" s="1"/>
      <c r="C693" s="1"/>
      <c r="D693" s="1"/>
      <c r="E693" s="20"/>
      <c r="F693" s="21"/>
      <c r="G693" s="28"/>
      <c r="H693" s="28"/>
      <c r="I693" s="28"/>
      <c r="J693" s="3"/>
      <c r="K693" s="24"/>
      <c r="L693" s="3"/>
      <c r="M693" s="3"/>
      <c r="N693" s="3"/>
      <c r="O693" s="3"/>
      <c r="P693" s="3"/>
      <c r="Q693" s="3"/>
      <c r="R693" s="3"/>
      <c r="S693" s="3"/>
      <c r="T693" s="3"/>
      <c r="U693" s="3"/>
      <c r="V693" s="3"/>
      <c r="W693" s="3"/>
      <c r="X693" s="3"/>
      <c r="Y693" s="3"/>
      <c r="Z693" s="3"/>
      <c r="AA693" s="3"/>
    </row>
    <row r="694" spans="1:27" ht="14.25" customHeight="1">
      <c r="A694" s="1"/>
      <c r="B694" s="1"/>
      <c r="C694" s="1"/>
      <c r="D694" s="1"/>
      <c r="E694" s="20"/>
      <c r="F694" s="21"/>
      <c r="G694" s="28"/>
      <c r="H694" s="28"/>
      <c r="I694" s="28"/>
      <c r="J694" s="3"/>
      <c r="K694" s="24"/>
      <c r="L694" s="3"/>
      <c r="M694" s="3"/>
      <c r="N694" s="3"/>
      <c r="O694" s="3"/>
      <c r="P694" s="3"/>
      <c r="Q694" s="3"/>
      <c r="R694" s="3"/>
      <c r="S694" s="3"/>
      <c r="T694" s="3"/>
      <c r="U694" s="3"/>
      <c r="V694" s="3"/>
      <c r="W694" s="3"/>
      <c r="X694" s="3"/>
      <c r="Y694" s="3"/>
      <c r="Z694" s="3"/>
      <c r="AA694" s="3"/>
    </row>
    <row r="695" spans="1:27" ht="14.25" customHeight="1">
      <c r="A695" s="1"/>
      <c r="B695" s="1"/>
      <c r="C695" s="1"/>
      <c r="D695" s="1"/>
      <c r="E695" s="20"/>
      <c r="F695" s="21"/>
      <c r="G695" s="28"/>
      <c r="H695" s="28"/>
      <c r="I695" s="28"/>
      <c r="J695" s="3"/>
      <c r="K695" s="24"/>
      <c r="L695" s="3"/>
      <c r="M695" s="3"/>
      <c r="N695" s="3"/>
      <c r="O695" s="3"/>
      <c r="P695" s="3"/>
      <c r="Q695" s="3"/>
      <c r="R695" s="3"/>
      <c r="S695" s="3"/>
      <c r="T695" s="3"/>
      <c r="U695" s="3"/>
      <c r="V695" s="3"/>
      <c r="W695" s="3"/>
      <c r="X695" s="3"/>
      <c r="Y695" s="3"/>
      <c r="Z695" s="3"/>
      <c r="AA695" s="3"/>
    </row>
    <row r="696" spans="1:27" ht="14.25" customHeight="1">
      <c r="A696" s="1"/>
      <c r="B696" s="1"/>
      <c r="C696" s="1"/>
      <c r="D696" s="1"/>
      <c r="E696" s="20"/>
      <c r="F696" s="21"/>
      <c r="G696" s="28"/>
      <c r="H696" s="28"/>
      <c r="I696" s="28"/>
      <c r="J696" s="3"/>
      <c r="K696" s="24"/>
      <c r="L696" s="3"/>
      <c r="M696" s="3"/>
      <c r="N696" s="3"/>
      <c r="O696" s="3"/>
      <c r="P696" s="3"/>
      <c r="Q696" s="3"/>
      <c r="R696" s="3"/>
      <c r="S696" s="3"/>
      <c r="T696" s="3"/>
      <c r="U696" s="3"/>
      <c r="V696" s="3"/>
      <c r="W696" s="3"/>
      <c r="X696" s="3"/>
      <c r="Y696" s="3"/>
      <c r="Z696" s="3"/>
      <c r="AA696" s="3"/>
    </row>
    <row r="697" spans="1:27" ht="14.25" customHeight="1">
      <c r="A697" s="1"/>
      <c r="B697" s="1"/>
      <c r="C697" s="1"/>
      <c r="D697" s="1"/>
      <c r="E697" s="20"/>
      <c r="F697" s="21"/>
      <c r="G697" s="28"/>
      <c r="H697" s="28"/>
      <c r="I697" s="28"/>
      <c r="J697" s="3"/>
      <c r="K697" s="24"/>
      <c r="L697" s="3"/>
      <c r="M697" s="3"/>
      <c r="N697" s="3"/>
      <c r="O697" s="3"/>
      <c r="P697" s="3"/>
      <c r="Q697" s="3"/>
      <c r="R697" s="3"/>
      <c r="S697" s="3"/>
      <c r="T697" s="3"/>
      <c r="U697" s="3"/>
      <c r="V697" s="3"/>
      <c r="W697" s="3"/>
      <c r="X697" s="3"/>
      <c r="Y697" s="3"/>
      <c r="Z697" s="3"/>
      <c r="AA697" s="3"/>
    </row>
    <row r="698" spans="1:27" ht="14.25" customHeight="1">
      <c r="A698" s="1"/>
      <c r="B698" s="1"/>
      <c r="C698" s="1"/>
      <c r="D698" s="1"/>
      <c r="E698" s="20"/>
      <c r="F698" s="21"/>
      <c r="G698" s="28"/>
      <c r="H698" s="28"/>
      <c r="I698" s="28"/>
      <c r="J698" s="3"/>
      <c r="K698" s="24"/>
      <c r="L698" s="3"/>
      <c r="M698" s="3"/>
      <c r="N698" s="3"/>
      <c r="O698" s="3"/>
      <c r="P698" s="3"/>
      <c r="Q698" s="3"/>
      <c r="R698" s="3"/>
      <c r="S698" s="3"/>
      <c r="T698" s="3"/>
      <c r="U698" s="3"/>
      <c r="V698" s="3"/>
      <c r="W698" s="3"/>
      <c r="X698" s="3"/>
      <c r="Y698" s="3"/>
      <c r="Z698" s="3"/>
      <c r="AA698" s="3"/>
    </row>
    <row r="699" spans="1:27" ht="14.25" customHeight="1">
      <c r="A699" s="1"/>
      <c r="B699" s="1"/>
      <c r="C699" s="1"/>
      <c r="D699" s="1"/>
      <c r="E699" s="20"/>
      <c r="F699" s="21"/>
      <c r="G699" s="28"/>
      <c r="H699" s="28"/>
      <c r="I699" s="28"/>
      <c r="J699" s="3"/>
      <c r="K699" s="24"/>
      <c r="L699" s="3"/>
      <c r="M699" s="3"/>
      <c r="N699" s="3"/>
      <c r="O699" s="3"/>
      <c r="P699" s="3"/>
      <c r="Q699" s="3"/>
      <c r="R699" s="3"/>
      <c r="S699" s="3"/>
      <c r="T699" s="3"/>
      <c r="U699" s="3"/>
      <c r="V699" s="3"/>
      <c r="W699" s="3"/>
      <c r="X699" s="3"/>
      <c r="Y699" s="3"/>
      <c r="Z699" s="3"/>
      <c r="AA699" s="3"/>
    </row>
    <row r="700" spans="1:27" ht="14.25" customHeight="1">
      <c r="A700" s="1"/>
      <c r="B700" s="1"/>
      <c r="C700" s="1"/>
      <c r="D700" s="1"/>
      <c r="E700" s="20"/>
      <c r="F700" s="21"/>
      <c r="G700" s="28"/>
      <c r="H700" s="28"/>
      <c r="I700" s="28"/>
      <c r="J700" s="3"/>
      <c r="K700" s="24"/>
      <c r="L700" s="3"/>
      <c r="M700" s="3"/>
      <c r="N700" s="3"/>
      <c r="O700" s="3"/>
      <c r="P700" s="3"/>
      <c r="Q700" s="3"/>
      <c r="R700" s="3"/>
      <c r="S700" s="3"/>
      <c r="T700" s="3"/>
      <c r="U700" s="3"/>
      <c r="V700" s="3"/>
      <c r="W700" s="3"/>
      <c r="X700" s="3"/>
      <c r="Y700" s="3"/>
      <c r="Z700" s="3"/>
      <c r="AA700" s="3"/>
    </row>
    <row r="701" spans="1:27" ht="14.25" customHeight="1">
      <c r="A701" s="1"/>
      <c r="B701" s="1"/>
      <c r="C701" s="1"/>
      <c r="D701" s="1"/>
      <c r="E701" s="20"/>
      <c r="F701" s="21"/>
      <c r="G701" s="28"/>
      <c r="H701" s="28"/>
      <c r="I701" s="28"/>
      <c r="J701" s="3"/>
      <c r="K701" s="24"/>
      <c r="L701" s="3"/>
      <c r="M701" s="3"/>
      <c r="N701" s="3"/>
      <c r="O701" s="3"/>
      <c r="P701" s="3"/>
      <c r="Q701" s="3"/>
      <c r="R701" s="3"/>
      <c r="S701" s="3"/>
      <c r="T701" s="3"/>
      <c r="U701" s="3"/>
      <c r="V701" s="3"/>
      <c r="W701" s="3"/>
      <c r="X701" s="3"/>
      <c r="Y701" s="3"/>
      <c r="Z701" s="3"/>
      <c r="AA701" s="3"/>
    </row>
    <row r="702" spans="1:27" ht="14.25" customHeight="1">
      <c r="A702" s="1"/>
      <c r="B702" s="1"/>
      <c r="C702" s="1"/>
      <c r="D702" s="1"/>
      <c r="E702" s="20"/>
      <c r="F702" s="21"/>
      <c r="G702" s="28"/>
      <c r="H702" s="28"/>
      <c r="I702" s="28"/>
      <c r="J702" s="3"/>
      <c r="K702" s="24"/>
      <c r="L702" s="3"/>
      <c r="M702" s="3"/>
      <c r="N702" s="3"/>
      <c r="O702" s="3"/>
      <c r="P702" s="3"/>
      <c r="Q702" s="3"/>
      <c r="R702" s="3"/>
      <c r="S702" s="3"/>
      <c r="T702" s="3"/>
      <c r="U702" s="3"/>
      <c r="V702" s="3"/>
      <c r="W702" s="3"/>
      <c r="X702" s="3"/>
      <c r="Y702" s="3"/>
      <c r="Z702" s="3"/>
      <c r="AA702" s="3"/>
    </row>
    <row r="703" spans="1:27" ht="14.25" customHeight="1">
      <c r="A703" s="1"/>
      <c r="B703" s="1"/>
      <c r="C703" s="1"/>
      <c r="D703" s="1"/>
      <c r="E703" s="20"/>
      <c r="F703" s="21"/>
      <c r="G703" s="28"/>
      <c r="H703" s="28"/>
      <c r="I703" s="28"/>
      <c r="J703" s="3"/>
      <c r="K703" s="24"/>
      <c r="L703" s="3"/>
      <c r="M703" s="3"/>
      <c r="N703" s="3"/>
      <c r="O703" s="3"/>
      <c r="P703" s="3"/>
      <c r="Q703" s="3"/>
      <c r="R703" s="3"/>
      <c r="S703" s="3"/>
      <c r="T703" s="3"/>
      <c r="U703" s="3"/>
      <c r="V703" s="3"/>
      <c r="W703" s="3"/>
      <c r="X703" s="3"/>
      <c r="Y703" s="3"/>
      <c r="Z703" s="3"/>
      <c r="AA703" s="3"/>
    </row>
    <row r="704" spans="1:27" ht="14.25" customHeight="1">
      <c r="A704" s="1"/>
      <c r="B704" s="1"/>
      <c r="C704" s="1"/>
      <c r="D704" s="1"/>
      <c r="E704" s="20"/>
      <c r="F704" s="21"/>
      <c r="G704" s="28"/>
      <c r="H704" s="28"/>
      <c r="I704" s="28"/>
      <c r="J704" s="3"/>
      <c r="K704" s="24"/>
      <c r="L704" s="3"/>
      <c r="M704" s="3"/>
      <c r="N704" s="3"/>
      <c r="O704" s="3"/>
      <c r="P704" s="3"/>
      <c r="Q704" s="3"/>
      <c r="R704" s="3"/>
      <c r="S704" s="3"/>
      <c r="T704" s="3"/>
      <c r="U704" s="3"/>
      <c r="V704" s="3"/>
      <c r="W704" s="3"/>
      <c r="X704" s="3"/>
      <c r="Y704" s="3"/>
      <c r="Z704" s="3"/>
      <c r="AA704" s="3"/>
    </row>
    <row r="705" spans="1:27" ht="14.25" customHeight="1">
      <c r="A705" s="1"/>
      <c r="B705" s="1"/>
      <c r="C705" s="1"/>
      <c r="D705" s="1"/>
      <c r="E705" s="20"/>
      <c r="F705" s="21"/>
      <c r="G705" s="28"/>
      <c r="H705" s="28"/>
      <c r="I705" s="28"/>
      <c r="J705" s="3"/>
      <c r="K705" s="24"/>
      <c r="L705" s="3"/>
      <c r="M705" s="3"/>
      <c r="N705" s="3"/>
      <c r="O705" s="3"/>
      <c r="P705" s="3"/>
      <c r="Q705" s="3"/>
      <c r="R705" s="3"/>
      <c r="S705" s="3"/>
      <c r="T705" s="3"/>
      <c r="U705" s="3"/>
      <c r="V705" s="3"/>
      <c r="W705" s="3"/>
      <c r="X705" s="3"/>
      <c r="Y705" s="3"/>
      <c r="Z705" s="3"/>
      <c r="AA705" s="3"/>
    </row>
    <row r="706" spans="1:27" ht="14.25" customHeight="1">
      <c r="A706" s="1"/>
      <c r="B706" s="1"/>
      <c r="C706" s="1"/>
      <c r="D706" s="1"/>
      <c r="E706" s="20"/>
      <c r="F706" s="21"/>
      <c r="G706" s="28"/>
      <c r="H706" s="28"/>
      <c r="I706" s="28"/>
      <c r="J706" s="3"/>
      <c r="K706" s="24"/>
      <c r="L706" s="3"/>
      <c r="M706" s="3"/>
      <c r="N706" s="3"/>
      <c r="O706" s="3"/>
      <c r="P706" s="3"/>
      <c r="Q706" s="3"/>
      <c r="R706" s="3"/>
      <c r="S706" s="3"/>
      <c r="T706" s="3"/>
      <c r="U706" s="3"/>
      <c r="V706" s="3"/>
      <c r="W706" s="3"/>
      <c r="X706" s="3"/>
      <c r="Y706" s="3"/>
      <c r="Z706" s="3"/>
      <c r="AA706" s="3"/>
    </row>
    <row r="707" spans="1:27" ht="14.25" customHeight="1">
      <c r="A707" s="1"/>
      <c r="B707" s="1"/>
      <c r="C707" s="1"/>
      <c r="D707" s="1"/>
      <c r="E707" s="20"/>
      <c r="F707" s="21"/>
      <c r="G707" s="28"/>
      <c r="H707" s="28"/>
      <c r="I707" s="28"/>
      <c r="J707" s="3"/>
      <c r="K707" s="24"/>
      <c r="L707" s="3"/>
      <c r="M707" s="3"/>
      <c r="N707" s="3"/>
      <c r="O707" s="3"/>
      <c r="P707" s="3"/>
      <c r="Q707" s="3"/>
      <c r="R707" s="3"/>
      <c r="S707" s="3"/>
      <c r="T707" s="3"/>
      <c r="U707" s="3"/>
      <c r="V707" s="3"/>
      <c r="W707" s="3"/>
      <c r="X707" s="3"/>
      <c r="Y707" s="3"/>
      <c r="Z707" s="3"/>
      <c r="AA707" s="3"/>
    </row>
    <row r="708" spans="1:27" ht="14.25" customHeight="1">
      <c r="A708" s="1"/>
      <c r="B708" s="1"/>
      <c r="C708" s="1"/>
      <c r="D708" s="1"/>
      <c r="E708" s="20"/>
      <c r="F708" s="21"/>
      <c r="G708" s="28"/>
      <c r="H708" s="28"/>
      <c r="I708" s="28"/>
      <c r="J708" s="3"/>
      <c r="K708" s="24"/>
      <c r="L708" s="3"/>
      <c r="M708" s="3"/>
      <c r="N708" s="3"/>
      <c r="O708" s="3"/>
      <c r="P708" s="3"/>
      <c r="Q708" s="3"/>
      <c r="R708" s="3"/>
      <c r="S708" s="3"/>
      <c r="T708" s="3"/>
      <c r="U708" s="3"/>
      <c r="V708" s="3"/>
      <c r="W708" s="3"/>
      <c r="X708" s="3"/>
      <c r="Y708" s="3"/>
      <c r="Z708" s="3"/>
      <c r="AA708" s="3"/>
    </row>
    <row r="709" spans="1:27" ht="14.25" customHeight="1">
      <c r="A709" s="1"/>
      <c r="B709" s="1"/>
      <c r="C709" s="1"/>
      <c r="D709" s="1"/>
      <c r="E709" s="20"/>
      <c r="F709" s="21"/>
      <c r="G709" s="28"/>
      <c r="H709" s="28"/>
      <c r="I709" s="28"/>
      <c r="J709" s="3"/>
      <c r="K709" s="24"/>
      <c r="L709" s="3"/>
      <c r="M709" s="3"/>
      <c r="N709" s="3"/>
      <c r="O709" s="3"/>
      <c r="P709" s="3"/>
      <c r="Q709" s="3"/>
      <c r="R709" s="3"/>
      <c r="S709" s="3"/>
      <c r="T709" s="3"/>
      <c r="U709" s="3"/>
      <c r="V709" s="3"/>
      <c r="W709" s="3"/>
      <c r="X709" s="3"/>
      <c r="Y709" s="3"/>
      <c r="Z709" s="3"/>
      <c r="AA709" s="3"/>
    </row>
    <row r="710" spans="1:27" ht="14.25" customHeight="1">
      <c r="A710" s="1"/>
      <c r="B710" s="1"/>
      <c r="C710" s="1"/>
      <c r="D710" s="1"/>
      <c r="E710" s="20"/>
      <c r="F710" s="21"/>
      <c r="G710" s="28"/>
      <c r="H710" s="28"/>
      <c r="I710" s="28"/>
      <c r="J710" s="3"/>
      <c r="K710" s="24"/>
      <c r="L710" s="3"/>
      <c r="M710" s="3"/>
      <c r="N710" s="3"/>
      <c r="O710" s="3"/>
      <c r="P710" s="3"/>
      <c r="Q710" s="3"/>
      <c r="R710" s="3"/>
      <c r="S710" s="3"/>
      <c r="T710" s="3"/>
      <c r="U710" s="3"/>
      <c r="V710" s="3"/>
      <c r="W710" s="3"/>
      <c r="X710" s="3"/>
      <c r="Y710" s="3"/>
      <c r="Z710" s="3"/>
      <c r="AA710" s="3"/>
    </row>
    <row r="711" spans="1:27" ht="14.25" customHeight="1">
      <c r="A711" s="1"/>
      <c r="B711" s="1"/>
      <c r="C711" s="1"/>
      <c r="D711" s="1"/>
      <c r="E711" s="20"/>
      <c r="F711" s="21"/>
      <c r="G711" s="28"/>
      <c r="H711" s="28"/>
      <c r="I711" s="28"/>
      <c r="J711" s="3"/>
      <c r="K711" s="24"/>
      <c r="L711" s="3"/>
      <c r="M711" s="3"/>
      <c r="N711" s="3"/>
      <c r="O711" s="3"/>
      <c r="P711" s="3"/>
      <c r="Q711" s="3"/>
      <c r="R711" s="3"/>
      <c r="S711" s="3"/>
      <c r="T711" s="3"/>
      <c r="U711" s="3"/>
      <c r="V711" s="3"/>
      <c r="W711" s="3"/>
      <c r="X711" s="3"/>
      <c r="Y711" s="3"/>
      <c r="Z711" s="3"/>
      <c r="AA711" s="3"/>
    </row>
    <row r="712" spans="1:27" ht="14.25" customHeight="1">
      <c r="A712" s="1"/>
      <c r="B712" s="1"/>
      <c r="C712" s="1"/>
      <c r="D712" s="1"/>
      <c r="E712" s="20"/>
      <c r="F712" s="21"/>
      <c r="G712" s="28"/>
      <c r="H712" s="28"/>
      <c r="I712" s="28"/>
      <c r="J712" s="3"/>
      <c r="K712" s="24"/>
      <c r="L712" s="3"/>
      <c r="M712" s="3"/>
      <c r="N712" s="3"/>
      <c r="O712" s="3"/>
      <c r="P712" s="3"/>
      <c r="Q712" s="3"/>
      <c r="R712" s="3"/>
      <c r="S712" s="3"/>
      <c r="T712" s="3"/>
      <c r="U712" s="3"/>
      <c r="V712" s="3"/>
      <c r="W712" s="3"/>
      <c r="X712" s="3"/>
      <c r="Y712" s="3"/>
      <c r="Z712" s="3"/>
      <c r="AA712" s="3"/>
    </row>
    <row r="713" spans="1:27" ht="14.25" customHeight="1">
      <c r="A713" s="1"/>
      <c r="B713" s="1"/>
      <c r="C713" s="1"/>
      <c r="D713" s="1"/>
      <c r="E713" s="20"/>
      <c r="F713" s="21"/>
      <c r="G713" s="28"/>
      <c r="H713" s="28"/>
      <c r="I713" s="28"/>
      <c r="J713" s="3"/>
      <c r="K713" s="24"/>
      <c r="L713" s="3"/>
      <c r="M713" s="3"/>
      <c r="N713" s="3"/>
      <c r="O713" s="3"/>
      <c r="P713" s="3"/>
      <c r="Q713" s="3"/>
      <c r="R713" s="3"/>
      <c r="S713" s="3"/>
      <c r="T713" s="3"/>
      <c r="U713" s="3"/>
      <c r="V713" s="3"/>
      <c r="W713" s="3"/>
      <c r="X713" s="3"/>
      <c r="Y713" s="3"/>
      <c r="Z713" s="3"/>
      <c r="AA713" s="3"/>
    </row>
    <row r="714" spans="1:27" ht="14.25" customHeight="1">
      <c r="A714" s="1"/>
      <c r="B714" s="1"/>
      <c r="C714" s="1"/>
      <c r="D714" s="1"/>
      <c r="E714" s="20"/>
      <c r="F714" s="21"/>
      <c r="G714" s="28"/>
      <c r="H714" s="28"/>
      <c r="I714" s="28"/>
      <c r="J714" s="3"/>
      <c r="K714" s="24"/>
      <c r="L714" s="3"/>
      <c r="M714" s="3"/>
      <c r="N714" s="3"/>
      <c r="O714" s="3"/>
      <c r="P714" s="3"/>
      <c r="Q714" s="3"/>
      <c r="R714" s="3"/>
      <c r="S714" s="3"/>
      <c r="T714" s="3"/>
      <c r="U714" s="3"/>
      <c r="V714" s="3"/>
      <c r="W714" s="3"/>
      <c r="X714" s="3"/>
      <c r="Y714" s="3"/>
      <c r="Z714" s="3"/>
      <c r="AA714" s="3"/>
    </row>
  </sheetData>
  <mergeCells count="40">
    <mergeCell ref="G123:G124"/>
    <mergeCell ref="C151:C152"/>
    <mergeCell ref="G151:G152"/>
    <mergeCell ref="G94:G95"/>
    <mergeCell ref="C272:C273"/>
    <mergeCell ref="G220:G221"/>
    <mergeCell ref="C262:C263"/>
    <mergeCell ref="G262:G263"/>
    <mergeCell ref="C123:C124"/>
    <mergeCell ref="C366:C367"/>
    <mergeCell ref="G366:G367"/>
    <mergeCell ref="C318:C319"/>
    <mergeCell ref="G318:G319"/>
    <mergeCell ref="C347:C348"/>
    <mergeCell ref="G347:G348"/>
    <mergeCell ref="C363:C364"/>
    <mergeCell ref="G363:G364"/>
    <mergeCell ref="C329:C330"/>
    <mergeCell ref="G329:G330"/>
    <mergeCell ref="K4:K5"/>
    <mergeCell ref="C28:C29"/>
    <mergeCell ref="G28:G29"/>
    <mergeCell ref="C52:C53"/>
    <mergeCell ref="G52:G53"/>
    <mergeCell ref="C294:C295"/>
    <mergeCell ref="G294:G295"/>
    <mergeCell ref="C187:C188"/>
    <mergeCell ref="G187:G188"/>
    <mergeCell ref="A2:H2"/>
    <mergeCell ref="B4:C5"/>
    <mergeCell ref="E4:E5"/>
    <mergeCell ref="F4:F5"/>
    <mergeCell ref="G4:G5"/>
    <mergeCell ref="G272:G273"/>
    <mergeCell ref="C166:C167"/>
    <mergeCell ref="G166:G167"/>
    <mergeCell ref="C220:C221"/>
    <mergeCell ref="C78:C79"/>
    <mergeCell ref="G78:G79"/>
    <mergeCell ref="C94:C95"/>
  </mergeCells>
  <printOptions horizontalCentered="1"/>
  <pageMargins left="0.66929133858267698" right="0.23622047244094499" top="0.70866141732283505" bottom="0.70866141732283505" header="0" footer="0"/>
  <pageSetup paperSize="9" scale="90" orientation="portrait" r:id="rId1"/>
  <headerFooter>
    <oddHeader>&amp;LCONSTRUCTION OF RESIDENTAL/COMMERCIAL BUILDING</oddHeader>
    <oddFooter>&amp;C 3/&amp;P</oddFooter>
  </headerFooter>
  <rowBreaks count="8" manualBreakCount="8">
    <brk id="53" max="16383" man="1"/>
    <brk id="95" max="7" man="1"/>
    <brk id="152" max="7" man="1"/>
    <brk id="188" max="7" man="1"/>
    <brk id="221" max="7" man="1"/>
    <brk id="263" max="7" man="1"/>
    <brk id="295" max="7" man="1"/>
    <brk id="330" max="7" man="1"/>
  </rowBreaks>
  <colBreaks count="1" manualBreakCount="1">
    <brk id="8"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Q1043"/>
  <sheetViews>
    <sheetView workbookViewId="0">
      <pane xSplit="2" ySplit="7" topLeftCell="K236" activePane="bottomRight" state="frozen"/>
      <selection pane="topRight" activeCell="C1" sqref="C1"/>
      <selection pane="bottomLeft" activeCell="A8" sqref="A8"/>
      <selection pane="bottomRight" activeCell="P258" sqref="P258:S258"/>
    </sheetView>
  </sheetViews>
  <sheetFormatPr defaultColWidth="12.5546875" defaultRowHeight="15" customHeight="1"/>
  <cols>
    <col min="1" max="1" width="6.33203125" customWidth="1"/>
    <col min="2" max="2" width="34.88671875" customWidth="1"/>
    <col min="3" max="3" width="9.33203125" customWidth="1"/>
    <col min="4" max="5" width="5.33203125" customWidth="1"/>
    <col min="6" max="6" width="9.33203125" customWidth="1"/>
    <col min="7" max="7" width="8.5546875" customWidth="1"/>
    <col min="8" max="8" width="9.33203125" customWidth="1"/>
    <col min="9" max="9" width="8.5546875" customWidth="1"/>
    <col min="10" max="10" width="9.33203125" customWidth="1"/>
    <col min="11" max="11" width="8" customWidth="1"/>
    <col min="12" max="12" width="5.5546875" bestFit="1" customWidth="1"/>
    <col min="13" max="13" width="3.5546875" bestFit="1" customWidth="1"/>
    <col min="14" max="14" width="6.5546875" bestFit="1" customWidth="1"/>
    <col min="15" max="15" width="8" customWidth="1"/>
    <col min="16" max="16" width="9.33203125" customWidth="1"/>
    <col min="17" max="17" width="4.5546875" bestFit="1" customWidth="1"/>
    <col min="18" max="18" width="5.5546875" bestFit="1" customWidth="1"/>
    <col min="19" max="19" width="4.33203125" customWidth="1"/>
    <col min="20" max="21" width="10" customWidth="1"/>
    <col min="22" max="23" width="9.33203125" customWidth="1"/>
    <col min="24" max="24" width="8.5546875" customWidth="1"/>
    <col min="25" max="25" width="12.5546875" customWidth="1"/>
    <col min="26" max="27" width="8.5546875" customWidth="1"/>
    <col min="28" max="28" width="11.88671875" customWidth="1"/>
    <col min="29" max="29" width="11.6640625" customWidth="1"/>
    <col min="30" max="30" width="10.6640625" customWidth="1"/>
    <col min="31" max="31" width="11.109375" customWidth="1"/>
    <col min="32" max="32" width="13.109375" customWidth="1"/>
    <col min="33" max="33" width="14.6640625" customWidth="1"/>
    <col min="34" max="34" width="92.33203125" customWidth="1"/>
    <col min="35" max="35" width="8.5546875" customWidth="1"/>
    <col min="36" max="36" width="51.33203125" customWidth="1"/>
    <col min="37" max="43" width="8.5546875" customWidth="1"/>
  </cols>
  <sheetData>
    <row r="1" spans="1:36" ht="12.75" customHeight="1">
      <c r="A1" s="182" t="s">
        <v>763</v>
      </c>
      <c r="B1" s="183"/>
      <c r="C1" s="184"/>
      <c r="D1" s="184"/>
      <c r="E1" s="184"/>
      <c r="F1" s="184"/>
      <c r="G1" s="184"/>
      <c r="H1" s="184"/>
      <c r="I1" s="185"/>
      <c r="J1" s="94"/>
      <c r="K1" s="199"/>
      <c r="L1" s="199"/>
      <c r="M1" s="199"/>
      <c r="N1" s="199"/>
      <c r="O1" s="199"/>
      <c r="P1" s="199"/>
      <c r="Q1" s="199"/>
      <c r="R1" s="199"/>
      <c r="S1" s="199"/>
      <c r="T1" s="199"/>
      <c r="U1" s="199"/>
      <c r="V1" s="199"/>
      <c r="W1" s="199"/>
    </row>
    <row r="2" spans="1:36" ht="12.75" customHeight="1">
      <c r="A2" s="186" t="s">
        <v>764</v>
      </c>
      <c r="B2" s="93"/>
      <c r="C2" s="94"/>
      <c r="D2" s="94"/>
      <c r="E2" s="94"/>
      <c r="F2" s="94"/>
      <c r="G2" s="94"/>
      <c r="H2" s="94"/>
      <c r="I2" s="187"/>
      <c r="J2" s="94"/>
      <c r="K2" s="199"/>
      <c r="L2" s="199"/>
      <c r="M2" s="199"/>
      <c r="N2" s="199"/>
      <c r="O2" s="199"/>
      <c r="P2" s="199"/>
      <c r="Q2" s="199"/>
      <c r="R2" s="199"/>
      <c r="S2" s="199"/>
      <c r="T2" s="199"/>
      <c r="U2" s="199"/>
      <c r="V2" s="199"/>
      <c r="W2" s="199"/>
    </row>
    <row r="3" spans="1:36" ht="12.75" customHeight="1">
      <c r="A3" s="188"/>
      <c r="B3" s="189"/>
      <c r="C3" s="190"/>
      <c r="D3" s="190"/>
      <c r="E3" s="190"/>
      <c r="F3" s="190"/>
      <c r="G3" s="190"/>
      <c r="H3" s="190"/>
      <c r="I3" s="191"/>
      <c r="J3" s="94"/>
      <c r="K3" s="199"/>
      <c r="L3" s="199"/>
      <c r="M3" s="199"/>
      <c r="N3" s="199"/>
      <c r="O3" s="199"/>
      <c r="P3" s="199"/>
      <c r="Q3" s="199"/>
      <c r="R3" s="199"/>
      <c r="S3" s="199"/>
      <c r="T3" s="199"/>
      <c r="U3" s="199"/>
      <c r="V3" s="199"/>
      <c r="W3" s="199"/>
    </row>
    <row r="4" spans="1:36" ht="12.75" customHeight="1">
      <c r="A4" s="109" t="s">
        <v>146</v>
      </c>
      <c r="B4" s="109" t="s">
        <v>147</v>
      </c>
      <c r="C4" s="109" t="s">
        <v>148</v>
      </c>
      <c r="D4" s="791" t="s">
        <v>149</v>
      </c>
      <c r="E4" s="792"/>
      <c r="F4" s="109" t="s">
        <v>57</v>
      </c>
      <c r="G4" s="109" t="s">
        <v>25</v>
      </c>
      <c r="H4" s="109" t="s">
        <v>31</v>
      </c>
      <c r="I4" s="109" t="s">
        <v>153</v>
      </c>
      <c r="J4" s="94"/>
      <c r="K4" s="199" t="s">
        <v>792</v>
      </c>
      <c r="L4" s="199"/>
      <c r="M4" s="199"/>
      <c r="N4" s="199"/>
      <c r="O4" s="199"/>
      <c r="P4" s="199" t="s">
        <v>793</v>
      </c>
      <c r="Q4" s="199"/>
      <c r="R4" s="199"/>
      <c r="S4" s="199"/>
      <c r="T4" s="199" t="s">
        <v>794</v>
      </c>
      <c r="U4" s="199"/>
      <c r="V4" s="199" t="s">
        <v>795</v>
      </c>
      <c r="W4" s="199"/>
      <c r="X4" s="35" t="s">
        <v>796</v>
      </c>
      <c r="Y4" s="36" t="s">
        <v>797</v>
      </c>
      <c r="Z4" s="36" t="s">
        <v>798</v>
      </c>
      <c r="AA4" s="36" t="s">
        <v>799</v>
      </c>
      <c r="AB4" s="36" t="s">
        <v>800</v>
      </c>
      <c r="AC4" s="36" t="s">
        <v>801</v>
      </c>
      <c r="AD4" s="36" t="s">
        <v>802</v>
      </c>
      <c r="AE4" s="36" t="s">
        <v>803</v>
      </c>
      <c r="AF4" s="36" t="s">
        <v>804</v>
      </c>
    </row>
    <row r="5" spans="1:36" ht="12.75" customHeight="1">
      <c r="C5" s="94"/>
      <c r="D5" s="94"/>
      <c r="E5" s="94"/>
      <c r="F5" s="94"/>
      <c r="G5" s="200"/>
      <c r="H5" s="94"/>
      <c r="K5" s="199"/>
      <c r="L5" s="199"/>
      <c r="M5" s="199"/>
      <c r="N5" s="199"/>
      <c r="O5" s="199"/>
      <c r="P5" s="199"/>
      <c r="Q5" s="199"/>
      <c r="R5" s="199"/>
      <c r="S5" s="199"/>
      <c r="T5" s="199"/>
      <c r="U5" s="199"/>
      <c r="V5" s="199"/>
      <c r="W5" s="199"/>
    </row>
    <row r="6" spans="1:36" ht="12.75" customHeight="1">
      <c r="B6" s="93" t="s">
        <v>805</v>
      </c>
      <c r="C6" s="94"/>
      <c r="D6" s="94"/>
      <c r="E6" s="94"/>
      <c r="F6" s="94"/>
      <c r="G6" s="200"/>
      <c r="H6" s="94"/>
      <c r="K6" s="199"/>
      <c r="L6" s="199"/>
      <c r="M6" s="199"/>
      <c r="N6" s="199"/>
      <c r="O6" s="199"/>
      <c r="P6" s="199"/>
      <c r="Q6" s="199"/>
      <c r="R6" s="199"/>
      <c r="S6" s="199"/>
      <c r="T6" s="199"/>
      <c r="U6" s="199"/>
      <c r="V6" s="199"/>
      <c r="W6" s="199"/>
    </row>
    <row r="7" spans="1:36" ht="12.75" customHeight="1">
      <c r="A7" s="35">
        <v>1</v>
      </c>
      <c r="B7" s="181" t="s">
        <v>759</v>
      </c>
      <c r="C7" s="94"/>
      <c r="D7" s="94"/>
      <c r="E7" s="94"/>
      <c r="F7" s="94"/>
      <c r="G7" s="200"/>
      <c r="H7" s="94"/>
      <c r="K7" s="199" t="s">
        <v>758</v>
      </c>
      <c r="L7" s="199" t="s">
        <v>806</v>
      </c>
      <c r="M7" s="199" t="s">
        <v>807</v>
      </c>
      <c r="N7" s="199" t="s">
        <v>808</v>
      </c>
      <c r="O7" s="199" t="s">
        <v>809</v>
      </c>
      <c r="P7" s="199" t="s">
        <v>476</v>
      </c>
      <c r="Q7" s="199" t="s">
        <v>478</v>
      </c>
      <c r="R7" s="199" t="s">
        <v>495</v>
      </c>
      <c r="S7" s="199" t="s">
        <v>810</v>
      </c>
      <c r="T7" s="199" t="s">
        <v>783</v>
      </c>
      <c r="U7" s="199" t="s">
        <v>782</v>
      </c>
      <c r="V7" s="199" t="s">
        <v>216</v>
      </c>
      <c r="W7" s="199" t="s">
        <v>218</v>
      </c>
      <c r="Y7" s="201"/>
      <c r="Z7" s="201"/>
      <c r="AA7" s="201"/>
      <c r="AB7" s="201"/>
      <c r="AC7" s="201"/>
      <c r="AD7" s="201"/>
      <c r="AE7" s="201"/>
      <c r="AF7" s="201"/>
      <c r="AG7" s="793" t="s">
        <v>811</v>
      </c>
      <c r="AH7" s="794"/>
      <c r="AI7" s="794"/>
      <c r="AJ7" s="792"/>
    </row>
    <row r="8" spans="1:36" ht="12.75" customHeight="1">
      <c r="B8" s="35" t="s">
        <v>812</v>
      </c>
      <c r="C8" s="94" t="s">
        <v>813</v>
      </c>
      <c r="D8" s="94">
        <v>1</v>
      </c>
      <c r="E8" s="94">
        <v>1</v>
      </c>
      <c r="F8" s="105">
        <f>5.47</f>
        <v>5.47</v>
      </c>
      <c r="G8" s="200">
        <v>3.3</v>
      </c>
      <c r="H8" s="94">
        <v>4.3</v>
      </c>
      <c r="K8" s="199"/>
      <c r="L8" s="199"/>
      <c r="M8" s="199"/>
      <c r="N8" s="199">
        <f t="shared" ref="N8:N16" si="0">F8*G8*D8*E8</f>
        <v>18.050999999999998</v>
      </c>
      <c r="O8" s="199"/>
      <c r="P8" s="199"/>
      <c r="Q8" s="199"/>
      <c r="R8" s="199">
        <f>((F8+G8*2)*0.15)*D8*E8</f>
        <v>1.8105</v>
      </c>
      <c r="S8" s="199"/>
      <c r="T8" s="199"/>
      <c r="U8" s="199">
        <f t="shared" ref="U8:U42" si="1">(F8+G8*2)*H8*D8*E8</f>
        <v>51.900999999999996</v>
      </c>
      <c r="V8" s="199">
        <f t="shared" ref="V8:V16" si="2">N8</f>
        <v>18.050999999999998</v>
      </c>
      <c r="W8" s="199"/>
      <c r="Y8" s="201"/>
      <c r="Z8" s="201"/>
      <c r="AA8" s="201"/>
      <c r="AB8" s="201"/>
      <c r="AC8" s="201"/>
      <c r="AD8" s="201"/>
      <c r="AE8" s="201"/>
      <c r="AF8" s="201"/>
      <c r="AG8" s="202" t="s">
        <v>814</v>
      </c>
      <c r="AH8" s="203"/>
    </row>
    <row r="9" spans="1:36" ht="12.75" customHeight="1">
      <c r="B9" s="35" t="s">
        <v>815</v>
      </c>
      <c r="C9" s="94" t="s">
        <v>813</v>
      </c>
      <c r="D9" s="94">
        <v>1</v>
      </c>
      <c r="E9" s="94">
        <v>1</v>
      </c>
      <c r="F9" s="105">
        <v>7.1</v>
      </c>
      <c r="G9" s="200">
        <v>3.8849999999999998</v>
      </c>
      <c r="H9" s="94">
        <v>4.3</v>
      </c>
      <c r="K9" s="199"/>
      <c r="L9" s="199"/>
      <c r="M9" s="199"/>
      <c r="N9" s="199">
        <f t="shared" si="0"/>
        <v>27.583499999999997</v>
      </c>
      <c r="O9" s="199"/>
      <c r="P9" s="199"/>
      <c r="Q9" s="199"/>
      <c r="R9" s="199">
        <f t="shared" ref="R9:R16" si="3">((F9+G9*2)*0.15)*E9*D9</f>
        <v>2.2304999999999997</v>
      </c>
      <c r="S9" s="199"/>
      <c r="T9" s="199"/>
      <c r="U9" s="199">
        <f t="shared" si="1"/>
        <v>63.940999999999995</v>
      </c>
      <c r="V9" s="199">
        <f t="shared" si="2"/>
        <v>27.583499999999997</v>
      </c>
      <c r="W9" s="199"/>
      <c r="Y9" s="204"/>
      <c r="Z9" s="204"/>
      <c r="AA9" s="204"/>
      <c r="AB9" s="204"/>
      <c r="AC9" s="204"/>
      <c r="AD9" s="204"/>
      <c r="AE9" s="204"/>
      <c r="AF9" s="204"/>
      <c r="AG9" s="205" t="s">
        <v>816</v>
      </c>
      <c r="AH9" s="205" t="s">
        <v>817</v>
      </c>
    </row>
    <row r="10" spans="1:36" ht="12.75" customHeight="1">
      <c r="B10" s="35" t="s">
        <v>818</v>
      </c>
      <c r="C10" s="94" t="s">
        <v>813</v>
      </c>
      <c r="D10" s="94">
        <v>1</v>
      </c>
      <c r="E10" s="94">
        <v>1</v>
      </c>
      <c r="F10" s="105">
        <f>SQRT(15)</f>
        <v>3.872983346207417</v>
      </c>
      <c r="G10" s="206">
        <f t="shared" ref="G10:G12" si="4">F10</f>
        <v>3.872983346207417</v>
      </c>
      <c r="H10" s="94">
        <v>4.3</v>
      </c>
      <c r="K10" s="199"/>
      <c r="L10" s="199"/>
      <c r="M10" s="199"/>
      <c r="N10" s="199">
        <f t="shared" si="0"/>
        <v>15.000000000000002</v>
      </c>
      <c r="O10" s="199"/>
      <c r="P10" s="199"/>
      <c r="Q10" s="199"/>
      <c r="R10" s="199">
        <f t="shared" si="3"/>
        <v>1.7428425057933377</v>
      </c>
      <c r="S10" s="199"/>
      <c r="T10" s="199"/>
      <c r="U10" s="199">
        <f t="shared" si="1"/>
        <v>49.961485166075683</v>
      </c>
      <c r="V10" s="199">
        <f t="shared" si="2"/>
        <v>15.000000000000002</v>
      </c>
      <c r="W10" s="199"/>
      <c r="Y10" s="207"/>
      <c r="Z10" s="207"/>
      <c r="AA10" s="207"/>
      <c r="AB10" s="207"/>
      <c r="AC10" s="207"/>
      <c r="AD10" s="207"/>
      <c r="AE10" s="207"/>
      <c r="AF10" s="207"/>
      <c r="AG10" s="208" t="s">
        <v>758</v>
      </c>
      <c r="AH10" s="208" t="s">
        <v>819</v>
      </c>
    </row>
    <row r="11" spans="1:36" ht="12.75" customHeight="1">
      <c r="B11" s="35" t="s">
        <v>820</v>
      </c>
      <c r="C11" s="94" t="s">
        <v>813</v>
      </c>
      <c r="D11" s="94">
        <v>1</v>
      </c>
      <c r="E11" s="94">
        <v>1</v>
      </c>
      <c r="F11" s="105">
        <f>SQRT(14)</f>
        <v>3.7416573867739413</v>
      </c>
      <c r="G11" s="206">
        <f t="shared" si="4"/>
        <v>3.7416573867739413</v>
      </c>
      <c r="H11" s="94">
        <v>4.3</v>
      </c>
      <c r="K11" s="199"/>
      <c r="L11" s="199"/>
      <c r="M11" s="199"/>
      <c r="N11" s="199">
        <f t="shared" si="0"/>
        <v>14</v>
      </c>
      <c r="O11" s="199"/>
      <c r="P11" s="199"/>
      <c r="Q11" s="199"/>
      <c r="R11" s="199">
        <f t="shared" si="3"/>
        <v>1.6837458240482737</v>
      </c>
      <c r="S11" s="199"/>
      <c r="T11" s="199"/>
      <c r="U11" s="199">
        <f t="shared" si="1"/>
        <v>48.267380289383844</v>
      </c>
      <c r="V11" s="199">
        <f t="shared" si="2"/>
        <v>14</v>
      </c>
      <c r="W11" s="199"/>
      <c r="Y11" s="207"/>
      <c r="Z11" s="207"/>
      <c r="AA11" s="207"/>
      <c r="AB11" s="207"/>
      <c r="AC11" s="207"/>
      <c r="AD11" s="207"/>
      <c r="AE11" s="207"/>
      <c r="AF11" s="207"/>
      <c r="AG11" s="208" t="s">
        <v>806</v>
      </c>
      <c r="AH11" s="208" t="s">
        <v>821</v>
      </c>
    </row>
    <row r="12" spans="1:36" ht="12.75" customHeight="1">
      <c r="B12" s="35" t="s">
        <v>822</v>
      </c>
      <c r="C12" s="94" t="s">
        <v>813</v>
      </c>
      <c r="D12" s="94">
        <v>1</v>
      </c>
      <c r="E12" s="94">
        <v>1</v>
      </c>
      <c r="F12" s="105">
        <f>SQRT(30.2)</f>
        <v>5.4954526656136347</v>
      </c>
      <c r="G12" s="206">
        <f t="shared" si="4"/>
        <v>5.4954526656136347</v>
      </c>
      <c r="H12" s="94">
        <v>4.3</v>
      </c>
      <c r="K12" s="199"/>
      <c r="L12" s="199"/>
      <c r="M12" s="199"/>
      <c r="N12" s="199">
        <f t="shared" si="0"/>
        <v>30.200000000000003</v>
      </c>
      <c r="O12" s="199"/>
      <c r="P12" s="199"/>
      <c r="Q12" s="199"/>
      <c r="R12" s="199">
        <f t="shared" si="3"/>
        <v>2.4729536995261356</v>
      </c>
      <c r="S12" s="199"/>
      <c r="T12" s="199"/>
      <c r="U12" s="199">
        <f t="shared" si="1"/>
        <v>70.891339386415893</v>
      </c>
      <c r="V12" s="199">
        <f t="shared" si="2"/>
        <v>30.200000000000003</v>
      </c>
      <c r="W12" s="199"/>
      <c r="Y12" s="207"/>
      <c r="Z12" s="207"/>
      <c r="AA12" s="207"/>
      <c r="AB12" s="207"/>
      <c r="AC12" s="207"/>
      <c r="AD12" s="207"/>
      <c r="AE12" s="207"/>
      <c r="AF12" s="207"/>
      <c r="AG12" s="208" t="s">
        <v>807</v>
      </c>
      <c r="AH12" s="208" t="s">
        <v>823</v>
      </c>
    </row>
    <row r="13" spans="1:36" ht="12.75" customHeight="1">
      <c r="B13" s="93" t="s">
        <v>824</v>
      </c>
      <c r="C13" s="94" t="s">
        <v>813</v>
      </c>
      <c r="D13" s="94">
        <v>1</v>
      </c>
      <c r="E13" s="94">
        <v>1</v>
      </c>
      <c r="F13" s="105">
        <v>2.84</v>
      </c>
      <c r="G13" s="200">
        <v>2.84</v>
      </c>
      <c r="H13" s="94">
        <v>4.3</v>
      </c>
      <c r="K13" s="199"/>
      <c r="L13" s="199"/>
      <c r="M13" s="199"/>
      <c r="N13" s="199">
        <f t="shared" si="0"/>
        <v>8.0655999999999999</v>
      </c>
      <c r="O13" s="199"/>
      <c r="P13" s="199"/>
      <c r="Q13" s="199"/>
      <c r="R13" s="199">
        <f t="shared" si="3"/>
        <v>1.2779999999999998</v>
      </c>
      <c r="S13" s="199"/>
      <c r="T13" s="199"/>
      <c r="U13" s="199">
        <f t="shared" si="1"/>
        <v>36.635999999999996</v>
      </c>
      <c r="V13" s="199">
        <f t="shared" si="2"/>
        <v>8.0655999999999999</v>
      </c>
      <c r="W13" s="199"/>
      <c r="Y13" s="207"/>
      <c r="Z13" s="207"/>
      <c r="AA13" s="207"/>
      <c r="AB13" s="207"/>
      <c r="AC13" s="207"/>
      <c r="AD13" s="207"/>
      <c r="AE13" s="207"/>
      <c r="AF13" s="207"/>
      <c r="AG13" s="208" t="s">
        <v>808</v>
      </c>
      <c r="AH13" s="208" t="s">
        <v>825</v>
      </c>
    </row>
    <row r="14" spans="1:36" ht="12.75" customHeight="1">
      <c r="B14" s="93" t="s">
        <v>770</v>
      </c>
      <c r="C14" s="94"/>
      <c r="D14" s="94">
        <v>-1</v>
      </c>
      <c r="E14" s="94">
        <v>1</v>
      </c>
      <c r="F14" s="105">
        <v>1</v>
      </c>
      <c r="G14" s="200"/>
      <c r="H14" s="94">
        <v>2.2000000000000002</v>
      </c>
      <c r="K14" s="199"/>
      <c r="L14" s="199"/>
      <c r="M14" s="199"/>
      <c r="N14" s="199">
        <f t="shared" si="0"/>
        <v>0</v>
      </c>
      <c r="O14" s="199"/>
      <c r="P14" s="199"/>
      <c r="Q14" s="199"/>
      <c r="R14" s="199">
        <f t="shared" si="3"/>
        <v>-0.15</v>
      </c>
      <c r="S14" s="199"/>
      <c r="T14" s="199"/>
      <c r="U14" s="199">
        <f t="shared" si="1"/>
        <v>-2.2000000000000002</v>
      </c>
      <c r="V14" s="199">
        <f t="shared" si="2"/>
        <v>0</v>
      </c>
      <c r="W14" s="199"/>
      <c r="Y14" s="207"/>
      <c r="Z14" s="207"/>
      <c r="AA14" s="207"/>
      <c r="AB14" s="207"/>
      <c r="AC14" s="207"/>
      <c r="AD14" s="207"/>
      <c r="AE14" s="207"/>
      <c r="AF14" s="207"/>
      <c r="AG14" s="208" t="s">
        <v>809</v>
      </c>
      <c r="AH14" s="208" t="s">
        <v>826</v>
      </c>
    </row>
    <row r="15" spans="1:36" ht="12.75" customHeight="1">
      <c r="B15" s="181" t="s">
        <v>776</v>
      </c>
      <c r="C15" s="94"/>
      <c r="D15" s="94">
        <v>-1</v>
      </c>
      <c r="E15" s="94">
        <v>1</v>
      </c>
      <c r="F15" s="94">
        <v>0.8</v>
      </c>
      <c r="G15" s="200"/>
      <c r="H15" s="94">
        <v>2.2000000000000002</v>
      </c>
      <c r="K15" s="199"/>
      <c r="L15" s="199"/>
      <c r="M15" s="199"/>
      <c r="N15" s="199">
        <f t="shared" si="0"/>
        <v>0</v>
      </c>
      <c r="O15" s="199"/>
      <c r="P15" s="199"/>
      <c r="Q15" s="199"/>
      <c r="R15" s="199">
        <f t="shared" si="3"/>
        <v>-0.12</v>
      </c>
      <c r="S15" s="199"/>
      <c r="T15" s="199"/>
      <c r="U15" s="199">
        <f t="shared" si="1"/>
        <v>-1.7600000000000002</v>
      </c>
      <c r="V15" s="199">
        <f t="shared" si="2"/>
        <v>0</v>
      </c>
      <c r="W15" s="199"/>
      <c r="Y15" s="201"/>
      <c r="Z15" s="201"/>
      <c r="AA15" s="201"/>
      <c r="AB15" s="201"/>
      <c r="AC15" s="201"/>
      <c r="AD15" s="201"/>
      <c r="AE15" s="201"/>
      <c r="AF15" s="201"/>
      <c r="AG15" s="202" t="s">
        <v>827</v>
      </c>
      <c r="AH15" s="203"/>
    </row>
    <row r="16" spans="1:36" ht="12.75" customHeight="1">
      <c r="B16" s="35" t="s">
        <v>773</v>
      </c>
      <c r="C16" s="94"/>
      <c r="D16" s="94">
        <v>-1</v>
      </c>
      <c r="E16" s="94">
        <v>1</v>
      </c>
      <c r="F16" s="94">
        <v>0.8</v>
      </c>
      <c r="G16" s="94"/>
      <c r="H16" s="94">
        <v>2.2000000000000002</v>
      </c>
      <c r="I16" s="93"/>
      <c r="K16" s="199"/>
      <c r="L16" s="199"/>
      <c r="M16" s="199"/>
      <c r="N16" s="199">
        <f t="shared" si="0"/>
        <v>0</v>
      </c>
      <c r="O16" s="199"/>
      <c r="P16" s="199"/>
      <c r="Q16" s="199"/>
      <c r="R16" s="199">
        <f t="shared" si="3"/>
        <v>-0.12</v>
      </c>
      <c r="S16" s="199"/>
      <c r="T16" s="199"/>
      <c r="U16" s="199">
        <f t="shared" si="1"/>
        <v>-1.7600000000000002</v>
      </c>
      <c r="V16" s="199">
        <f t="shared" si="2"/>
        <v>0</v>
      </c>
      <c r="W16" s="199"/>
      <c r="Y16" s="204"/>
      <c r="Z16" s="204"/>
      <c r="AA16" s="204"/>
      <c r="AB16" s="204"/>
      <c r="AC16" s="204"/>
      <c r="AD16" s="204"/>
      <c r="AE16" s="204"/>
      <c r="AF16" s="204"/>
      <c r="AG16" s="205" t="s">
        <v>816</v>
      </c>
      <c r="AH16" s="205" t="s">
        <v>817</v>
      </c>
    </row>
    <row r="17" spans="2:34" ht="12.75" customHeight="1">
      <c r="B17" s="93" t="s">
        <v>828</v>
      </c>
      <c r="C17" s="94" t="s">
        <v>813</v>
      </c>
      <c r="D17" s="94">
        <v>1</v>
      </c>
      <c r="E17" s="94">
        <v>1</v>
      </c>
      <c r="F17" s="94">
        <v>1</v>
      </c>
      <c r="G17" s="94">
        <v>2</v>
      </c>
      <c r="H17" s="94">
        <v>4.3</v>
      </c>
      <c r="I17" s="93"/>
      <c r="K17" s="199"/>
      <c r="L17" s="199"/>
      <c r="M17" s="199"/>
      <c r="N17" s="199"/>
      <c r="O17" s="199">
        <f>G17*D17*E17*F17</f>
        <v>2</v>
      </c>
      <c r="P17" s="199"/>
      <c r="Q17" s="199"/>
      <c r="R17" s="199"/>
      <c r="S17" s="199"/>
      <c r="T17" s="199"/>
      <c r="U17" s="199">
        <f t="shared" si="1"/>
        <v>21.5</v>
      </c>
      <c r="V17" s="199"/>
      <c r="W17" s="199">
        <f t="shared" ref="W17:W22" si="5">O17</f>
        <v>2</v>
      </c>
      <c r="Y17" s="207"/>
      <c r="Z17" s="207"/>
      <c r="AA17" s="207"/>
      <c r="AB17" s="207"/>
      <c r="AC17" s="207"/>
      <c r="AD17" s="207"/>
      <c r="AE17" s="207"/>
      <c r="AF17" s="207"/>
      <c r="AG17" s="208" t="s">
        <v>476</v>
      </c>
      <c r="AH17" s="361" t="s">
        <v>829</v>
      </c>
    </row>
    <row r="18" spans="2:34" ht="12.75" customHeight="1">
      <c r="B18" s="181" t="s">
        <v>776</v>
      </c>
      <c r="C18" s="94"/>
      <c r="D18" s="94">
        <v>-1</v>
      </c>
      <c r="E18" s="94">
        <v>1</v>
      </c>
      <c r="F18" s="94">
        <v>0.8</v>
      </c>
      <c r="G18" s="200"/>
      <c r="H18" s="94">
        <v>2.2000000000000002</v>
      </c>
      <c r="K18" s="199"/>
      <c r="L18" s="199"/>
      <c r="M18" s="199"/>
      <c r="N18" s="209"/>
      <c r="O18" s="199">
        <f t="shared" ref="O18:O22" si="6">G18*D18*E18*F18</f>
        <v>0</v>
      </c>
      <c r="P18" s="199"/>
      <c r="Q18" s="199"/>
      <c r="R18" s="199"/>
      <c r="S18" s="199"/>
      <c r="T18" s="199"/>
      <c r="U18" s="199">
        <f t="shared" si="1"/>
        <v>-1.7600000000000002</v>
      </c>
      <c r="V18" s="209"/>
      <c r="W18" s="199">
        <f t="shared" si="5"/>
        <v>0</v>
      </c>
      <c r="Y18" s="207"/>
      <c r="Z18" s="207"/>
      <c r="AA18" s="207"/>
      <c r="AB18" s="207"/>
      <c r="AC18" s="207"/>
      <c r="AD18" s="207"/>
      <c r="AE18" s="207"/>
      <c r="AF18" s="207"/>
      <c r="AG18" s="208" t="s">
        <v>478</v>
      </c>
      <c r="AH18" s="208" t="s">
        <v>830</v>
      </c>
    </row>
    <row r="19" spans="2:34" ht="12.75" customHeight="1">
      <c r="B19" s="93" t="s">
        <v>831</v>
      </c>
      <c r="C19" s="94" t="s">
        <v>813</v>
      </c>
      <c r="D19" s="94">
        <v>1</v>
      </c>
      <c r="E19" s="94">
        <v>1</v>
      </c>
      <c r="F19" s="94">
        <v>1.5</v>
      </c>
      <c r="G19" s="94">
        <v>2</v>
      </c>
      <c r="H19" s="94">
        <v>4.3</v>
      </c>
      <c r="I19" s="93"/>
      <c r="K19" s="199"/>
      <c r="L19" s="199"/>
      <c r="M19" s="199"/>
      <c r="N19" s="199"/>
      <c r="O19" s="199">
        <f t="shared" si="6"/>
        <v>3</v>
      </c>
      <c r="P19" s="199"/>
      <c r="Q19" s="199"/>
      <c r="R19" s="199"/>
      <c r="S19" s="199"/>
      <c r="T19" s="199"/>
      <c r="U19" s="199">
        <f t="shared" si="1"/>
        <v>23.65</v>
      </c>
      <c r="V19" s="199"/>
      <c r="W19" s="199">
        <f t="shared" si="5"/>
        <v>3</v>
      </c>
      <c r="Y19" s="207"/>
      <c r="Z19" s="207"/>
      <c r="AA19" s="207"/>
      <c r="AB19" s="207"/>
      <c r="AC19" s="207"/>
      <c r="AD19" s="207"/>
      <c r="AE19" s="207"/>
      <c r="AF19" s="207"/>
      <c r="AG19" s="208" t="s">
        <v>495</v>
      </c>
      <c r="AH19" s="208" t="s">
        <v>832</v>
      </c>
    </row>
    <row r="20" spans="2:34" ht="12.75" customHeight="1">
      <c r="B20" s="93" t="s">
        <v>777</v>
      </c>
      <c r="C20" s="94"/>
      <c r="D20" s="94">
        <v>-1</v>
      </c>
      <c r="E20" s="94">
        <v>1</v>
      </c>
      <c r="F20" s="94">
        <v>1</v>
      </c>
      <c r="G20" s="200"/>
      <c r="H20" s="94">
        <v>2.2000000000000002</v>
      </c>
      <c r="K20" s="199"/>
      <c r="L20" s="199"/>
      <c r="M20" s="199"/>
      <c r="N20" s="209"/>
      <c r="O20" s="199">
        <f t="shared" si="6"/>
        <v>0</v>
      </c>
      <c r="P20" s="199"/>
      <c r="Q20" s="199"/>
      <c r="R20" s="199"/>
      <c r="S20" s="199"/>
      <c r="T20" s="199"/>
      <c r="U20" s="199">
        <f t="shared" si="1"/>
        <v>-2.2000000000000002</v>
      </c>
      <c r="V20" s="209"/>
      <c r="W20" s="199">
        <f t="shared" si="5"/>
        <v>0</v>
      </c>
      <c r="Y20" s="207"/>
      <c r="Z20" s="207"/>
      <c r="AA20" s="207"/>
      <c r="AB20" s="207"/>
      <c r="AC20" s="207"/>
      <c r="AD20" s="207"/>
      <c r="AE20" s="207"/>
      <c r="AF20" s="207"/>
      <c r="AG20" s="208" t="s">
        <v>810</v>
      </c>
      <c r="AH20" s="208" t="s">
        <v>833</v>
      </c>
    </row>
    <row r="21" spans="2:34" ht="12.75" customHeight="1">
      <c r="B21" s="93" t="s">
        <v>834</v>
      </c>
      <c r="C21" s="94" t="s">
        <v>813</v>
      </c>
      <c r="D21" s="94">
        <v>2</v>
      </c>
      <c r="E21" s="94">
        <v>1</v>
      </c>
      <c r="F21" s="94">
        <v>3.56</v>
      </c>
      <c r="G21" s="94">
        <v>3.56</v>
      </c>
      <c r="H21" s="94">
        <v>4.3</v>
      </c>
      <c r="I21" s="93"/>
      <c r="K21" s="199"/>
      <c r="L21" s="199"/>
      <c r="M21" s="199"/>
      <c r="N21" s="199"/>
      <c r="O21" s="199">
        <f t="shared" si="6"/>
        <v>25.347200000000001</v>
      </c>
      <c r="P21" s="199"/>
      <c r="Q21" s="199"/>
      <c r="R21" s="199"/>
      <c r="S21" s="199">
        <f>((G21+F21*2)*0.5)*D21*E21</f>
        <v>10.68</v>
      </c>
      <c r="T21" s="199"/>
      <c r="U21" s="199">
        <f t="shared" si="1"/>
        <v>91.847999999999999</v>
      </c>
      <c r="V21" s="199"/>
      <c r="W21" s="199">
        <f t="shared" si="5"/>
        <v>25.347200000000001</v>
      </c>
      <c r="Y21" s="201"/>
      <c r="Z21" s="201"/>
      <c r="AA21" s="201"/>
      <c r="AB21" s="201"/>
      <c r="AC21" s="201"/>
      <c r="AD21" s="201"/>
      <c r="AE21" s="201"/>
      <c r="AF21" s="201"/>
      <c r="AG21" s="202" t="s">
        <v>835</v>
      </c>
      <c r="AH21" s="203"/>
    </row>
    <row r="22" spans="2:34" ht="12.75" customHeight="1">
      <c r="B22" s="181" t="s">
        <v>771</v>
      </c>
      <c r="C22" s="94"/>
      <c r="D22" s="94">
        <v>-1</v>
      </c>
      <c r="E22" s="94">
        <v>1</v>
      </c>
      <c r="F22" s="94">
        <v>0.9</v>
      </c>
      <c r="G22" s="200"/>
      <c r="H22" s="94">
        <v>2.2000000000000002</v>
      </c>
      <c r="K22" s="199"/>
      <c r="L22" s="199"/>
      <c r="M22" s="199"/>
      <c r="N22" s="209"/>
      <c r="O22" s="199">
        <f t="shared" si="6"/>
        <v>0</v>
      </c>
      <c r="P22" s="199"/>
      <c r="Q22" s="199"/>
      <c r="R22" s="199"/>
      <c r="S22" s="199"/>
      <c r="T22" s="199"/>
      <c r="U22" s="199">
        <f t="shared" si="1"/>
        <v>-1.9800000000000002</v>
      </c>
      <c r="V22" s="209"/>
      <c r="W22" s="199">
        <f t="shared" si="5"/>
        <v>0</v>
      </c>
      <c r="Y22" s="204"/>
      <c r="Z22" s="204"/>
      <c r="AA22" s="204"/>
      <c r="AB22" s="204"/>
      <c r="AC22" s="204"/>
      <c r="AD22" s="204"/>
      <c r="AE22" s="204"/>
      <c r="AF22" s="204"/>
      <c r="AG22" s="205" t="s">
        <v>816</v>
      </c>
      <c r="AH22" s="205" t="s">
        <v>817</v>
      </c>
    </row>
    <row r="23" spans="2:34" ht="12.75" customHeight="1">
      <c r="B23" s="35" t="s">
        <v>836</v>
      </c>
      <c r="C23" s="94" t="s">
        <v>813</v>
      </c>
      <c r="D23" s="94">
        <v>1</v>
      </c>
      <c r="E23" s="94">
        <v>1</v>
      </c>
      <c r="F23" s="94">
        <v>2.2000000000000002</v>
      </c>
      <c r="G23" s="94">
        <v>4.5999999999999996</v>
      </c>
      <c r="H23" s="94">
        <v>4.3</v>
      </c>
      <c r="I23" s="93"/>
      <c r="K23" s="199"/>
      <c r="L23" s="199">
        <f>PRODUCT(D23:G23)</f>
        <v>10.119999999999999</v>
      </c>
      <c r="M23" s="199"/>
      <c r="N23" s="199"/>
      <c r="O23" s="199"/>
      <c r="P23" s="199"/>
      <c r="Q23" s="199">
        <f>(F23*2+G23*2)*0.15*D23*E23</f>
        <v>2.04</v>
      </c>
      <c r="R23" s="199"/>
      <c r="S23" s="199"/>
      <c r="T23" s="199"/>
      <c r="U23" s="199">
        <f t="shared" si="1"/>
        <v>49.019999999999989</v>
      </c>
      <c r="V23" s="199"/>
      <c r="W23" s="199">
        <f t="shared" ref="W23:W24" si="7">L23</f>
        <v>10.119999999999999</v>
      </c>
      <c r="Y23" s="207"/>
      <c r="Z23" s="207"/>
      <c r="AA23" s="207"/>
      <c r="AB23" s="207"/>
      <c r="AC23" s="207"/>
      <c r="AD23" s="207"/>
      <c r="AE23" s="207"/>
      <c r="AF23" s="207"/>
      <c r="AG23" s="208" t="s">
        <v>783</v>
      </c>
      <c r="AH23" s="208" t="s">
        <v>837</v>
      </c>
    </row>
    <row r="24" spans="2:34" ht="12.75" customHeight="1">
      <c r="B24" s="181" t="s">
        <v>771</v>
      </c>
      <c r="C24" s="94"/>
      <c r="D24" s="94">
        <v>-1</v>
      </c>
      <c r="E24" s="94">
        <v>1</v>
      </c>
      <c r="F24" s="94">
        <v>0.9</v>
      </c>
      <c r="G24" s="200"/>
      <c r="H24" s="94">
        <v>2.2000000000000002</v>
      </c>
      <c r="K24" s="199"/>
      <c r="L24" s="199">
        <f>F22*G22*D22*E22</f>
        <v>0</v>
      </c>
      <c r="M24" s="199"/>
      <c r="N24" s="199"/>
      <c r="O24" s="199"/>
      <c r="P24" s="199"/>
      <c r="Q24" s="199">
        <f>((F16+G16*2)*0.15)*E16*D16</f>
        <v>-0.12</v>
      </c>
      <c r="R24" s="199"/>
      <c r="S24" s="199"/>
      <c r="T24" s="199"/>
      <c r="U24" s="199">
        <f t="shared" si="1"/>
        <v>-1.9800000000000002</v>
      </c>
      <c r="V24" s="199"/>
      <c r="W24" s="199">
        <f t="shared" si="7"/>
        <v>0</v>
      </c>
      <c r="Y24" s="207"/>
      <c r="Z24" s="207"/>
      <c r="AA24" s="207"/>
      <c r="AB24" s="207"/>
      <c r="AC24" s="207"/>
      <c r="AD24" s="207"/>
      <c r="AE24" s="207"/>
      <c r="AF24" s="207"/>
      <c r="AG24" s="208" t="s">
        <v>782</v>
      </c>
      <c r="AH24" s="208" t="s">
        <v>838</v>
      </c>
    </row>
    <row r="25" spans="2:34" ht="12.75" customHeight="1">
      <c r="B25" s="35" t="s">
        <v>839</v>
      </c>
      <c r="C25" s="94" t="s">
        <v>813</v>
      </c>
      <c r="D25" s="94">
        <v>1</v>
      </c>
      <c r="E25" s="94">
        <v>1</v>
      </c>
      <c r="F25" s="105">
        <v>3</v>
      </c>
      <c r="G25" s="200">
        <v>10.45</v>
      </c>
      <c r="H25" s="94">
        <v>4.3</v>
      </c>
      <c r="K25" s="199"/>
      <c r="L25" s="199"/>
      <c r="M25" s="199"/>
      <c r="N25" s="199">
        <f t="shared" ref="N25:N42" si="8">F25*G25*D25*E25</f>
        <v>31.349999999999998</v>
      </c>
      <c r="O25" s="199"/>
      <c r="P25" s="199"/>
      <c r="Q25" s="199"/>
      <c r="R25" s="199">
        <f>((F25+G25*2)*0.15)*D25*E25</f>
        <v>3.5849999999999995</v>
      </c>
      <c r="S25" s="199"/>
      <c r="T25" s="199"/>
      <c r="U25" s="199">
        <f t="shared" si="1"/>
        <v>102.77</v>
      </c>
      <c r="V25" s="199">
        <f t="shared" ref="V25:V42" si="9">N25</f>
        <v>31.349999999999998</v>
      </c>
      <c r="W25" s="199"/>
      <c r="Y25" s="201"/>
      <c r="Z25" s="201"/>
      <c r="AA25" s="201"/>
      <c r="AB25" s="201"/>
      <c r="AC25" s="201"/>
      <c r="AD25" s="201"/>
      <c r="AE25" s="201"/>
      <c r="AF25" s="201"/>
      <c r="AG25" s="202" t="s">
        <v>840</v>
      </c>
      <c r="AH25" s="203"/>
    </row>
    <row r="26" spans="2:34" ht="12.75" customHeight="1">
      <c r="B26" s="93" t="s">
        <v>841</v>
      </c>
      <c r="C26" s="94"/>
      <c r="D26" s="94">
        <v>-1</v>
      </c>
      <c r="E26" s="94">
        <v>1</v>
      </c>
      <c r="F26" s="105">
        <v>1.35</v>
      </c>
      <c r="G26" s="200"/>
      <c r="H26" s="94">
        <v>2.2000000000000002</v>
      </c>
      <c r="K26" s="199"/>
      <c r="L26" s="199"/>
      <c r="M26" s="199"/>
      <c r="N26" s="199">
        <f t="shared" si="8"/>
        <v>0</v>
      </c>
      <c r="O26" s="199"/>
      <c r="P26" s="199"/>
      <c r="Q26" s="199"/>
      <c r="R26" s="199">
        <f>((F26+G26*2)*0.15)*E26*D26</f>
        <v>-0.20250000000000001</v>
      </c>
      <c r="S26" s="199"/>
      <c r="T26" s="199"/>
      <c r="U26" s="199">
        <f t="shared" si="1"/>
        <v>-2.9700000000000006</v>
      </c>
      <c r="V26" s="199">
        <f t="shared" si="9"/>
        <v>0</v>
      </c>
      <c r="W26" s="199"/>
      <c r="Y26" s="204"/>
      <c r="Z26" s="204"/>
      <c r="AA26" s="204"/>
      <c r="AB26" s="204"/>
      <c r="AC26" s="204"/>
      <c r="AD26" s="204"/>
      <c r="AE26" s="204"/>
      <c r="AF26" s="204"/>
      <c r="AG26" s="205" t="s">
        <v>816</v>
      </c>
      <c r="AH26" s="205" t="s">
        <v>817</v>
      </c>
    </row>
    <row r="27" spans="2:34" ht="12.75" customHeight="1">
      <c r="B27" s="35" t="s">
        <v>842</v>
      </c>
      <c r="C27" s="94" t="s">
        <v>813</v>
      </c>
      <c r="D27" s="94">
        <v>1</v>
      </c>
      <c r="E27" s="94">
        <v>1</v>
      </c>
      <c r="F27" s="105">
        <v>3.25</v>
      </c>
      <c r="G27" s="105">
        <v>9.6</v>
      </c>
      <c r="H27" s="94">
        <v>4.3</v>
      </c>
      <c r="K27" s="199"/>
      <c r="L27" s="199"/>
      <c r="M27" s="199"/>
      <c r="N27" s="199">
        <f t="shared" si="8"/>
        <v>31.2</v>
      </c>
      <c r="O27" s="199"/>
      <c r="P27" s="199"/>
      <c r="Q27" s="199"/>
      <c r="R27" s="199">
        <f>((F27+G27*2)*0.15)*D27*E27</f>
        <v>3.3674999999999997</v>
      </c>
      <c r="S27" s="199"/>
      <c r="T27" s="199"/>
      <c r="U27" s="199">
        <f t="shared" si="1"/>
        <v>96.534999999999997</v>
      </c>
      <c r="V27" s="199">
        <f t="shared" si="9"/>
        <v>31.2</v>
      </c>
      <c r="W27" s="199"/>
      <c r="Y27" s="207"/>
      <c r="Z27" s="207"/>
      <c r="AA27" s="207"/>
      <c r="AB27" s="207"/>
      <c r="AC27" s="207"/>
      <c r="AD27" s="207"/>
      <c r="AE27" s="207"/>
      <c r="AF27" s="207"/>
      <c r="AG27" s="208" t="s">
        <v>216</v>
      </c>
      <c r="AH27" s="208" t="s">
        <v>843</v>
      </c>
    </row>
    <row r="28" spans="2:34" ht="12.75" customHeight="1">
      <c r="B28" s="93" t="s">
        <v>841</v>
      </c>
      <c r="C28" s="94"/>
      <c r="D28" s="94">
        <v>-1</v>
      </c>
      <c r="E28" s="94">
        <v>1</v>
      </c>
      <c r="F28" s="105">
        <v>1.56</v>
      </c>
      <c r="G28" s="200"/>
      <c r="H28" s="94">
        <v>2.2000000000000002</v>
      </c>
      <c r="K28" s="199"/>
      <c r="L28" s="199"/>
      <c r="M28" s="199"/>
      <c r="N28" s="199">
        <f t="shared" si="8"/>
        <v>0</v>
      </c>
      <c r="O28" s="199"/>
      <c r="P28" s="199"/>
      <c r="Q28" s="199"/>
      <c r="R28" s="199">
        <f>((F28+G28*2)*0.15)*E28*D28</f>
        <v>-0.23399999999999999</v>
      </c>
      <c r="S28" s="199"/>
      <c r="T28" s="199"/>
      <c r="U28" s="199">
        <f t="shared" si="1"/>
        <v>-3.4320000000000004</v>
      </c>
      <c r="V28" s="199">
        <f t="shared" si="9"/>
        <v>0</v>
      </c>
      <c r="W28" s="199"/>
      <c r="Y28" s="207"/>
      <c r="Z28" s="207"/>
      <c r="AA28" s="207"/>
      <c r="AB28" s="207"/>
      <c r="AC28" s="207"/>
      <c r="AD28" s="207"/>
      <c r="AE28" s="207"/>
      <c r="AF28" s="207"/>
      <c r="AG28" s="208" t="s">
        <v>218</v>
      </c>
      <c r="AH28" s="208" t="s">
        <v>844</v>
      </c>
    </row>
    <row r="29" spans="2:34" ht="12.75" customHeight="1">
      <c r="B29" s="35" t="s">
        <v>845</v>
      </c>
      <c r="C29" s="94" t="s">
        <v>813</v>
      </c>
      <c r="D29" s="94">
        <v>1</v>
      </c>
      <c r="E29" s="94">
        <v>1</v>
      </c>
      <c r="F29" s="105">
        <v>3</v>
      </c>
      <c r="G29" s="105">
        <v>12.1</v>
      </c>
      <c r="H29" s="94">
        <v>4.3</v>
      </c>
      <c r="K29" s="199"/>
      <c r="L29" s="199"/>
      <c r="M29" s="199"/>
      <c r="N29" s="199">
        <f t="shared" si="8"/>
        <v>36.299999999999997</v>
      </c>
      <c r="O29" s="199"/>
      <c r="P29" s="199"/>
      <c r="Q29" s="199"/>
      <c r="R29" s="199">
        <f>((F29+G29*2)*0.15)*D29*E29</f>
        <v>4.08</v>
      </c>
      <c r="S29" s="199"/>
      <c r="T29" s="199"/>
      <c r="U29" s="199">
        <f t="shared" si="1"/>
        <v>116.96</v>
      </c>
      <c r="V29" s="199">
        <f t="shared" si="9"/>
        <v>36.299999999999997</v>
      </c>
      <c r="W29" s="199"/>
    </row>
    <row r="30" spans="2:34" ht="12.75" customHeight="1">
      <c r="B30" s="93" t="s">
        <v>846</v>
      </c>
      <c r="C30" s="94"/>
      <c r="D30" s="94">
        <v>-1</v>
      </c>
      <c r="E30" s="94">
        <v>1</v>
      </c>
      <c r="F30" s="105">
        <v>1.8</v>
      </c>
      <c r="G30" s="200"/>
      <c r="H30" s="94">
        <v>2.2000000000000002</v>
      </c>
      <c r="K30" s="199"/>
      <c r="L30" s="199"/>
      <c r="M30" s="199"/>
      <c r="N30" s="199">
        <f t="shared" si="8"/>
        <v>0</v>
      </c>
      <c r="O30" s="199"/>
      <c r="P30" s="199"/>
      <c r="Q30" s="199"/>
      <c r="R30" s="199">
        <f>((F30+G30*2)*0.15)*E30*D30</f>
        <v>-0.27</v>
      </c>
      <c r="S30" s="199"/>
      <c r="T30" s="199"/>
      <c r="U30" s="199">
        <f t="shared" si="1"/>
        <v>-3.9600000000000004</v>
      </c>
      <c r="V30" s="199">
        <f t="shared" si="9"/>
        <v>0</v>
      </c>
      <c r="W30" s="199"/>
    </row>
    <row r="31" spans="2:34" ht="12.75" customHeight="1">
      <c r="B31" s="35" t="s">
        <v>847</v>
      </c>
      <c r="C31" s="94" t="s">
        <v>813</v>
      </c>
      <c r="D31" s="94">
        <v>1</v>
      </c>
      <c r="E31" s="94">
        <v>4</v>
      </c>
      <c r="F31" s="105">
        <v>2.7</v>
      </c>
      <c r="G31" s="105">
        <v>11.1</v>
      </c>
      <c r="H31" s="94">
        <v>4.3</v>
      </c>
      <c r="K31" s="199"/>
      <c r="L31" s="199"/>
      <c r="M31" s="199"/>
      <c r="N31" s="199">
        <f t="shared" si="8"/>
        <v>119.88000000000001</v>
      </c>
      <c r="O31" s="199"/>
      <c r="P31" s="199"/>
      <c r="Q31" s="199"/>
      <c r="R31" s="199">
        <f>((F31+G31*2)*0.15)*D31*E31</f>
        <v>14.939999999999998</v>
      </c>
      <c r="S31" s="199"/>
      <c r="T31" s="199"/>
      <c r="U31" s="199">
        <f t="shared" si="1"/>
        <v>428.28</v>
      </c>
      <c r="V31" s="199">
        <f t="shared" si="9"/>
        <v>119.88000000000001</v>
      </c>
      <c r="W31" s="199"/>
    </row>
    <row r="32" spans="2:34" ht="12.75" customHeight="1">
      <c r="B32" s="93" t="s">
        <v>846</v>
      </c>
      <c r="C32" s="94"/>
      <c r="D32" s="94">
        <v>-1</v>
      </c>
      <c r="E32" s="94">
        <v>1</v>
      </c>
      <c r="F32" s="105">
        <v>1.8</v>
      </c>
      <c r="G32" s="200"/>
      <c r="H32" s="94">
        <v>2.2000000000000002</v>
      </c>
      <c r="K32" s="199"/>
      <c r="L32" s="199"/>
      <c r="M32" s="199"/>
      <c r="N32" s="199">
        <f t="shared" si="8"/>
        <v>0</v>
      </c>
      <c r="O32" s="199"/>
      <c r="P32" s="199"/>
      <c r="Q32" s="199"/>
      <c r="R32" s="199">
        <f>((F32+G32*2)*0.15)*E32*D32</f>
        <v>-0.27</v>
      </c>
      <c r="S32" s="199"/>
      <c r="T32" s="199"/>
      <c r="U32" s="199">
        <f t="shared" si="1"/>
        <v>-3.9600000000000004</v>
      </c>
      <c r="V32" s="199">
        <f t="shared" si="9"/>
        <v>0</v>
      </c>
      <c r="W32" s="199"/>
    </row>
    <row r="33" spans="2:23" ht="12.75" customHeight="1">
      <c r="B33" s="35" t="s">
        <v>848</v>
      </c>
      <c r="C33" s="94" t="s">
        <v>813</v>
      </c>
      <c r="D33" s="94">
        <v>1</v>
      </c>
      <c r="E33" s="94">
        <v>1</v>
      </c>
      <c r="F33" s="105">
        <v>3</v>
      </c>
      <c r="G33" s="105">
        <v>8.1</v>
      </c>
      <c r="H33" s="94">
        <v>4.3</v>
      </c>
      <c r="K33" s="199"/>
      <c r="L33" s="199"/>
      <c r="M33" s="199"/>
      <c r="N33" s="199">
        <f t="shared" si="8"/>
        <v>24.299999999999997</v>
      </c>
      <c r="O33" s="199"/>
      <c r="P33" s="199"/>
      <c r="Q33" s="199"/>
      <c r="R33" s="199">
        <f>((F33+G33*2)*0.15)*D33*E33</f>
        <v>2.88</v>
      </c>
      <c r="S33" s="199"/>
      <c r="T33" s="199"/>
      <c r="U33" s="199">
        <f t="shared" si="1"/>
        <v>82.559999999999988</v>
      </c>
      <c r="V33" s="199">
        <f t="shared" si="9"/>
        <v>24.299999999999997</v>
      </c>
      <c r="W33" s="199"/>
    </row>
    <row r="34" spans="2:23" ht="12.75" customHeight="1">
      <c r="B34" s="93" t="s">
        <v>846</v>
      </c>
      <c r="C34" s="94"/>
      <c r="D34" s="94">
        <v>-1</v>
      </c>
      <c r="E34" s="94">
        <v>1</v>
      </c>
      <c r="F34" s="105">
        <v>1.8</v>
      </c>
      <c r="G34" s="200"/>
      <c r="H34" s="94">
        <v>2.2000000000000002</v>
      </c>
      <c r="K34" s="199"/>
      <c r="L34" s="199"/>
      <c r="M34" s="199"/>
      <c r="N34" s="199">
        <f t="shared" si="8"/>
        <v>0</v>
      </c>
      <c r="O34" s="199"/>
      <c r="P34" s="199"/>
      <c r="Q34" s="199"/>
      <c r="R34" s="199">
        <f>((F34+G34*2)*0.15)*E34*D34</f>
        <v>-0.27</v>
      </c>
      <c r="S34" s="199"/>
      <c r="T34" s="199"/>
      <c r="U34" s="199">
        <f t="shared" si="1"/>
        <v>-3.9600000000000004</v>
      </c>
      <c r="V34" s="199">
        <f t="shared" si="9"/>
        <v>0</v>
      </c>
      <c r="W34" s="199"/>
    </row>
    <row r="35" spans="2:23" ht="12.75" customHeight="1">
      <c r="B35" s="35" t="s">
        <v>849</v>
      </c>
      <c r="C35" s="94" t="s">
        <v>813</v>
      </c>
      <c r="D35" s="94">
        <v>1</v>
      </c>
      <c r="E35" s="94">
        <v>1</v>
      </c>
      <c r="F35" s="105">
        <v>5.81</v>
      </c>
      <c r="G35" s="105">
        <v>5.81</v>
      </c>
      <c r="H35" s="94">
        <v>4.3</v>
      </c>
      <c r="K35" s="199"/>
      <c r="L35" s="199"/>
      <c r="M35" s="199"/>
      <c r="N35" s="199">
        <f t="shared" si="8"/>
        <v>33.756099999999996</v>
      </c>
      <c r="O35" s="199"/>
      <c r="P35" s="199"/>
      <c r="Q35" s="199"/>
      <c r="R35" s="199">
        <f>((F35+G35*2)*0.15)*D35*E35</f>
        <v>2.6145</v>
      </c>
      <c r="S35" s="199"/>
      <c r="T35" s="199"/>
      <c r="U35" s="199">
        <f t="shared" si="1"/>
        <v>74.948999999999998</v>
      </c>
      <c r="V35" s="199">
        <f t="shared" si="9"/>
        <v>33.756099999999996</v>
      </c>
      <c r="W35" s="199"/>
    </row>
    <row r="36" spans="2:23" ht="12.75" customHeight="1">
      <c r="B36" s="93" t="s">
        <v>846</v>
      </c>
      <c r="C36" s="94"/>
      <c r="D36" s="94">
        <v>-1</v>
      </c>
      <c r="E36" s="94">
        <v>2</v>
      </c>
      <c r="F36" s="105">
        <v>1.8</v>
      </c>
      <c r="G36" s="200"/>
      <c r="H36" s="94">
        <v>2.2000000000000002</v>
      </c>
      <c r="K36" s="199"/>
      <c r="L36" s="199"/>
      <c r="M36" s="199"/>
      <c r="N36" s="199">
        <f t="shared" si="8"/>
        <v>0</v>
      </c>
      <c r="O36" s="199"/>
      <c r="P36" s="199"/>
      <c r="Q36" s="199"/>
      <c r="R36" s="199">
        <f>((F36+G36*2)*0.15)*E36*D36</f>
        <v>-0.54</v>
      </c>
      <c r="S36" s="199"/>
      <c r="T36" s="199"/>
      <c r="U36" s="199">
        <f t="shared" si="1"/>
        <v>-7.9200000000000008</v>
      </c>
      <c r="V36" s="199">
        <f t="shared" si="9"/>
        <v>0</v>
      </c>
      <c r="W36" s="199"/>
    </row>
    <row r="37" spans="2:23" ht="12.75" customHeight="1">
      <c r="B37" s="35" t="s">
        <v>850</v>
      </c>
      <c r="C37" s="94" t="s">
        <v>813</v>
      </c>
      <c r="D37" s="94">
        <v>1</v>
      </c>
      <c r="E37" s="94">
        <v>1</v>
      </c>
      <c r="F37" s="105">
        <v>2.7</v>
      </c>
      <c r="G37" s="105">
        <v>10.1</v>
      </c>
      <c r="H37" s="94">
        <v>4.3</v>
      </c>
      <c r="K37" s="199"/>
      <c r="L37" s="199"/>
      <c r="M37" s="199"/>
      <c r="N37" s="199">
        <f t="shared" si="8"/>
        <v>27.27</v>
      </c>
      <c r="O37" s="199"/>
      <c r="P37" s="199"/>
      <c r="Q37" s="199"/>
      <c r="R37" s="199">
        <f>((F37+G37*2)*0.15)*D37*E37</f>
        <v>3.4349999999999996</v>
      </c>
      <c r="S37" s="199"/>
      <c r="T37" s="199"/>
      <c r="U37" s="199">
        <f t="shared" si="1"/>
        <v>98.469999999999985</v>
      </c>
      <c r="V37" s="199">
        <f t="shared" si="9"/>
        <v>27.27</v>
      </c>
      <c r="W37" s="199"/>
    </row>
    <row r="38" spans="2:23" ht="12.75" customHeight="1">
      <c r="B38" s="93" t="s">
        <v>846</v>
      </c>
      <c r="C38" s="94"/>
      <c r="D38" s="94">
        <v>-1</v>
      </c>
      <c r="E38" s="94">
        <v>1</v>
      </c>
      <c r="F38" s="105">
        <v>1.8</v>
      </c>
      <c r="G38" s="200"/>
      <c r="H38" s="94">
        <v>2.2000000000000002</v>
      </c>
      <c r="K38" s="199"/>
      <c r="L38" s="199"/>
      <c r="M38" s="199"/>
      <c r="N38" s="199">
        <f t="shared" si="8"/>
        <v>0</v>
      </c>
      <c r="O38" s="199"/>
      <c r="P38" s="199"/>
      <c r="Q38" s="199"/>
      <c r="R38" s="199">
        <f>((F38+G38*2)*0.15)*E38*D38</f>
        <v>-0.27</v>
      </c>
      <c r="S38" s="199"/>
      <c r="T38" s="199"/>
      <c r="U38" s="199">
        <f t="shared" si="1"/>
        <v>-3.9600000000000004</v>
      </c>
      <c r="V38" s="199">
        <f t="shared" si="9"/>
        <v>0</v>
      </c>
      <c r="W38" s="199"/>
    </row>
    <row r="39" spans="2:23" ht="12.75" customHeight="1">
      <c r="B39" s="35" t="s">
        <v>851</v>
      </c>
      <c r="C39" s="94" t="s">
        <v>813</v>
      </c>
      <c r="D39" s="94">
        <v>1</v>
      </c>
      <c r="E39" s="94">
        <v>1</v>
      </c>
      <c r="F39" s="105">
        <v>2.75</v>
      </c>
      <c r="G39" s="105">
        <v>11</v>
      </c>
      <c r="H39" s="94">
        <v>4.3</v>
      </c>
      <c r="K39" s="199"/>
      <c r="L39" s="199"/>
      <c r="M39" s="199"/>
      <c r="N39" s="199">
        <f t="shared" si="8"/>
        <v>30.25</v>
      </c>
      <c r="O39" s="199"/>
      <c r="P39" s="199"/>
      <c r="Q39" s="199"/>
      <c r="R39" s="199">
        <f>((F39+G39*2)*0.15)*D39*E39</f>
        <v>3.7124999999999999</v>
      </c>
      <c r="S39" s="199"/>
      <c r="T39" s="199"/>
      <c r="U39" s="199">
        <f t="shared" si="1"/>
        <v>106.425</v>
      </c>
      <c r="V39" s="199">
        <f t="shared" si="9"/>
        <v>30.25</v>
      </c>
      <c r="W39" s="199"/>
    </row>
    <row r="40" spans="2:23" ht="12.75" customHeight="1">
      <c r="B40" s="93" t="s">
        <v>846</v>
      </c>
      <c r="C40" s="94"/>
      <c r="D40" s="94">
        <v>-1</v>
      </c>
      <c r="E40" s="94">
        <v>1</v>
      </c>
      <c r="F40" s="105">
        <v>1.8</v>
      </c>
      <c r="G40" s="200"/>
      <c r="H40" s="94">
        <v>2.2000000000000002</v>
      </c>
      <c r="K40" s="199"/>
      <c r="L40" s="199"/>
      <c r="M40" s="199"/>
      <c r="N40" s="199">
        <f t="shared" si="8"/>
        <v>0</v>
      </c>
      <c r="O40" s="199"/>
      <c r="P40" s="199"/>
      <c r="Q40" s="199"/>
      <c r="R40" s="199">
        <f>((F40+G40*2)*0.15)*E40*D40</f>
        <v>-0.27</v>
      </c>
      <c r="S40" s="199"/>
      <c r="T40" s="199"/>
      <c r="U40" s="199">
        <f t="shared" si="1"/>
        <v>-3.9600000000000004</v>
      </c>
      <c r="V40" s="199">
        <f t="shared" si="9"/>
        <v>0</v>
      </c>
      <c r="W40" s="199"/>
    </row>
    <row r="41" spans="2:23" ht="12.75" customHeight="1">
      <c r="B41" s="35" t="s">
        <v>852</v>
      </c>
      <c r="C41" s="94" t="s">
        <v>813</v>
      </c>
      <c r="D41" s="94">
        <v>1</v>
      </c>
      <c r="E41" s="94">
        <v>1</v>
      </c>
      <c r="F41" s="105">
        <v>3.3</v>
      </c>
      <c r="G41" s="105">
        <v>11.9</v>
      </c>
      <c r="H41" s="94">
        <v>4.3</v>
      </c>
      <c r="K41" s="199"/>
      <c r="L41" s="199"/>
      <c r="M41" s="199"/>
      <c r="N41" s="199">
        <f t="shared" si="8"/>
        <v>39.269999999999996</v>
      </c>
      <c r="O41" s="199"/>
      <c r="P41" s="199"/>
      <c r="Q41" s="199"/>
      <c r="R41" s="199">
        <f>((F41+G41*2)*0.15)*D41*E41</f>
        <v>4.0650000000000004</v>
      </c>
      <c r="S41" s="199"/>
      <c r="T41" s="199"/>
      <c r="U41" s="199">
        <f t="shared" si="1"/>
        <v>116.53</v>
      </c>
      <c r="V41" s="199">
        <f t="shared" si="9"/>
        <v>39.269999999999996</v>
      </c>
      <c r="W41" s="199"/>
    </row>
    <row r="42" spans="2:23" ht="12.75" customHeight="1">
      <c r="B42" s="93" t="s">
        <v>846</v>
      </c>
      <c r="C42" s="94"/>
      <c r="D42" s="94">
        <v>-1</v>
      </c>
      <c r="E42" s="94">
        <v>1</v>
      </c>
      <c r="F42" s="105">
        <v>1.8</v>
      </c>
      <c r="G42" s="200"/>
      <c r="H42" s="94">
        <v>2.2000000000000002</v>
      </c>
      <c r="K42" s="199"/>
      <c r="L42" s="199"/>
      <c r="M42" s="199"/>
      <c r="N42" s="199">
        <f t="shared" si="8"/>
        <v>0</v>
      </c>
      <c r="O42" s="199"/>
      <c r="P42" s="199"/>
      <c r="Q42" s="199"/>
      <c r="R42" s="199">
        <f>((F42+G42*2)*0.15)*E42*D42</f>
        <v>-0.27</v>
      </c>
      <c r="S42" s="199"/>
      <c r="T42" s="199"/>
      <c r="U42" s="199">
        <f t="shared" si="1"/>
        <v>-3.9600000000000004</v>
      </c>
      <c r="V42" s="199">
        <f t="shared" si="9"/>
        <v>0</v>
      </c>
      <c r="W42" s="199"/>
    </row>
    <row r="43" spans="2:23" ht="12.75" customHeight="1">
      <c r="B43" s="93"/>
      <c r="C43" s="94"/>
      <c r="D43" s="94"/>
      <c r="E43" s="94"/>
      <c r="F43" s="94"/>
      <c r="G43" s="94"/>
      <c r="H43" s="94"/>
      <c r="I43" s="93"/>
      <c r="K43" s="199"/>
      <c r="L43" s="199"/>
      <c r="M43" s="199"/>
      <c r="N43" s="199"/>
      <c r="O43" s="199"/>
      <c r="P43" s="199"/>
      <c r="Q43" s="199"/>
      <c r="R43" s="199"/>
      <c r="S43" s="199"/>
      <c r="T43" s="199"/>
      <c r="U43" s="199"/>
      <c r="V43" s="199"/>
      <c r="W43" s="199"/>
    </row>
    <row r="44" spans="2:23" ht="12.75" customHeight="1">
      <c r="B44" s="181" t="s">
        <v>853</v>
      </c>
      <c r="C44" s="94"/>
      <c r="D44" s="94"/>
      <c r="E44" s="94"/>
      <c r="F44" s="94"/>
      <c r="G44" s="94"/>
      <c r="H44" s="94"/>
      <c r="I44" s="93"/>
      <c r="K44" s="199"/>
      <c r="L44" s="199"/>
      <c r="M44" s="199"/>
      <c r="N44" s="199"/>
      <c r="O44" s="199"/>
      <c r="P44" s="199"/>
      <c r="Q44" s="199"/>
      <c r="R44" s="199"/>
      <c r="S44" s="199"/>
      <c r="T44" s="199"/>
      <c r="U44" s="199"/>
      <c r="V44" s="199"/>
      <c r="W44" s="199"/>
    </row>
    <row r="45" spans="2:23" ht="12.75" customHeight="1">
      <c r="B45" s="93" t="s">
        <v>854</v>
      </c>
      <c r="C45" s="94" t="s">
        <v>813</v>
      </c>
      <c r="D45" s="94">
        <v>6</v>
      </c>
      <c r="E45" s="94">
        <v>1</v>
      </c>
      <c r="F45" s="105">
        <v>5.6</v>
      </c>
      <c r="G45" s="200">
        <v>5.6</v>
      </c>
      <c r="H45" s="94">
        <v>3.3</v>
      </c>
      <c r="K45" s="199"/>
      <c r="L45" s="199"/>
      <c r="M45" s="199"/>
      <c r="N45" s="199">
        <f t="shared" ref="N45:N51" si="10">F45*G45*D45*E45</f>
        <v>188.15999999999997</v>
      </c>
      <c r="O45" s="199"/>
      <c r="P45" s="199"/>
      <c r="Q45" s="199"/>
      <c r="R45" s="199">
        <f t="shared" ref="R45:R49" si="11">((F45+G45*2)*0.15)*E45*D45</f>
        <v>15.119999999999997</v>
      </c>
      <c r="S45" s="199"/>
      <c r="T45" s="199"/>
      <c r="U45" s="199">
        <f>(F45*2+G45*2)*H45*D45*E45</f>
        <v>443.51999999999992</v>
      </c>
      <c r="V45" s="199"/>
      <c r="W45" s="199">
        <f t="shared" ref="W45:W51" si="12">N45</f>
        <v>188.15999999999997</v>
      </c>
    </row>
    <row r="46" spans="2:23" ht="12.75" customHeight="1">
      <c r="B46" s="93" t="s">
        <v>785</v>
      </c>
      <c r="C46" s="94"/>
      <c r="D46" s="94">
        <v>-6</v>
      </c>
      <c r="E46" s="94">
        <v>1</v>
      </c>
      <c r="F46" s="105">
        <v>1.1000000000000001</v>
      </c>
      <c r="G46" s="200"/>
      <c r="H46" s="94">
        <v>2.2000000000000002</v>
      </c>
      <c r="K46" s="199"/>
      <c r="L46" s="199"/>
      <c r="M46" s="199"/>
      <c r="N46" s="199">
        <f t="shared" si="10"/>
        <v>0</v>
      </c>
      <c r="O46" s="199"/>
      <c r="P46" s="199"/>
      <c r="Q46" s="199"/>
      <c r="R46" s="199">
        <f t="shared" si="11"/>
        <v>-0.99</v>
      </c>
      <c r="S46" s="199"/>
      <c r="T46" s="199"/>
      <c r="U46" s="199">
        <f t="shared" ref="U46:U48" si="13">(F46+G46*2)*H46*D46*E46</f>
        <v>-14.520000000000003</v>
      </c>
      <c r="V46" s="199"/>
      <c r="W46" s="199">
        <f t="shared" si="12"/>
        <v>0</v>
      </c>
    </row>
    <row r="47" spans="2:23" ht="12.75" customHeight="1">
      <c r="B47" s="93" t="s">
        <v>776</v>
      </c>
      <c r="C47" s="94"/>
      <c r="D47" s="94">
        <v>-6</v>
      </c>
      <c r="E47" s="94">
        <v>1</v>
      </c>
      <c r="F47" s="105">
        <v>0.8</v>
      </c>
      <c r="G47" s="200"/>
      <c r="H47" s="94">
        <v>2.2000000000000002</v>
      </c>
      <c r="I47" s="93"/>
      <c r="K47" s="199"/>
      <c r="L47" s="199"/>
      <c r="M47" s="199"/>
      <c r="N47" s="199">
        <f t="shared" si="10"/>
        <v>0</v>
      </c>
      <c r="O47" s="199"/>
      <c r="P47" s="199"/>
      <c r="Q47" s="199"/>
      <c r="R47" s="199">
        <f t="shared" si="11"/>
        <v>-0.72</v>
      </c>
      <c r="S47" s="199"/>
      <c r="T47" s="199"/>
      <c r="U47" s="199">
        <f t="shared" si="13"/>
        <v>-10.560000000000002</v>
      </c>
      <c r="V47" s="199"/>
      <c r="W47" s="199">
        <f t="shared" si="12"/>
        <v>0</v>
      </c>
    </row>
    <row r="48" spans="2:23" ht="12.75" customHeight="1">
      <c r="B48" s="93" t="s">
        <v>787</v>
      </c>
      <c r="C48" s="94"/>
      <c r="D48" s="94">
        <v>-6</v>
      </c>
      <c r="E48" s="94">
        <v>1</v>
      </c>
      <c r="F48" s="105">
        <v>1</v>
      </c>
      <c r="G48" s="200"/>
      <c r="H48" s="94">
        <v>2.2000000000000002</v>
      </c>
      <c r="I48" s="93"/>
      <c r="K48" s="199"/>
      <c r="L48" s="199"/>
      <c r="M48" s="199"/>
      <c r="N48" s="199">
        <f t="shared" si="10"/>
        <v>0</v>
      </c>
      <c r="O48" s="199"/>
      <c r="P48" s="199"/>
      <c r="Q48" s="199"/>
      <c r="R48" s="199">
        <f t="shared" si="11"/>
        <v>-0.89999999999999991</v>
      </c>
      <c r="S48" s="199"/>
      <c r="T48" s="199"/>
      <c r="U48" s="199">
        <f t="shared" si="13"/>
        <v>-13.200000000000001</v>
      </c>
      <c r="V48" s="199"/>
      <c r="W48" s="199">
        <f t="shared" si="12"/>
        <v>0</v>
      </c>
    </row>
    <row r="49" spans="2:23" ht="12.75" customHeight="1">
      <c r="B49" s="93" t="s">
        <v>855</v>
      </c>
      <c r="C49" s="94" t="s">
        <v>813</v>
      </c>
      <c r="D49" s="94">
        <v>6</v>
      </c>
      <c r="E49" s="94">
        <v>1</v>
      </c>
      <c r="F49" s="105">
        <v>4.0999999999999996</v>
      </c>
      <c r="G49" s="200">
        <v>3</v>
      </c>
      <c r="H49" s="94">
        <v>3.3</v>
      </c>
      <c r="K49" s="199"/>
      <c r="L49" s="199"/>
      <c r="M49" s="199"/>
      <c r="N49" s="199">
        <f t="shared" si="10"/>
        <v>73.8</v>
      </c>
      <c r="O49" s="199"/>
      <c r="P49" s="199"/>
      <c r="Q49" s="199"/>
      <c r="R49" s="199">
        <f t="shared" si="11"/>
        <v>9.09</v>
      </c>
      <c r="S49" s="199"/>
      <c r="T49" s="199"/>
      <c r="U49" s="199">
        <f>(F49*2+G49*2)*H49*D49*E49</f>
        <v>281.15999999999997</v>
      </c>
      <c r="V49" s="199"/>
      <c r="W49" s="199">
        <f t="shared" si="12"/>
        <v>73.8</v>
      </c>
    </row>
    <row r="50" spans="2:23" ht="12.75" customHeight="1">
      <c r="B50" s="93" t="s">
        <v>783</v>
      </c>
      <c r="C50" s="94"/>
      <c r="D50" s="94">
        <v>-6</v>
      </c>
      <c r="E50" s="94">
        <v>1</v>
      </c>
      <c r="F50" s="105">
        <v>2</v>
      </c>
      <c r="G50" s="200"/>
      <c r="H50" s="94">
        <v>1.4</v>
      </c>
      <c r="I50" s="93"/>
      <c r="K50" s="199"/>
      <c r="L50" s="199"/>
      <c r="M50" s="199"/>
      <c r="N50" s="199">
        <f t="shared" si="10"/>
        <v>0</v>
      </c>
      <c r="O50" s="199"/>
      <c r="P50" s="199"/>
      <c r="Q50" s="199"/>
      <c r="R50" s="199">
        <v>0</v>
      </c>
      <c r="S50" s="199"/>
      <c r="T50" s="199"/>
      <c r="U50" s="199">
        <f>(F50+G50*2)*H50*D50*E50</f>
        <v>-16.799999999999997</v>
      </c>
      <c r="V50" s="199"/>
      <c r="W50" s="199">
        <f t="shared" si="12"/>
        <v>0</v>
      </c>
    </row>
    <row r="51" spans="2:23" ht="12.75" customHeight="1">
      <c r="B51" s="93" t="s">
        <v>856</v>
      </c>
      <c r="C51" s="94" t="s">
        <v>813</v>
      </c>
      <c r="D51" s="94">
        <v>6</v>
      </c>
      <c r="E51" s="94">
        <v>1</v>
      </c>
      <c r="F51" s="105">
        <v>1.3</v>
      </c>
      <c r="G51" s="200">
        <v>1.96</v>
      </c>
      <c r="H51" s="94">
        <v>3.3</v>
      </c>
      <c r="K51" s="199"/>
      <c r="L51" s="199"/>
      <c r="M51" s="199"/>
      <c r="N51" s="199">
        <f t="shared" si="10"/>
        <v>15.288</v>
      </c>
      <c r="O51" s="199"/>
      <c r="P51" s="199"/>
      <c r="Q51" s="199"/>
      <c r="R51" s="199">
        <f>((F51+G51*2)*0.15)*E51*D51</f>
        <v>4.6979999999999995</v>
      </c>
      <c r="S51" s="199"/>
      <c r="T51" s="199"/>
      <c r="U51" s="199">
        <f>G51*2*H51*D51*E51</f>
        <v>77.616</v>
      </c>
      <c r="V51" s="199"/>
      <c r="W51" s="199">
        <f t="shared" si="12"/>
        <v>15.288</v>
      </c>
    </row>
    <row r="52" spans="2:23" ht="12.75" customHeight="1">
      <c r="B52" s="93" t="s">
        <v>857</v>
      </c>
      <c r="C52" s="94" t="s">
        <v>813</v>
      </c>
      <c r="D52" s="94">
        <v>6</v>
      </c>
      <c r="E52" s="94">
        <v>1</v>
      </c>
      <c r="F52" s="105">
        <v>1.5</v>
      </c>
      <c r="G52" s="200">
        <v>1.1499999999999999</v>
      </c>
      <c r="H52" s="94">
        <v>3.3</v>
      </c>
      <c r="K52" s="199"/>
      <c r="L52" s="199"/>
      <c r="M52" s="199"/>
      <c r="N52" s="199"/>
      <c r="O52" s="199">
        <f t="shared" ref="O52:O56" si="14">F52*G52*D52*E52</f>
        <v>10.35</v>
      </c>
      <c r="P52" s="199"/>
      <c r="Q52" s="199"/>
      <c r="R52" s="199"/>
      <c r="S52" s="199"/>
      <c r="T52" s="199"/>
      <c r="U52" s="199">
        <f>(G52+F52*2)*H52*D52*E52</f>
        <v>82.17</v>
      </c>
      <c r="V52" s="199"/>
      <c r="W52" s="199">
        <f t="shared" ref="W52:W56" si="15">O52</f>
        <v>10.35</v>
      </c>
    </row>
    <row r="53" spans="2:23" ht="12.75" customHeight="1">
      <c r="B53" s="93" t="s">
        <v>858</v>
      </c>
      <c r="C53" s="94" t="s">
        <v>813</v>
      </c>
      <c r="D53" s="94">
        <v>6</v>
      </c>
      <c r="E53" s="94">
        <v>1</v>
      </c>
      <c r="F53" s="105">
        <v>1.5</v>
      </c>
      <c r="G53" s="200">
        <v>1.1499999999999999</v>
      </c>
      <c r="H53" s="94">
        <v>3.3</v>
      </c>
      <c r="K53" s="199"/>
      <c r="L53" s="199"/>
      <c r="M53" s="199"/>
      <c r="N53" s="199"/>
      <c r="O53" s="199">
        <f t="shared" si="14"/>
        <v>10.35</v>
      </c>
      <c r="P53" s="199"/>
      <c r="Q53" s="199"/>
      <c r="R53" s="199"/>
      <c r="S53" s="199"/>
      <c r="T53" s="199"/>
      <c r="U53" s="199">
        <f t="shared" ref="U53:U56" si="16">(G53*2+F53*2)*H53*D53*E53</f>
        <v>104.94</v>
      </c>
      <c r="V53" s="199"/>
      <c r="W53" s="199">
        <f t="shared" si="15"/>
        <v>10.35</v>
      </c>
    </row>
    <row r="54" spans="2:23" ht="12.75" customHeight="1">
      <c r="B54" s="93" t="s">
        <v>788</v>
      </c>
      <c r="C54" s="94"/>
      <c r="D54" s="94">
        <v>-6</v>
      </c>
      <c r="E54" s="94">
        <v>1</v>
      </c>
      <c r="F54" s="94">
        <v>0.9</v>
      </c>
      <c r="G54" s="94"/>
      <c r="H54" s="94">
        <v>2.2000000000000002</v>
      </c>
      <c r="I54" s="93"/>
      <c r="K54" s="199"/>
      <c r="L54" s="199"/>
      <c r="M54" s="199"/>
      <c r="N54" s="199"/>
      <c r="O54" s="199">
        <f t="shared" si="14"/>
        <v>0</v>
      </c>
      <c r="P54" s="199"/>
      <c r="Q54" s="199"/>
      <c r="R54" s="199"/>
      <c r="S54" s="199"/>
      <c r="T54" s="199"/>
      <c r="U54" s="199">
        <f t="shared" si="16"/>
        <v>-23.76</v>
      </c>
      <c r="V54" s="199"/>
      <c r="W54" s="199">
        <f t="shared" si="15"/>
        <v>0</v>
      </c>
    </row>
    <row r="55" spans="2:23" ht="12.75" customHeight="1">
      <c r="B55" s="93" t="s">
        <v>859</v>
      </c>
      <c r="C55" s="94" t="s">
        <v>813</v>
      </c>
      <c r="D55" s="94">
        <v>6</v>
      </c>
      <c r="E55" s="94">
        <v>1</v>
      </c>
      <c r="F55" s="105">
        <v>2.7</v>
      </c>
      <c r="G55" s="200">
        <v>1.4</v>
      </c>
      <c r="H55" s="94">
        <v>3.3</v>
      </c>
      <c r="K55" s="199"/>
      <c r="L55" s="199"/>
      <c r="M55" s="199"/>
      <c r="N55" s="199"/>
      <c r="O55" s="199">
        <f t="shared" si="14"/>
        <v>22.68</v>
      </c>
      <c r="P55" s="199"/>
      <c r="Q55" s="199"/>
      <c r="R55" s="199"/>
      <c r="S55" s="199"/>
      <c r="T55" s="199"/>
      <c r="U55" s="199">
        <f t="shared" si="16"/>
        <v>162.35999999999996</v>
      </c>
      <c r="V55" s="199"/>
      <c r="W55" s="199">
        <f t="shared" si="15"/>
        <v>22.68</v>
      </c>
    </row>
    <row r="56" spans="2:23" ht="12.75" customHeight="1">
      <c r="B56" s="93" t="s">
        <v>773</v>
      </c>
      <c r="C56" s="94"/>
      <c r="D56" s="94">
        <v>-6</v>
      </c>
      <c r="E56" s="94">
        <v>1</v>
      </c>
      <c r="F56" s="94">
        <v>0.8</v>
      </c>
      <c r="G56" s="94"/>
      <c r="H56" s="94">
        <v>2.2000000000000002</v>
      </c>
      <c r="I56" s="93"/>
      <c r="K56" s="199"/>
      <c r="L56" s="199"/>
      <c r="M56" s="199"/>
      <c r="N56" s="199"/>
      <c r="O56" s="199">
        <f t="shared" si="14"/>
        <v>0</v>
      </c>
      <c r="P56" s="199"/>
      <c r="Q56" s="199"/>
      <c r="R56" s="199"/>
      <c r="S56" s="199"/>
      <c r="T56" s="199"/>
      <c r="U56" s="199">
        <f t="shared" si="16"/>
        <v>-21.120000000000005</v>
      </c>
      <c r="V56" s="199"/>
      <c r="W56" s="199">
        <f t="shared" si="15"/>
        <v>0</v>
      </c>
    </row>
    <row r="57" spans="2:23" ht="12.75" customHeight="1">
      <c r="B57" s="93" t="s">
        <v>856</v>
      </c>
      <c r="C57" s="94" t="s">
        <v>813</v>
      </c>
      <c r="D57" s="94">
        <v>6</v>
      </c>
      <c r="E57" s="94">
        <v>1</v>
      </c>
      <c r="F57" s="105">
        <v>2.83</v>
      </c>
      <c r="G57" s="200">
        <v>0.9</v>
      </c>
      <c r="H57" s="94">
        <v>3.3</v>
      </c>
      <c r="K57" s="199"/>
      <c r="L57" s="199"/>
      <c r="M57" s="199"/>
      <c r="N57" s="199">
        <f t="shared" ref="N57:N58" si="17">F57*G57*D57*E57</f>
        <v>15.282</v>
      </c>
      <c r="O57" s="199"/>
      <c r="P57" s="199"/>
      <c r="Q57" s="199"/>
      <c r="R57" s="199">
        <f>((F57+G57*2)*0.15)*E57*D57</f>
        <v>4.1669999999999998</v>
      </c>
      <c r="S57" s="199"/>
      <c r="T57" s="199"/>
      <c r="U57" s="199">
        <f>G57*2*H57*D57*E57</f>
        <v>35.64</v>
      </c>
      <c r="V57" s="199"/>
      <c r="W57" s="199">
        <f>N57</f>
        <v>15.282</v>
      </c>
    </row>
    <row r="58" spans="2:23" ht="12.75" customHeight="1">
      <c r="B58" s="93" t="s">
        <v>773</v>
      </c>
      <c r="C58" s="94"/>
      <c r="D58" s="94">
        <v>-6</v>
      </c>
      <c r="E58" s="94">
        <v>1</v>
      </c>
      <c r="F58" s="94">
        <v>0.8</v>
      </c>
      <c r="G58" s="94"/>
      <c r="H58" s="94">
        <v>2.2000000000000002</v>
      </c>
      <c r="I58" s="93"/>
      <c r="K58" s="199"/>
      <c r="L58" s="199"/>
      <c r="M58" s="199"/>
      <c r="N58" s="199">
        <f t="shared" si="17"/>
        <v>0</v>
      </c>
      <c r="O58" s="199"/>
      <c r="P58" s="199"/>
      <c r="Q58" s="199"/>
      <c r="R58" s="199"/>
      <c r="S58" s="199"/>
      <c r="T58" s="199"/>
      <c r="U58" s="199">
        <f>(G58*2+F58*2)*H58*D58*E58</f>
        <v>-21.120000000000005</v>
      </c>
      <c r="V58" s="199"/>
      <c r="W58" s="199">
        <f>O58</f>
        <v>0</v>
      </c>
    </row>
    <row r="59" spans="2:23" ht="12.75" customHeight="1">
      <c r="B59" s="181" t="s">
        <v>860</v>
      </c>
      <c r="C59" s="94"/>
      <c r="D59" s="94"/>
      <c r="E59" s="94"/>
      <c r="F59" s="94"/>
      <c r="G59" s="94"/>
      <c r="H59" s="94"/>
      <c r="I59" s="93"/>
      <c r="K59" s="199"/>
      <c r="L59" s="199"/>
      <c r="M59" s="199"/>
      <c r="N59" s="199"/>
      <c r="O59" s="199"/>
      <c r="P59" s="199"/>
      <c r="Q59" s="199"/>
      <c r="R59" s="199"/>
      <c r="S59" s="199"/>
      <c r="T59" s="199"/>
      <c r="U59" s="199"/>
      <c r="V59" s="199"/>
      <c r="W59" s="199"/>
    </row>
    <row r="60" spans="2:23" ht="12.75" customHeight="1">
      <c r="B60" s="93" t="s">
        <v>854</v>
      </c>
      <c r="C60" s="94" t="s">
        <v>813</v>
      </c>
      <c r="D60" s="94">
        <v>6</v>
      </c>
      <c r="E60" s="94">
        <v>1</v>
      </c>
      <c r="F60" s="105">
        <v>3.96</v>
      </c>
      <c r="G60" s="200">
        <v>3.96</v>
      </c>
      <c r="H60" s="94">
        <v>3.3</v>
      </c>
      <c r="K60" s="199"/>
      <c r="L60" s="199"/>
      <c r="M60" s="199"/>
      <c r="N60" s="199">
        <f t="shared" ref="N60:N67" si="18">F60*G60*D60*E60</f>
        <v>94.08959999999999</v>
      </c>
      <c r="O60" s="199"/>
      <c r="P60" s="199"/>
      <c r="Q60" s="199"/>
      <c r="R60" s="199">
        <f t="shared" ref="R60:R67" si="19">((F60+G60*2)*0.15)*E60*D60</f>
        <v>10.691999999999998</v>
      </c>
      <c r="S60" s="199"/>
      <c r="T60" s="199"/>
      <c r="U60" s="199">
        <f>(F60*2+G60*2)*H60*D60*E60</f>
        <v>313.63200000000001</v>
      </c>
      <c r="V60" s="199"/>
      <c r="W60" s="199">
        <f t="shared" ref="W60:W67" si="20">N60</f>
        <v>94.08959999999999</v>
      </c>
    </row>
    <row r="61" spans="2:23" ht="12.75" customHeight="1">
      <c r="B61" s="93" t="s">
        <v>776</v>
      </c>
      <c r="C61" s="94"/>
      <c r="D61" s="94">
        <v>-6</v>
      </c>
      <c r="E61" s="94">
        <v>1</v>
      </c>
      <c r="F61" s="105">
        <v>0.8</v>
      </c>
      <c r="G61" s="200"/>
      <c r="H61" s="94">
        <v>2.2000000000000002</v>
      </c>
      <c r="I61" s="93"/>
      <c r="K61" s="199"/>
      <c r="L61" s="199"/>
      <c r="M61" s="199"/>
      <c r="N61" s="199">
        <f t="shared" si="18"/>
        <v>0</v>
      </c>
      <c r="O61" s="199"/>
      <c r="P61" s="199"/>
      <c r="Q61" s="199"/>
      <c r="R61" s="199">
        <f t="shared" si="19"/>
        <v>-0.72</v>
      </c>
      <c r="S61" s="199"/>
      <c r="T61" s="199"/>
      <c r="U61" s="199">
        <f t="shared" ref="U61:U64" si="21">(F61+G61*2)*H61*D61*E61</f>
        <v>-10.560000000000002</v>
      </c>
      <c r="V61" s="199"/>
      <c r="W61" s="199">
        <f t="shared" si="20"/>
        <v>0</v>
      </c>
    </row>
    <row r="62" spans="2:23" ht="12.75" customHeight="1">
      <c r="B62" s="93" t="s">
        <v>787</v>
      </c>
      <c r="C62" s="94"/>
      <c r="D62" s="94">
        <v>-6</v>
      </c>
      <c r="E62" s="94">
        <v>1</v>
      </c>
      <c r="F62" s="105">
        <v>1</v>
      </c>
      <c r="G62" s="200"/>
      <c r="H62" s="94">
        <v>2.2000000000000002</v>
      </c>
      <c r="I62" s="93"/>
      <c r="K62" s="199"/>
      <c r="L62" s="199"/>
      <c r="M62" s="199"/>
      <c r="N62" s="199">
        <f t="shared" si="18"/>
        <v>0</v>
      </c>
      <c r="O62" s="199"/>
      <c r="P62" s="199"/>
      <c r="Q62" s="199"/>
      <c r="R62" s="199">
        <f t="shared" si="19"/>
        <v>-0.89999999999999991</v>
      </c>
      <c r="S62" s="199"/>
      <c r="T62" s="199"/>
      <c r="U62" s="199">
        <f t="shared" si="21"/>
        <v>-13.200000000000001</v>
      </c>
      <c r="V62" s="199"/>
      <c r="W62" s="199">
        <f t="shared" si="20"/>
        <v>0</v>
      </c>
    </row>
    <row r="63" spans="2:23" ht="12.75" customHeight="1">
      <c r="B63" s="93" t="s">
        <v>770</v>
      </c>
      <c r="C63" s="94"/>
      <c r="D63" s="94">
        <v>-6</v>
      </c>
      <c r="E63" s="94">
        <v>1</v>
      </c>
      <c r="F63" s="105">
        <v>1</v>
      </c>
      <c r="G63" s="200"/>
      <c r="H63" s="94">
        <v>2.2000000000000002</v>
      </c>
      <c r="I63" s="93"/>
      <c r="K63" s="199"/>
      <c r="L63" s="199"/>
      <c r="M63" s="199"/>
      <c r="N63" s="199">
        <f t="shared" si="18"/>
        <v>0</v>
      </c>
      <c r="O63" s="199"/>
      <c r="P63" s="199"/>
      <c r="Q63" s="199"/>
      <c r="R63" s="199">
        <f t="shared" si="19"/>
        <v>-0.89999999999999991</v>
      </c>
      <c r="S63" s="199"/>
      <c r="T63" s="199"/>
      <c r="U63" s="199">
        <f t="shared" si="21"/>
        <v>-13.200000000000001</v>
      </c>
      <c r="V63" s="199"/>
      <c r="W63" s="199">
        <f t="shared" si="20"/>
        <v>0</v>
      </c>
    </row>
    <row r="64" spans="2:23" ht="12.75" customHeight="1">
      <c r="B64" s="93" t="s">
        <v>785</v>
      </c>
      <c r="C64" s="94"/>
      <c r="D64" s="94">
        <v>-6</v>
      </c>
      <c r="E64" s="94">
        <v>1</v>
      </c>
      <c r="F64" s="105">
        <v>1.1000000000000001</v>
      </c>
      <c r="G64" s="200"/>
      <c r="H64" s="94">
        <v>2.2000000000000002</v>
      </c>
      <c r="I64" s="93"/>
      <c r="K64" s="199"/>
      <c r="L64" s="199"/>
      <c r="M64" s="199"/>
      <c r="N64" s="199">
        <f t="shared" si="18"/>
        <v>0</v>
      </c>
      <c r="O64" s="199"/>
      <c r="P64" s="199"/>
      <c r="Q64" s="199"/>
      <c r="R64" s="199">
        <f t="shared" si="19"/>
        <v>-0.99</v>
      </c>
      <c r="S64" s="199"/>
      <c r="T64" s="199"/>
      <c r="U64" s="199">
        <f t="shared" si="21"/>
        <v>-14.520000000000003</v>
      </c>
      <c r="V64" s="199"/>
      <c r="W64" s="199">
        <f t="shared" si="20"/>
        <v>0</v>
      </c>
    </row>
    <row r="65" spans="2:23" ht="12.75" customHeight="1">
      <c r="B65" s="93" t="s">
        <v>855</v>
      </c>
      <c r="C65" s="94" t="s">
        <v>813</v>
      </c>
      <c r="D65" s="94">
        <v>6</v>
      </c>
      <c r="E65" s="94">
        <v>1</v>
      </c>
      <c r="F65" s="105">
        <v>3.8</v>
      </c>
      <c r="G65" s="200">
        <v>3.3</v>
      </c>
      <c r="H65" s="94">
        <v>3.3</v>
      </c>
      <c r="K65" s="199"/>
      <c r="L65" s="199"/>
      <c r="M65" s="199"/>
      <c r="N65" s="199">
        <f t="shared" si="18"/>
        <v>75.239999999999995</v>
      </c>
      <c r="O65" s="199"/>
      <c r="P65" s="199"/>
      <c r="Q65" s="199"/>
      <c r="R65" s="199">
        <f t="shared" si="19"/>
        <v>9.36</v>
      </c>
      <c r="S65" s="199"/>
      <c r="T65" s="199"/>
      <c r="U65" s="199">
        <f>(F65*2+G65*2)*H65*D65*E65</f>
        <v>281.15999999999997</v>
      </c>
      <c r="V65" s="199"/>
      <c r="W65" s="199">
        <f t="shared" si="20"/>
        <v>75.239999999999995</v>
      </c>
    </row>
    <row r="66" spans="2:23" ht="12.75" customHeight="1">
      <c r="B66" s="93" t="s">
        <v>787</v>
      </c>
      <c r="C66" s="94"/>
      <c r="D66" s="94">
        <v>-6</v>
      </c>
      <c r="E66" s="94">
        <v>1</v>
      </c>
      <c r="F66" s="105">
        <v>1</v>
      </c>
      <c r="G66" s="200"/>
      <c r="H66" s="94">
        <v>2.2000000000000002</v>
      </c>
      <c r="I66" s="93"/>
      <c r="K66" s="199"/>
      <c r="L66" s="199"/>
      <c r="M66" s="199"/>
      <c r="N66" s="199">
        <f t="shared" si="18"/>
        <v>0</v>
      </c>
      <c r="O66" s="199"/>
      <c r="P66" s="199"/>
      <c r="Q66" s="199"/>
      <c r="R66" s="199">
        <f t="shared" si="19"/>
        <v>-0.89999999999999991</v>
      </c>
      <c r="S66" s="199"/>
      <c r="T66" s="199"/>
      <c r="U66" s="199">
        <f t="shared" ref="U66:U67" si="22">(F66+G66*2)*H66*D66*E66</f>
        <v>-13.200000000000001</v>
      </c>
      <c r="V66" s="199"/>
      <c r="W66" s="199">
        <f t="shared" si="20"/>
        <v>0</v>
      </c>
    </row>
    <row r="67" spans="2:23" ht="12.75" customHeight="1">
      <c r="B67" s="93" t="s">
        <v>770</v>
      </c>
      <c r="C67" s="94"/>
      <c r="D67" s="94">
        <v>-6</v>
      </c>
      <c r="E67" s="94">
        <v>1</v>
      </c>
      <c r="F67" s="105">
        <v>1</v>
      </c>
      <c r="G67" s="200"/>
      <c r="H67" s="94">
        <v>2.2000000000000002</v>
      </c>
      <c r="I67" s="93"/>
      <c r="K67" s="199"/>
      <c r="L67" s="199"/>
      <c r="M67" s="199"/>
      <c r="N67" s="199">
        <f t="shared" si="18"/>
        <v>0</v>
      </c>
      <c r="O67" s="199"/>
      <c r="P67" s="199"/>
      <c r="Q67" s="199"/>
      <c r="R67" s="199">
        <f t="shared" si="19"/>
        <v>-0.89999999999999991</v>
      </c>
      <c r="S67" s="199"/>
      <c r="T67" s="199"/>
      <c r="U67" s="199">
        <f t="shared" si="22"/>
        <v>-13.200000000000001</v>
      </c>
      <c r="V67" s="199"/>
      <c r="W67" s="199">
        <f t="shared" si="20"/>
        <v>0</v>
      </c>
    </row>
    <row r="68" spans="2:23" ht="12.75" customHeight="1">
      <c r="B68" s="93" t="s">
        <v>858</v>
      </c>
      <c r="C68" s="94" t="s">
        <v>813</v>
      </c>
      <c r="D68" s="94">
        <v>6</v>
      </c>
      <c r="E68" s="94">
        <v>1</v>
      </c>
      <c r="F68" s="105">
        <v>1.5</v>
      </c>
      <c r="G68" s="200">
        <v>1.1499999999999999</v>
      </c>
      <c r="H68" s="94">
        <v>3.3</v>
      </c>
      <c r="K68" s="199"/>
      <c r="L68" s="199"/>
      <c r="M68" s="199"/>
      <c r="N68" s="199"/>
      <c r="O68" s="199">
        <f t="shared" ref="O68:O69" si="23">F68*G68*D68*E68</f>
        <v>10.35</v>
      </c>
      <c r="P68" s="199"/>
      <c r="Q68" s="199"/>
      <c r="R68" s="199"/>
      <c r="S68" s="199"/>
      <c r="T68" s="199"/>
      <c r="U68" s="199">
        <f t="shared" ref="U68:U69" si="24">(G68*2+F68*2)*H68*D68*E68</f>
        <v>104.94</v>
      </c>
      <c r="V68" s="199"/>
      <c r="W68" s="199">
        <f t="shared" ref="W68:W69" si="25">O68</f>
        <v>10.35</v>
      </c>
    </row>
    <row r="69" spans="2:23" ht="12.75" customHeight="1">
      <c r="B69" s="93" t="s">
        <v>788</v>
      </c>
      <c r="C69" s="94"/>
      <c r="D69" s="94">
        <v>-6</v>
      </c>
      <c r="E69" s="94">
        <v>1</v>
      </c>
      <c r="F69" s="94">
        <v>0.9</v>
      </c>
      <c r="G69" s="94"/>
      <c r="H69" s="94">
        <v>2.2000000000000002</v>
      </c>
      <c r="I69" s="93"/>
      <c r="K69" s="199"/>
      <c r="L69" s="199"/>
      <c r="M69" s="199"/>
      <c r="N69" s="199"/>
      <c r="O69" s="199">
        <f t="shared" si="23"/>
        <v>0</v>
      </c>
      <c r="P69" s="199"/>
      <c r="Q69" s="199"/>
      <c r="R69" s="199"/>
      <c r="S69" s="199"/>
      <c r="T69" s="199"/>
      <c r="U69" s="199">
        <f t="shared" si="24"/>
        <v>-23.76</v>
      </c>
      <c r="V69" s="199"/>
      <c r="W69" s="199">
        <f t="shared" si="25"/>
        <v>0</v>
      </c>
    </row>
    <row r="70" spans="2:23" ht="12.75" customHeight="1">
      <c r="B70" s="93" t="s">
        <v>787</v>
      </c>
      <c r="C70" s="94"/>
      <c r="D70" s="94">
        <v>-6</v>
      </c>
      <c r="E70" s="94">
        <v>1</v>
      </c>
      <c r="F70" s="105">
        <v>1</v>
      </c>
      <c r="G70" s="200"/>
      <c r="H70" s="94">
        <v>2.2000000000000002</v>
      </c>
      <c r="I70" s="93"/>
      <c r="K70" s="199"/>
      <c r="L70" s="199"/>
      <c r="M70" s="199"/>
      <c r="N70" s="199">
        <f t="shared" ref="N70:N72" si="26">F70*G70*D70*E70</f>
        <v>0</v>
      </c>
      <c r="O70" s="199"/>
      <c r="P70" s="199"/>
      <c r="Q70" s="199"/>
      <c r="R70" s="199">
        <f t="shared" ref="R70:R72" si="27">((F70+G70*2)*0.15)*E70*D70</f>
        <v>-0.89999999999999991</v>
      </c>
      <c r="S70" s="199"/>
      <c r="T70" s="199"/>
      <c r="U70" s="199">
        <f>(F70+G70*2)*H70*D70*E70</f>
        <v>-13.200000000000001</v>
      </c>
      <c r="V70" s="199"/>
      <c r="W70" s="199">
        <f t="shared" ref="W70:W72" si="28">N70</f>
        <v>0</v>
      </c>
    </row>
    <row r="71" spans="2:23" ht="12.75" customHeight="1">
      <c r="B71" s="93" t="s">
        <v>856</v>
      </c>
      <c r="C71" s="94" t="s">
        <v>813</v>
      </c>
      <c r="D71" s="94">
        <v>6</v>
      </c>
      <c r="E71" s="94">
        <v>1</v>
      </c>
      <c r="F71" s="105">
        <v>1.4</v>
      </c>
      <c r="G71" s="200">
        <v>2.4</v>
      </c>
      <c r="H71" s="94">
        <v>3.3</v>
      </c>
      <c r="K71" s="199"/>
      <c r="L71" s="199"/>
      <c r="M71" s="199"/>
      <c r="N71" s="199">
        <f t="shared" si="26"/>
        <v>20.16</v>
      </c>
      <c r="O71" s="199"/>
      <c r="P71" s="199"/>
      <c r="Q71" s="199"/>
      <c r="R71" s="199">
        <f t="shared" si="27"/>
        <v>5.5799999999999992</v>
      </c>
      <c r="S71" s="199"/>
      <c r="T71" s="199"/>
      <c r="U71" s="199">
        <f>G71*2*H71*D71*E71</f>
        <v>95.039999999999992</v>
      </c>
      <c r="V71" s="199"/>
      <c r="W71" s="199">
        <f t="shared" si="28"/>
        <v>20.16</v>
      </c>
    </row>
    <row r="72" spans="2:23" ht="12.75" customHeight="1">
      <c r="B72" s="93" t="s">
        <v>787</v>
      </c>
      <c r="C72" s="94"/>
      <c r="D72" s="94">
        <v>-6</v>
      </c>
      <c r="E72" s="94">
        <v>1</v>
      </c>
      <c r="F72" s="105">
        <v>1</v>
      </c>
      <c r="G72" s="200"/>
      <c r="H72" s="94">
        <v>2.2000000000000002</v>
      </c>
      <c r="I72" s="93"/>
      <c r="K72" s="199"/>
      <c r="L72" s="199"/>
      <c r="M72" s="199"/>
      <c r="N72" s="199">
        <f t="shared" si="26"/>
        <v>0</v>
      </c>
      <c r="O72" s="199"/>
      <c r="P72" s="199"/>
      <c r="Q72" s="199"/>
      <c r="R72" s="199">
        <f t="shared" si="27"/>
        <v>-0.89999999999999991</v>
      </c>
      <c r="S72" s="199"/>
      <c r="T72" s="199"/>
      <c r="U72" s="199">
        <f>(F72+G72*2)*H72*D72*E72</f>
        <v>-13.200000000000001</v>
      </c>
      <c r="V72" s="199"/>
      <c r="W72" s="199">
        <f t="shared" si="28"/>
        <v>0</v>
      </c>
    </row>
    <row r="73" spans="2:23" ht="12.75" customHeight="1">
      <c r="B73" s="93" t="s">
        <v>859</v>
      </c>
      <c r="C73" s="94" t="s">
        <v>813</v>
      </c>
      <c r="D73" s="94">
        <v>6</v>
      </c>
      <c r="E73" s="94">
        <v>1</v>
      </c>
      <c r="F73" s="105">
        <v>3</v>
      </c>
      <c r="G73" s="200">
        <v>2</v>
      </c>
      <c r="H73" s="94">
        <v>3.3</v>
      </c>
      <c r="K73" s="199"/>
      <c r="L73" s="199"/>
      <c r="M73" s="199"/>
      <c r="N73" s="199"/>
      <c r="O73" s="199">
        <f>F73*G73*D73*E73</f>
        <v>36</v>
      </c>
      <c r="P73" s="199"/>
      <c r="Q73" s="199"/>
      <c r="R73" s="199"/>
      <c r="S73" s="199"/>
      <c r="T73" s="199"/>
      <c r="U73" s="199">
        <f>(G73*2+F73*2)*H73*D73*E73</f>
        <v>198</v>
      </c>
      <c r="V73" s="199"/>
      <c r="W73" s="199">
        <f>O73</f>
        <v>36</v>
      </c>
    </row>
    <row r="74" spans="2:23" ht="12.75" customHeight="1">
      <c r="B74" s="93" t="s">
        <v>782</v>
      </c>
      <c r="C74" s="94"/>
      <c r="D74" s="94">
        <v>-6</v>
      </c>
      <c r="E74" s="94">
        <v>1</v>
      </c>
      <c r="F74" s="105">
        <v>1</v>
      </c>
      <c r="G74" s="200"/>
      <c r="H74" s="94">
        <v>1.1000000000000001</v>
      </c>
      <c r="I74" s="93"/>
      <c r="K74" s="199"/>
      <c r="L74" s="199"/>
      <c r="M74" s="199"/>
      <c r="N74" s="199">
        <f>F74*G74*D74*E74</f>
        <v>0</v>
      </c>
      <c r="O74" s="199"/>
      <c r="P74" s="199"/>
      <c r="Q74" s="199"/>
      <c r="R74" s="199">
        <v>0</v>
      </c>
      <c r="S74" s="199"/>
      <c r="T74" s="199"/>
      <c r="U74" s="199">
        <f>(F74+G74*2)*H74*D74*E74</f>
        <v>-6.6000000000000005</v>
      </c>
      <c r="V74" s="199"/>
      <c r="W74" s="199">
        <f>N74</f>
        <v>0</v>
      </c>
    </row>
    <row r="75" spans="2:23" ht="12.75" customHeight="1">
      <c r="B75" s="93" t="s">
        <v>773</v>
      </c>
      <c r="C75" s="94"/>
      <c r="D75" s="94">
        <v>-6</v>
      </c>
      <c r="E75" s="94">
        <v>1</v>
      </c>
      <c r="F75" s="94">
        <v>0.8</v>
      </c>
      <c r="G75" s="94"/>
      <c r="H75" s="94">
        <v>2.2000000000000002</v>
      </c>
      <c r="I75" s="93"/>
      <c r="K75" s="199"/>
      <c r="L75" s="199"/>
      <c r="M75" s="199"/>
      <c r="N75" s="199"/>
      <c r="O75" s="199">
        <f>F75*G75*D75*E75</f>
        <v>0</v>
      </c>
      <c r="P75" s="199"/>
      <c r="Q75" s="199"/>
      <c r="R75" s="199"/>
      <c r="S75" s="199"/>
      <c r="T75" s="199"/>
      <c r="U75" s="199">
        <f>(G75*2+F75*2)*H75*D75*E75</f>
        <v>-21.120000000000005</v>
      </c>
      <c r="V75" s="199"/>
      <c r="W75" s="199">
        <f>O75</f>
        <v>0</v>
      </c>
    </row>
    <row r="76" spans="2:23" ht="12.75" customHeight="1">
      <c r="B76" s="93" t="s">
        <v>856</v>
      </c>
      <c r="C76" s="94" t="s">
        <v>813</v>
      </c>
      <c r="D76" s="94">
        <v>6</v>
      </c>
      <c r="E76" s="94">
        <v>1</v>
      </c>
      <c r="F76" s="105">
        <v>2.83</v>
      </c>
      <c r="G76" s="200">
        <v>0.9</v>
      </c>
      <c r="H76" s="94">
        <v>3.3</v>
      </c>
      <c r="K76" s="199"/>
      <c r="L76" s="199"/>
      <c r="M76" s="199"/>
      <c r="N76" s="199">
        <f t="shared" ref="N76:N79" si="29">F76*G76*D76*E76</f>
        <v>15.282</v>
      </c>
      <c r="O76" s="199"/>
      <c r="P76" s="199"/>
      <c r="Q76" s="199"/>
      <c r="R76" s="199">
        <f>((F76+G76*2)*0.15)*E76*D76</f>
        <v>4.1669999999999998</v>
      </c>
      <c r="S76" s="199"/>
      <c r="T76" s="199"/>
      <c r="U76" s="199">
        <f>G76*2*H76*D76*E76</f>
        <v>35.64</v>
      </c>
      <c r="V76" s="199"/>
      <c r="W76" s="199">
        <f>N76</f>
        <v>15.282</v>
      </c>
    </row>
    <row r="77" spans="2:23" ht="12.75" customHeight="1">
      <c r="B77" s="93" t="s">
        <v>773</v>
      </c>
      <c r="C77" s="94"/>
      <c r="D77" s="94">
        <v>-6</v>
      </c>
      <c r="E77" s="94">
        <v>1</v>
      </c>
      <c r="F77" s="94">
        <v>0.8</v>
      </c>
      <c r="G77" s="94"/>
      <c r="H77" s="94">
        <v>2.2000000000000002</v>
      </c>
      <c r="I77" s="93"/>
      <c r="K77" s="199"/>
      <c r="L77" s="199"/>
      <c r="M77" s="199"/>
      <c r="N77" s="199">
        <f t="shared" si="29"/>
        <v>0</v>
      </c>
      <c r="O77" s="199"/>
      <c r="P77" s="199"/>
      <c r="Q77" s="199"/>
      <c r="R77" s="199"/>
      <c r="S77" s="199"/>
      <c r="T77" s="199"/>
      <c r="U77" s="199">
        <f>(G77*2+F77*2)*H77*D77*E77</f>
        <v>-21.120000000000005</v>
      </c>
      <c r="V77" s="199"/>
      <c r="W77" s="199">
        <f>O77</f>
        <v>0</v>
      </c>
    </row>
    <row r="78" spans="2:23" ht="12.75" customHeight="1">
      <c r="B78" s="93" t="s">
        <v>856</v>
      </c>
      <c r="C78" s="94" t="s">
        <v>813</v>
      </c>
      <c r="D78" s="94">
        <v>6</v>
      </c>
      <c r="E78" s="94">
        <v>1</v>
      </c>
      <c r="F78" s="105">
        <v>2.83</v>
      </c>
      <c r="G78" s="200">
        <v>0.9</v>
      </c>
      <c r="H78" s="94">
        <v>3.3</v>
      </c>
      <c r="K78" s="199"/>
      <c r="L78" s="199"/>
      <c r="M78" s="199"/>
      <c r="N78" s="199">
        <f t="shared" si="29"/>
        <v>15.282</v>
      </c>
      <c r="O78" s="199"/>
      <c r="P78" s="199"/>
      <c r="Q78" s="199"/>
      <c r="R78" s="199">
        <f t="shared" ref="R78:R79" si="30">((F78+G78*2)*0.15)*E78*D78</f>
        <v>4.1669999999999998</v>
      </c>
      <c r="S78" s="199"/>
      <c r="T78" s="199"/>
      <c r="U78" s="199">
        <f>G78*2*H78*D78*E78</f>
        <v>35.64</v>
      </c>
      <c r="V78" s="199"/>
      <c r="W78" s="199">
        <f t="shared" ref="W78:W79" si="31">N78</f>
        <v>15.282</v>
      </c>
    </row>
    <row r="79" spans="2:23" ht="12.75" customHeight="1">
      <c r="B79" s="93" t="s">
        <v>787</v>
      </c>
      <c r="C79" s="94"/>
      <c r="D79" s="94">
        <v>-6</v>
      </c>
      <c r="E79" s="94">
        <v>1</v>
      </c>
      <c r="F79" s="105">
        <v>1</v>
      </c>
      <c r="G79" s="200"/>
      <c r="H79" s="94">
        <v>2.2000000000000002</v>
      </c>
      <c r="I79" s="93"/>
      <c r="K79" s="199"/>
      <c r="L79" s="199"/>
      <c r="M79" s="199"/>
      <c r="N79" s="199">
        <f t="shared" si="29"/>
        <v>0</v>
      </c>
      <c r="O79" s="199"/>
      <c r="P79" s="199"/>
      <c r="Q79" s="199"/>
      <c r="R79" s="199">
        <f t="shared" si="30"/>
        <v>-0.89999999999999991</v>
      </c>
      <c r="S79" s="199"/>
      <c r="T79" s="199"/>
      <c r="U79" s="199">
        <f>(F79+G79*2)*H79*D79*E79</f>
        <v>-13.200000000000001</v>
      </c>
      <c r="V79" s="199"/>
      <c r="W79" s="199">
        <f t="shared" si="31"/>
        <v>0</v>
      </c>
    </row>
    <row r="80" spans="2:23" ht="12.75" customHeight="1">
      <c r="B80" s="93" t="s">
        <v>857</v>
      </c>
      <c r="C80" s="94" t="s">
        <v>813</v>
      </c>
      <c r="D80" s="94">
        <v>6</v>
      </c>
      <c r="E80" s="94">
        <v>1</v>
      </c>
      <c r="F80" s="105">
        <v>1.69</v>
      </c>
      <c r="G80" s="200">
        <v>1</v>
      </c>
      <c r="H80" s="94">
        <v>3.3</v>
      </c>
      <c r="K80" s="199"/>
      <c r="L80" s="199"/>
      <c r="M80" s="199"/>
      <c r="N80" s="199"/>
      <c r="O80" s="199">
        <f>F80*G80*D80*E80</f>
        <v>10.14</v>
      </c>
      <c r="P80" s="199"/>
      <c r="Q80" s="199"/>
      <c r="R80" s="199"/>
      <c r="S80" s="199"/>
      <c r="T80" s="199"/>
      <c r="U80" s="199">
        <f>(G80+F80*2)*H80*D80*E80</f>
        <v>86.72399999999999</v>
      </c>
      <c r="V80" s="199"/>
      <c r="W80" s="199">
        <f>O80</f>
        <v>10.14</v>
      </c>
    </row>
    <row r="81" spans="2:23" ht="12.75" customHeight="1">
      <c r="B81" s="93" t="s">
        <v>776</v>
      </c>
      <c r="C81" s="94"/>
      <c r="D81" s="94">
        <v>-6</v>
      </c>
      <c r="E81" s="94">
        <v>1</v>
      </c>
      <c r="F81" s="105">
        <v>0.8</v>
      </c>
      <c r="G81" s="200"/>
      <c r="H81" s="94">
        <v>2.2000000000000002</v>
      </c>
      <c r="I81" s="93"/>
      <c r="K81" s="199"/>
      <c r="L81" s="199"/>
      <c r="M81" s="199"/>
      <c r="N81" s="199">
        <f>F81*G81*D81*E81</f>
        <v>0</v>
      </c>
      <c r="O81" s="199"/>
      <c r="P81" s="199"/>
      <c r="Q81" s="199"/>
      <c r="R81" s="199">
        <f>((F81+G81*2)*0.15)*E81*D81</f>
        <v>-0.72</v>
      </c>
      <c r="S81" s="199"/>
      <c r="T81" s="199"/>
      <c r="U81" s="199">
        <f>(F81+G81*2)*H81*D81*E81</f>
        <v>-10.560000000000002</v>
      </c>
      <c r="V81" s="199"/>
      <c r="W81" s="199">
        <f>N81</f>
        <v>0</v>
      </c>
    </row>
    <row r="82" spans="2:23" ht="12.75" customHeight="1">
      <c r="B82" s="181" t="s">
        <v>861</v>
      </c>
      <c r="C82" s="94"/>
      <c r="D82" s="94"/>
      <c r="E82" s="94"/>
      <c r="F82" s="94"/>
      <c r="G82" s="94"/>
      <c r="H82" s="94"/>
      <c r="I82" s="93"/>
      <c r="K82" s="199"/>
      <c r="L82" s="199"/>
      <c r="M82" s="199"/>
      <c r="N82" s="199"/>
      <c r="O82" s="199"/>
      <c r="P82" s="199"/>
      <c r="Q82" s="199"/>
      <c r="R82" s="199"/>
      <c r="S82" s="199"/>
      <c r="T82" s="199"/>
      <c r="U82" s="199"/>
      <c r="V82" s="199"/>
      <c r="W82" s="199"/>
    </row>
    <row r="83" spans="2:23" ht="12.75" customHeight="1">
      <c r="B83" s="93" t="s">
        <v>854</v>
      </c>
      <c r="C83" s="94" t="s">
        <v>813</v>
      </c>
      <c r="D83" s="94">
        <v>6</v>
      </c>
      <c r="E83" s="94">
        <v>1</v>
      </c>
      <c r="F83" s="105">
        <v>4.62</v>
      </c>
      <c r="G83" s="200">
        <v>4.62</v>
      </c>
      <c r="H83" s="94">
        <v>3.3</v>
      </c>
      <c r="K83" s="199"/>
      <c r="L83" s="199"/>
      <c r="M83" s="199"/>
      <c r="N83" s="199">
        <f t="shared" ref="N83:N90" si="32">F83*G83*D83*E83</f>
        <v>128.06639999999999</v>
      </c>
      <c r="O83" s="199"/>
      <c r="P83" s="199"/>
      <c r="Q83" s="199"/>
      <c r="R83" s="199">
        <f t="shared" ref="R83:R90" si="33">((F83+G83*2)*0.15)*E83*D83</f>
        <v>12.473999999999998</v>
      </c>
      <c r="S83" s="199"/>
      <c r="T83" s="199"/>
      <c r="U83" s="199">
        <f>(F83*2+G83*2)*H83*D83*E83</f>
        <v>365.904</v>
      </c>
      <c r="V83" s="199"/>
      <c r="W83" s="199">
        <f t="shared" ref="W83:W90" si="34">N83</f>
        <v>128.06639999999999</v>
      </c>
    </row>
    <row r="84" spans="2:23" ht="12.75" customHeight="1">
      <c r="B84" s="93" t="s">
        <v>776</v>
      </c>
      <c r="C84" s="94"/>
      <c r="D84" s="94">
        <v>-6</v>
      </c>
      <c r="E84" s="94">
        <v>1</v>
      </c>
      <c r="F84" s="105">
        <v>0.8</v>
      </c>
      <c r="G84" s="200"/>
      <c r="H84" s="94">
        <v>2.2000000000000002</v>
      </c>
      <c r="I84" s="93"/>
      <c r="K84" s="199"/>
      <c r="L84" s="199"/>
      <c r="M84" s="199"/>
      <c r="N84" s="199">
        <f t="shared" si="32"/>
        <v>0</v>
      </c>
      <c r="O84" s="199"/>
      <c r="P84" s="199"/>
      <c r="Q84" s="199"/>
      <c r="R84" s="199">
        <f t="shared" si="33"/>
        <v>-0.72</v>
      </c>
      <c r="S84" s="199"/>
      <c r="T84" s="199"/>
      <c r="U84" s="199">
        <f t="shared" ref="U84:U87" si="35">(F84+G84*2)*H84*D84*E84</f>
        <v>-10.560000000000002</v>
      </c>
      <c r="V84" s="199"/>
      <c r="W84" s="199">
        <f t="shared" si="34"/>
        <v>0</v>
      </c>
    </row>
    <row r="85" spans="2:23" ht="12.75" customHeight="1">
      <c r="B85" s="93" t="s">
        <v>787</v>
      </c>
      <c r="C85" s="94"/>
      <c r="D85" s="94">
        <v>-6</v>
      </c>
      <c r="E85" s="94">
        <v>1</v>
      </c>
      <c r="F85" s="105">
        <v>1</v>
      </c>
      <c r="G85" s="200"/>
      <c r="H85" s="94">
        <v>2.2000000000000002</v>
      </c>
      <c r="I85" s="93"/>
      <c r="K85" s="199"/>
      <c r="L85" s="199"/>
      <c r="M85" s="199"/>
      <c r="N85" s="199">
        <f t="shared" si="32"/>
        <v>0</v>
      </c>
      <c r="O85" s="199"/>
      <c r="P85" s="199"/>
      <c r="Q85" s="199"/>
      <c r="R85" s="199">
        <f t="shared" si="33"/>
        <v>-0.89999999999999991</v>
      </c>
      <c r="S85" s="199"/>
      <c r="T85" s="199"/>
      <c r="U85" s="199">
        <f t="shared" si="35"/>
        <v>-13.200000000000001</v>
      </c>
      <c r="V85" s="199"/>
      <c r="W85" s="199">
        <f t="shared" si="34"/>
        <v>0</v>
      </c>
    </row>
    <row r="86" spans="2:23" ht="12.75" customHeight="1">
      <c r="B86" s="93" t="s">
        <v>770</v>
      </c>
      <c r="C86" s="94"/>
      <c r="D86" s="94">
        <v>-6</v>
      </c>
      <c r="E86" s="94">
        <v>1</v>
      </c>
      <c r="F86" s="105">
        <v>1</v>
      </c>
      <c r="G86" s="200"/>
      <c r="H86" s="94">
        <v>2.2000000000000002</v>
      </c>
      <c r="I86" s="93"/>
      <c r="K86" s="199"/>
      <c r="L86" s="199"/>
      <c r="M86" s="199"/>
      <c r="N86" s="199">
        <f t="shared" si="32"/>
        <v>0</v>
      </c>
      <c r="O86" s="199"/>
      <c r="P86" s="199"/>
      <c r="Q86" s="199"/>
      <c r="R86" s="199">
        <f t="shared" si="33"/>
        <v>-0.89999999999999991</v>
      </c>
      <c r="S86" s="199"/>
      <c r="T86" s="199"/>
      <c r="U86" s="199">
        <f t="shared" si="35"/>
        <v>-13.200000000000001</v>
      </c>
      <c r="V86" s="199"/>
      <c r="W86" s="199">
        <f t="shared" si="34"/>
        <v>0</v>
      </c>
    </row>
    <row r="87" spans="2:23" ht="12.75" customHeight="1">
      <c r="B87" s="93" t="s">
        <v>785</v>
      </c>
      <c r="C87" s="94"/>
      <c r="D87" s="94">
        <v>-6</v>
      </c>
      <c r="E87" s="94">
        <v>1</v>
      </c>
      <c r="F87" s="105">
        <v>1.1000000000000001</v>
      </c>
      <c r="G87" s="200"/>
      <c r="H87" s="94">
        <v>2.2000000000000002</v>
      </c>
      <c r="I87" s="93"/>
      <c r="K87" s="199"/>
      <c r="L87" s="199"/>
      <c r="M87" s="199"/>
      <c r="N87" s="199">
        <f t="shared" si="32"/>
        <v>0</v>
      </c>
      <c r="O87" s="199"/>
      <c r="P87" s="199"/>
      <c r="Q87" s="199"/>
      <c r="R87" s="199">
        <f t="shared" si="33"/>
        <v>-0.99</v>
      </c>
      <c r="S87" s="199"/>
      <c r="T87" s="199"/>
      <c r="U87" s="199">
        <f t="shared" si="35"/>
        <v>-14.520000000000003</v>
      </c>
      <c r="V87" s="199"/>
      <c r="W87" s="199">
        <f t="shared" si="34"/>
        <v>0</v>
      </c>
    </row>
    <row r="88" spans="2:23" ht="12.75" customHeight="1">
      <c r="B88" s="93" t="s">
        <v>855</v>
      </c>
      <c r="C88" s="94" t="s">
        <v>813</v>
      </c>
      <c r="D88" s="94">
        <v>6</v>
      </c>
      <c r="E88" s="94">
        <v>1</v>
      </c>
      <c r="F88" s="105">
        <v>3.8</v>
      </c>
      <c r="G88" s="200">
        <v>3.2</v>
      </c>
      <c r="H88" s="94">
        <v>3.3</v>
      </c>
      <c r="K88" s="199"/>
      <c r="L88" s="199"/>
      <c r="M88" s="199"/>
      <c r="N88" s="199">
        <f t="shared" si="32"/>
        <v>72.960000000000008</v>
      </c>
      <c r="O88" s="199"/>
      <c r="P88" s="199"/>
      <c r="Q88" s="199"/>
      <c r="R88" s="199">
        <f t="shared" si="33"/>
        <v>9.18</v>
      </c>
      <c r="S88" s="199"/>
      <c r="T88" s="199"/>
      <c r="U88" s="199">
        <f>(F88*2+G88*2)*H88*D88*E88</f>
        <v>277.2</v>
      </c>
      <c r="V88" s="199"/>
      <c r="W88" s="199">
        <f t="shared" si="34"/>
        <v>72.960000000000008</v>
      </c>
    </row>
    <row r="89" spans="2:23" ht="12.75" customHeight="1">
      <c r="B89" s="93" t="s">
        <v>787</v>
      </c>
      <c r="C89" s="94"/>
      <c r="D89" s="94">
        <v>-6</v>
      </c>
      <c r="E89" s="94">
        <v>1</v>
      </c>
      <c r="F89" s="105">
        <v>1</v>
      </c>
      <c r="G89" s="200"/>
      <c r="H89" s="94">
        <v>2.2000000000000002</v>
      </c>
      <c r="I89" s="93"/>
      <c r="K89" s="199"/>
      <c r="L89" s="199"/>
      <c r="M89" s="199"/>
      <c r="N89" s="199">
        <f t="shared" si="32"/>
        <v>0</v>
      </c>
      <c r="O89" s="199"/>
      <c r="P89" s="199"/>
      <c r="Q89" s="199"/>
      <c r="R89" s="199">
        <f t="shared" si="33"/>
        <v>-0.89999999999999991</v>
      </c>
      <c r="S89" s="199"/>
      <c r="T89" s="199"/>
      <c r="U89" s="199">
        <f t="shared" ref="U89:U90" si="36">(F89+G89*2)*H89*D89*E89</f>
        <v>-13.200000000000001</v>
      </c>
      <c r="V89" s="199"/>
      <c r="W89" s="199">
        <f t="shared" si="34"/>
        <v>0</v>
      </c>
    </row>
    <row r="90" spans="2:23" ht="12.75" customHeight="1">
      <c r="B90" s="93" t="s">
        <v>770</v>
      </c>
      <c r="C90" s="94"/>
      <c r="D90" s="94">
        <v>-6</v>
      </c>
      <c r="E90" s="94">
        <v>1</v>
      </c>
      <c r="F90" s="105">
        <v>1</v>
      </c>
      <c r="G90" s="200"/>
      <c r="H90" s="94">
        <v>2.2000000000000002</v>
      </c>
      <c r="I90" s="93"/>
      <c r="K90" s="199"/>
      <c r="L90" s="199"/>
      <c r="M90" s="199"/>
      <c r="N90" s="199">
        <f t="shared" si="32"/>
        <v>0</v>
      </c>
      <c r="O90" s="199"/>
      <c r="P90" s="199"/>
      <c r="Q90" s="199"/>
      <c r="R90" s="199">
        <f t="shared" si="33"/>
        <v>-0.89999999999999991</v>
      </c>
      <c r="S90" s="199"/>
      <c r="T90" s="199"/>
      <c r="U90" s="199">
        <f t="shared" si="36"/>
        <v>-13.200000000000001</v>
      </c>
      <c r="V90" s="199"/>
      <c r="W90" s="199">
        <f t="shared" si="34"/>
        <v>0</v>
      </c>
    </row>
    <row r="91" spans="2:23" ht="12.75" customHeight="1">
      <c r="B91" s="93" t="s">
        <v>858</v>
      </c>
      <c r="C91" s="94" t="s">
        <v>813</v>
      </c>
      <c r="D91" s="94">
        <v>6</v>
      </c>
      <c r="E91" s="94">
        <v>1</v>
      </c>
      <c r="F91" s="105">
        <v>2.7</v>
      </c>
      <c r="G91" s="200">
        <v>1.5</v>
      </c>
      <c r="H91" s="94">
        <v>3.3</v>
      </c>
      <c r="K91" s="199"/>
      <c r="L91" s="199"/>
      <c r="M91" s="199"/>
      <c r="N91" s="199"/>
      <c r="O91" s="199">
        <f t="shared" ref="O91:O93" si="37">F91*G91*D91*E91</f>
        <v>24.300000000000004</v>
      </c>
      <c r="P91" s="199"/>
      <c r="Q91" s="199"/>
      <c r="R91" s="199"/>
      <c r="S91" s="199"/>
      <c r="T91" s="199"/>
      <c r="U91" s="199">
        <f t="shared" ref="U91:U92" si="38">(G91*2+F91*2)*H91*D91*E91</f>
        <v>166.32</v>
      </c>
      <c r="V91" s="199"/>
      <c r="W91" s="199">
        <f t="shared" ref="W91:W93" si="39">O91</f>
        <v>24.300000000000004</v>
      </c>
    </row>
    <row r="92" spans="2:23" ht="12.75" customHeight="1">
      <c r="B92" s="93" t="s">
        <v>788</v>
      </c>
      <c r="C92" s="94"/>
      <c r="D92" s="94">
        <v>-6</v>
      </c>
      <c r="E92" s="94">
        <v>1</v>
      </c>
      <c r="F92" s="94">
        <v>0.9</v>
      </c>
      <c r="G92" s="94"/>
      <c r="H92" s="94">
        <v>2.2000000000000002</v>
      </c>
      <c r="I92" s="93"/>
      <c r="K92" s="199"/>
      <c r="L92" s="199"/>
      <c r="M92" s="199"/>
      <c r="N92" s="199"/>
      <c r="O92" s="199">
        <f t="shared" si="37"/>
        <v>0</v>
      </c>
      <c r="P92" s="199"/>
      <c r="Q92" s="199"/>
      <c r="R92" s="199"/>
      <c r="S92" s="199"/>
      <c r="T92" s="199"/>
      <c r="U92" s="199">
        <f t="shared" si="38"/>
        <v>-23.76</v>
      </c>
      <c r="V92" s="199"/>
      <c r="W92" s="199">
        <f t="shared" si="39"/>
        <v>0</v>
      </c>
    </row>
    <row r="93" spans="2:23" ht="12.75" customHeight="1">
      <c r="B93" s="93" t="s">
        <v>857</v>
      </c>
      <c r="C93" s="94" t="s">
        <v>813</v>
      </c>
      <c r="D93" s="94">
        <v>6</v>
      </c>
      <c r="E93" s="94">
        <v>1</v>
      </c>
      <c r="F93" s="105">
        <v>1.8</v>
      </c>
      <c r="G93" s="200">
        <v>1</v>
      </c>
      <c r="H93" s="94">
        <v>3.3</v>
      </c>
      <c r="K93" s="199"/>
      <c r="L93" s="199"/>
      <c r="M93" s="199"/>
      <c r="N93" s="199"/>
      <c r="O93" s="199">
        <f t="shared" si="37"/>
        <v>10.8</v>
      </c>
      <c r="P93" s="199"/>
      <c r="Q93" s="199"/>
      <c r="R93" s="199"/>
      <c r="S93" s="199"/>
      <c r="T93" s="199"/>
      <c r="U93" s="199">
        <f>(G93+F93*2)*H93*D93*E93</f>
        <v>91.079999999999984</v>
      </c>
      <c r="V93" s="199"/>
      <c r="W93" s="199">
        <f t="shared" si="39"/>
        <v>10.8</v>
      </c>
    </row>
    <row r="94" spans="2:23" ht="12.75" customHeight="1">
      <c r="B94" s="93" t="s">
        <v>776</v>
      </c>
      <c r="C94" s="94"/>
      <c r="D94" s="94">
        <v>-6</v>
      </c>
      <c r="E94" s="94">
        <v>1</v>
      </c>
      <c r="F94" s="105">
        <v>0.8</v>
      </c>
      <c r="G94" s="200"/>
      <c r="H94" s="94">
        <v>2.2000000000000002</v>
      </c>
      <c r="I94" s="93"/>
      <c r="K94" s="199"/>
      <c r="L94" s="199"/>
      <c r="M94" s="199"/>
      <c r="N94" s="199">
        <f>F94*G94*D94*E94</f>
        <v>0</v>
      </c>
      <c r="O94" s="199"/>
      <c r="P94" s="199"/>
      <c r="Q94" s="199"/>
      <c r="R94" s="199">
        <f>((F94+G94*2)*0.15)*E94*D94</f>
        <v>-0.72</v>
      </c>
      <c r="S94" s="199"/>
      <c r="T94" s="199"/>
      <c r="U94" s="199">
        <f>(F94+G94*2)*H94*D94*E94</f>
        <v>-10.560000000000002</v>
      </c>
      <c r="V94" s="199"/>
      <c r="W94" s="199">
        <f>N94</f>
        <v>0</v>
      </c>
    </row>
    <row r="95" spans="2:23" ht="12.75" customHeight="1">
      <c r="B95" s="93" t="s">
        <v>859</v>
      </c>
      <c r="C95" s="94" t="s">
        <v>813</v>
      </c>
      <c r="D95" s="94">
        <v>6</v>
      </c>
      <c r="E95" s="94">
        <v>1</v>
      </c>
      <c r="F95" s="105">
        <v>2.6</v>
      </c>
      <c r="G95" s="200">
        <v>2</v>
      </c>
      <c r="H95" s="94">
        <v>3.3</v>
      </c>
      <c r="K95" s="199"/>
      <c r="L95" s="199"/>
      <c r="M95" s="199"/>
      <c r="N95" s="199"/>
      <c r="O95" s="199">
        <f>F95*G95*D95*E95</f>
        <v>31.200000000000003</v>
      </c>
      <c r="P95" s="199"/>
      <c r="Q95" s="199"/>
      <c r="R95" s="199"/>
      <c r="S95" s="199"/>
      <c r="T95" s="199"/>
      <c r="U95" s="199">
        <f>(G95*2+F95*2)*H95*D95*E95</f>
        <v>182.15999999999997</v>
      </c>
      <c r="V95" s="199"/>
      <c r="W95" s="199">
        <f>O95</f>
        <v>31.200000000000003</v>
      </c>
    </row>
    <row r="96" spans="2:23" ht="12.75" customHeight="1">
      <c r="B96" s="93" t="s">
        <v>782</v>
      </c>
      <c r="C96" s="94"/>
      <c r="D96" s="94">
        <v>-6</v>
      </c>
      <c r="E96" s="94">
        <v>1</v>
      </c>
      <c r="F96" s="105">
        <v>1</v>
      </c>
      <c r="G96" s="200"/>
      <c r="H96" s="94">
        <v>1.1000000000000001</v>
      </c>
      <c r="I96" s="93"/>
      <c r="K96" s="199"/>
      <c r="L96" s="199"/>
      <c r="M96" s="199"/>
      <c r="N96" s="199">
        <f>F96*G96*D96*E96</f>
        <v>0</v>
      </c>
      <c r="O96" s="199"/>
      <c r="P96" s="199"/>
      <c r="Q96" s="199"/>
      <c r="R96" s="199">
        <v>0</v>
      </c>
      <c r="S96" s="199"/>
      <c r="T96" s="199"/>
      <c r="U96" s="199">
        <f>(F96+G96*2)*H96*D96*E96</f>
        <v>-6.6000000000000005</v>
      </c>
      <c r="V96" s="199"/>
      <c r="W96" s="199">
        <f>N96</f>
        <v>0</v>
      </c>
    </row>
    <row r="97" spans="2:23" ht="12.75" customHeight="1">
      <c r="B97" s="93" t="s">
        <v>773</v>
      </c>
      <c r="C97" s="94"/>
      <c r="D97" s="94">
        <v>-6</v>
      </c>
      <c r="E97" s="94">
        <v>1</v>
      </c>
      <c r="F97" s="94">
        <v>0.8</v>
      </c>
      <c r="G97" s="94"/>
      <c r="H97" s="94">
        <v>2.2000000000000002</v>
      </c>
      <c r="I97" s="93"/>
      <c r="K97" s="199"/>
      <c r="L97" s="199"/>
      <c r="M97" s="199"/>
      <c r="N97" s="199"/>
      <c r="O97" s="199">
        <f>F97*G97*D97*E97</f>
        <v>0</v>
      </c>
      <c r="P97" s="199"/>
      <c r="Q97" s="199"/>
      <c r="R97" s="199"/>
      <c r="S97" s="199"/>
      <c r="T97" s="199"/>
      <c r="U97" s="199">
        <f>(G97*2+F97*2)*H97*D97*E97</f>
        <v>-21.120000000000005</v>
      </c>
      <c r="V97" s="199"/>
      <c r="W97" s="199">
        <f>O97</f>
        <v>0</v>
      </c>
    </row>
    <row r="98" spans="2:23" ht="12.75" customHeight="1">
      <c r="B98" s="93" t="s">
        <v>856</v>
      </c>
      <c r="C98" s="94" t="s">
        <v>813</v>
      </c>
      <c r="D98" s="94">
        <v>6</v>
      </c>
      <c r="E98" s="94">
        <v>1</v>
      </c>
      <c r="F98" s="105">
        <v>2.2000000000000002</v>
      </c>
      <c r="G98" s="200">
        <v>0.8</v>
      </c>
      <c r="H98" s="94">
        <v>3.3</v>
      </c>
      <c r="K98" s="199"/>
      <c r="L98" s="199"/>
      <c r="M98" s="199"/>
      <c r="N98" s="199">
        <f t="shared" ref="N98:N101" si="40">F98*G98*D98*E98</f>
        <v>10.560000000000002</v>
      </c>
      <c r="O98" s="199"/>
      <c r="P98" s="199"/>
      <c r="Q98" s="199"/>
      <c r="R98" s="199">
        <f>((F98+G98*2)*0.15)*E98*D98</f>
        <v>3.4200000000000004</v>
      </c>
      <c r="S98" s="199"/>
      <c r="T98" s="199"/>
      <c r="U98" s="199">
        <f>G98*2*H98*D98*E98</f>
        <v>31.68</v>
      </c>
      <c r="V98" s="199"/>
      <c r="W98" s="199">
        <f>N98</f>
        <v>10.560000000000002</v>
      </c>
    </row>
    <row r="99" spans="2:23" ht="12.75" customHeight="1">
      <c r="B99" s="93" t="s">
        <v>773</v>
      </c>
      <c r="C99" s="94"/>
      <c r="D99" s="94">
        <v>-6</v>
      </c>
      <c r="E99" s="94">
        <v>1</v>
      </c>
      <c r="F99" s="94">
        <v>0.8</v>
      </c>
      <c r="G99" s="94"/>
      <c r="H99" s="94">
        <v>2.2000000000000002</v>
      </c>
      <c r="I99" s="93"/>
      <c r="K99" s="199"/>
      <c r="L99" s="199"/>
      <c r="M99" s="199"/>
      <c r="N99" s="199">
        <f t="shared" si="40"/>
        <v>0</v>
      </c>
      <c r="O99" s="199"/>
      <c r="P99" s="199"/>
      <c r="Q99" s="199"/>
      <c r="R99" s="199"/>
      <c r="S99" s="199"/>
      <c r="T99" s="199"/>
      <c r="U99" s="199">
        <f>(G99*2+F99*2)*H99*D99*E99</f>
        <v>-21.120000000000005</v>
      </c>
      <c r="V99" s="199"/>
      <c r="W99" s="199">
        <f>O99</f>
        <v>0</v>
      </c>
    </row>
    <row r="100" spans="2:23" ht="12.75" customHeight="1">
      <c r="B100" s="93" t="s">
        <v>856</v>
      </c>
      <c r="C100" s="94" t="s">
        <v>813</v>
      </c>
      <c r="D100" s="94">
        <v>6</v>
      </c>
      <c r="E100" s="94">
        <v>2</v>
      </c>
      <c r="F100" s="105">
        <v>2.4</v>
      </c>
      <c r="G100" s="200">
        <v>1.2</v>
      </c>
      <c r="H100" s="94">
        <v>3.3</v>
      </c>
      <c r="K100" s="199"/>
      <c r="L100" s="199"/>
      <c r="M100" s="199"/>
      <c r="N100" s="199">
        <f t="shared" si="40"/>
        <v>34.56</v>
      </c>
      <c r="O100" s="199"/>
      <c r="P100" s="199"/>
      <c r="Q100" s="199"/>
      <c r="R100" s="199">
        <f t="shared" ref="R100:R101" si="41">((F100+G100*2)*0.15)*E100*D100</f>
        <v>8.64</v>
      </c>
      <c r="S100" s="199"/>
      <c r="T100" s="199"/>
      <c r="U100" s="199">
        <f>G100*2*H100*D100*E100</f>
        <v>95.039999999999992</v>
      </c>
      <c r="V100" s="199"/>
      <c r="W100" s="199">
        <f t="shared" ref="W100:W101" si="42">N100</f>
        <v>34.56</v>
      </c>
    </row>
    <row r="101" spans="2:23" ht="12.75" customHeight="1">
      <c r="B101" s="93" t="s">
        <v>787</v>
      </c>
      <c r="C101" s="94"/>
      <c r="D101" s="94">
        <v>-6</v>
      </c>
      <c r="E101" s="94">
        <v>2</v>
      </c>
      <c r="F101" s="105">
        <v>1</v>
      </c>
      <c r="G101" s="200"/>
      <c r="H101" s="94">
        <v>2.2000000000000002</v>
      </c>
      <c r="I101" s="93"/>
      <c r="K101" s="199"/>
      <c r="L101" s="199"/>
      <c r="M101" s="199"/>
      <c r="N101" s="199">
        <f t="shared" si="40"/>
        <v>0</v>
      </c>
      <c r="O101" s="199"/>
      <c r="P101" s="199"/>
      <c r="Q101" s="199"/>
      <c r="R101" s="199">
        <f t="shared" si="41"/>
        <v>-1.7999999999999998</v>
      </c>
      <c r="S101" s="199"/>
      <c r="T101" s="199"/>
      <c r="U101" s="199">
        <f>(F101+G101*2)*H101*D101*E101</f>
        <v>-26.400000000000002</v>
      </c>
      <c r="V101" s="199"/>
      <c r="W101" s="199">
        <f t="shared" si="42"/>
        <v>0</v>
      </c>
    </row>
    <row r="102" spans="2:23" ht="12.75" customHeight="1">
      <c r="B102" s="181" t="s">
        <v>862</v>
      </c>
      <c r="C102" s="94"/>
      <c r="D102" s="94"/>
      <c r="E102" s="94"/>
      <c r="F102" s="94"/>
      <c r="G102" s="94"/>
      <c r="H102" s="94"/>
      <c r="I102" s="93"/>
      <c r="K102" s="199"/>
      <c r="L102" s="199"/>
      <c r="M102" s="199"/>
      <c r="N102" s="199"/>
      <c r="O102" s="199"/>
      <c r="P102" s="199"/>
      <c r="Q102" s="199"/>
      <c r="R102" s="199"/>
      <c r="S102" s="199"/>
      <c r="T102" s="199"/>
      <c r="U102" s="199"/>
      <c r="V102" s="199"/>
      <c r="W102" s="199"/>
    </row>
    <row r="103" spans="2:23" ht="12.75" customHeight="1">
      <c r="B103" s="93" t="s">
        <v>854</v>
      </c>
      <c r="C103" s="94" t="s">
        <v>813</v>
      </c>
      <c r="D103" s="94">
        <v>6</v>
      </c>
      <c r="E103" s="94">
        <v>1</v>
      </c>
      <c r="F103" s="105">
        <v>4.05</v>
      </c>
      <c r="G103" s="200">
        <v>4.05</v>
      </c>
      <c r="H103" s="94">
        <v>3.3</v>
      </c>
      <c r="K103" s="199"/>
      <c r="L103" s="199"/>
      <c r="M103" s="199"/>
      <c r="N103" s="199">
        <f t="shared" ref="N103:N110" si="43">F103*G103*D103*E103</f>
        <v>98.414999999999992</v>
      </c>
      <c r="O103" s="199"/>
      <c r="P103" s="199"/>
      <c r="Q103" s="199"/>
      <c r="R103" s="199">
        <f t="shared" ref="R103:R110" si="44">((F103+G103*2)*0.15)*E103*D103</f>
        <v>10.934999999999999</v>
      </c>
      <c r="S103" s="199"/>
      <c r="T103" s="199"/>
      <c r="U103" s="199">
        <f>(F103*2+G103*2)*H103*D103*E103</f>
        <v>320.76</v>
      </c>
      <c r="V103" s="199"/>
      <c r="W103" s="199">
        <f t="shared" ref="W103:W110" si="45">N103</f>
        <v>98.414999999999992</v>
      </c>
    </row>
    <row r="104" spans="2:23" ht="12.75" customHeight="1">
      <c r="B104" s="93" t="s">
        <v>776</v>
      </c>
      <c r="C104" s="94"/>
      <c r="D104" s="94">
        <v>-6</v>
      </c>
      <c r="E104" s="94">
        <v>1</v>
      </c>
      <c r="F104" s="105">
        <v>0.8</v>
      </c>
      <c r="G104" s="200"/>
      <c r="H104" s="94">
        <v>2.2000000000000002</v>
      </c>
      <c r="I104" s="93"/>
      <c r="K104" s="199"/>
      <c r="L104" s="199"/>
      <c r="M104" s="199"/>
      <c r="N104" s="199">
        <f t="shared" si="43"/>
        <v>0</v>
      </c>
      <c r="O104" s="199"/>
      <c r="P104" s="199"/>
      <c r="Q104" s="199"/>
      <c r="R104" s="199">
        <f t="shared" si="44"/>
        <v>-0.72</v>
      </c>
      <c r="S104" s="199"/>
      <c r="T104" s="199"/>
      <c r="U104" s="199">
        <f t="shared" ref="U104:U107" si="46">(F104+G104*2)*H104*D104*E104</f>
        <v>-10.560000000000002</v>
      </c>
      <c r="V104" s="199"/>
      <c r="W104" s="199">
        <f t="shared" si="45"/>
        <v>0</v>
      </c>
    </row>
    <row r="105" spans="2:23" ht="12.75" customHeight="1">
      <c r="B105" s="93" t="s">
        <v>787</v>
      </c>
      <c r="C105" s="94"/>
      <c r="D105" s="94">
        <v>-6</v>
      </c>
      <c r="E105" s="94">
        <v>1</v>
      </c>
      <c r="F105" s="105">
        <v>1</v>
      </c>
      <c r="G105" s="200"/>
      <c r="H105" s="94">
        <v>2.2000000000000002</v>
      </c>
      <c r="I105" s="93"/>
      <c r="K105" s="199"/>
      <c r="L105" s="199"/>
      <c r="M105" s="199"/>
      <c r="N105" s="199">
        <f t="shared" si="43"/>
        <v>0</v>
      </c>
      <c r="O105" s="199"/>
      <c r="P105" s="199"/>
      <c r="Q105" s="199"/>
      <c r="R105" s="199">
        <f t="shared" si="44"/>
        <v>-0.89999999999999991</v>
      </c>
      <c r="S105" s="199"/>
      <c r="T105" s="199"/>
      <c r="U105" s="199">
        <f t="shared" si="46"/>
        <v>-13.200000000000001</v>
      </c>
      <c r="V105" s="199"/>
      <c r="W105" s="199">
        <f t="shared" si="45"/>
        <v>0</v>
      </c>
    </row>
    <row r="106" spans="2:23" ht="12.75" customHeight="1">
      <c r="B106" s="93" t="s">
        <v>770</v>
      </c>
      <c r="C106" s="94"/>
      <c r="D106" s="94">
        <v>-6</v>
      </c>
      <c r="E106" s="94">
        <v>1</v>
      </c>
      <c r="F106" s="105">
        <v>1</v>
      </c>
      <c r="G106" s="200"/>
      <c r="H106" s="94">
        <v>2.2000000000000002</v>
      </c>
      <c r="I106" s="93"/>
      <c r="K106" s="199"/>
      <c r="L106" s="199"/>
      <c r="M106" s="199"/>
      <c r="N106" s="199">
        <f t="shared" si="43"/>
        <v>0</v>
      </c>
      <c r="O106" s="199"/>
      <c r="P106" s="199"/>
      <c r="Q106" s="199"/>
      <c r="R106" s="199">
        <f t="shared" si="44"/>
        <v>-0.89999999999999991</v>
      </c>
      <c r="S106" s="199"/>
      <c r="T106" s="199"/>
      <c r="U106" s="199">
        <f t="shared" si="46"/>
        <v>-13.200000000000001</v>
      </c>
      <c r="V106" s="199"/>
      <c r="W106" s="199">
        <f t="shared" si="45"/>
        <v>0</v>
      </c>
    </row>
    <row r="107" spans="2:23" ht="12.75" customHeight="1">
      <c r="B107" s="93" t="s">
        <v>785</v>
      </c>
      <c r="C107" s="94"/>
      <c r="D107" s="94">
        <v>-6</v>
      </c>
      <c r="E107" s="94">
        <v>1</v>
      </c>
      <c r="F107" s="105">
        <v>1.1000000000000001</v>
      </c>
      <c r="G107" s="200"/>
      <c r="H107" s="94">
        <v>2.2000000000000002</v>
      </c>
      <c r="I107" s="93"/>
      <c r="K107" s="199"/>
      <c r="L107" s="199"/>
      <c r="M107" s="199"/>
      <c r="N107" s="199">
        <f t="shared" si="43"/>
        <v>0</v>
      </c>
      <c r="O107" s="199"/>
      <c r="P107" s="199"/>
      <c r="Q107" s="199"/>
      <c r="R107" s="199">
        <f t="shared" si="44"/>
        <v>-0.99</v>
      </c>
      <c r="S107" s="199"/>
      <c r="T107" s="199"/>
      <c r="U107" s="199">
        <f t="shared" si="46"/>
        <v>-14.520000000000003</v>
      </c>
      <c r="V107" s="199"/>
      <c r="W107" s="199">
        <f t="shared" si="45"/>
        <v>0</v>
      </c>
    </row>
    <row r="108" spans="2:23" ht="12.75" customHeight="1">
      <c r="B108" s="93" t="s">
        <v>855</v>
      </c>
      <c r="C108" s="94" t="s">
        <v>813</v>
      </c>
      <c r="D108" s="94">
        <v>6</v>
      </c>
      <c r="E108" s="94">
        <v>1</v>
      </c>
      <c r="F108" s="105">
        <v>4</v>
      </c>
      <c r="G108" s="200">
        <v>3</v>
      </c>
      <c r="H108" s="94">
        <v>3.3</v>
      </c>
      <c r="K108" s="199"/>
      <c r="L108" s="199"/>
      <c r="M108" s="199"/>
      <c r="N108" s="199">
        <f t="shared" si="43"/>
        <v>72</v>
      </c>
      <c r="O108" s="199"/>
      <c r="P108" s="199"/>
      <c r="Q108" s="199"/>
      <c r="R108" s="199">
        <f t="shared" si="44"/>
        <v>9</v>
      </c>
      <c r="S108" s="199"/>
      <c r="T108" s="199"/>
      <c r="U108" s="199">
        <f>(F108*2+G108*2)*H108*D108*E108</f>
        <v>277.2</v>
      </c>
      <c r="V108" s="199"/>
      <c r="W108" s="199">
        <f t="shared" si="45"/>
        <v>72</v>
      </c>
    </row>
    <row r="109" spans="2:23" ht="12.75" customHeight="1">
      <c r="B109" s="93" t="s">
        <v>787</v>
      </c>
      <c r="C109" s="94"/>
      <c r="D109" s="94">
        <v>-6</v>
      </c>
      <c r="E109" s="94">
        <v>1</v>
      </c>
      <c r="F109" s="105">
        <v>1</v>
      </c>
      <c r="G109" s="200"/>
      <c r="H109" s="94">
        <v>2.2000000000000002</v>
      </c>
      <c r="I109" s="93"/>
      <c r="K109" s="199"/>
      <c r="L109" s="199"/>
      <c r="M109" s="199"/>
      <c r="N109" s="199">
        <f t="shared" si="43"/>
        <v>0</v>
      </c>
      <c r="O109" s="199"/>
      <c r="P109" s="199"/>
      <c r="Q109" s="199"/>
      <c r="R109" s="199">
        <f t="shared" si="44"/>
        <v>-0.89999999999999991</v>
      </c>
      <c r="S109" s="199"/>
      <c r="T109" s="199"/>
      <c r="U109" s="199">
        <f t="shared" ref="U109:U110" si="47">(F109+G109*2)*H109*D109*E109</f>
        <v>-13.200000000000001</v>
      </c>
      <c r="V109" s="199"/>
      <c r="W109" s="199">
        <f t="shared" si="45"/>
        <v>0</v>
      </c>
    </row>
    <row r="110" spans="2:23" ht="12.75" customHeight="1">
      <c r="B110" s="93" t="s">
        <v>770</v>
      </c>
      <c r="C110" s="94"/>
      <c r="D110" s="94">
        <v>-6</v>
      </c>
      <c r="E110" s="94">
        <v>1</v>
      </c>
      <c r="F110" s="105">
        <v>1</v>
      </c>
      <c r="G110" s="200"/>
      <c r="H110" s="94">
        <v>2.2000000000000002</v>
      </c>
      <c r="I110" s="93"/>
      <c r="K110" s="199"/>
      <c r="L110" s="199"/>
      <c r="M110" s="199"/>
      <c r="N110" s="199">
        <f t="shared" si="43"/>
        <v>0</v>
      </c>
      <c r="O110" s="199"/>
      <c r="P110" s="199"/>
      <c r="Q110" s="199"/>
      <c r="R110" s="199">
        <f t="shared" si="44"/>
        <v>-0.89999999999999991</v>
      </c>
      <c r="S110" s="199"/>
      <c r="T110" s="199"/>
      <c r="U110" s="199">
        <f t="shared" si="47"/>
        <v>-13.200000000000001</v>
      </c>
      <c r="V110" s="199"/>
      <c r="W110" s="199">
        <f t="shared" si="45"/>
        <v>0</v>
      </c>
    </row>
    <row r="111" spans="2:23" ht="12.75" customHeight="1">
      <c r="B111" s="93" t="s">
        <v>858</v>
      </c>
      <c r="C111" s="94" t="s">
        <v>813</v>
      </c>
      <c r="D111" s="94">
        <v>6</v>
      </c>
      <c r="E111" s="94">
        <v>1</v>
      </c>
      <c r="F111" s="105">
        <v>2</v>
      </c>
      <c r="G111" s="200">
        <v>1.5</v>
      </c>
      <c r="H111" s="94">
        <v>3.3</v>
      </c>
      <c r="K111" s="199"/>
      <c r="L111" s="199"/>
      <c r="M111" s="199"/>
      <c r="N111" s="199"/>
      <c r="O111" s="199">
        <f t="shared" ref="O111:O113" si="48">F111*G111*D111*E111</f>
        <v>18</v>
      </c>
      <c r="P111" s="199"/>
      <c r="Q111" s="199"/>
      <c r="R111" s="199"/>
      <c r="S111" s="199"/>
      <c r="T111" s="199"/>
      <c r="U111" s="199">
        <f t="shared" ref="U111:U112" si="49">(G111*2+F111*2)*H111*D111*E111</f>
        <v>138.6</v>
      </c>
      <c r="V111" s="199"/>
      <c r="W111" s="199">
        <f t="shared" ref="W111:W113" si="50">O111</f>
        <v>18</v>
      </c>
    </row>
    <row r="112" spans="2:23" ht="12.75" customHeight="1">
      <c r="B112" s="93" t="s">
        <v>788</v>
      </c>
      <c r="C112" s="94"/>
      <c r="D112" s="94">
        <v>-6</v>
      </c>
      <c r="E112" s="94">
        <v>1</v>
      </c>
      <c r="F112" s="94">
        <v>0.9</v>
      </c>
      <c r="G112" s="94"/>
      <c r="H112" s="94">
        <v>2.2000000000000002</v>
      </c>
      <c r="I112" s="93"/>
      <c r="K112" s="199"/>
      <c r="L112" s="199"/>
      <c r="M112" s="199"/>
      <c r="N112" s="199"/>
      <c r="O112" s="199">
        <f t="shared" si="48"/>
        <v>0</v>
      </c>
      <c r="P112" s="199"/>
      <c r="Q112" s="199"/>
      <c r="R112" s="199"/>
      <c r="S112" s="199"/>
      <c r="T112" s="199"/>
      <c r="U112" s="199">
        <f t="shared" si="49"/>
        <v>-23.76</v>
      </c>
      <c r="V112" s="199"/>
      <c r="W112" s="199">
        <f t="shared" si="50"/>
        <v>0</v>
      </c>
    </row>
    <row r="113" spans="2:23" ht="12.75" customHeight="1">
      <c r="B113" s="93" t="s">
        <v>857</v>
      </c>
      <c r="C113" s="94" t="s">
        <v>813</v>
      </c>
      <c r="D113" s="94">
        <v>6</v>
      </c>
      <c r="E113" s="94">
        <v>1</v>
      </c>
      <c r="F113" s="105">
        <v>2.25</v>
      </c>
      <c r="G113" s="200">
        <v>1</v>
      </c>
      <c r="H113" s="94">
        <v>3.3</v>
      </c>
      <c r="K113" s="199"/>
      <c r="L113" s="199"/>
      <c r="M113" s="199"/>
      <c r="N113" s="199"/>
      <c r="O113" s="199">
        <f t="shared" si="48"/>
        <v>13.5</v>
      </c>
      <c r="P113" s="199"/>
      <c r="Q113" s="199"/>
      <c r="R113" s="199"/>
      <c r="S113" s="199"/>
      <c r="T113" s="199"/>
      <c r="U113" s="199">
        <f>(G113+F113*2)*H113*D113*E113</f>
        <v>108.89999999999999</v>
      </c>
      <c r="V113" s="199"/>
      <c r="W113" s="199">
        <f t="shared" si="50"/>
        <v>13.5</v>
      </c>
    </row>
    <row r="114" spans="2:23" ht="12.75" customHeight="1">
      <c r="B114" s="93" t="s">
        <v>776</v>
      </c>
      <c r="C114" s="94"/>
      <c r="D114" s="94">
        <v>-6</v>
      </c>
      <c r="E114" s="94">
        <v>1</v>
      </c>
      <c r="F114" s="105">
        <v>0.8</v>
      </c>
      <c r="G114" s="200"/>
      <c r="H114" s="94">
        <v>2.2000000000000002</v>
      </c>
      <c r="I114" s="93"/>
      <c r="K114" s="199"/>
      <c r="L114" s="199"/>
      <c r="M114" s="199"/>
      <c r="N114" s="199">
        <f>F114*G114*D114*E114</f>
        <v>0</v>
      </c>
      <c r="O114" s="199"/>
      <c r="P114" s="199"/>
      <c r="Q114" s="199"/>
      <c r="R114" s="199">
        <f>((F114+G114*2)*0.15)*E114*D114</f>
        <v>-0.72</v>
      </c>
      <c r="S114" s="199"/>
      <c r="T114" s="199"/>
      <c r="U114" s="199">
        <f>(F114+G114*2)*H114*D114*E114</f>
        <v>-10.560000000000002</v>
      </c>
      <c r="V114" s="199"/>
      <c r="W114" s="199">
        <f>N114</f>
        <v>0</v>
      </c>
    </row>
    <row r="115" spans="2:23" ht="12.75" customHeight="1">
      <c r="B115" s="93" t="s">
        <v>859</v>
      </c>
      <c r="C115" s="94" t="s">
        <v>813</v>
      </c>
      <c r="D115" s="94">
        <v>6</v>
      </c>
      <c r="E115" s="94">
        <v>1</v>
      </c>
      <c r="F115" s="105">
        <v>2.5499999999999998</v>
      </c>
      <c r="G115" s="200">
        <v>2</v>
      </c>
      <c r="H115" s="94">
        <v>3.3</v>
      </c>
      <c r="K115" s="199"/>
      <c r="L115" s="199"/>
      <c r="M115" s="199"/>
      <c r="N115" s="199"/>
      <c r="O115" s="199">
        <f>F115*G115*D115*E115</f>
        <v>30.599999999999998</v>
      </c>
      <c r="P115" s="199"/>
      <c r="Q115" s="199"/>
      <c r="R115" s="199"/>
      <c r="S115" s="199"/>
      <c r="T115" s="199"/>
      <c r="U115" s="199">
        <f>(G115*2+F115*2)*H115*D115*E115</f>
        <v>180.17999999999998</v>
      </c>
      <c r="V115" s="199"/>
      <c r="W115" s="199">
        <f>O115</f>
        <v>30.599999999999998</v>
      </c>
    </row>
    <row r="116" spans="2:23" ht="12.75" customHeight="1">
      <c r="B116" s="93" t="s">
        <v>782</v>
      </c>
      <c r="C116" s="94"/>
      <c r="D116" s="94">
        <v>-6</v>
      </c>
      <c r="E116" s="94">
        <v>1</v>
      </c>
      <c r="F116" s="105">
        <v>1</v>
      </c>
      <c r="G116" s="200"/>
      <c r="H116" s="94">
        <v>1.1000000000000001</v>
      </c>
      <c r="I116" s="93"/>
      <c r="K116" s="199"/>
      <c r="L116" s="199"/>
      <c r="M116" s="199"/>
      <c r="N116" s="199">
        <f>F116*G116*D116*E116</f>
        <v>0</v>
      </c>
      <c r="O116" s="199"/>
      <c r="P116" s="199"/>
      <c r="Q116" s="199"/>
      <c r="R116" s="199">
        <v>0</v>
      </c>
      <c r="S116" s="199"/>
      <c r="T116" s="199"/>
      <c r="U116" s="199">
        <f>(F116+G116*2)*H116*D116*E116</f>
        <v>-6.6000000000000005</v>
      </c>
      <c r="V116" s="199"/>
      <c r="W116" s="199">
        <f>N116</f>
        <v>0</v>
      </c>
    </row>
    <row r="117" spans="2:23" ht="12.75" customHeight="1">
      <c r="B117" s="93" t="s">
        <v>773</v>
      </c>
      <c r="C117" s="94"/>
      <c r="D117" s="94">
        <v>-6</v>
      </c>
      <c r="E117" s="94">
        <v>1</v>
      </c>
      <c r="F117" s="94">
        <v>0.8</v>
      </c>
      <c r="G117" s="94"/>
      <c r="H117" s="94">
        <v>2.2000000000000002</v>
      </c>
      <c r="I117" s="93"/>
      <c r="K117" s="199"/>
      <c r="L117" s="199"/>
      <c r="M117" s="199"/>
      <c r="N117" s="199"/>
      <c r="O117" s="199">
        <f>F117*G117*D117*E117</f>
        <v>0</v>
      </c>
      <c r="P117" s="199"/>
      <c r="Q117" s="199"/>
      <c r="R117" s="199"/>
      <c r="S117" s="199"/>
      <c r="T117" s="199"/>
      <c r="U117" s="199">
        <f>(G117*2+F117*2)*H117*D117*E117</f>
        <v>-21.120000000000005</v>
      </c>
      <c r="V117" s="199"/>
      <c r="W117" s="199">
        <f>O117</f>
        <v>0</v>
      </c>
    </row>
    <row r="118" spans="2:23" ht="12.75" customHeight="1">
      <c r="B118" s="93" t="s">
        <v>856</v>
      </c>
      <c r="C118" s="94" t="s">
        <v>813</v>
      </c>
      <c r="D118" s="94">
        <v>6</v>
      </c>
      <c r="E118" s="94">
        <v>1</v>
      </c>
      <c r="F118" s="105">
        <v>2.2000000000000002</v>
      </c>
      <c r="G118" s="200">
        <v>0.8</v>
      </c>
      <c r="H118" s="94">
        <v>3.3</v>
      </c>
      <c r="K118" s="199"/>
      <c r="L118" s="199"/>
      <c r="M118" s="199"/>
      <c r="N118" s="199">
        <f t="shared" ref="N118:N123" si="51">F118*G118*D118*E118</f>
        <v>10.560000000000002</v>
      </c>
      <c r="O118" s="199"/>
      <c r="P118" s="199"/>
      <c r="Q118" s="199"/>
      <c r="R118" s="199">
        <f>((F118+G118*2)*0.15)*E118*D118</f>
        <v>3.4200000000000004</v>
      </c>
      <c r="S118" s="199"/>
      <c r="T118" s="199"/>
      <c r="U118" s="199">
        <f>G118*2*H118*D118*E118</f>
        <v>31.68</v>
      </c>
      <c r="V118" s="199"/>
      <c r="W118" s="199">
        <f>N118</f>
        <v>10.560000000000002</v>
      </c>
    </row>
    <row r="119" spans="2:23" ht="12.75" customHeight="1">
      <c r="B119" s="93" t="s">
        <v>773</v>
      </c>
      <c r="C119" s="94"/>
      <c r="D119" s="94">
        <v>-6</v>
      </c>
      <c r="E119" s="94">
        <v>1</v>
      </c>
      <c r="F119" s="94">
        <v>0.8</v>
      </c>
      <c r="G119" s="94"/>
      <c r="H119" s="94">
        <v>2.2000000000000002</v>
      </c>
      <c r="I119" s="93"/>
      <c r="K119" s="199"/>
      <c r="L119" s="199"/>
      <c r="M119" s="199"/>
      <c r="N119" s="199">
        <f t="shared" si="51"/>
        <v>0</v>
      </c>
      <c r="O119" s="199"/>
      <c r="P119" s="199"/>
      <c r="Q119" s="199"/>
      <c r="R119" s="199"/>
      <c r="S119" s="199"/>
      <c r="T119" s="199"/>
      <c r="U119" s="199">
        <f>(G119*2+F119*2)*H119*D119*E119</f>
        <v>-21.120000000000005</v>
      </c>
      <c r="V119" s="199"/>
      <c r="W119" s="199">
        <f>O119</f>
        <v>0</v>
      </c>
    </row>
    <row r="120" spans="2:23" ht="12.75" customHeight="1">
      <c r="B120" s="93" t="s">
        <v>856</v>
      </c>
      <c r="C120" s="94" t="s">
        <v>813</v>
      </c>
      <c r="D120" s="94">
        <v>6</v>
      </c>
      <c r="E120" s="94">
        <v>1</v>
      </c>
      <c r="F120" s="105">
        <v>2.4</v>
      </c>
      <c r="G120" s="200">
        <v>1.8</v>
      </c>
      <c r="H120" s="94">
        <v>3.3</v>
      </c>
      <c r="K120" s="199"/>
      <c r="L120" s="199"/>
      <c r="M120" s="199"/>
      <c r="N120" s="199">
        <f t="shared" si="51"/>
        <v>25.92</v>
      </c>
      <c r="O120" s="199"/>
      <c r="P120" s="199"/>
      <c r="Q120" s="199"/>
      <c r="R120" s="199">
        <f t="shared" ref="R120:R123" si="52">((F120+G120*2)*0.15)*E120*D120</f>
        <v>5.3999999999999995</v>
      </c>
      <c r="S120" s="199"/>
      <c r="T120" s="199"/>
      <c r="U120" s="199">
        <f>G120*2*H120*D120*E120</f>
        <v>71.28</v>
      </c>
      <c r="V120" s="199"/>
      <c r="W120" s="199">
        <f t="shared" ref="W120:W123" si="53">N120</f>
        <v>25.92</v>
      </c>
    </row>
    <row r="121" spans="2:23" ht="12.75" customHeight="1">
      <c r="B121" s="93" t="s">
        <v>787</v>
      </c>
      <c r="C121" s="94"/>
      <c r="D121" s="94">
        <v>-6</v>
      </c>
      <c r="E121" s="94">
        <v>1</v>
      </c>
      <c r="F121" s="105">
        <v>1</v>
      </c>
      <c r="G121" s="200"/>
      <c r="H121" s="94">
        <v>2.2000000000000002</v>
      </c>
      <c r="I121" s="93"/>
      <c r="K121" s="199"/>
      <c r="L121" s="199"/>
      <c r="M121" s="199"/>
      <c r="N121" s="199">
        <f t="shared" si="51"/>
        <v>0</v>
      </c>
      <c r="O121" s="199"/>
      <c r="P121" s="199"/>
      <c r="Q121" s="199"/>
      <c r="R121" s="199">
        <f t="shared" si="52"/>
        <v>-0.89999999999999991</v>
      </c>
      <c r="S121" s="199"/>
      <c r="T121" s="199"/>
      <c r="U121" s="199">
        <f>(F121+G121*2)*H121*D121*E121</f>
        <v>-13.200000000000001</v>
      </c>
      <c r="V121" s="199"/>
      <c r="W121" s="199">
        <f t="shared" si="53"/>
        <v>0</v>
      </c>
    </row>
    <row r="122" spans="2:23" ht="12.75" customHeight="1">
      <c r="B122" s="93" t="s">
        <v>856</v>
      </c>
      <c r="C122" s="94" t="s">
        <v>813</v>
      </c>
      <c r="D122" s="94">
        <v>6</v>
      </c>
      <c r="E122" s="94">
        <v>1</v>
      </c>
      <c r="F122" s="105">
        <v>2.4</v>
      </c>
      <c r="G122" s="200">
        <v>1.3</v>
      </c>
      <c r="H122" s="94">
        <v>3.3</v>
      </c>
      <c r="K122" s="199"/>
      <c r="L122" s="199"/>
      <c r="M122" s="199"/>
      <c r="N122" s="199">
        <f t="shared" si="51"/>
        <v>18.72</v>
      </c>
      <c r="O122" s="199"/>
      <c r="P122" s="199"/>
      <c r="Q122" s="199"/>
      <c r="R122" s="199">
        <f t="shared" si="52"/>
        <v>4.5</v>
      </c>
      <c r="S122" s="199"/>
      <c r="T122" s="199"/>
      <c r="U122" s="199">
        <f>G122*2*H122*D122*E122</f>
        <v>51.480000000000004</v>
      </c>
      <c r="V122" s="199"/>
      <c r="W122" s="199">
        <f t="shared" si="53"/>
        <v>18.72</v>
      </c>
    </row>
    <row r="123" spans="2:23" ht="12.75" customHeight="1">
      <c r="B123" s="93" t="s">
        <v>787</v>
      </c>
      <c r="C123" s="94"/>
      <c r="D123" s="94">
        <v>-6</v>
      </c>
      <c r="E123" s="94">
        <v>1</v>
      </c>
      <c r="F123" s="105">
        <v>1</v>
      </c>
      <c r="G123" s="200"/>
      <c r="H123" s="94">
        <v>2.2000000000000002</v>
      </c>
      <c r="I123" s="93"/>
      <c r="K123" s="199"/>
      <c r="L123" s="199"/>
      <c r="M123" s="199"/>
      <c r="N123" s="199">
        <f t="shared" si="51"/>
        <v>0</v>
      </c>
      <c r="O123" s="199"/>
      <c r="P123" s="199"/>
      <c r="Q123" s="199"/>
      <c r="R123" s="199">
        <f t="shared" si="52"/>
        <v>-0.89999999999999991</v>
      </c>
      <c r="S123" s="199"/>
      <c r="T123" s="199"/>
      <c r="U123" s="199">
        <f>(F123+G123*2)*H123*D123*E123</f>
        <v>-13.200000000000001</v>
      </c>
      <c r="V123" s="199"/>
      <c r="W123" s="199">
        <f t="shared" si="53"/>
        <v>0</v>
      </c>
    </row>
    <row r="124" spans="2:23" ht="12.75" customHeight="1">
      <c r="B124" s="181" t="s">
        <v>863</v>
      </c>
      <c r="C124" s="94"/>
      <c r="D124" s="94"/>
      <c r="E124" s="94"/>
      <c r="F124" s="94"/>
      <c r="G124" s="94"/>
      <c r="H124" s="94"/>
      <c r="I124" s="93"/>
      <c r="K124" s="199"/>
      <c r="L124" s="199"/>
      <c r="M124" s="199"/>
      <c r="N124" s="199"/>
      <c r="O124" s="199"/>
      <c r="P124" s="199"/>
      <c r="Q124" s="199"/>
      <c r="R124" s="199"/>
      <c r="S124" s="199"/>
      <c r="T124" s="199"/>
      <c r="U124" s="199"/>
      <c r="V124" s="199"/>
      <c r="W124" s="199"/>
    </row>
    <row r="125" spans="2:23" ht="12.75" customHeight="1">
      <c r="B125" s="93" t="s">
        <v>854</v>
      </c>
      <c r="C125" s="94" t="s">
        <v>813</v>
      </c>
      <c r="D125" s="94">
        <v>6</v>
      </c>
      <c r="E125" s="94">
        <v>1</v>
      </c>
      <c r="F125" s="105">
        <v>5.0190000000000001</v>
      </c>
      <c r="G125" s="200">
        <v>5.0190000000000001</v>
      </c>
      <c r="H125" s="94">
        <v>3.3</v>
      </c>
      <c r="K125" s="199"/>
      <c r="L125" s="199"/>
      <c r="M125" s="199"/>
      <c r="N125" s="199">
        <f t="shared" ref="N125:N131" si="54">F125*G125*D125*E125</f>
        <v>151.14216600000003</v>
      </c>
      <c r="O125" s="199"/>
      <c r="P125" s="199"/>
      <c r="Q125" s="199"/>
      <c r="R125" s="199">
        <f t="shared" ref="R125:R131" si="55">((F125+G125*2)*0.15)*E125*D125</f>
        <v>13.551300000000001</v>
      </c>
      <c r="S125" s="199"/>
      <c r="T125" s="199"/>
      <c r="U125" s="199">
        <f>(F125*2+G125*2)*H125*D125*E125</f>
        <v>397.50479999999999</v>
      </c>
      <c r="V125" s="199"/>
      <c r="W125" s="199">
        <f t="shared" ref="W125:W131" si="56">N125</f>
        <v>151.14216600000003</v>
      </c>
    </row>
    <row r="126" spans="2:23" ht="12.75" customHeight="1">
      <c r="B126" s="93" t="s">
        <v>776</v>
      </c>
      <c r="C126" s="94"/>
      <c r="D126" s="94">
        <v>-6</v>
      </c>
      <c r="E126" s="94">
        <v>1</v>
      </c>
      <c r="F126" s="105">
        <v>0.8</v>
      </c>
      <c r="G126" s="200"/>
      <c r="H126" s="94">
        <v>2.2000000000000002</v>
      </c>
      <c r="I126" s="93"/>
      <c r="K126" s="199"/>
      <c r="L126" s="199"/>
      <c r="M126" s="199"/>
      <c r="N126" s="199">
        <f t="shared" si="54"/>
        <v>0</v>
      </c>
      <c r="O126" s="199"/>
      <c r="P126" s="199"/>
      <c r="Q126" s="199"/>
      <c r="R126" s="199">
        <f t="shared" si="55"/>
        <v>-0.72</v>
      </c>
      <c r="S126" s="199"/>
      <c r="T126" s="199"/>
      <c r="U126" s="199">
        <f t="shared" ref="U126:U128" si="57">(F126+G126*2)*H126*D126*E126</f>
        <v>-10.560000000000002</v>
      </c>
      <c r="V126" s="199"/>
      <c r="W126" s="199">
        <f t="shared" si="56"/>
        <v>0</v>
      </c>
    </row>
    <row r="127" spans="2:23" ht="12.75" customHeight="1">
      <c r="B127" s="93" t="s">
        <v>770</v>
      </c>
      <c r="C127" s="94"/>
      <c r="D127" s="94">
        <v>-6</v>
      </c>
      <c r="E127" s="94">
        <v>1</v>
      </c>
      <c r="F127" s="105">
        <v>1</v>
      </c>
      <c r="G127" s="200"/>
      <c r="H127" s="94">
        <v>2.2000000000000002</v>
      </c>
      <c r="I127" s="93"/>
      <c r="K127" s="199"/>
      <c r="L127" s="199"/>
      <c r="M127" s="199"/>
      <c r="N127" s="199">
        <f t="shared" si="54"/>
        <v>0</v>
      </c>
      <c r="O127" s="199"/>
      <c r="P127" s="199"/>
      <c r="Q127" s="199"/>
      <c r="R127" s="199">
        <f t="shared" si="55"/>
        <v>-0.89999999999999991</v>
      </c>
      <c r="S127" s="199"/>
      <c r="T127" s="199"/>
      <c r="U127" s="199">
        <f t="shared" si="57"/>
        <v>-13.200000000000001</v>
      </c>
      <c r="V127" s="199"/>
      <c r="W127" s="199">
        <f t="shared" si="56"/>
        <v>0</v>
      </c>
    </row>
    <row r="128" spans="2:23" ht="12.75" customHeight="1">
      <c r="B128" s="93" t="s">
        <v>785</v>
      </c>
      <c r="C128" s="94"/>
      <c r="D128" s="94">
        <v>-6</v>
      </c>
      <c r="E128" s="94">
        <v>1</v>
      </c>
      <c r="F128" s="105">
        <v>1.1000000000000001</v>
      </c>
      <c r="G128" s="200"/>
      <c r="H128" s="94">
        <v>2.2000000000000002</v>
      </c>
      <c r="I128" s="93"/>
      <c r="K128" s="199"/>
      <c r="L128" s="199"/>
      <c r="M128" s="199"/>
      <c r="N128" s="199">
        <f t="shared" si="54"/>
        <v>0</v>
      </c>
      <c r="O128" s="199"/>
      <c r="P128" s="199"/>
      <c r="Q128" s="199"/>
      <c r="R128" s="199">
        <f t="shared" si="55"/>
        <v>-0.99</v>
      </c>
      <c r="S128" s="199"/>
      <c r="T128" s="199"/>
      <c r="U128" s="199">
        <f t="shared" si="57"/>
        <v>-14.520000000000003</v>
      </c>
      <c r="V128" s="199"/>
      <c r="W128" s="199">
        <f t="shared" si="56"/>
        <v>0</v>
      </c>
    </row>
    <row r="129" spans="2:23" ht="12.75" customHeight="1">
      <c r="B129" s="93" t="s">
        <v>855</v>
      </c>
      <c r="C129" s="94" t="s">
        <v>813</v>
      </c>
      <c r="D129" s="94">
        <v>6</v>
      </c>
      <c r="E129" s="94">
        <v>1</v>
      </c>
      <c r="F129" s="105">
        <v>4.38</v>
      </c>
      <c r="G129" s="200">
        <v>4.38</v>
      </c>
      <c r="H129" s="94">
        <v>3.3</v>
      </c>
      <c r="K129" s="199"/>
      <c r="L129" s="199"/>
      <c r="M129" s="199"/>
      <c r="N129" s="199">
        <f t="shared" si="54"/>
        <v>115.10640000000001</v>
      </c>
      <c r="O129" s="199"/>
      <c r="P129" s="199"/>
      <c r="Q129" s="199"/>
      <c r="R129" s="199">
        <f t="shared" si="55"/>
        <v>11.826000000000001</v>
      </c>
      <c r="S129" s="199"/>
      <c r="T129" s="199"/>
      <c r="U129" s="199">
        <f>(F129*2+G129*2)*H129*D129*E129</f>
        <v>346.89599999999996</v>
      </c>
      <c r="V129" s="199"/>
      <c r="W129" s="199">
        <f t="shared" si="56"/>
        <v>115.10640000000001</v>
      </c>
    </row>
    <row r="130" spans="2:23" ht="12.75" customHeight="1">
      <c r="B130" s="93" t="s">
        <v>788</v>
      </c>
      <c r="C130" s="94"/>
      <c r="D130" s="94">
        <v>-6</v>
      </c>
      <c r="E130" s="94">
        <v>1</v>
      </c>
      <c r="F130" s="105">
        <v>0.9</v>
      </c>
      <c r="G130" s="200"/>
      <c r="H130" s="94">
        <v>2.2000000000000002</v>
      </c>
      <c r="I130" s="93"/>
      <c r="K130" s="199"/>
      <c r="L130" s="199"/>
      <c r="M130" s="199"/>
      <c r="N130" s="199">
        <f t="shared" si="54"/>
        <v>0</v>
      </c>
      <c r="O130" s="199"/>
      <c r="P130" s="199"/>
      <c r="Q130" s="199"/>
      <c r="R130" s="199">
        <f t="shared" si="55"/>
        <v>-0.81</v>
      </c>
      <c r="S130" s="199"/>
      <c r="T130" s="199"/>
      <c r="U130" s="199">
        <f t="shared" ref="U130:U131" si="58">(F130+G130*2)*H130*D130*E130</f>
        <v>-11.88</v>
      </c>
      <c r="V130" s="199"/>
      <c r="W130" s="199">
        <f t="shared" si="56"/>
        <v>0</v>
      </c>
    </row>
    <row r="131" spans="2:23" ht="12.75" customHeight="1">
      <c r="B131" s="93" t="s">
        <v>770</v>
      </c>
      <c r="C131" s="94"/>
      <c r="D131" s="94">
        <v>-6</v>
      </c>
      <c r="E131" s="94">
        <v>1</v>
      </c>
      <c r="F131" s="105">
        <v>1</v>
      </c>
      <c r="G131" s="200"/>
      <c r="H131" s="94">
        <v>2.2000000000000002</v>
      </c>
      <c r="I131" s="93"/>
      <c r="K131" s="199"/>
      <c r="L131" s="199"/>
      <c r="M131" s="199"/>
      <c r="N131" s="199">
        <f t="shared" si="54"/>
        <v>0</v>
      </c>
      <c r="O131" s="199"/>
      <c r="P131" s="199"/>
      <c r="Q131" s="199"/>
      <c r="R131" s="199">
        <f t="shared" si="55"/>
        <v>-0.89999999999999991</v>
      </c>
      <c r="S131" s="199"/>
      <c r="T131" s="199"/>
      <c r="U131" s="199">
        <f t="shared" si="58"/>
        <v>-13.200000000000001</v>
      </c>
      <c r="V131" s="199"/>
      <c r="W131" s="199">
        <f t="shared" si="56"/>
        <v>0</v>
      </c>
    </row>
    <row r="132" spans="2:23" ht="12.75" customHeight="1">
      <c r="B132" s="93" t="s">
        <v>858</v>
      </c>
      <c r="C132" s="94" t="s">
        <v>813</v>
      </c>
      <c r="D132" s="94">
        <v>6</v>
      </c>
      <c r="E132" s="94">
        <v>1</v>
      </c>
      <c r="F132" s="105">
        <v>2.6</v>
      </c>
      <c r="G132" s="200">
        <v>1.5</v>
      </c>
      <c r="H132" s="94">
        <v>3.3</v>
      </c>
      <c r="K132" s="199"/>
      <c r="L132" s="199"/>
      <c r="M132" s="199"/>
      <c r="N132" s="199"/>
      <c r="O132" s="199">
        <f t="shared" ref="O132:O135" si="59">F132*G132*D132*E132</f>
        <v>23.400000000000002</v>
      </c>
      <c r="P132" s="199"/>
      <c r="Q132" s="199"/>
      <c r="R132" s="199"/>
      <c r="S132" s="199"/>
      <c r="T132" s="199"/>
      <c r="U132" s="199">
        <f t="shared" ref="U132:U134" si="60">(G132*2+F132*2)*H132*D132*E132</f>
        <v>162.35999999999996</v>
      </c>
      <c r="V132" s="199"/>
      <c r="W132" s="199">
        <f t="shared" ref="W132:W135" si="61">O132</f>
        <v>23.400000000000002</v>
      </c>
    </row>
    <row r="133" spans="2:23" ht="12.75" customHeight="1">
      <c r="B133" s="93" t="s">
        <v>788</v>
      </c>
      <c r="C133" s="94"/>
      <c r="D133" s="94">
        <v>-6</v>
      </c>
      <c r="E133" s="94">
        <v>1</v>
      </c>
      <c r="F133" s="94">
        <v>0.9</v>
      </c>
      <c r="G133" s="94"/>
      <c r="H133" s="94">
        <v>2.2000000000000002</v>
      </c>
      <c r="I133" s="93"/>
      <c r="K133" s="199"/>
      <c r="L133" s="199"/>
      <c r="M133" s="199"/>
      <c r="N133" s="199"/>
      <c r="O133" s="199">
        <f t="shared" si="59"/>
        <v>0</v>
      </c>
      <c r="P133" s="199"/>
      <c r="Q133" s="199"/>
      <c r="R133" s="199"/>
      <c r="S133" s="199"/>
      <c r="T133" s="199"/>
      <c r="U133" s="199">
        <f t="shared" si="60"/>
        <v>-23.76</v>
      </c>
      <c r="V133" s="199"/>
      <c r="W133" s="199">
        <f t="shared" si="61"/>
        <v>0</v>
      </c>
    </row>
    <row r="134" spans="2:23" ht="12.75" customHeight="1">
      <c r="B134" s="93" t="s">
        <v>779</v>
      </c>
      <c r="C134" s="94"/>
      <c r="D134" s="94">
        <v>-6</v>
      </c>
      <c r="E134" s="94">
        <v>1</v>
      </c>
      <c r="F134" s="94">
        <v>0.6</v>
      </c>
      <c r="G134" s="94"/>
      <c r="H134" s="94">
        <v>0.8</v>
      </c>
      <c r="I134" s="93"/>
      <c r="K134" s="199"/>
      <c r="L134" s="199"/>
      <c r="M134" s="199"/>
      <c r="N134" s="199"/>
      <c r="O134" s="199">
        <f t="shared" si="59"/>
        <v>0</v>
      </c>
      <c r="P134" s="199"/>
      <c r="Q134" s="199"/>
      <c r="R134" s="199"/>
      <c r="S134" s="199"/>
      <c r="T134" s="199"/>
      <c r="U134" s="199">
        <f t="shared" si="60"/>
        <v>-5.76</v>
      </c>
      <c r="V134" s="199"/>
      <c r="W134" s="199">
        <f t="shared" si="61"/>
        <v>0</v>
      </c>
    </row>
    <row r="135" spans="2:23" ht="12.75" customHeight="1">
      <c r="B135" s="93" t="s">
        <v>857</v>
      </c>
      <c r="C135" s="94" t="s">
        <v>813</v>
      </c>
      <c r="D135" s="94">
        <v>6</v>
      </c>
      <c r="E135" s="94">
        <v>1</v>
      </c>
      <c r="F135" s="105">
        <v>2.25</v>
      </c>
      <c r="G135" s="200">
        <v>1</v>
      </c>
      <c r="H135" s="94">
        <v>3.3</v>
      </c>
      <c r="K135" s="199"/>
      <c r="L135" s="199"/>
      <c r="M135" s="199"/>
      <c r="N135" s="199"/>
      <c r="O135" s="199">
        <f t="shared" si="59"/>
        <v>13.5</v>
      </c>
      <c r="P135" s="199"/>
      <c r="Q135" s="199"/>
      <c r="R135" s="199"/>
      <c r="S135" s="199"/>
      <c r="T135" s="199"/>
      <c r="U135" s="199">
        <f>(G135+F135*2)*H135*D135*E135</f>
        <v>108.89999999999999</v>
      </c>
      <c r="V135" s="199"/>
      <c r="W135" s="199">
        <f t="shared" si="61"/>
        <v>13.5</v>
      </c>
    </row>
    <row r="136" spans="2:23" ht="12.75" customHeight="1">
      <c r="B136" s="93" t="s">
        <v>776</v>
      </c>
      <c r="C136" s="94"/>
      <c r="D136" s="94">
        <v>-6</v>
      </c>
      <c r="E136" s="94">
        <v>1</v>
      </c>
      <c r="F136" s="105">
        <v>0.8</v>
      </c>
      <c r="G136" s="200"/>
      <c r="H136" s="94">
        <v>2.2000000000000002</v>
      </c>
      <c r="I136" s="93"/>
      <c r="K136" s="199"/>
      <c r="L136" s="199"/>
      <c r="M136" s="199"/>
      <c r="N136" s="199">
        <f>F136*G136*D136*E136</f>
        <v>0</v>
      </c>
      <c r="O136" s="199"/>
      <c r="P136" s="199"/>
      <c r="Q136" s="199"/>
      <c r="R136" s="199">
        <f>((F136+G136*2)*0.15)*E136*D136</f>
        <v>-0.72</v>
      </c>
      <c r="S136" s="199"/>
      <c r="T136" s="199"/>
      <c r="U136" s="199">
        <f>(F136+G136*2)*H136*D136*E136</f>
        <v>-10.560000000000002</v>
      </c>
      <c r="V136" s="199"/>
      <c r="W136" s="199">
        <f>N136</f>
        <v>0</v>
      </c>
    </row>
    <row r="137" spans="2:23" ht="12.75" customHeight="1">
      <c r="B137" s="93" t="s">
        <v>859</v>
      </c>
      <c r="C137" s="94" t="s">
        <v>813</v>
      </c>
      <c r="D137" s="94">
        <v>6</v>
      </c>
      <c r="E137" s="94">
        <v>1</v>
      </c>
      <c r="F137" s="105">
        <v>2</v>
      </c>
      <c r="G137" s="200">
        <v>3.85</v>
      </c>
      <c r="H137" s="94">
        <v>3.3</v>
      </c>
      <c r="K137" s="199"/>
      <c r="L137" s="199"/>
      <c r="M137" s="199"/>
      <c r="N137" s="199"/>
      <c r="O137" s="199">
        <f>F137*G137*D137*E137</f>
        <v>46.2</v>
      </c>
      <c r="P137" s="199"/>
      <c r="Q137" s="199"/>
      <c r="R137" s="199"/>
      <c r="S137" s="199"/>
      <c r="T137" s="199"/>
      <c r="U137" s="199">
        <f>(G137*2+F137*2)*H137*D137*E137</f>
        <v>231.65999999999997</v>
      </c>
      <c r="V137" s="199"/>
      <c r="W137" s="199">
        <f>O137</f>
        <v>46.2</v>
      </c>
    </row>
    <row r="138" spans="2:23" ht="12.75" customHeight="1">
      <c r="B138" s="93" t="s">
        <v>864</v>
      </c>
      <c r="C138" s="94"/>
      <c r="D138" s="94">
        <v>-6</v>
      </c>
      <c r="E138" s="94">
        <v>1</v>
      </c>
      <c r="F138" s="105">
        <v>0.6</v>
      </c>
      <c r="G138" s="200"/>
      <c r="H138" s="94">
        <v>1.1000000000000001</v>
      </c>
      <c r="I138" s="93"/>
      <c r="K138" s="199"/>
      <c r="L138" s="199"/>
      <c r="M138" s="199"/>
      <c r="N138" s="199">
        <f>F138*G138*D138*E138</f>
        <v>0</v>
      </c>
      <c r="O138" s="199"/>
      <c r="P138" s="199"/>
      <c r="Q138" s="199"/>
      <c r="R138" s="199">
        <v>0</v>
      </c>
      <c r="S138" s="199"/>
      <c r="T138" s="199"/>
      <c r="U138" s="199">
        <f>(F138+G138*2)*H138*D138*E138</f>
        <v>-3.96</v>
      </c>
      <c r="V138" s="199"/>
      <c r="W138" s="199">
        <f>N138</f>
        <v>0</v>
      </c>
    </row>
    <row r="139" spans="2:23" ht="12.75" customHeight="1">
      <c r="B139" s="93" t="s">
        <v>773</v>
      </c>
      <c r="C139" s="94"/>
      <c r="D139" s="94">
        <v>-6</v>
      </c>
      <c r="E139" s="94">
        <v>1</v>
      </c>
      <c r="F139" s="94">
        <v>0.8</v>
      </c>
      <c r="G139" s="94"/>
      <c r="H139" s="94">
        <v>2.2000000000000002</v>
      </c>
      <c r="I139" s="93"/>
      <c r="K139" s="199"/>
      <c r="L139" s="199"/>
      <c r="M139" s="199"/>
      <c r="N139" s="199"/>
      <c r="O139" s="199">
        <f>F139*G139*D139*E139</f>
        <v>0</v>
      </c>
      <c r="P139" s="199"/>
      <c r="Q139" s="199"/>
      <c r="R139" s="199"/>
      <c r="S139" s="199"/>
      <c r="T139" s="199"/>
      <c r="U139" s="199">
        <f>(G139*2+F139*2)*H139*D139*E139</f>
        <v>-21.120000000000005</v>
      </c>
      <c r="V139" s="199"/>
      <c r="W139" s="199">
        <f>O139</f>
        <v>0</v>
      </c>
    </row>
    <row r="140" spans="2:23" ht="12.75" customHeight="1">
      <c r="B140" s="93" t="s">
        <v>856</v>
      </c>
      <c r="C140" s="94" t="s">
        <v>813</v>
      </c>
      <c r="D140" s="94">
        <v>6</v>
      </c>
      <c r="E140" s="94">
        <v>1</v>
      </c>
      <c r="F140" s="105">
        <v>2.2000000000000002</v>
      </c>
      <c r="G140" s="200">
        <v>0.8</v>
      </c>
      <c r="H140" s="94">
        <v>3.3</v>
      </c>
      <c r="K140" s="199"/>
      <c r="L140" s="199"/>
      <c r="M140" s="199"/>
      <c r="N140" s="199">
        <f t="shared" ref="N140:N143" si="62">F140*G140*D140*E140</f>
        <v>10.560000000000002</v>
      </c>
      <c r="O140" s="199"/>
      <c r="P140" s="199"/>
      <c r="Q140" s="199"/>
      <c r="R140" s="199">
        <f>((F140+G140*2)*0.15)*E140*D140</f>
        <v>3.4200000000000004</v>
      </c>
      <c r="S140" s="199"/>
      <c r="T140" s="199"/>
      <c r="U140" s="199">
        <f>G140*2*H140*D140*E140</f>
        <v>31.68</v>
      </c>
      <c r="V140" s="199"/>
      <c r="W140" s="199">
        <f>N140</f>
        <v>10.560000000000002</v>
      </c>
    </row>
    <row r="141" spans="2:23" ht="12.75" customHeight="1">
      <c r="B141" s="93" t="s">
        <v>773</v>
      </c>
      <c r="C141" s="94"/>
      <c r="D141" s="94">
        <v>-6</v>
      </c>
      <c r="E141" s="94">
        <v>1</v>
      </c>
      <c r="F141" s="94">
        <v>0.8</v>
      </c>
      <c r="G141" s="94"/>
      <c r="H141" s="94">
        <v>2.2000000000000002</v>
      </c>
      <c r="I141" s="93"/>
      <c r="K141" s="199"/>
      <c r="L141" s="199"/>
      <c r="M141" s="199"/>
      <c r="N141" s="199">
        <f t="shared" si="62"/>
        <v>0</v>
      </c>
      <c r="O141" s="199"/>
      <c r="P141" s="199"/>
      <c r="Q141" s="199"/>
      <c r="R141" s="199"/>
      <c r="S141" s="199"/>
      <c r="T141" s="199"/>
      <c r="U141" s="199">
        <f>(G141*2+F141*2)*H141*D141*E141</f>
        <v>-21.120000000000005</v>
      </c>
      <c r="V141" s="199"/>
      <c r="W141" s="199">
        <f>O141</f>
        <v>0</v>
      </c>
    </row>
    <row r="142" spans="2:23" ht="12.75" customHeight="1">
      <c r="B142" s="93" t="s">
        <v>856</v>
      </c>
      <c r="C142" s="94" t="s">
        <v>813</v>
      </c>
      <c r="D142" s="94">
        <v>6</v>
      </c>
      <c r="E142" s="94">
        <v>1</v>
      </c>
      <c r="F142" s="105">
        <v>2.4</v>
      </c>
      <c r="G142" s="200">
        <v>1.3</v>
      </c>
      <c r="H142" s="94">
        <v>3.3</v>
      </c>
      <c r="K142" s="199"/>
      <c r="L142" s="199"/>
      <c r="M142" s="199"/>
      <c r="N142" s="199">
        <f t="shared" si="62"/>
        <v>18.72</v>
      </c>
      <c r="O142" s="199"/>
      <c r="P142" s="199"/>
      <c r="Q142" s="199"/>
      <c r="R142" s="199">
        <f t="shared" ref="R142:R143" si="63">((F142+G142*2)*0.15)*E142*D142</f>
        <v>4.5</v>
      </c>
      <c r="S142" s="199"/>
      <c r="T142" s="199"/>
      <c r="U142" s="199">
        <f>G142*2*H142*D142*E142</f>
        <v>51.480000000000004</v>
      </c>
      <c r="V142" s="199"/>
      <c r="W142" s="199">
        <f t="shared" ref="W142:W143" si="64">N142</f>
        <v>18.72</v>
      </c>
    </row>
    <row r="143" spans="2:23" ht="12.75" customHeight="1">
      <c r="B143" s="93" t="s">
        <v>787</v>
      </c>
      <c r="C143" s="94"/>
      <c r="D143" s="94">
        <v>-6</v>
      </c>
      <c r="E143" s="94">
        <v>1</v>
      </c>
      <c r="F143" s="105">
        <v>1</v>
      </c>
      <c r="G143" s="200"/>
      <c r="H143" s="94">
        <v>2.2000000000000002</v>
      </c>
      <c r="I143" s="93"/>
      <c r="K143" s="199"/>
      <c r="L143" s="199"/>
      <c r="M143" s="199"/>
      <c r="N143" s="199">
        <f t="shared" si="62"/>
        <v>0</v>
      </c>
      <c r="O143" s="199"/>
      <c r="P143" s="199"/>
      <c r="Q143" s="199"/>
      <c r="R143" s="199">
        <f t="shared" si="63"/>
        <v>-0.89999999999999991</v>
      </c>
      <c r="S143" s="199"/>
      <c r="T143" s="199"/>
      <c r="U143" s="199">
        <f>(F143+G143*2)*H143*D143*E143</f>
        <v>-13.200000000000001</v>
      </c>
      <c r="V143" s="199"/>
      <c r="W143" s="199">
        <f t="shared" si="64"/>
        <v>0</v>
      </c>
    </row>
    <row r="144" spans="2:23" ht="12.75" customHeight="1">
      <c r="B144" s="181" t="s">
        <v>865</v>
      </c>
      <c r="C144" s="94"/>
      <c r="D144" s="94"/>
      <c r="E144" s="94"/>
      <c r="F144" s="94"/>
      <c r="G144" s="94"/>
      <c r="H144" s="94"/>
      <c r="I144" s="93"/>
      <c r="K144" s="199"/>
      <c r="L144" s="199"/>
      <c r="M144" s="199"/>
      <c r="N144" s="199"/>
      <c r="O144" s="199"/>
      <c r="P144" s="199"/>
      <c r="Q144" s="199"/>
      <c r="R144" s="199"/>
      <c r="S144" s="199"/>
      <c r="T144" s="199"/>
      <c r="U144" s="199"/>
      <c r="V144" s="199"/>
      <c r="W144" s="199"/>
    </row>
    <row r="145" spans="2:23" ht="12.75" customHeight="1">
      <c r="B145" s="93" t="s">
        <v>854</v>
      </c>
      <c r="C145" s="94" t="s">
        <v>813</v>
      </c>
      <c r="D145" s="94">
        <v>6</v>
      </c>
      <c r="E145" s="94">
        <v>1</v>
      </c>
      <c r="F145" s="105">
        <v>3.81</v>
      </c>
      <c r="G145" s="200">
        <v>3.81</v>
      </c>
      <c r="H145" s="94">
        <v>3.3</v>
      </c>
      <c r="K145" s="199"/>
      <c r="L145" s="199"/>
      <c r="M145" s="199"/>
      <c r="N145" s="199">
        <f t="shared" ref="N145:N153" si="65">F145*G145*D145*E145</f>
        <v>87.096599999999995</v>
      </c>
      <c r="O145" s="199"/>
      <c r="P145" s="199"/>
      <c r="Q145" s="199"/>
      <c r="R145" s="199">
        <f t="shared" ref="R145:R153" si="66">((F145+G145*2)*0.15)*E145*D145</f>
        <v>10.286999999999999</v>
      </c>
      <c r="S145" s="199"/>
      <c r="T145" s="199"/>
      <c r="U145" s="199">
        <f>(F145*2+G145*2)*H145*D145*E145</f>
        <v>301.75199999999995</v>
      </c>
      <c r="V145" s="199"/>
      <c r="W145" s="199">
        <f t="shared" ref="W145:W153" si="67">N145</f>
        <v>87.096599999999995</v>
      </c>
    </row>
    <row r="146" spans="2:23" ht="12.75" customHeight="1">
      <c r="B146" s="93" t="s">
        <v>776</v>
      </c>
      <c r="C146" s="94"/>
      <c r="D146" s="94">
        <v>-6</v>
      </c>
      <c r="E146" s="94">
        <v>1</v>
      </c>
      <c r="F146" s="105">
        <v>0.8</v>
      </c>
      <c r="G146" s="200"/>
      <c r="H146" s="94">
        <v>2.2000000000000002</v>
      </c>
      <c r="I146" s="93"/>
      <c r="K146" s="199"/>
      <c r="L146" s="199"/>
      <c r="M146" s="199"/>
      <c r="N146" s="199">
        <f t="shared" si="65"/>
        <v>0</v>
      </c>
      <c r="O146" s="199"/>
      <c r="P146" s="199"/>
      <c r="Q146" s="199"/>
      <c r="R146" s="199">
        <f t="shared" si="66"/>
        <v>-0.72</v>
      </c>
      <c r="S146" s="199"/>
      <c r="T146" s="199"/>
      <c r="U146" s="199">
        <f t="shared" ref="U146:U149" si="68">(F146+G146*2)*H146*D146*E146</f>
        <v>-10.560000000000002</v>
      </c>
      <c r="V146" s="199"/>
      <c r="W146" s="199">
        <f t="shared" si="67"/>
        <v>0</v>
      </c>
    </row>
    <row r="147" spans="2:23" ht="12.75" customHeight="1">
      <c r="B147" s="93" t="s">
        <v>770</v>
      </c>
      <c r="C147" s="94"/>
      <c r="D147" s="94">
        <v>-6</v>
      </c>
      <c r="E147" s="94">
        <v>1</v>
      </c>
      <c r="F147" s="105">
        <v>1</v>
      </c>
      <c r="G147" s="200"/>
      <c r="H147" s="94">
        <v>2.2000000000000002</v>
      </c>
      <c r="I147" s="93"/>
      <c r="K147" s="199"/>
      <c r="L147" s="199"/>
      <c r="M147" s="199"/>
      <c r="N147" s="199">
        <f t="shared" si="65"/>
        <v>0</v>
      </c>
      <c r="O147" s="199"/>
      <c r="P147" s="199"/>
      <c r="Q147" s="199"/>
      <c r="R147" s="199">
        <f t="shared" si="66"/>
        <v>-0.89999999999999991</v>
      </c>
      <c r="S147" s="199"/>
      <c r="T147" s="199"/>
      <c r="U147" s="199">
        <f t="shared" si="68"/>
        <v>-13.200000000000001</v>
      </c>
      <c r="V147" s="199"/>
      <c r="W147" s="199">
        <f t="shared" si="67"/>
        <v>0</v>
      </c>
    </row>
    <row r="148" spans="2:23" ht="12.75" customHeight="1">
      <c r="B148" s="93" t="s">
        <v>785</v>
      </c>
      <c r="C148" s="94"/>
      <c r="D148" s="94">
        <v>-6</v>
      </c>
      <c r="E148" s="94">
        <v>1</v>
      </c>
      <c r="F148" s="105">
        <v>1.1000000000000001</v>
      </c>
      <c r="G148" s="200"/>
      <c r="H148" s="94">
        <v>2.2000000000000002</v>
      </c>
      <c r="I148" s="93"/>
      <c r="K148" s="199"/>
      <c r="L148" s="199"/>
      <c r="M148" s="199"/>
      <c r="N148" s="199">
        <f t="shared" si="65"/>
        <v>0</v>
      </c>
      <c r="O148" s="199"/>
      <c r="P148" s="199"/>
      <c r="Q148" s="199"/>
      <c r="R148" s="199">
        <f t="shared" si="66"/>
        <v>-0.99</v>
      </c>
      <c r="S148" s="199"/>
      <c r="T148" s="199"/>
      <c r="U148" s="199">
        <f t="shared" si="68"/>
        <v>-14.520000000000003</v>
      </c>
      <c r="V148" s="199"/>
      <c r="W148" s="199">
        <f t="shared" si="67"/>
        <v>0</v>
      </c>
    </row>
    <row r="149" spans="2:23" ht="12.75" customHeight="1">
      <c r="B149" s="93" t="s">
        <v>787</v>
      </c>
      <c r="C149" s="94"/>
      <c r="D149" s="94">
        <v>-6</v>
      </c>
      <c r="E149" s="94">
        <v>1</v>
      </c>
      <c r="F149" s="105">
        <v>1</v>
      </c>
      <c r="G149" s="200"/>
      <c r="H149" s="94">
        <v>2.2000000000000002</v>
      </c>
      <c r="I149" s="93"/>
      <c r="K149" s="199"/>
      <c r="L149" s="199"/>
      <c r="M149" s="199"/>
      <c r="N149" s="199">
        <f t="shared" si="65"/>
        <v>0</v>
      </c>
      <c r="O149" s="199"/>
      <c r="P149" s="199"/>
      <c r="Q149" s="199"/>
      <c r="R149" s="199">
        <f t="shared" si="66"/>
        <v>-0.89999999999999991</v>
      </c>
      <c r="S149" s="199"/>
      <c r="T149" s="199"/>
      <c r="U149" s="199">
        <f t="shared" si="68"/>
        <v>-13.200000000000001</v>
      </c>
      <c r="V149" s="199"/>
      <c r="W149" s="199">
        <f t="shared" si="67"/>
        <v>0</v>
      </c>
    </row>
    <row r="150" spans="2:23" ht="12.75" customHeight="1">
      <c r="B150" s="93" t="s">
        <v>855</v>
      </c>
      <c r="C150" s="94" t="s">
        <v>813</v>
      </c>
      <c r="D150" s="94">
        <v>6</v>
      </c>
      <c r="E150" s="94">
        <v>1</v>
      </c>
      <c r="F150" s="105">
        <v>3.2</v>
      </c>
      <c r="G150" s="200">
        <v>3.8</v>
      </c>
      <c r="H150" s="94">
        <v>3.3</v>
      </c>
      <c r="K150" s="199"/>
      <c r="L150" s="199"/>
      <c r="M150" s="199"/>
      <c r="N150" s="199">
        <f t="shared" si="65"/>
        <v>72.960000000000008</v>
      </c>
      <c r="O150" s="199"/>
      <c r="P150" s="199"/>
      <c r="Q150" s="199"/>
      <c r="R150" s="199">
        <f t="shared" si="66"/>
        <v>9.7200000000000006</v>
      </c>
      <c r="S150" s="199"/>
      <c r="T150" s="199"/>
      <c r="U150" s="199">
        <f>(F150*2+G150*2)*H150*D150*E150</f>
        <v>277.2</v>
      </c>
      <c r="V150" s="199"/>
      <c r="W150" s="199">
        <f t="shared" si="67"/>
        <v>72.960000000000008</v>
      </c>
    </row>
    <row r="151" spans="2:23" ht="12.75" customHeight="1">
      <c r="B151" s="93" t="s">
        <v>788</v>
      </c>
      <c r="C151" s="94"/>
      <c r="D151" s="94">
        <v>-6</v>
      </c>
      <c r="E151" s="94">
        <v>1</v>
      </c>
      <c r="F151" s="105">
        <v>0.9</v>
      </c>
      <c r="G151" s="200"/>
      <c r="H151" s="94">
        <v>2.2000000000000002</v>
      </c>
      <c r="I151" s="93"/>
      <c r="K151" s="199"/>
      <c r="L151" s="199"/>
      <c r="M151" s="199"/>
      <c r="N151" s="199">
        <f t="shared" si="65"/>
        <v>0</v>
      </c>
      <c r="O151" s="199"/>
      <c r="P151" s="199"/>
      <c r="Q151" s="199"/>
      <c r="R151" s="199">
        <f t="shared" si="66"/>
        <v>-0.81</v>
      </c>
      <c r="S151" s="199"/>
      <c r="T151" s="199"/>
      <c r="U151" s="199">
        <f t="shared" ref="U151:U153" si="69">(F151+G151*2)*H151*D151*E151</f>
        <v>-11.88</v>
      </c>
      <c r="V151" s="199"/>
      <c r="W151" s="199">
        <f t="shared" si="67"/>
        <v>0</v>
      </c>
    </row>
    <row r="152" spans="2:23" ht="12.75" customHeight="1">
      <c r="B152" s="93" t="s">
        <v>770</v>
      </c>
      <c r="C152" s="94"/>
      <c r="D152" s="94">
        <v>-6</v>
      </c>
      <c r="E152" s="94">
        <v>1</v>
      </c>
      <c r="F152" s="105">
        <v>1</v>
      </c>
      <c r="G152" s="200"/>
      <c r="H152" s="94">
        <v>2.2000000000000002</v>
      </c>
      <c r="I152" s="93"/>
      <c r="K152" s="199"/>
      <c r="L152" s="199"/>
      <c r="M152" s="199"/>
      <c r="N152" s="199">
        <f t="shared" si="65"/>
        <v>0</v>
      </c>
      <c r="O152" s="199"/>
      <c r="P152" s="199"/>
      <c r="Q152" s="199"/>
      <c r="R152" s="199">
        <f t="shared" si="66"/>
        <v>-0.89999999999999991</v>
      </c>
      <c r="S152" s="199"/>
      <c r="T152" s="199"/>
      <c r="U152" s="199">
        <f t="shared" si="69"/>
        <v>-13.200000000000001</v>
      </c>
      <c r="V152" s="199"/>
      <c r="W152" s="199">
        <f t="shared" si="67"/>
        <v>0</v>
      </c>
    </row>
    <row r="153" spans="2:23" ht="12.75" customHeight="1">
      <c r="B153" s="93" t="s">
        <v>787</v>
      </c>
      <c r="C153" s="94"/>
      <c r="D153" s="94">
        <v>-6</v>
      </c>
      <c r="E153" s="94">
        <v>1</v>
      </c>
      <c r="F153" s="105">
        <v>1</v>
      </c>
      <c r="G153" s="200"/>
      <c r="H153" s="94">
        <v>2.2000000000000002</v>
      </c>
      <c r="I153" s="93"/>
      <c r="K153" s="199"/>
      <c r="L153" s="199"/>
      <c r="M153" s="199"/>
      <c r="N153" s="199">
        <f t="shared" si="65"/>
        <v>0</v>
      </c>
      <c r="O153" s="199"/>
      <c r="P153" s="199"/>
      <c r="Q153" s="199"/>
      <c r="R153" s="199">
        <f t="shared" si="66"/>
        <v>-0.89999999999999991</v>
      </c>
      <c r="S153" s="199"/>
      <c r="T153" s="199"/>
      <c r="U153" s="199">
        <f t="shared" si="69"/>
        <v>-13.200000000000001</v>
      </c>
      <c r="V153" s="199"/>
      <c r="W153" s="199">
        <f t="shared" si="67"/>
        <v>0</v>
      </c>
    </row>
    <row r="154" spans="2:23" ht="12.75" customHeight="1">
      <c r="B154" s="93" t="s">
        <v>858</v>
      </c>
      <c r="C154" s="94" t="s">
        <v>813</v>
      </c>
      <c r="D154" s="94">
        <v>6</v>
      </c>
      <c r="E154" s="94">
        <v>1</v>
      </c>
      <c r="F154" s="105">
        <v>2</v>
      </c>
      <c r="G154" s="200">
        <v>1.5</v>
      </c>
      <c r="H154" s="94">
        <v>3.3</v>
      </c>
      <c r="K154" s="199"/>
      <c r="L154" s="199"/>
      <c r="M154" s="199"/>
      <c r="N154" s="199"/>
      <c r="O154" s="199">
        <f t="shared" ref="O154:O157" si="70">F154*G154*D154*E154</f>
        <v>18</v>
      </c>
      <c r="P154" s="199"/>
      <c r="Q154" s="199"/>
      <c r="R154" s="199"/>
      <c r="S154" s="199"/>
      <c r="T154" s="199"/>
      <c r="U154" s="199">
        <f t="shared" ref="U154:U156" si="71">(G154*2+F154*2)*H154*D154*E154</f>
        <v>138.6</v>
      </c>
      <c r="V154" s="199"/>
      <c r="W154" s="199">
        <f t="shared" ref="W154:W157" si="72">O154</f>
        <v>18</v>
      </c>
    </row>
    <row r="155" spans="2:23" ht="12.75" customHeight="1">
      <c r="B155" s="93" t="s">
        <v>788</v>
      </c>
      <c r="C155" s="94"/>
      <c r="D155" s="94">
        <v>-6</v>
      </c>
      <c r="E155" s="94">
        <v>1</v>
      </c>
      <c r="F155" s="94">
        <v>0.9</v>
      </c>
      <c r="G155" s="94"/>
      <c r="H155" s="94">
        <v>2.2000000000000002</v>
      </c>
      <c r="I155" s="93"/>
      <c r="K155" s="199"/>
      <c r="L155" s="199"/>
      <c r="M155" s="199"/>
      <c r="N155" s="199"/>
      <c r="O155" s="199">
        <f t="shared" si="70"/>
        <v>0</v>
      </c>
      <c r="P155" s="199"/>
      <c r="Q155" s="199"/>
      <c r="R155" s="199"/>
      <c r="S155" s="199"/>
      <c r="T155" s="199"/>
      <c r="U155" s="199">
        <f t="shared" si="71"/>
        <v>-23.76</v>
      </c>
      <c r="V155" s="199"/>
      <c r="W155" s="199">
        <f t="shared" si="72"/>
        <v>0</v>
      </c>
    </row>
    <row r="156" spans="2:23" ht="12.75" customHeight="1">
      <c r="B156" s="93" t="s">
        <v>779</v>
      </c>
      <c r="C156" s="94"/>
      <c r="D156" s="94">
        <v>-6</v>
      </c>
      <c r="E156" s="94">
        <v>1</v>
      </c>
      <c r="F156" s="94">
        <v>0.6</v>
      </c>
      <c r="G156" s="94"/>
      <c r="H156" s="94">
        <v>0.8</v>
      </c>
      <c r="I156" s="93"/>
      <c r="K156" s="199"/>
      <c r="L156" s="199"/>
      <c r="M156" s="199"/>
      <c r="N156" s="199"/>
      <c r="O156" s="199">
        <f t="shared" si="70"/>
        <v>0</v>
      </c>
      <c r="P156" s="199"/>
      <c r="Q156" s="199"/>
      <c r="R156" s="199"/>
      <c r="S156" s="199"/>
      <c r="T156" s="199"/>
      <c r="U156" s="199">
        <f t="shared" si="71"/>
        <v>-5.76</v>
      </c>
      <c r="V156" s="199"/>
      <c r="W156" s="199">
        <f t="shared" si="72"/>
        <v>0</v>
      </c>
    </row>
    <row r="157" spans="2:23" ht="12.75" customHeight="1">
      <c r="B157" s="93" t="s">
        <v>857</v>
      </c>
      <c r="C157" s="94" t="s">
        <v>813</v>
      </c>
      <c r="D157" s="94">
        <v>6</v>
      </c>
      <c r="E157" s="94">
        <v>1</v>
      </c>
      <c r="F157" s="105">
        <v>1.4</v>
      </c>
      <c r="G157" s="200">
        <v>1.3</v>
      </c>
      <c r="H157" s="94">
        <v>3.3</v>
      </c>
      <c r="K157" s="199"/>
      <c r="L157" s="199"/>
      <c r="M157" s="199"/>
      <c r="N157" s="199"/>
      <c r="O157" s="199">
        <f t="shared" si="70"/>
        <v>10.919999999999998</v>
      </c>
      <c r="P157" s="199"/>
      <c r="Q157" s="199"/>
      <c r="R157" s="199"/>
      <c r="S157" s="199"/>
      <c r="T157" s="199"/>
      <c r="U157" s="199">
        <f>(G157+F157*2)*H157*D157*E157</f>
        <v>81.179999999999978</v>
      </c>
      <c r="V157" s="199"/>
      <c r="W157" s="199">
        <f t="shared" si="72"/>
        <v>10.919999999999998</v>
      </c>
    </row>
    <row r="158" spans="2:23" ht="12.75" customHeight="1">
      <c r="B158" s="93" t="s">
        <v>776</v>
      </c>
      <c r="C158" s="94"/>
      <c r="D158" s="94">
        <v>-6</v>
      </c>
      <c r="E158" s="94">
        <v>1</v>
      </c>
      <c r="F158" s="105">
        <v>0.8</v>
      </c>
      <c r="G158" s="200"/>
      <c r="H158" s="94">
        <v>2.2000000000000002</v>
      </c>
      <c r="I158" s="93"/>
      <c r="K158" s="199"/>
      <c r="L158" s="199"/>
      <c r="M158" s="199"/>
      <c r="N158" s="199">
        <f>F158*G158*D158*E158</f>
        <v>0</v>
      </c>
      <c r="O158" s="199"/>
      <c r="P158" s="199"/>
      <c r="Q158" s="199"/>
      <c r="R158" s="199">
        <f>((F158+G158*2)*0.15)*E158*D158</f>
        <v>-0.72</v>
      </c>
      <c r="S158" s="199"/>
      <c r="T158" s="199"/>
      <c r="U158" s="199">
        <f>(F158+G158*2)*H158*D158*E158</f>
        <v>-10.560000000000002</v>
      </c>
      <c r="V158" s="199"/>
      <c r="W158" s="199">
        <f>N158</f>
        <v>0</v>
      </c>
    </row>
    <row r="159" spans="2:23" ht="12.75" customHeight="1">
      <c r="B159" s="93" t="s">
        <v>859</v>
      </c>
      <c r="C159" s="94" t="s">
        <v>813</v>
      </c>
      <c r="D159" s="94">
        <v>6</v>
      </c>
      <c r="E159" s="94">
        <v>1</v>
      </c>
      <c r="F159" s="105">
        <v>2.6</v>
      </c>
      <c r="G159" s="200">
        <v>2</v>
      </c>
      <c r="H159" s="94">
        <v>3.3</v>
      </c>
      <c r="K159" s="199"/>
      <c r="L159" s="199"/>
      <c r="M159" s="199"/>
      <c r="N159" s="199"/>
      <c r="O159" s="199">
        <f>F159*G159*D159*E159</f>
        <v>31.200000000000003</v>
      </c>
      <c r="P159" s="199"/>
      <c r="Q159" s="199"/>
      <c r="R159" s="199"/>
      <c r="S159" s="199"/>
      <c r="T159" s="199"/>
      <c r="U159" s="199">
        <f>(G159*2+F159*2)*H159*D159*E159</f>
        <v>182.15999999999997</v>
      </c>
      <c r="V159" s="199"/>
      <c r="W159" s="199">
        <f>O159</f>
        <v>31.200000000000003</v>
      </c>
    </row>
    <row r="160" spans="2:23" ht="12.75" customHeight="1">
      <c r="B160" s="93" t="s">
        <v>866</v>
      </c>
      <c r="C160" s="94"/>
      <c r="D160" s="94">
        <v>-6</v>
      </c>
      <c r="E160" s="94">
        <v>1</v>
      </c>
      <c r="F160" s="105">
        <v>1.5</v>
      </c>
      <c r="G160" s="200"/>
      <c r="H160" s="94">
        <v>3.24</v>
      </c>
      <c r="I160" s="93"/>
      <c r="K160" s="199"/>
      <c r="L160" s="199"/>
      <c r="M160" s="199"/>
      <c r="N160" s="199">
        <f>F160*G160*D160*E160</f>
        <v>0</v>
      </c>
      <c r="O160" s="199"/>
      <c r="P160" s="199"/>
      <c r="Q160" s="199"/>
      <c r="R160" s="199">
        <v>0</v>
      </c>
      <c r="S160" s="199"/>
      <c r="T160" s="199"/>
      <c r="U160" s="199">
        <f>(F160+G160*2)*H160*D160*E160</f>
        <v>-29.160000000000004</v>
      </c>
      <c r="V160" s="199"/>
      <c r="W160" s="199">
        <f>N160</f>
        <v>0</v>
      </c>
    </row>
    <row r="161" spans="2:23" ht="12.75" customHeight="1">
      <c r="B161" s="93" t="s">
        <v>773</v>
      </c>
      <c r="C161" s="94"/>
      <c r="D161" s="94">
        <v>-6</v>
      </c>
      <c r="E161" s="94">
        <v>1</v>
      </c>
      <c r="F161" s="94">
        <v>0.8</v>
      </c>
      <c r="G161" s="94"/>
      <c r="H161" s="94">
        <v>2.2000000000000002</v>
      </c>
      <c r="I161" s="93"/>
      <c r="K161" s="199"/>
      <c r="L161" s="199"/>
      <c r="M161" s="199"/>
      <c r="N161" s="199"/>
      <c r="O161" s="199">
        <f>F161*G161*D161*E161</f>
        <v>0</v>
      </c>
      <c r="P161" s="199"/>
      <c r="Q161" s="199"/>
      <c r="R161" s="199"/>
      <c r="S161" s="199"/>
      <c r="T161" s="199"/>
      <c r="U161" s="199">
        <f>(G161*2+F161*2)*H161*D161*E161</f>
        <v>-21.120000000000005</v>
      </c>
      <c r="V161" s="199"/>
      <c r="W161" s="199">
        <f>O161</f>
        <v>0</v>
      </c>
    </row>
    <row r="162" spans="2:23" ht="12.75" customHeight="1">
      <c r="B162" s="93" t="s">
        <v>856</v>
      </c>
      <c r="C162" s="94" t="s">
        <v>813</v>
      </c>
      <c r="D162" s="94">
        <v>6</v>
      </c>
      <c r="E162" s="94">
        <v>1</v>
      </c>
      <c r="F162" s="105">
        <v>2.2999999999999998</v>
      </c>
      <c r="G162" s="200">
        <v>0.8</v>
      </c>
      <c r="H162" s="94">
        <v>3.3</v>
      </c>
      <c r="K162" s="199"/>
      <c r="L162" s="199"/>
      <c r="M162" s="199"/>
      <c r="N162" s="199">
        <f t="shared" ref="N162:N167" si="73">F162*G162*D162*E162</f>
        <v>11.04</v>
      </c>
      <c r="O162" s="199"/>
      <c r="P162" s="199"/>
      <c r="Q162" s="199"/>
      <c r="R162" s="199">
        <f>((F162+G162*2)*0.15)*E162*D162</f>
        <v>3.51</v>
      </c>
      <c r="S162" s="199"/>
      <c r="T162" s="199"/>
      <c r="U162" s="199">
        <f>G162*2*H162*D162*E162</f>
        <v>31.68</v>
      </c>
      <c r="V162" s="199"/>
      <c r="W162" s="199">
        <f t="shared" ref="W162:W167" si="74">N162</f>
        <v>11.04</v>
      </c>
    </row>
    <row r="163" spans="2:23" ht="12.75" customHeight="1">
      <c r="B163" s="93" t="s">
        <v>773</v>
      </c>
      <c r="C163" s="94"/>
      <c r="D163" s="94">
        <v>-6</v>
      </c>
      <c r="E163" s="94">
        <v>1</v>
      </c>
      <c r="F163" s="94">
        <v>0.8</v>
      </c>
      <c r="G163" s="94"/>
      <c r="H163" s="94">
        <v>2.2000000000000002</v>
      </c>
      <c r="I163" s="93"/>
      <c r="K163" s="199"/>
      <c r="L163" s="199"/>
      <c r="M163" s="199"/>
      <c r="N163" s="199">
        <f t="shared" si="73"/>
        <v>0</v>
      </c>
      <c r="O163" s="199"/>
      <c r="P163" s="199"/>
      <c r="Q163" s="199"/>
      <c r="R163" s="199"/>
      <c r="S163" s="199"/>
      <c r="T163" s="199"/>
      <c r="U163" s="199">
        <f>(G163*2+F163*2)*H163*D163*E163</f>
        <v>-21.120000000000005</v>
      </c>
      <c r="V163" s="199"/>
      <c r="W163" s="199">
        <f t="shared" si="74"/>
        <v>0</v>
      </c>
    </row>
    <row r="164" spans="2:23" ht="12.75" customHeight="1">
      <c r="B164" s="93" t="s">
        <v>856</v>
      </c>
      <c r="C164" s="94" t="s">
        <v>813</v>
      </c>
      <c r="D164" s="94">
        <v>6</v>
      </c>
      <c r="E164" s="94">
        <v>1</v>
      </c>
      <c r="F164" s="105">
        <v>2.5</v>
      </c>
      <c r="G164" s="200">
        <v>1.2</v>
      </c>
      <c r="H164" s="94">
        <v>3.3</v>
      </c>
      <c r="K164" s="199"/>
      <c r="L164" s="199"/>
      <c r="M164" s="199"/>
      <c r="N164" s="199">
        <f t="shared" si="73"/>
        <v>18</v>
      </c>
      <c r="O164" s="199"/>
      <c r="P164" s="199"/>
      <c r="Q164" s="199"/>
      <c r="R164" s="199">
        <f t="shared" ref="R164:R167" si="75">((F164+G164*2)*0.15)*E164*D164</f>
        <v>4.41</v>
      </c>
      <c r="S164" s="199"/>
      <c r="T164" s="199"/>
      <c r="U164" s="199">
        <f>G164*2*H164*D164*E164</f>
        <v>47.519999999999996</v>
      </c>
      <c r="V164" s="199"/>
      <c r="W164" s="199">
        <f t="shared" si="74"/>
        <v>18</v>
      </c>
    </row>
    <row r="165" spans="2:23" ht="12.75" customHeight="1">
      <c r="B165" s="93" t="s">
        <v>787</v>
      </c>
      <c r="C165" s="94"/>
      <c r="D165" s="94">
        <v>-6</v>
      </c>
      <c r="E165" s="94">
        <v>1</v>
      </c>
      <c r="F165" s="105">
        <v>1</v>
      </c>
      <c r="G165" s="200"/>
      <c r="H165" s="94">
        <v>2.2000000000000002</v>
      </c>
      <c r="I165" s="93"/>
      <c r="K165" s="199"/>
      <c r="L165" s="199"/>
      <c r="M165" s="199"/>
      <c r="N165" s="199">
        <f t="shared" si="73"/>
        <v>0</v>
      </c>
      <c r="O165" s="199"/>
      <c r="P165" s="199"/>
      <c r="Q165" s="199"/>
      <c r="R165" s="199">
        <f t="shared" si="75"/>
        <v>-0.89999999999999991</v>
      </c>
      <c r="S165" s="199"/>
      <c r="T165" s="199"/>
      <c r="U165" s="199">
        <f>(F165+G165*2)*H165*D165*E165</f>
        <v>-13.200000000000001</v>
      </c>
      <c r="V165" s="199"/>
      <c r="W165" s="199">
        <f t="shared" si="74"/>
        <v>0</v>
      </c>
    </row>
    <row r="166" spans="2:23" ht="12.75" customHeight="1">
      <c r="B166" s="93" t="s">
        <v>856</v>
      </c>
      <c r="C166" s="94" t="s">
        <v>813</v>
      </c>
      <c r="D166" s="94">
        <v>6</v>
      </c>
      <c r="E166" s="94">
        <v>1</v>
      </c>
      <c r="F166" s="105">
        <v>2.5</v>
      </c>
      <c r="G166" s="200">
        <v>1.3</v>
      </c>
      <c r="H166" s="94">
        <v>3.3</v>
      </c>
      <c r="K166" s="199"/>
      <c r="L166" s="199"/>
      <c r="M166" s="199"/>
      <c r="N166" s="199">
        <f t="shared" si="73"/>
        <v>19.5</v>
      </c>
      <c r="O166" s="199"/>
      <c r="P166" s="199"/>
      <c r="Q166" s="199"/>
      <c r="R166" s="199">
        <f t="shared" si="75"/>
        <v>4.59</v>
      </c>
      <c r="S166" s="199"/>
      <c r="T166" s="199"/>
      <c r="U166" s="199">
        <f>G166*2*H166*D166*E166</f>
        <v>51.480000000000004</v>
      </c>
      <c r="V166" s="199"/>
      <c r="W166" s="199">
        <f t="shared" si="74"/>
        <v>19.5</v>
      </c>
    </row>
    <row r="167" spans="2:23" ht="12.75" customHeight="1">
      <c r="B167" s="93" t="s">
        <v>787</v>
      </c>
      <c r="C167" s="94"/>
      <c r="D167" s="94">
        <v>-6</v>
      </c>
      <c r="E167" s="94">
        <v>1</v>
      </c>
      <c r="F167" s="105">
        <v>1</v>
      </c>
      <c r="G167" s="200"/>
      <c r="H167" s="94">
        <v>2.2000000000000002</v>
      </c>
      <c r="I167" s="93"/>
      <c r="K167" s="199"/>
      <c r="L167" s="199"/>
      <c r="M167" s="199"/>
      <c r="N167" s="199">
        <f t="shared" si="73"/>
        <v>0</v>
      </c>
      <c r="O167" s="199"/>
      <c r="P167" s="199"/>
      <c r="Q167" s="199"/>
      <c r="R167" s="199">
        <f t="shared" si="75"/>
        <v>-0.89999999999999991</v>
      </c>
      <c r="S167" s="199"/>
      <c r="T167" s="199"/>
      <c r="U167" s="199">
        <f>(F167+G167*2)*H167*D167*E167</f>
        <v>-13.200000000000001</v>
      </c>
      <c r="V167" s="199"/>
      <c r="W167" s="199">
        <f t="shared" si="74"/>
        <v>0</v>
      </c>
    </row>
    <row r="168" spans="2:23" ht="12.75" customHeight="1">
      <c r="B168" s="181" t="s">
        <v>867</v>
      </c>
      <c r="C168" s="94"/>
      <c r="D168" s="94"/>
      <c r="E168" s="94"/>
      <c r="F168" s="94"/>
      <c r="G168" s="94"/>
      <c r="H168" s="94"/>
      <c r="I168" s="93"/>
      <c r="K168" s="199"/>
      <c r="L168" s="199"/>
      <c r="M168" s="199"/>
      <c r="N168" s="199"/>
      <c r="O168" s="199"/>
      <c r="P168" s="199"/>
      <c r="Q168" s="199"/>
      <c r="R168" s="199"/>
      <c r="S168" s="199"/>
      <c r="T168" s="199"/>
      <c r="U168" s="199"/>
      <c r="V168" s="199"/>
      <c r="W168" s="199"/>
    </row>
    <row r="169" spans="2:23" ht="12.75" customHeight="1">
      <c r="B169" s="93" t="s">
        <v>854</v>
      </c>
      <c r="C169" s="94" t="s">
        <v>813</v>
      </c>
      <c r="D169" s="94">
        <v>6</v>
      </c>
      <c r="E169" s="94">
        <v>1</v>
      </c>
      <c r="F169" s="105">
        <v>4.68</v>
      </c>
      <c r="G169" s="200">
        <v>4.68</v>
      </c>
      <c r="H169" s="94">
        <v>3.3</v>
      </c>
      <c r="K169" s="199"/>
      <c r="L169" s="199"/>
      <c r="M169" s="199"/>
      <c r="N169" s="199">
        <f t="shared" ref="N169:N182" si="76">F169*G169*D169*E169</f>
        <v>131.41439999999997</v>
      </c>
      <c r="O169" s="199"/>
      <c r="P169" s="199"/>
      <c r="Q169" s="199"/>
      <c r="R169" s="199">
        <f t="shared" ref="R169:R182" si="77">((F169+G169*2)*0.15)*E169*D169</f>
        <v>12.635999999999999</v>
      </c>
      <c r="S169" s="199"/>
      <c r="T169" s="199"/>
      <c r="U169" s="199">
        <f>(F169*2+G169*2)*H169*D169*E169</f>
        <v>370.65599999999995</v>
      </c>
      <c r="V169" s="199"/>
      <c r="W169" s="199">
        <f t="shared" ref="W169:W182" si="78">N169</f>
        <v>131.41439999999997</v>
      </c>
    </row>
    <row r="170" spans="2:23" ht="12.75" customHeight="1">
      <c r="B170" s="93" t="s">
        <v>776</v>
      </c>
      <c r="C170" s="94"/>
      <c r="D170" s="94">
        <v>-6</v>
      </c>
      <c r="E170" s="94">
        <v>1</v>
      </c>
      <c r="F170" s="105">
        <v>0.8</v>
      </c>
      <c r="G170" s="200"/>
      <c r="H170" s="94">
        <v>2.2000000000000002</v>
      </c>
      <c r="I170" s="93"/>
      <c r="K170" s="199"/>
      <c r="L170" s="199"/>
      <c r="M170" s="199"/>
      <c r="N170" s="199">
        <f t="shared" si="76"/>
        <v>0</v>
      </c>
      <c r="O170" s="199"/>
      <c r="P170" s="199"/>
      <c r="Q170" s="199"/>
      <c r="R170" s="199">
        <f t="shared" si="77"/>
        <v>-0.72</v>
      </c>
      <c r="S170" s="199"/>
      <c r="T170" s="199"/>
      <c r="U170" s="199">
        <f t="shared" ref="U170:U173" si="79">(F170+G170*2)*H170*D170*E170</f>
        <v>-10.560000000000002</v>
      </c>
      <c r="V170" s="199"/>
      <c r="W170" s="199">
        <f t="shared" si="78"/>
        <v>0</v>
      </c>
    </row>
    <row r="171" spans="2:23" ht="12.75" customHeight="1">
      <c r="B171" s="93" t="s">
        <v>770</v>
      </c>
      <c r="C171" s="94"/>
      <c r="D171" s="94">
        <v>-6</v>
      </c>
      <c r="E171" s="94">
        <v>2</v>
      </c>
      <c r="F171" s="105">
        <v>1</v>
      </c>
      <c r="G171" s="200"/>
      <c r="H171" s="94">
        <v>2.2000000000000002</v>
      </c>
      <c r="I171" s="93"/>
      <c r="K171" s="199"/>
      <c r="L171" s="199"/>
      <c r="M171" s="199"/>
      <c r="N171" s="199">
        <f t="shared" si="76"/>
        <v>0</v>
      </c>
      <c r="O171" s="199"/>
      <c r="P171" s="199"/>
      <c r="Q171" s="199"/>
      <c r="R171" s="199">
        <f t="shared" si="77"/>
        <v>-1.7999999999999998</v>
      </c>
      <c r="S171" s="199"/>
      <c r="T171" s="199"/>
      <c r="U171" s="199">
        <f t="shared" si="79"/>
        <v>-26.400000000000002</v>
      </c>
      <c r="V171" s="199"/>
      <c r="W171" s="199">
        <f t="shared" si="78"/>
        <v>0</v>
      </c>
    </row>
    <row r="172" spans="2:23" ht="12.75" customHeight="1">
      <c r="B172" s="93" t="s">
        <v>785</v>
      </c>
      <c r="C172" s="94"/>
      <c r="D172" s="94">
        <v>-6</v>
      </c>
      <c r="E172" s="94">
        <v>1</v>
      </c>
      <c r="F172" s="105">
        <v>1.1000000000000001</v>
      </c>
      <c r="G172" s="200"/>
      <c r="H172" s="94">
        <v>2.2000000000000002</v>
      </c>
      <c r="I172" s="93"/>
      <c r="K172" s="199"/>
      <c r="L172" s="199"/>
      <c r="M172" s="199"/>
      <c r="N172" s="199">
        <f t="shared" si="76"/>
        <v>0</v>
      </c>
      <c r="O172" s="199"/>
      <c r="P172" s="199"/>
      <c r="Q172" s="199"/>
      <c r="R172" s="199">
        <f t="shared" si="77"/>
        <v>-0.99</v>
      </c>
      <c r="S172" s="199"/>
      <c r="T172" s="199"/>
      <c r="U172" s="199">
        <f t="shared" si="79"/>
        <v>-14.520000000000003</v>
      </c>
      <c r="V172" s="199"/>
      <c r="W172" s="199">
        <f t="shared" si="78"/>
        <v>0</v>
      </c>
    </row>
    <row r="173" spans="2:23" ht="12.75" customHeight="1">
      <c r="B173" s="93" t="s">
        <v>868</v>
      </c>
      <c r="C173" s="94"/>
      <c r="D173" s="94">
        <v>-6</v>
      </c>
      <c r="E173" s="94">
        <v>1</v>
      </c>
      <c r="F173" s="105">
        <v>3.4</v>
      </c>
      <c r="G173" s="200"/>
      <c r="H173" s="94">
        <v>3.24</v>
      </c>
      <c r="I173" s="93"/>
      <c r="K173" s="199"/>
      <c r="L173" s="199"/>
      <c r="M173" s="199"/>
      <c r="N173" s="199">
        <f t="shared" si="76"/>
        <v>0</v>
      </c>
      <c r="O173" s="199"/>
      <c r="P173" s="199"/>
      <c r="Q173" s="199"/>
      <c r="R173" s="199">
        <f t="shared" si="77"/>
        <v>-3.06</v>
      </c>
      <c r="S173" s="199"/>
      <c r="T173" s="199"/>
      <c r="U173" s="199">
        <f t="shared" si="79"/>
        <v>-66.096000000000004</v>
      </c>
      <c r="V173" s="199"/>
      <c r="W173" s="199">
        <f t="shared" si="78"/>
        <v>0</v>
      </c>
    </row>
    <row r="174" spans="2:23" ht="12.75" customHeight="1">
      <c r="B174" s="93" t="s">
        <v>855</v>
      </c>
      <c r="C174" s="94" t="s">
        <v>813</v>
      </c>
      <c r="D174" s="94">
        <v>6</v>
      </c>
      <c r="E174" s="94">
        <v>1</v>
      </c>
      <c r="F174" s="105">
        <v>3.45</v>
      </c>
      <c r="G174" s="200">
        <v>4</v>
      </c>
      <c r="H174" s="94">
        <v>3.3</v>
      </c>
      <c r="K174" s="199"/>
      <c r="L174" s="199"/>
      <c r="M174" s="199"/>
      <c r="N174" s="199">
        <f t="shared" si="76"/>
        <v>82.800000000000011</v>
      </c>
      <c r="O174" s="199"/>
      <c r="P174" s="199"/>
      <c r="Q174" s="199"/>
      <c r="R174" s="199">
        <f t="shared" si="77"/>
        <v>10.305</v>
      </c>
      <c r="S174" s="199"/>
      <c r="T174" s="199"/>
      <c r="U174" s="199">
        <f>(F174*2+G174*2)*H174*D174*E174</f>
        <v>295.02</v>
      </c>
      <c r="V174" s="199"/>
      <c r="W174" s="199">
        <f t="shared" si="78"/>
        <v>82.800000000000011</v>
      </c>
    </row>
    <row r="175" spans="2:23" ht="12.75" customHeight="1">
      <c r="B175" s="93" t="s">
        <v>788</v>
      </c>
      <c r="C175" s="94"/>
      <c r="D175" s="94">
        <v>-6</v>
      </c>
      <c r="E175" s="94">
        <v>1</v>
      </c>
      <c r="F175" s="105">
        <v>0.9</v>
      </c>
      <c r="G175" s="200"/>
      <c r="H175" s="94">
        <v>2.2000000000000002</v>
      </c>
      <c r="I175" s="93"/>
      <c r="K175" s="199"/>
      <c r="L175" s="199"/>
      <c r="M175" s="199"/>
      <c r="N175" s="199">
        <f t="shared" si="76"/>
        <v>0</v>
      </c>
      <c r="O175" s="199"/>
      <c r="P175" s="199"/>
      <c r="Q175" s="199"/>
      <c r="R175" s="199">
        <f t="shared" si="77"/>
        <v>-0.81</v>
      </c>
      <c r="S175" s="199"/>
      <c r="T175" s="199"/>
      <c r="U175" s="199">
        <f t="shared" ref="U175:U177" si="80">(F175+G175*2)*H175*D175*E175</f>
        <v>-11.88</v>
      </c>
      <c r="V175" s="199"/>
      <c r="W175" s="199">
        <f t="shared" si="78"/>
        <v>0</v>
      </c>
    </row>
    <row r="176" spans="2:23" ht="12.75" customHeight="1">
      <c r="B176" s="93" t="s">
        <v>770</v>
      </c>
      <c r="C176" s="94"/>
      <c r="D176" s="94">
        <v>-6</v>
      </c>
      <c r="E176" s="94">
        <v>1</v>
      </c>
      <c r="F176" s="105">
        <v>1</v>
      </c>
      <c r="G176" s="200"/>
      <c r="H176" s="94">
        <v>2.2000000000000002</v>
      </c>
      <c r="I176" s="93"/>
      <c r="K176" s="199"/>
      <c r="L176" s="199"/>
      <c r="M176" s="199"/>
      <c r="N176" s="199">
        <f t="shared" si="76"/>
        <v>0</v>
      </c>
      <c r="O176" s="199"/>
      <c r="P176" s="199"/>
      <c r="Q176" s="199"/>
      <c r="R176" s="199">
        <f t="shared" si="77"/>
        <v>-0.89999999999999991</v>
      </c>
      <c r="S176" s="199"/>
      <c r="T176" s="199"/>
      <c r="U176" s="199">
        <f t="shared" si="80"/>
        <v>-13.200000000000001</v>
      </c>
      <c r="V176" s="199"/>
      <c r="W176" s="199">
        <f t="shared" si="78"/>
        <v>0</v>
      </c>
    </row>
    <row r="177" spans="2:23" ht="12.75" customHeight="1">
      <c r="B177" s="93" t="s">
        <v>787</v>
      </c>
      <c r="C177" s="94"/>
      <c r="D177" s="94">
        <v>-6</v>
      </c>
      <c r="E177" s="94">
        <v>1</v>
      </c>
      <c r="F177" s="105">
        <v>1</v>
      </c>
      <c r="G177" s="200"/>
      <c r="H177" s="94">
        <v>2.2000000000000002</v>
      </c>
      <c r="I177" s="93"/>
      <c r="K177" s="199"/>
      <c r="L177" s="199"/>
      <c r="M177" s="199"/>
      <c r="N177" s="199">
        <f t="shared" si="76"/>
        <v>0</v>
      </c>
      <c r="O177" s="199"/>
      <c r="P177" s="199"/>
      <c r="Q177" s="199"/>
      <c r="R177" s="199">
        <f t="shared" si="77"/>
        <v>-0.89999999999999991</v>
      </c>
      <c r="S177" s="199"/>
      <c r="T177" s="199"/>
      <c r="U177" s="199">
        <f t="shared" si="80"/>
        <v>-13.200000000000001</v>
      </c>
      <c r="V177" s="199"/>
      <c r="W177" s="199">
        <f t="shared" si="78"/>
        <v>0</v>
      </c>
    </row>
    <row r="178" spans="2:23" ht="12.75" customHeight="1">
      <c r="B178" s="93" t="s">
        <v>855</v>
      </c>
      <c r="C178" s="94" t="s">
        <v>813</v>
      </c>
      <c r="D178" s="94">
        <v>6</v>
      </c>
      <c r="E178" s="94">
        <v>1</v>
      </c>
      <c r="F178" s="105">
        <v>4</v>
      </c>
      <c r="G178" s="200">
        <v>4</v>
      </c>
      <c r="H178" s="94">
        <v>3.3</v>
      </c>
      <c r="K178" s="199"/>
      <c r="L178" s="199"/>
      <c r="M178" s="199"/>
      <c r="N178" s="199">
        <f t="shared" si="76"/>
        <v>96</v>
      </c>
      <c r="O178" s="199"/>
      <c r="P178" s="199"/>
      <c r="Q178" s="199"/>
      <c r="R178" s="199">
        <f t="shared" si="77"/>
        <v>10.799999999999999</v>
      </c>
      <c r="S178" s="199"/>
      <c r="T178" s="199"/>
      <c r="U178" s="199">
        <f>(F178*2+G178*2)*H178*D178*E178</f>
        <v>316.79999999999995</v>
      </c>
      <c r="V178" s="199"/>
      <c r="W178" s="199">
        <f t="shared" si="78"/>
        <v>96</v>
      </c>
    </row>
    <row r="179" spans="2:23" ht="12.75" customHeight="1">
      <c r="B179" s="93" t="s">
        <v>788</v>
      </c>
      <c r="C179" s="94"/>
      <c r="D179" s="94">
        <v>-6</v>
      </c>
      <c r="E179" s="94">
        <v>1</v>
      </c>
      <c r="F179" s="105">
        <v>0.9</v>
      </c>
      <c r="G179" s="200"/>
      <c r="H179" s="94">
        <v>2.2000000000000002</v>
      </c>
      <c r="I179" s="93"/>
      <c r="K179" s="199"/>
      <c r="L179" s="199"/>
      <c r="M179" s="199"/>
      <c r="N179" s="199">
        <f t="shared" si="76"/>
        <v>0</v>
      </c>
      <c r="O179" s="199"/>
      <c r="P179" s="199"/>
      <c r="Q179" s="199"/>
      <c r="R179" s="199">
        <f t="shared" si="77"/>
        <v>-0.81</v>
      </c>
      <c r="S179" s="199"/>
      <c r="T179" s="199"/>
      <c r="U179" s="199">
        <f t="shared" ref="U179:U182" si="81">(F179+G179*2)*H179*D179*E179</f>
        <v>-11.88</v>
      </c>
      <c r="V179" s="199"/>
      <c r="W179" s="199">
        <f t="shared" si="78"/>
        <v>0</v>
      </c>
    </row>
    <row r="180" spans="2:23" ht="12.75" customHeight="1">
      <c r="B180" s="93" t="s">
        <v>770</v>
      </c>
      <c r="C180" s="94"/>
      <c r="D180" s="94">
        <v>-6</v>
      </c>
      <c r="E180" s="94">
        <v>1</v>
      </c>
      <c r="F180" s="105">
        <v>1</v>
      </c>
      <c r="G180" s="200"/>
      <c r="H180" s="94">
        <v>2.2000000000000002</v>
      </c>
      <c r="I180" s="93"/>
      <c r="K180" s="199"/>
      <c r="L180" s="199"/>
      <c r="M180" s="199"/>
      <c r="N180" s="199">
        <f t="shared" si="76"/>
        <v>0</v>
      </c>
      <c r="O180" s="199"/>
      <c r="P180" s="199"/>
      <c r="Q180" s="199"/>
      <c r="R180" s="199">
        <f t="shared" si="77"/>
        <v>-0.89999999999999991</v>
      </c>
      <c r="S180" s="199"/>
      <c r="T180" s="199"/>
      <c r="U180" s="199">
        <f t="shared" si="81"/>
        <v>-13.200000000000001</v>
      </c>
      <c r="V180" s="199"/>
      <c r="W180" s="199">
        <f t="shared" si="78"/>
        <v>0</v>
      </c>
    </row>
    <row r="181" spans="2:23" ht="12.75" customHeight="1">
      <c r="B181" s="93" t="s">
        <v>869</v>
      </c>
      <c r="C181" s="94"/>
      <c r="D181" s="94">
        <v>-6</v>
      </c>
      <c r="E181" s="94">
        <v>1</v>
      </c>
      <c r="F181" s="105">
        <v>2.5</v>
      </c>
      <c r="G181" s="200"/>
      <c r="H181" s="94">
        <v>3.24</v>
      </c>
      <c r="I181" s="93"/>
      <c r="K181" s="199"/>
      <c r="L181" s="199"/>
      <c r="M181" s="199"/>
      <c r="N181" s="199">
        <f t="shared" si="76"/>
        <v>0</v>
      </c>
      <c r="O181" s="199"/>
      <c r="P181" s="199"/>
      <c r="Q181" s="199"/>
      <c r="R181" s="199">
        <f t="shared" si="77"/>
        <v>-2.25</v>
      </c>
      <c r="S181" s="199"/>
      <c r="T181" s="199"/>
      <c r="U181" s="199">
        <f t="shared" si="81"/>
        <v>-48.600000000000009</v>
      </c>
      <c r="V181" s="199"/>
      <c r="W181" s="199">
        <f t="shared" si="78"/>
        <v>0</v>
      </c>
    </row>
    <row r="182" spans="2:23" ht="12.75" customHeight="1">
      <c r="B182" s="93" t="s">
        <v>870</v>
      </c>
      <c r="C182" s="94"/>
      <c r="D182" s="94">
        <v>-6</v>
      </c>
      <c r="E182" s="94">
        <v>1</v>
      </c>
      <c r="F182" s="105">
        <v>3.05</v>
      </c>
      <c r="G182" s="200"/>
      <c r="H182" s="94">
        <v>3.24</v>
      </c>
      <c r="I182" s="93"/>
      <c r="K182" s="199"/>
      <c r="L182" s="199"/>
      <c r="M182" s="199"/>
      <c r="N182" s="199">
        <f t="shared" si="76"/>
        <v>0</v>
      </c>
      <c r="O182" s="199"/>
      <c r="P182" s="199"/>
      <c r="Q182" s="199"/>
      <c r="R182" s="199">
        <f t="shared" si="77"/>
        <v>-2.7449999999999997</v>
      </c>
      <c r="S182" s="199"/>
      <c r="T182" s="199"/>
      <c r="U182" s="199">
        <f t="shared" si="81"/>
        <v>-59.292000000000002</v>
      </c>
      <c r="V182" s="199"/>
      <c r="W182" s="199">
        <f t="shared" si="78"/>
        <v>0</v>
      </c>
    </row>
    <row r="183" spans="2:23" ht="12.75" customHeight="1">
      <c r="B183" s="93" t="s">
        <v>858</v>
      </c>
      <c r="C183" s="94" t="s">
        <v>813</v>
      </c>
      <c r="D183" s="94">
        <v>6</v>
      </c>
      <c r="E183" s="94">
        <v>1</v>
      </c>
      <c r="F183" s="105">
        <v>2.85</v>
      </c>
      <c r="G183" s="200">
        <v>1.5</v>
      </c>
      <c r="H183" s="94">
        <v>3.3</v>
      </c>
      <c r="K183" s="199"/>
      <c r="L183" s="199"/>
      <c r="M183" s="199"/>
      <c r="N183" s="199"/>
      <c r="O183" s="199">
        <f t="shared" ref="O183:O185" si="82">F183*G183*D183*E183</f>
        <v>25.650000000000002</v>
      </c>
      <c r="P183" s="199"/>
      <c r="Q183" s="199"/>
      <c r="R183" s="199"/>
      <c r="S183" s="199"/>
      <c r="T183" s="199"/>
      <c r="U183" s="199">
        <f t="shared" ref="U183:U184" si="83">(G183*2+F183*2)*H183*D183*E183</f>
        <v>172.26</v>
      </c>
      <c r="V183" s="199"/>
      <c r="W183" s="199">
        <f t="shared" ref="W183:W185" si="84">O183</f>
        <v>25.650000000000002</v>
      </c>
    </row>
    <row r="184" spans="2:23" ht="12.75" customHeight="1">
      <c r="B184" s="93" t="s">
        <v>788</v>
      </c>
      <c r="C184" s="94"/>
      <c r="D184" s="94">
        <v>-6</v>
      </c>
      <c r="E184" s="94">
        <v>1</v>
      </c>
      <c r="F184" s="94">
        <v>0.9</v>
      </c>
      <c r="G184" s="94"/>
      <c r="H184" s="94">
        <v>2.2000000000000002</v>
      </c>
      <c r="I184" s="93"/>
      <c r="K184" s="199"/>
      <c r="L184" s="199"/>
      <c r="M184" s="199"/>
      <c r="N184" s="199"/>
      <c r="O184" s="199">
        <f t="shared" si="82"/>
        <v>0</v>
      </c>
      <c r="P184" s="199"/>
      <c r="Q184" s="199"/>
      <c r="R184" s="199"/>
      <c r="S184" s="199"/>
      <c r="T184" s="199"/>
      <c r="U184" s="199">
        <f t="shared" si="83"/>
        <v>-23.76</v>
      </c>
      <c r="V184" s="199"/>
      <c r="W184" s="199">
        <f t="shared" si="84"/>
        <v>0</v>
      </c>
    </row>
    <row r="185" spans="2:23" ht="12.75" customHeight="1">
      <c r="B185" s="93" t="s">
        <v>857</v>
      </c>
      <c r="C185" s="94" t="s">
        <v>813</v>
      </c>
      <c r="D185" s="94">
        <v>6</v>
      </c>
      <c r="E185" s="94">
        <v>1</v>
      </c>
      <c r="F185" s="105">
        <v>1.5</v>
      </c>
      <c r="G185" s="200">
        <v>1.2</v>
      </c>
      <c r="H185" s="94">
        <v>3.3</v>
      </c>
      <c r="K185" s="199"/>
      <c r="L185" s="199"/>
      <c r="M185" s="199"/>
      <c r="N185" s="199"/>
      <c r="O185" s="199">
        <f t="shared" si="82"/>
        <v>10.799999999999999</v>
      </c>
      <c r="P185" s="199"/>
      <c r="Q185" s="199"/>
      <c r="R185" s="199"/>
      <c r="S185" s="199"/>
      <c r="T185" s="199"/>
      <c r="U185" s="199">
        <f>(G185+F185*2)*H185*D185*E185</f>
        <v>83.16</v>
      </c>
      <c r="V185" s="199"/>
      <c r="W185" s="199">
        <f t="shared" si="84"/>
        <v>10.799999999999999</v>
      </c>
    </row>
    <row r="186" spans="2:23" ht="12.75" customHeight="1">
      <c r="B186" s="93" t="s">
        <v>776</v>
      </c>
      <c r="C186" s="94"/>
      <c r="D186" s="94">
        <v>-6</v>
      </c>
      <c r="E186" s="94">
        <v>1</v>
      </c>
      <c r="F186" s="105">
        <v>0.8</v>
      </c>
      <c r="G186" s="200"/>
      <c r="H186" s="94">
        <v>2.2000000000000002</v>
      </c>
      <c r="I186" s="93"/>
      <c r="K186" s="199"/>
      <c r="L186" s="199"/>
      <c r="M186" s="199"/>
      <c r="N186" s="199">
        <f>F186*G186*D186*E186</f>
        <v>0</v>
      </c>
      <c r="O186" s="199"/>
      <c r="P186" s="199"/>
      <c r="Q186" s="199"/>
      <c r="R186" s="199">
        <f>((F186+G186*2)*0.15)*E186*D186</f>
        <v>-0.72</v>
      </c>
      <c r="S186" s="199"/>
      <c r="T186" s="199"/>
      <c r="U186" s="199">
        <f>(F186+G186*2)*H186*D186*E186</f>
        <v>-10.560000000000002</v>
      </c>
      <c r="V186" s="199"/>
      <c r="W186" s="199">
        <f>N186</f>
        <v>0</v>
      </c>
    </row>
    <row r="187" spans="2:23" ht="12.75" customHeight="1">
      <c r="B187" s="93" t="s">
        <v>859</v>
      </c>
      <c r="C187" s="94" t="s">
        <v>813</v>
      </c>
      <c r="D187" s="94">
        <v>6</v>
      </c>
      <c r="E187" s="94">
        <v>1</v>
      </c>
      <c r="F187" s="105">
        <v>2.76</v>
      </c>
      <c r="G187" s="200">
        <v>2</v>
      </c>
      <c r="H187" s="94">
        <v>3.3</v>
      </c>
      <c r="K187" s="199"/>
      <c r="L187" s="199"/>
      <c r="M187" s="199"/>
      <c r="N187" s="199"/>
      <c r="O187" s="199">
        <f t="shared" ref="O187:O188" si="85">F187*G187*D187*E187</f>
        <v>33.119999999999997</v>
      </c>
      <c r="P187" s="199"/>
      <c r="Q187" s="199"/>
      <c r="R187" s="199"/>
      <c r="S187" s="199"/>
      <c r="T187" s="199"/>
      <c r="U187" s="199">
        <f t="shared" ref="U187:U188" si="86">(G187*2+F187*2)*H187*D187*E187</f>
        <v>188.49599999999998</v>
      </c>
      <c r="V187" s="199"/>
      <c r="W187" s="199">
        <f t="shared" ref="W187:W188" si="87">O187</f>
        <v>33.119999999999997</v>
      </c>
    </row>
    <row r="188" spans="2:23" ht="12.75" customHeight="1">
      <c r="B188" s="93" t="s">
        <v>773</v>
      </c>
      <c r="C188" s="94"/>
      <c r="D188" s="94">
        <v>-6</v>
      </c>
      <c r="E188" s="94">
        <v>1</v>
      </c>
      <c r="F188" s="94">
        <v>0.8</v>
      </c>
      <c r="G188" s="94"/>
      <c r="H188" s="94">
        <v>2.2000000000000002</v>
      </c>
      <c r="I188" s="93"/>
      <c r="K188" s="199"/>
      <c r="L188" s="199"/>
      <c r="M188" s="199"/>
      <c r="N188" s="199"/>
      <c r="O188" s="199">
        <f t="shared" si="85"/>
        <v>0</v>
      </c>
      <c r="P188" s="199"/>
      <c r="Q188" s="199"/>
      <c r="R188" s="199"/>
      <c r="S188" s="199"/>
      <c r="T188" s="199"/>
      <c r="U188" s="199">
        <f t="shared" si="86"/>
        <v>-21.120000000000005</v>
      </c>
      <c r="V188" s="199"/>
      <c r="W188" s="199">
        <f t="shared" si="87"/>
        <v>0</v>
      </c>
    </row>
    <row r="189" spans="2:23" ht="12.75" customHeight="1">
      <c r="B189" s="93" t="s">
        <v>856</v>
      </c>
      <c r="C189" s="94" t="s">
        <v>813</v>
      </c>
      <c r="D189" s="94">
        <v>6</v>
      </c>
      <c r="E189" s="94">
        <v>1</v>
      </c>
      <c r="F189" s="105">
        <v>2.95</v>
      </c>
      <c r="G189" s="200">
        <v>0.8</v>
      </c>
      <c r="H189" s="94">
        <v>3.3</v>
      </c>
      <c r="K189" s="199"/>
      <c r="L189" s="199"/>
      <c r="M189" s="199"/>
      <c r="N189" s="199">
        <f t="shared" ref="N189:N194" si="88">F189*G189*D189*E189</f>
        <v>14.160000000000002</v>
      </c>
      <c r="O189" s="199"/>
      <c r="P189" s="199"/>
      <c r="Q189" s="199"/>
      <c r="R189" s="199">
        <f>((F189+G189*2)*0.15)*E189*D189</f>
        <v>4.0950000000000006</v>
      </c>
      <c r="S189" s="199"/>
      <c r="T189" s="199"/>
      <c r="U189" s="199">
        <f>G189*2*H189*D189*E189</f>
        <v>31.68</v>
      </c>
      <c r="V189" s="199"/>
      <c r="W189" s="199">
        <f t="shared" ref="W189:W194" si="89">N189</f>
        <v>14.160000000000002</v>
      </c>
    </row>
    <row r="190" spans="2:23" ht="12.75" customHeight="1">
      <c r="B190" s="93" t="s">
        <v>773</v>
      </c>
      <c r="C190" s="94"/>
      <c r="D190" s="94">
        <v>-6</v>
      </c>
      <c r="E190" s="94">
        <v>1</v>
      </c>
      <c r="F190" s="94">
        <v>0.8</v>
      </c>
      <c r="G190" s="94"/>
      <c r="H190" s="94">
        <v>2.2000000000000002</v>
      </c>
      <c r="I190" s="93"/>
      <c r="K190" s="199"/>
      <c r="L190" s="199"/>
      <c r="M190" s="199"/>
      <c r="N190" s="199">
        <f t="shared" si="88"/>
        <v>0</v>
      </c>
      <c r="O190" s="199"/>
      <c r="P190" s="199"/>
      <c r="Q190" s="199"/>
      <c r="R190" s="199"/>
      <c r="S190" s="199"/>
      <c r="T190" s="199"/>
      <c r="U190" s="199">
        <f>(G190*2+F190*2)*H190*D190*E190</f>
        <v>-21.120000000000005</v>
      </c>
      <c r="V190" s="199"/>
      <c r="W190" s="199">
        <f t="shared" si="89"/>
        <v>0</v>
      </c>
    </row>
    <row r="191" spans="2:23" ht="12.75" customHeight="1">
      <c r="B191" s="93" t="s">
        <v>871</v>
      </c>
      <c r="C191" s="94"/>
      <c r="D191" s="94">
        <v>-6</v>
      </c>
      <c r="E191" s="94">
        <v>1</v>
      </c>
      <c r="F191" s="105">
        <v>0.8</v>
      </c>
      <c r="G191" s="200"/>
      <c r="H191" s="94">
        <v>3.24</v>
      </c>
      <c r="I191" s="93"/>
      <c r="K191" s="199"/>
      <c r="L191" s="199"/>
      <c r="M191" s="199"/>
      <c r="N191" s="199">
        <f t="shared" si="88"/>
        <v>0</v>
      </c>
      <c r="O191" s="199"/>
      <c r="P191" s="199"/>
      <c r="Q191" s="199"/>
      <c r="R191" s="199">
        <v>0</v>
      </c>
      <c r="S191" s="199"/>
      <c r="T191" s="199"/>
      <c r="U191" s="199">
        <f>(F191+G191*2)*H191*D191*E191</f>
        <v>-15.552000000000003</v>
      </c>
      <c r="V191" s="199"/>
      <c r="W191" s="199">
        <f t="shared" si="89"/>
        <v>0</v>
      </c>
    </row>
    <row r="192" spans="2:23" ht="12.75" customHeight="1">
      <c r="B192" s="93" t="s">
        <v>856</v>
      </c>
      <c r="C192" s="94" t="s">
        <v>813</v>
      </c>
      <c r="D192" s="94">
        <v>6</v>
      </c>
      <c r="E192" s="94">
        <v>1</v>
      </c>
      <c r="F192" s="105">
        <v>3.92</v>
      </c>
      <c r="G192" s="200">
        <v>1.5</v>
      </c>
      <c r="H192" s="94">
        <v>3.3</v>
      </c>
      <c r="K192" s="199"/>
      <c r="L192" s="199"/>
      <c r="M192" s="199"/>
      <c r="N192" s="199">
        <f t="shared" si="88"/>
        <v>35.28</v>
      </c>
      <c r="O192" s="199"/>
      <c r="P192" s="199"/>
      <c r="Q192" s="199"/>
      <c r="R192" s="199">
        <f t="shared" ref="R192:R194" si="90">((F192+G192*2)*0.15)*E192*D192</f>
        <v>6.2279999999999998</v>
      </c>
      <c r="S192" s="199"/>
      <c r="T192" s="199"/>
      <c r="U192" s="199">
        <f>G192*2*H192*D192*E192</f>
        <v>59.399999999999991</v>
      </c>
      <c r="V192" s="199"/>
      <c r="W192" s="199">
        <f t="shared" si="89"/>
        <v>35.28</v>
      </c>
    </row>
    <row r="193" spans="2:23" ht="12.75" customHeight="1">
      <c r="B193" s="93" t="s">
        <v>787</v>
      </c>
      <c r="C193" s="94"/>
      <c r="D193" s="94">
        <v>-6</v>
      </c>
      <c r="E193" s="94">
        <v>1</v>
      </c>
      <c r="F193" s="105">
        <v>1</v>
      </c>
      <c r="G193" s="200"/>
      <c r="H193" s="94">
        <v>2.2000000000000002</v>
      </c>
      <c r="I193" s="93"/>
      <c r="K193" s="199"/>
      <c r="L193" s="199"/>
      <c r="M193" s="199"/>
      <c r="N193" s="199">
        <f t="shared" si="88"/>
        <v>0</v>
      </c>
      <c r="O193" s="199"/>
      <c r="P193" s="199"/>
      <c r="Q193" s="199"/>
      <c r="R193" s="199">
        <f t="shared" si="90"/>
        <v>-0.89999999999999991</v>
      </c>
      <c r="S193" s="199"/>
      <c r="T193" s="199"/>
      <c r="U193" s="199">
        <f t="shared" ref="U193:U194" si="91">(F193+G193*2)*H193*D193*E193</f>
        <v>-13.200000000000001</v>
      </c>
      <c r="V193" s="199"/>
      <c r="W193" s="199">
        <f t="shared" si="89"/>
        <v>0</v>
      </c>
    </row>
    <row r="194" spans="2:23" ht="12.75" customHeight="1">
      <c r="B194" s="147" t="s">
        <v>781</v>
      </c>
      <c r="C194" s="94" t="s">
        <v>560</v>
      </c>
      <c r="D194" s="94">
        <v>-6</v>
      </c>
      <c r="E194" s="94">
        <v>2</v>
      </c>
      <c r="F194" s="94">
        <v>1.3</v>
      </c>
      <c r="G194" s="94"/>
      <c r="H194" s="94">
        <v>1</v>
      </c>
      <c r="K194" s="199"/>
      <c r="L194" s="199"/>
      <c r="M194" s="199"/>
      <c r="N194" s="199">
        <f t="shared" si="88"/>
        <v>0</v>
      </c>
      <c r="O194" s="199"/>
      <c r="P194" s="199"/>
      <c r="Q194" s="199"/>
      <c r="R194" s="199">
        <f t="shared" si="90"/>
        <v>-2.34</v>
      </c>
      <c r="S194" s="199"/>
      <c r="T194" s="199"/>
      <c r="U194" s="199">
        <f t="shared" si="91"/>
        <v>-15.600000000000001</v>
      </c>
      <c r="V194" s="199"/>
      <c r="W194" s="199">
        <f t="shared" si="89"/>
        <v>0</v>
      </c>
    </row>
    <row r="195" spans="2:23" ht="12.75" customHeight="1">
      <c r="B195" s="181" t="s">
        <v>872</v>
      </c>
      <c r="C195" s="94"/>
      <c r="D195" s="94"/>
      <c r="E195" s="94"/>
      <c r="F195" s="94"/>
      <c r="G195" s="94"/>
      <c r="H195" s="94"/>
      <c r="I195" s="93"/>
      <c r="K195" s="199"/>
      <c r="L195" s="199"/>
      <c r="M195" s="199"/>
      <c r="N195" s="199"/>
      <c r="O195" s="199"/>
      <c r="P195" s="199"/>
      <c r="Q195" s="199"/>
      <c r="R195" s="199"/>
      <c r="S195" s="199"/>
      <c r="T195" s="199"/>
      <c r="U195" s="199"/>
      <c r="V195" s="199"/>
      <c r="W195" s="199"/>
    </row>
    <row r="196" spans="2:23" ht="12.75" customHeight="1">
      <c r="B196" s="93" t="s">
        <v>854</v>
      </c>
      <c r="C196" s="94" t="s">
        <v>813</v>
      </c>
      <c r="D196" s="94">
        <v>6</v>
      </c>
      <c r="E196" s="94">
        <v>1</v>
      </c>
      <c r="F196" s="105">
        <v>4.28</v>
      </c>
      <c r="G196" s="200">
        <v>4.28</v>
      </c>
      <c r="H196" s="94">
        <v>3.3</v>
      </c>
      <c r="K196" s="199"/>
      <c r="L196" s="199"/>
      <c r="M196" s="199"/>
      <c r="N196" s="199">
        <f t="shared" ref="N196:N207" si="92">F196*G196*D196*E196</f>
        <v>109.91040000000001</v>
      </c>
      <c r="O196" s="199"/>
      <c r="P196" s="199"/>
      <c r="Q196" s="199"/>
      <c r="R196" s="199">
        <f t="shared" ref="R196:R207" si="93">((F196+G196*2)*0.15)*E196*D196</f>
        <v>11.555999999999999</v>
      </c>
      <c r="S196" s="199"/>
      <c r="T196" s="199"/>
      <c r="U196" s="199">
        <f>(F196*2+G196*2)*H196*D196*E196</f>
        <v>338.976</v>
      </c>
      <c r="V196" s="199"/>
      <c r="W196" s="199">
        <f t="shared" ref="W196:W207" si="94">N196</f>
        <v>109.91040000000001</v>
      </c>
    </row>
    <row r="197" spans="2:23" ht="12.75" customHeight="1">
      <c r="B197" s="93" t="s">
        <v>776</v>
      </c>
      <c r="C197" s="94"/>
      <c r="D197" s="94">
        <v>-6</v>
      </c>
      <c r="E197" s="94">
        <v>1</v>
      </c>
      <c r="F197" s="105">
        <v>0.8</v>
      </c>
      <c r="G197" s="200"/>
      <c r="H197" s="94">
        <v>2.2000000000000002</v>
      </c>
      <c r="I197" s="93"/>
      <c r="K197" s="199"/>
      <c r="L197" s="199"/>
      <c r="M197" s="199"/>
      <c r="N197" s="199">
        <f t="shared" si="92"/>
        <v>0</v>
      </c>
      <c r="O197" s="199"/>
      <c r="P197" s="199"/>
      <c r="Q197" s="199"/>
      <c r="R197" s="199">
        <f t="shared" si="93"/>
        <v>-0.72</v>
      </c>
      <c r="S197" s="199"/>
      <c r="T197" s="199"/>
      <c r="U197" s="199">
        <f t="shared" ref="U197:U199" si="95">(F197+G197*2)*H197*D197*E197</f>
        <v>-10.560000000000002</v>
      </c>
      <c r="V197" s="199"/>
      <c r="W197" s="199">
        <f t="shared" si="94"/>
        <v>0</v>
      </c>
    </row>
    <row r="198" spans="2:23" ht="12.75" customHeight="1">
      <c r="B198" s="93" t="s">
        <v>787</v>
      </c>
      <c r="C198" s="94"/>
      <c r="D198" s="94">
        <v>-6</v>
      </c>
      <c r="E198" s="94">
        <v>1</v>
      </c>
      <c r="F198" s="105">
        <v>1</v>
      </c>
      <c r="G198" s="200"/>
      <c r="H198" s="94">
        <v>2.2000000000000002</v>
      </c>
      <c r="I198" s="93"/>
      <c r="K198" s="199"/>
      <c r="L198" s="199"/>
      <c r="M198" s="199"/>
      <c r="N198" s="199">
        <f t="shared" si="92"/>
        <v>0</v>
      </c>
      <c r="O198" s="199"/>
      <c r="P198" s="199"/>
      <c r="Q198" s="199"/>
      <c r="R198" s="199">
        <f t="shared" si="93"/>
        <v>-0.89999999999999991</v>
      </c>
      <c r="S198" s="199"/>
      <c r="T198" s="199"/>
      <c r="U198" s="199">
        <f t="shared" si="95"/>
        <v>-13.200000000000001</v>
      </c>
      <c r="V198" s="199"/>
      <c r="W198" s="199">
        <f t="shared" si="94"/>
        <v>0</v>
      </c>
    </row>
    <row r="199" spans="2:23" ht="12.75" customHeight="1">
      <c r="B199" s="93" t="s">
        <v>785</v>
      </c>
      <c r="C199" s="94"/>
      <c r="D199" s="94">
        <v>-6</v>
      </c>
      <c r="E199" s="94">
        <v>1</v>
      </c>
      <c r="F199" s="105">
        <v>1.1000000000000001</v>
      </c>
      <c r="G199" s="200"/>
      <c r="H199" s="94">
        <v>2.2000000000000002</v>
      </c>
      <c r="I199" s="93"/>
      <c r="K199" s="199"/>
      <c r="L199" s="199"/>
      <c r="M199" s="199"/>
      <c r="N199" s="199">
        <f t="shared" si="92"/>
        <v>0</v>
      </c>
      <c r="O199" s="199"/>
      <c r="P199" s="199"/>
      <c r="Q199" s="199"/>
      <c r="R199" s="199">
        <f t="shared" si="93"/>
        <v>-0.99</v>
      </c>
      <c r="S199" s="199"/>
      <c r="T199" s="199"/>
      <c r="U199" s="199">
        <f t="shared" si="95"/>
        <v>-14.520000000000003</v>
      </c>
      <c r="V199" s="199"/>
      <c r="W199" s="199">
        <f t="shared" si="94"/>
        <v>0</v>
      </c>
    </row>
    <row r="200" spans="2:23" ht="12.75" customHeight="1">
      <c r="B200" s="93" t="s">
        <v>855</v>
      </c>
      <c r="C200" s="94" t="s">
        <v>813</v>
      </c>
      <c r="D200" s="94">
        <v>6</v>
      </c>
      <c r="E200" s="94">
        <v>1</v>
      </c>
      <c r="F200" s="105">
        <v>4.3499999999999996</v>
      </c>
      <c r="G200" s="200">
        <v>4.3499999999999996</v>
      </c>
      <c r="H200" s="94">
        <v>3.3</v>
      </c>
      <c r="K200" s="199"/>
      <c r="L200" s="199"/>
      <c r="M200" s="199"/>
      <c r="N200" s="199">
        <f t="shared" si="92"/>
        <v>113.53499999999997</v>
      </c>
      <c r="O200" s="199"/>
      <c r="P200" s="199"/>
      <c r="Q200" s="199"/>
      <c r="R200" s="199">
        <f t="shared" si="93"/>
        <v>11.744999999999999</v>
      </c>
      <c r="S200" s="199"/>
      <c r="T200" s="199"/>
      <c r="U200" s="199">
        <f>(F200*2+G200*2)*H200*D200*E200</f>
        <v>344.52</v>
      </c>
      <c r="V200" s="199"/>
      <c r="W200" s="199">
        <f t="shared" si="94"/>
        <v>113.53499999999997</v>
      </c>
    </row>
    <row r="201" spans="2:23" ht="12.75" customHeight="1">
      <c r="B201" s="93" t="s">
        <v>788</v>
      </c>
      <c r="C201" s="94"/>
      <c r="D201" s="94">
        <v>-6</v>
      </c>
      <c r="E201" s="94">
        <v>1</v>
      </c>
      <c r="F201" s="105">
        <v>0.9</v>
      </c>
      <c r="G201" s="200"/>
      <c r="H201" s="94">
        <v>2.2000000000000002</v>
      </c>
      <c r="I201" s="93"/>
      <c r="K201" s="199"/>
      <c r="L201" s="199"/>
      <c r="M201" s="199"/>
      <c r="N201" s="199">
        <f t="shared" si="92"/>
        <v>0</v>
      </c>
      <c r="O201" s="199"/>
      <c r="P201" s="199"/>
      <c r="Q201" s="199"/>
      <c r="R201" s="199">
        <f t="shared" si="93"/>
        <v>-0.81</v>
      </c>
      <c r="S201" s="199"/>
      <c r="T201" s="199"/>
      <c r="U201" s="199">
        <f t="shared" ref="U201:U203" si="96">(F201+G201*2)*H201*D201*E201</f>
        <v>-11.88</v>
      </c>
      <c r="V201" s="199"/>
      <c r="W201" s="199">
        <f t="shared" si="94"/>
        <v>0</v>
      </c>
    </row>
    <row r="202" spans="2:23" ht="12.75" customHeight="1">
      <c r="B202" s="93" t="s">
        <v>770</v>
      </c>
      <c r="C202" s="94"/>
      <c r="D202" s="94">
        <v>-6</v>
      </c>
      <c r="E202" s="94">
        <v>1</v>
      </c>
      <c r="F202" s="105">
        <v>1</v>
      </c>
      <c r="G202" s="200"/>
      <c r="H202" s="94">
        <v>2.2000000000000002</v>
      </c>
      <c r="I202" s="93"/>
      <c r="K202" s="199"/>
      <c r="L202" s="199"/>
      <c r="M202" s="199"/>
      <c r="N202" s="199">
        <f t="shared" si="92"/>
        <v>0</v>
      </c>
      <c r="O202" s="199"/>
      <c r="P202" s="199"/>
      <c r="Q202" s="199"/>
      <c r="R202" s="199">
        <f t="shared" si="93"/>
        <v>-0.89999999999999991</v>
      </c>
      <c r="S202" s="199"/>
      <c r="T202" s="199"/>
      <c r="U202" s="199">
        <f t="shared" si="96"/>
        <v>-13.200000000000001</v>
      </c>
      <c r="V202" s="199"/>
      <c r="W202" s="199">
        <f t="shared" si="94"/>
        <v>0</v>
      </c>
    </row>
    <row r="203" spans="2:23" ht="12.75" customHeight="1">
      <c r="B203" s="93" t="s">
        <v>873</v>
      </c>
      <c r="C203" s="94"/>
      <c r="D203" s="94">
        <v>-6</v>
      </c>
      <c r="E203" s="94">
        <v>1</v>
      </c>
      <c r="F203" s="105">
        <v>2.1</v>
      </c>
      <c r="G203" s="200"/>
      <c r="H203" s="94">
        <v>3.24</v>
      </c>
      <c r="I203" s="93"/>
      <c r="K203" s="199"/>
      <c r="L203" s="199"/>
      <c r="M203" s="199"/>
      <c r="N203" s="199">
        <f t="shared" si="92"/>
        <v>0</v>
      </c>
      <c r="O203" s="199"/>
      <c r="P203" s="199"/>
      <c r="Q203" s="199"/>
      <c r="R203" s="199">
        <f t="shared" si="93"/>
        <v>-1.8900000000000001</v>
      </c>
      <c r="S203" s="199"/>
      <c r="T203" s="199"/>
      <c r="U203" s="199">
        <f t="shared" si="96"/>
        <v>-40.824000000000005</v>
      </c>
      <c r="V203" s="199"/>
      <c r="W203" s="199">
        <f t="shared" si="94"/>
        <v>0</v>
      </c>
    </row>
    <row r="204" spans="2:23" ht="12.75" customHeight="1">
      <c r="B204" s="93" t="s">
        <v>855</v>
      </c>
      <c r="C204" s="94" t="s">
        <v>813</v>
      </c>
      <c r="D204" s="94">
        <v>6</v>
      </c>
      <c r="E204" s="94">
        <v>1</v>
      </c>
      <c r="F204" s="105">
        <v>4.28</v>
      </c>
      <c r="G204" s="200">
        <v>4.28</v>
      </c>
      <c r="H204" s="94">
        <v>3.3</v>
      </c>
      <c r="K204" s="199"/>
      <c r="L204" s="199"/>
      <c r="M204" s="199"/>
      <c r="N204" s="199">
        <f t="shared" si="92"/>
        <v>109.91040000000001</v>
      </c>
      <c r="O204" s="199"/>
      <c r="P204" s="199"/>
      <c r="Q204" s="199"/>
      <c r="R204" s="199">
        <f t="shared" si="93"/>
        <v>11.555999999999999</v>
      </c>
      <c r="S204" s="199"/>
      <c r="T204" s="199"/>
      <c r="U204" s="199">
        <f>(F204*2+G204*2)*H204*D204*E204</f>
        <v>338.976</v>
      </c>
      <c r="V204" s="199"/>
      <c r="W204" s="199">
        <f t="shared" si="94"/>
        <v>109.91040000000001</v>
      </c>
    </row>
    <row r="205" spans="2:23" ht="12.75" customHeight="1">
      <c r="B205" s="93" t="s">
        <v>788</v>
      </c>
      <c r="C205" s="94"/>
      <c r="D205" s="94">
        <v>-6</v>
      </c>
      <c r="E205" s="94">
        <v>1</v>
      </c>
      <c r="F205" s="105">
        <v>0.9</v>
      </c>
      <c r="G205" s="200"/>
      <c r="H205" s="94">
        <v>2.2000000000000002</v>
      </c>
      <c r="I205" s="93"/>
      <c r="K205" s="199"/>
      <c r="L205" s="199"/>
      <c r="M205" s="199"/>
      <c r="N205" s="199">
        <f t="shared" si="92"/>
        <v>0</v>
      </c>
      <c r="O205" s="199"/>
      <c r="P205" s="199"/>
      <c r="Q205" s="199"/>
      <c r="R205" s="199">
        <f t="shared" si="93"/>
        <v>-0.81</v>
      </c>
      <c r="S205" s="199"/>
      <c r="T205" s="199"/>
      <c r="U205" s="199">
        <f t="shared" ref="U205:U207" si="97">(F205+G205*2)*H205*D205*E205</f>
        <v>-11.88</v>
      </c>
      <c r="V205" s="199"/>
      <c r="W205" s="199">
        <f t="shared" si="94"/>
        <v>0</v>
      </c>
    </row>
    <row r="206" spans="2:23" ht="12.75" customHeight="1">
      <c r="B206" s="93" t="s">
        <v>770</v>
      </c>
      <c r="C206" s="94"/>
      <c r="D206" s="94">
        <v>-6</v>
      </c>
      <c r="E206" s="94">
        <v>1</v>
      </c>
      <c r="F206" s="105">
        <v>1</v>
      </c>
      <c r="G206" s="200"/>
      <c r="H206" s="94">
        <v>2.2000000000000002</v>
      </c>
      <c r="I206" s="93"/>
      <c r="K206" s="199"/>
      <c r="L206" s="199"/>
      <c r="M206" s="199"/>
      <c r="N206" s="199">
        <f t="shared" si="92"/>
        <v>0</v>
      </c>
      <c r="O206" s="199"/>
      <c r="P206" s="199"/>
      <c r="Q206" s="199"/>
      <c r="R206" s="199">
        <f t="shared" si="93"/>
        <v>-0.89999999999999991</v>
      </c>
      <c r="S206" s="199"/>
      <c r="T206" s="199"/>
      <c r="U206" s="199">
        <f t="shared" si="97"/>
        <v>-13.200000000000001</v>
      </c>
      <c r="V206" s="199"/>
      <c r="W206" s="199">
        <f t="shared" si="94"/>
        <v>0</v>
      </c>
    </row>
    <row r="207" spans="2:23" ht="12.75" customHeight="1">
      <c r="B207" s="93" t="s">
        <v>787</v>
      </c>
      <c r="C207" s="94"/>
      <c r="D207" s="94">
        <v>-6</v>
      </c>
      <c r="E207" s="94">
        <v>1</v>
      </c>
      <c r="F207" s="105">
        <v>1</v>
      </c>
      <c r="G207" s="200"/>
      <c r="H207" s="94">
        <v>2.2000000000000002</v>
      </c>
      <c r="I207" s="93"/>
      <c r="K207" s="199"/>
      <c r="L207" s="199"/>
      <c r="M207" s="199"/>
      <c r="N207" s="199">
        <f t="shared" si="92"/>
        <v>0</v>
      </c>
      <c r="O207" s="199"/>
      <c r="P207" s="199"/>
      <c r="Q207" s="199"/>
      <c r="R207" s="199">
        <f t="shared" si="93"/>
        <v>-0.89999999999999991</v>
      </c>
      <c r="S207" s="199"/>
      <c r="T207" s="199"/>
      <c r="U207" s="199">
        <f t="shared" si="97"/>
        <v>-13.200000000000001</v>
      </c>
      <c r="V207" s="199"/>
      <c r="W207" s="199">
        <f t="shared" si="94"/>
        <v>0</v>
      </c>
    </row>
    <row r="208" spans="2:23" ht="12.75" customHeight="1">
      <c r="B208" s="93" t="s">
        <v>858</v>
      </c>
      <c r="C208" s="94" t="s">
        <v>813</v>
      </c>
      <c r="D208" s="94">
        <v>6</v>
      </c>
      <c r="E208" s="94">
        <v>1</v>
      </c>
      <c r="F208" s="105">
        <v>2</v>
      </c>
      <c r="G208" s="200">
        <v>1.5</v>
      </c>
      <c r="H208" s="94">
        <v>3.3</v>
      </c>
      <c r="K208" s="199"/>
      <c r="L208" s="199"/>
      <c r="M208" s="199"/>
      <c r="N208" s="199"/>
      <c r="O208" s="199">
        <f t="shared" ref="O208:O212" si="98">F208*G208*D208*E208</f>
        <v>18</v>
      </c>
      <c r="P208" s="199"/>
      <c r="Q208" s="199"/>
      <c r="R208" s="199"/>
      <c r="S208" s="199"/>
      <c r="T208" s="199"/>
      <c r="U208" s="199">
        <f t="shared" ref="U208:U211" si="99">(G208*2+F208*2)*H208*D208*E208</f>
        <v>138.6</v>
      </c>
      <c r="V208" s="199"/>
      <c r="W208" s="199">
        <f t="shared" ref="W208:W212" si="100">O208</f>
        <v>18</v>
      </c>
    </row>
    <row r="209" spans="2:23" ht="12.75" customHeight="1">
      <c r="B209" s="93" t="s">
        <v>788</v>
      </c>
      <c r="C209" s="94"/>
      <c r="D209" s="94">
        <v>-6</v>
      </c>
      <c r="E209" s="94">
        <v>1</v>
      </c>
      <c r="F209" s="94">
        <v>0.9</v>
      </c>
      <c r="G209" s="94"/>
      <c r="H209" s="94">
        <v>2.2000000000000002</v>
      </c>
      <c r="I209" s="93"/>
      <c r="K209" s="199"/>
      <c r="L209" s="199"/>
      <c r="M209" s="199"/>
      <c r="N209" s="199"/>
      <c r="O209" s="199">
        <f t="shared" si="98"/>
        <v>0</v>
      </c>
      <c r="P209" s="199"/>
      <c r="Q209" s="199"/>
      <c r="R209" s="199"/>
      <c r="S209" s="199"/>
      <c r="T209" s="199"/>
      <c r="U209" s="199">
        <f t="shared" si="99"/>
        <v>-23.76</v>
      </c>
      <c r="V209" s="199"/>
      <c r="W209" s="199">
        <f t="shared" si="100"/>
        <v>0</v>
      </c>
    </row>
    <row r="210" spans="2:23" ht="12.75" customHeight="1">
      <c r="B210" s="93" t="s">
        <v>858</v>
      </c>
      <c r="C210" s="94" t="s">
        <v>813</v>
      </c>
      <c r="D210" s="94">
        <v>6</v>
      </c>
      <c r="E210" s="94">
        <v>1</v>
      </c>
      <c r="F210" s="105">
        <v>2.65</v>
      </c>
      <c r="G210" s="200">
        <v>1.7</v>
      </c>
      <c r="H210" s="94">
        <v>3.3</v>
      </c>
      <c r="K210" s="199"/>
      <c r="L210" s="199"/>
      <c r="M210" s="199"/>
      <c r="N210" s="199"/>
      <c r="O210" s="199">
        <f t="shared" si="98"/>
        <v>27.03</v>
      </c>
      <c r="P210" s="199"/>
      <c r="Q210" s="199"/>
      <c r="R210" s="199"/>
      <c r="S210" s="199"/>
      <c r="T210" s="199"/>
      <c r="U210" s="199">
        <f t="shared" si="99"/>
        <v>172.26</v>
      </c>
      <c r="V210" s="199"/>
      <c r="W210" s="199">
        <f t="shared" si="100"/>
        <v>27.03</v>
      </c>
    </row>
    <row r="211" spans="2:23" ht="12.75" customHeight="1">
      <c r="B211" s="93" t="s">
        <v>788</v>
      </c>
      <c r="C211" s="94"/>
      <c r="D211" s="94">
        <v>-6</v>
      </c>
      <c r="E211" s="94">
        <v>1</v>
      </c>
      <c r="F211" s="94">
        <v>0.9</v>
      </c>
      <c r="G211" s="94"/>
      <c r="H211" s="94">
        <v>2.2000000000000002</v>
      </c>
      <c r="I211" s="93"/>
      <c r="K211" s="199"/>
      <c r="L211" s="199"/>
      <c r="M211" s="199"/>
      <c r="N211" s="199"/>
      <c r="O211" s="199">
        <f t="shared" si="98"/>
        <v>0</v>
      </c>
      <c r="P211" s="199"/>
      <c r="Q211" s="199"/>
      <c r="R211" s="199"/>
      <c r="S211" s="199"/>
      <c r="T211" s="199"/>
      <c r="U211" s="199">
        <f t="shared" si="99"/>
        <v>-23.76</v>
      </c>
      <c r="V211" s="199"/>
      <c r="W211" s="199">
        <f t="shared" si="100"/>
        <v>0</v>
      </c>
    </row>
    <row r="212" spans="2:23" ht="12.75" customHeight="1">
      <c r="B212" s="93" t="s">
        <v>857</v>
      </c>
      <c r="C212" s="94" t="s">
        <v>813</v>
      </c>
      <c r="D212" s="94">
        <v>6</v>
      </c>
      <c r="E212" s="94">
        <v>1</v>
      </c>
      <c r="F212" s="105">
        <v>1.7</v>
      </c>
      <c r="G212" s="200">
        <v>1.4</v>
      </c>
      <c r="H212" s="94">
        <v>3.3</v>
      </c>
      <c r="K212" s="199"/>
      <c r="L212" s="199"/>
      <c r="M212" s="199"/>
      <c r="N212" s="199"/>
      <c r="O212" s="199">
        <f t="shared" si="98"/>
        <v>14.28</v>
      </c>
      <c r="P212" s="199"/>
      <c r="Q212" s="199"/>
      <c r="R212" s="199"/>
      <c r="S212" s="199"/>
      <c r="T212" s="199"/>
      <c r="U212" s="199">
        <f>(G212+F212*2)*H212*D212*E212</f>
        <v>95.039999999999992</v>
      </c>
      <c r="V212" s="199"/>
      <c r="W212" s="199">
        <f t="shared" si="100"/>
        <v>14.28</v>
      </c>
    </row>
    <row r="213" spans="2:23" ht="12.75" customHeight="1">
      <c r="B213" s="93" t="s">
        <v>776</v>
      </c>
      <c r="C213" s="94"/>
      <c r="D213" s="94">
        <v>-6</v>
      </c>
      <c r="E213" s="94">
        <v>1</v>
      </c>
      <c r="F213" s="105">
        <v>0.8</v>
      </c>
      <c r="G213" s="200"/>
      <c r="H213" s="94">
        <v>2.2000000000000002</v>
      </c>
      <c r="I213" s="93"/>
      <c r="K213" s="199"/>
      <c r="L213" s="199"/>
      <c r="M213" s="199"/>
      <c r="N213" s="199">
        <f>F213*G213*D213*E213</f>
        <v>0</v>
      </c>
      <c r="O213" s="199"/>
      <c r="P213" s="199"/>
      <c r="Q213" s="199"/>
      <c r="R213" s="199">
        <f>((F213+G213*2)*0.15)*E213*D213</f>
        <v>-0.72</v>
      </c>
      <c r="S213" s="199"/>
      <c r="T213" s="199"/>
      <c r="U213" s="199">
        <f>(F213+G213*2)*H213*D213*E213</f>
        <v>-10.560000000000002</v>
      </c>
      <c r="V213" s="199"/>
      <c r="W213" s="199">
        <f>N213</f>
        <v>0</v>
      </c>
    </row>
    <row r="214" spans="2:23" ht="12.75" customHeight="1">
      <c r="B214" s="93" t="s">
        <v>859</v>
      </c>
      <c r="C214" s="94" t="s">
        <v>813</v>
      </c>
      <c r="D214" s="94">
        <v>6</v>
      </c>
      <c r="E214" s="94">
        <v>1</v>
      </c>
      <c r="F214" s="105">
        <v>2.0299999999999998</v>
      </c>
      <c r="G214" s="200">
        <v>2.5</v>
      </c>
      <c r="H214" s="94">
        <v>3.3</v>
      </c>
      <c r="K214" s="199"/>
      <c r="L214" s="199"/>
      <c r="M214" s="199"/>
      <c r="N214" s="199"/>
      <c r="O214" s="199">
        <f t="shared" ref="O214:O215" si="101">F214*G214*D214*E214</f>
        <v>30.449999999999996</v>
      </c>
      <c r="P214" s="199"/>
      <c r="Q214" s="199"/>
      <c r="R214" s="199"/>
      <c r="S214" s="199"/>
      <c r="T214" s="199"/>
      <c r="U214" s="199">
        <f t="shared" ref="U214:U215" si="102">(G214*2+F214*2)*H214*D214*E214</f>
        <v>179.38799999999995</v>
      </c>
      <c r="V214" s="199"/>
      <c r="W214" s="199">
        <f t="shared" ref="W214:W215" si="103">O214</f>
        <v>30.449999999999996</v>
      </c>
    </row>
    <row r="215" spans="2:23" ht="12.75" customHeight="1">
      <c r="B215" s="93" t="s">
        <v>773</v>
      </c>
      <c r="C215" s="94"/>
      <c r="D215" s="94">
        <v>-6</v>
      </c>
      <c r="E215" s="94">
        <v>1</v>
      </c>
      <c r="F215" s="94">
        <v>0.8</v>
      </c>
      <c r="G215" s="94"/>
      <c r="H215" s="94">
        <v>2.2000000000000002</v>
      </c>
      <c r="I215" s="93"/>
      <c r="K215" s="199"/>
      <c r="L215" s="199"/>
      <c r="M215" s="199"/>
      <c r="N215" s="199"/>
      <c r="O215" s="199">
        <f t="shared" si="101"/>
        <v>0</v>
      </c>
      <c r="P215" s="199"/>
      <c r="Q215" s="199"/>
      <c r="R215" s="199"/>
      <c r="S215" s="199"/>
      <c r="T215" s="199"/>
      <c r="U215" s="199">
        <f t="shared" si="102"/>
        <v>-21.120000000000005</v>
      </c>
      <c r="V215" s="199"/>
      <c r="W215" s="199">
        <f t="shared" si="103"/>
        <v>0</v>
      </c>
    </row>
    <row r="216" spans="2:23" ht="12.75" customHeight="1">
      <c r="B216" s="93" t="s">
        <v>874</v>
      </c>
      <c r="C216" s="94"/>
      <c r="D216" s="94">
        <v>-6</v>
      </c>
      <c r="E216" s="94">
        <v>1</v>
      </c>
      <c r="F216" s="105">
        <v>1.4</v>
      </c>
      <c r="G216" s="200"/>
      <c r="H216" s="94">
        <v>3.24</v>
      </c>
      <c r="I216" s="93"/>
      <c r="K216" s="199"/>
      <c r="L216" s="199"/>
      <c r="M216" s="199"/>
      <c r="N216" s="199">
        <f t="shared" ref="N216:N221" si="104">F216*G216*D216*E216</f>
        <v>0</v>
      </c>
      <c r="O216" s="199"/>
      <c r="P216" s="199"/>
      <c r="Q216" s="199"/>
      <c r="R216" s="199">
        <f t="shared" ref="R216:R217" si="105">((F216+G216*2)*0.15)*E216*D216</f>
        <v>-1.26</v>
      </c>
      <c r="S216" s="199"/>
      <c r="T216" s="199"/>
      <c r="U216" s="199">
        <f>(F216+G216*2)*H216*D216*E216</f>
        <v>-27.215999999999998</v>
      </c>
      <c r="V216" s="199"/>
      <c r="W216" s="199">
        <f t="shared" ref="W216:W221" si="106">N216</f>
        <v>0</v>
      </c>
    </row>
    <row r="217" spans="2:23" ht="12.75" customHeight="1">
      <c r="B217" s="93" t="s">
        <v>856</v>
      </c>
      <c r="C217" s="94" t="s">
        <v>813</v>
      </c>
      <c r="D217" s="94">
        <v>6</v>
      </c>
      <c r="E217" s="94">
        <v>1</v>
      </c>
      <c r="F217" s="105">
        <v>2.23</v>
      </c>
      <c r="G217" s="200">
        <v>0.8</v>
      </c>
      <c r="H217" s="94">
        <v>3.3</v>
      </c>
      <c r="K217" s="199"/>
      <c r="L217" s="199"/>
      <c r="M217" s="199"/>
      <c r="N217" s="199">
        <f t="shared" si="104"/>
        <v>10.704000000000001</v>
      </c>
      <c r="O217" s="199"/>
      <c r="P217" s="199"/>
      <c r="Q217" s="199"/>
      <c r="R217" s="199">
        <f t="shared" si="105"/>
        <v>3.4470000000000001</v>
      </c>
      <c r="S217" s="199"/>
      <c r="T217" s="199"/>
      <c r="U217" s="199">
        <f>G217*2*H217*D217*E217</f>
        <v>31.68</v>
      </c>
      <c r="V217" s="199"/>
      <c r="W217" s="199">
        <f t="shared" si="106"/>
        <v>10.704000000000001</v>
      </c>
    </row>
    <row r="218" spans="2:23" ht="12.75" customHeight="1">
      <c r="B218" s="93" t="s">
        <v>773</v>
      </c>
      <c r="C218" s="94"/>
      <c r="D218" s="94">
        <v>-6</v>
      </c>
      <c r="E218" s="94">
        <v>1</v>
      </c>
      <c r="F218" s="94">
        <v>0.8</v>
      </c>
      <c r="G218" s="94"/>
      <c r="H218" s="94">
        <v>2.2000000000000002</v>
      </c>
      <c r="I218" s="93"/>
      <c r="K218" s="199"/>
      <c r="L218" s="199"/>
      <c r="M218" s="199"/>
      <c r="N218" s="199">
        <f t="shared" si="104"/>
        <v>0</v>
      </c>
      <c r="O218" s="199"/>
      <c r="P218" s="199"/>
      <c r="Q218" s="199"/>
      <c r="R218" s="199"/>
      <c r="S218" s="199"/>
      <c r="T218" s="199"/>
      <c r="U218" s="199">
        <f>(G218*2+F218*2)*H218*D218*E218</f>
        <v>-21.120000000000005</v>
      </c>
      <c r="V218" s="199"/>
      <c r="W218" s="199">
        <f t="shared" si="106"/>
        <v>0</v>
      </c>
    </row>
    <row r="219" spans="2:23" ht="12.75" customHeight="1">
      <c r="B219" s="93" t="s">
        <v>856</v>
      </c>
      <c r="C219" s="94" t="s">
        <v>813</v>
      </c>
      <c r="D219" s="94">
        <v>6</v>
      </c>
      <c r="E219" s="94">
        <v>2</v>
      </c>
      <c r="F219" s="105">
        <v>2.4</v>
      </c>
      <c r="G219" s="200">
        <v>1.4</v>
      </c>
      <c r="H219" s="94">
        <v>3.3</v>
      </c>
      <c r="K219" s="199"/>
      <c r="L219" s="199"/>
      <c r="M219" s="199"/>
      <c r="N219" s="199">
        <f t="shared" si="104"/>
        <v>40.32</v>
      </c>
      <c r="O219" s="199"/>
      <c r="P219" s="199"/>
      <c r="Q219" s="199"/>
      <c r="R219" s="199">
        <f t="shared" ref="R219:R221" si="107">((F219+G219*2)*0.15)*E219*D219</f>
        <v>9.36</v>
      </c>
      <c r="S219" s="199"/>
      <c r="T219" s="199"/>
      <c r="U219" s="199">
        <f>G219*2*H219*D219*E219</f>
        <v>110.87999999999998</v>
      </c>
      <c r="V219" s="199"/>
      <c r="W219" s="199">
        <f t="shared" si="106"/>
        <v>40.32</v>
      </c>
    </row>
    <row r="220" spans="2:23" ht="12.75" customHeight="1">
      <c r="B220" s="93" t="s">
        <v>787</v>
      </c>
      <c r="C220" s="94"/>
      <c r="D220" s="94">
        <v>-6</v>
      </c>
      <c r="E220" s="94">
        <v>2</v>
      </c>
      <c r="F220" s="105">
        <v>1</v>
      </c>
      <c r="G220" s="200"/>
      <c r="H220" s="94">
        <v>2.2000000000000002</v>
      </c>
      <c r="I220" s="93"/>
      <c r="K220" s="199"/>
      <c r="L220" s="199"/>
      <c r="M220" s="199"/>
      <c r="N220" s="199">
        <f t="shared" si="104"/>
        <v>0</v>
      </c>
      <c r="O220" s="199"/>
      <c r="P220" s="199"/>
      <c r="Q220" s="199"/>
      <c r="R220" s="199">
        <f t="shared" si="107"/>
        <v>-1.7999999999999998</v>
      </c>
      <c r="S220" s="199"/>
      <c r="T220" s="199"/>
      <c r="U220" s="199">
        <f t="shared" ref="U220:U221" si="108">(F220+G220*2)*H220*D220*E220</f>
        <v>-26.400000000000002</v>
      </c>
      <c r="V220" s="199"/>
      <c r="W220" s="199">
        <f t="shared" si="106"/>
        <v>0</v>
      </c>
    </row>
    <row r="221" spans="2:23" ht="12.75" customHeight="1">
      <c r="B221" s="147" t="s">
        <v>781</v>
      </c>
      <c r="C221" s="94" t="s">
        <v>560</v>
      </c>
      <c r="D221" s="94">
        <v>-6</v>
      </c>
      <c r="E221" s="94">
        <v>2</v>
      </c>
      <c r="F221" s="94">
        <v>1.3</v>
      </c>
      <c r="G221" s="94"/>
      <c r="H221" s="94">
        <v>1</v>
      </c>
      <c r="K221" s="199"/>
      <c r="L221" s="199"/>
      <c r="M221" s="199"/>
      <c r="N221" s="199">
        <f t="shared" si="104"/>
        <v>0</v>
      </c>
      <c r="O221" s="199"/>
      <c r="P221" s="199"/>
      <c r="Q221" s="199"/>
      <c r="R221" s="199">
        <f t="shared" si="107"/>
        <v>-2.34</v>
      </c>
      <c r="S221" s="199"/>
      <c r="T221" s="199"/>
      <c r="U221" s="199">
        <f t="shared" si="108"/>
        <v>-15.600000000000001</v>
      </c>
      <c r="V221" s="199"/>
      <c r="W221" s="199">
        <f t="shared" si="106"/>
        <v>0</v>
      </c>
    </row>
    <row r="222" spans="2:23" ht="12.75" customHeight="1">
      <c r="B222" s="181" t="s">
        <v>875</v>
      </c>
      <c r="C222" s="94"/>
      <c r="D222" s="94"/>
      <c r="E222" s="94"/>
      <c r="F222" s="94"/>
      <c r="G222" s="94"/>
      <c r="H222" s="94"/>
      <c r="I222" s="93"/>
      <c r="K222" s="199"/>
      <c r="L222" s="199"/>
      <c r="M222" s="199"/>
      <c r="N222" s="199"/>
      <c r="O222" s="199"/>
      <c r="P222" s="199"/>
      <c r="Q222" s="199"/>
      <c r="R222" s="199"/>
      <c r="S222" s="199"/>
      <c r="T222" s="199"/>
      <c r="U222" s="199"/>
      <c r="V222" s="199"/>
      <c r="W222" s="199"/>
    </row>
    <row r="223" spans="2:23" ht="12.75" customHeight="1">
      <c r="B223" s="93" t="s">
        <v>854</v>
      </c>
      <c r="C223" s="94" t="s">
        <v>813</v>
      </c>
      <c r="D223" s="94">
        <v>6</v>
      </c>
      <c r="E223" s="94">
        <v>1</v>
      </c>
      <c r="F223" s="105">
        <v>4.4800000000000004</v>
      </c>
      <c r="G223" s="200">
        <v>4.4800000000000004</v>
      </c>
      <c r="H223" s="94">
        <v>3.3</v>
      </c>
      <c r="K223" s="199"/>
      <c r="L223" s="199"/>
      <c r="M223" s="199"/>
      <c r="N223" s="199">
        <f t="shared" ref="N223:N235" si="109">F223*G223*D223*E223</f>
        <v>120.42240000000001</v>
      </c>
      <c r="O223" s="199"/>
      <c r="P223" s="199"/>
      <c r="Q223" s="199"/>
      <c r="R223" s="199">
        <f t="shared" ref="R223:R235" si="110">((F223+G223*2)*0.15)*E223*D223</f>
        <v>12.096</v>
      </c>
      <c r="S223" s="199"/>
      <c r="T223" s="199"/>
      <c r="U223" s="199">
        <f>(F223*2+G223*2)*H223*D223*E223</f>
        <v>354.81600000000003</v>
      </c>
      <c r="V223" s="199"/>
      <c r="W223" s="199">
        <f t="shared" ref="W223:W235" si="111">N223</f>
        <v>120.42240000000001</v>
      </c>
    </row>
    <row r="224" spans="2:23" ht="12.75" customHeight="1">
      <c r="B224" s="93" t="s">
        <v>776</v>
      </c>
      <c r="C224" s="94"/>
      <c r="D224" s="94">
        <v>-6</v>
      </c>
      <c r="E224" s="94">
        <v>1</v>
      </c>
      <c r="F224" s="105">
        <v>0.8</v>
      </c>
      <c r="G224" s="200"/>
      <c r="H224" s="94">
        <v>2.2000000000000002</v>
      </c>
      <c r="I224" s="93"/>
      <c r="K224" s="199"/>
      <c r="L224" s="199"/>
      <c r="M224" s="199"/>
      <c r="N224" s="199">
        <f t="shared" si="109"/>
        <v>0</v>
      </c>
      <c r="O224" s="199"/>
      <c r="P224" s="199"/>
      <c r="Q224" s="199"/>
      <c r="R224" s="199">
        <f t="shared" si="110"/>
        <v>-0.72</v>
      </c>
      <c r="S224" s="199"/>
      <c r="T224" s="199"/>
      <c r="U224" s="199">
        <f t="shared" ref="U224:U227" si="112">(F224+G224*2)*H224*D224*E224</f>
        <v>-10.560000000000002</v>
      </c>
      <c r="V224" s="199"/>
      <c r="W224" s="199">
        <f t="shared" si="111"/>
        <v>0</v>
      </c>
    </row>
    <row r="225" spans="1:43" ht="12.75" customHeight="1">
      <c r="B225" s="93" t="s">
        <v>787</v>
      </c>
      <c r="C225" s="94"/>
      <c r="D225" s="94">
        <v>-6</v>
      </c>
      <c r="E225" s="94">
        <v>1</v>
      </c>
      <c r="F225" s="105">
        <v>1</v>
      </c>
      <c r="G225" s="200"/>
      <c r="H225" s="94">
        <v>2.2000000000000002</v>
      </c>
      <c r="I225" s="93"/>
      <c r="K225" s="199"/>
      <c r="L225" s="199"/>
      <c r="M225" s="199"/>
      <c r="N225" s="199">
        <f t="shared" si="109"/>
        <v>0</v>
      </c>
      <c r="O225" s="199"/>
      <c r="P225" s="199"/>
      <c r="Q225" s="199"/>
      <c r="R225" s="199">
        <f t="shared" si="110"/>
        <v>-0.89999999999999991</v>
      </c>
      <c r="S225" s="199"/>
      <c r="T225" s="199"/>
      <c r="U225" s="199">
        <f t="shared" si="112"/>
        <v>-13.200000000000001</v>
      </c>
      <c r="V225" s="199"/>
      <c r="W225" s="199">
        <f t="shared" si="111"/>
        <v>0</v>
      </c>
    </row>
    <row r="226" spans="1:43" ht="12.75" customHeight="1">
      <c r="B226" s="93" t="s">
        <v>785</v>
      </c>
      <c r="C226" s="94"/>
      <c r="D226" s="94">
        <v>-6</v>
      </c>
      <c r="E226" s="94">
        <v>1</v>
      </c>
      <c r="F226" s="105">
        <v>1.1000000000000001</v>
      </c>
      <c r="G226" s="200"/>
      <c r="H226" s="94">
        <v>2.2000000000000002</v>
      </c>
      <c r="I226" s="93"/>
      <c r="K226" s="199"/>
      <c r="L226" s="199"/>
      <c r="M226" s="199"/>
      <c r="N226" s="199">
        <f t="shared" si="109"/>
        <v>0</v>
      </c>
      <c r="O226" s="199"/>
      <c r="P226" s="199"/>
      <c r="Q226" s="199"/>
      <c r="R226" s="199">
        <f t="shared" si="110"/>
        <v>-0.99</v>
      </c>
      <c r="S226" s="199"/>
      <c r="T226" s="199"/>
      <c r="U226" s="199">
        <f t="shared" si="112"/>
        <v>-14.520000000000003</v>
      </c>
      <c r="V226" s="199"/>
      <c r="W226" s="199">
        <f t="shared" si="111"/>
        <v>0</v>
      </c>
    </row>
    <row r="227" spans="1:43" ht="12.75" customHeight="1">
      <c r="A227" s="210"/>
      <c r="B227" s="210" t="s">
        <v>770</v>
      </c>
      <c r="C227" s="210"/>
      <c r="D227" s="211">
        <v>-6</v>
      </c>
      <c r="E227" s="211">
        <v>2</v>
      </c>
      <c r="F227" s="212">
        <v>1</v>
      </c>
      <c r="G227" s="210"/>
      <c r="H227" s="211">
        <v>2.2000000000000002</v>
      </c>
      <c r="I227" s="210"/>
      <c r="J227" s="210"/>
      <c r="K227" s="213"/>
      <c r="L227" s="213"/>
      <c r="M227" s="213"/>
      <c r="N227" s="214">
        <f t="shared" si="109"/>
        <v>0</v>
      </c>
      <c r="O227" s="213"/>
      <c r="P227" s="213"/>
      <c r="Q227" s="213"/>
      <c r="R227" s="214">
        <f t="shared" si="110"/>
        <v>-1.7999999999999998</v>
      </c>
      <c r="S227" s="213"/>
      <c r="T227" s="213"/>
      <c r="U227" s="214">
        <f t="shared" si="112"/>
        <v>-26.400000000000002</v>
      </c>
      <c r="V227" s="213"/>
      <c r="W227" s="214">
        <f t="shared" si="111"/>
        <v>0</v>
      </c>
      <c r="X227" s="210"/>
      <c r="Y227" s="210"/>
      <c r="Z227" s="210"/>
      <c r="AA227" s="210"/>
      <c r="AB227" s="210"/>
      <c r="AC227" s="210"/>
      <c r="AD227" s="210"/>
      <c r="AE227" s="210"/>
      <c r="AF227" s="210"/>
      <c r="AG227" s="210"/>
      <c r="AH227" s="210"/>
      <c r="AI227" s="210"/>
      <c r="AJ227" s="210"/>
      <c r="AK227" s="210"/>
      <c r="AL227" s="210"/>
      <c r="AM227" s="210"/>
      <c r="AN227" s="210"/>
      <c r="AO227" s="210"/>
      <c r="AP227" s="210"/>
      <c r="AQ227" s="210"/>
    </row>
    <row r="228" spans="1:43" ht="12.75" customHeight="1">
      <c r="B228" s="93" t="s">
        <v>855</v>
      </c>
      <c r="C228" s="94" t="s">
        <v>813</v>
      </c>
      <c r="D228" s="94">
        <v>6</v>
      </c>
      <c r="E228" s="94">
        <v>1</v>
      </c>
      <c r="F228" s="105">
        <v>3.9</v>
      </c>
      <c r="G228" s="200">
        <v>3.9</v>
      </c>
      <c r="H228" s="94">
        <v>3.3</v>
      </c>
      <c r="K228" s="199"/>
      <c r="L228" s="199"/>
      <c r="M228" s="199"/>
      <c r="N228" s="199">
        <f t="shared" si="109"/>
        <v>91.259999999999991</v>
      </c>
      <c r="O228" s="199"/>
      <c r="P228" s="199"/>
      <c r="Q228" s="199"/>
      <c r="R228" s="199">
        <f t="shared" si="110"/>
        <v>10.53</v>
      </c>
      <c r="S228" s="199"/>
      <c r="T228" s="199"/>
      <c r="U228" s="199">
        <f>(F228*2+G228*2)*H228*D228*E228</f>
        <v>308.88</v>
      </c>
      <c r="V228" s="199"/>
      <c r="W228" s="199">
        <f t="shared" si="111"/>
        <v>91.259999999999991</v>
      </c>
    </row>
    <row r="229" spans="1:43" ht="12.75" customHeight="1">
      <c r="B229" s="93" t="s">
        <v>776</v>
      </c>
      <c r="C229" s="94"/>
      <c r="D229" s="94">
        <v>-6</v>
      </c>
      <c r="E229" s="94">
        <v>1</v>
      </c>
      <c r="F229" s="105">
        <v>0.8</v>
      </c>
      <c r="G229" s="200"/>
      <c r="H229" s="94">
        <v>2.2000000000000002</v>
      </c>
      <c r="I229" s="93"/>
      <c r="K229" s="199"/>
      <c r="L229" s="199"/>
      <c r="M229" s="199"/>
      <c r="N229" s="199">
        <f t="shared" si="109"/>
        <v>0</v>
      </c>
      <c r="O229" s="199"/>
      <c r="P229" s="199"/>
      <c r="Q229" s="199"/>
      <c r="R229" s="199">
        <f t="shared" si="110"/>
        <v>-0.72</v>
      </c>
      <c r="S229" s="199"/>
      <c r="T229" s="199"/>
      <c r="U229" s="199">
        <f t="shared" ref="U229:U231" si="113">(F229+G229*2)*H229*D229*E229</f>
        <v>-10.560000000000002</v>
      </c>
      <c r="V229" s="199"/>
      <c r="W229" s="199">
        <f t="shared" si="111"/>
        <v>0</v>
      </c>
    </row>
    <row r="230" spans="1:43" ht="12.75" customHeight="1">
      <c r="B230" s="93" t="s">
        <v>770</v>
      </c>
      <c r="C230" s="94"/>
      <c r="D230" s="94">
        <v>-6</v>
      </c>
      <c r="E230" s="94">
        <v>1</v>
      </c>
      <c r="F230" s="105">
        <v>1</v>
      </c>
      <c r="G230" s="200"/>
      <c r="H230" s="94">
        <v>2.2000000000000002</v>
      </c>
      <c r="I230" s="93"/>
      <c r="K230" s="199"/>
      <c r="L230" s="199"/>
      <c r="M230" s="199"/>
      <c r="N230" s="199">
        <f t="shared" si="109"/>
        <v>0</v>
      </c>
      <c r="O230" s="199"/>
      <c r="P230" s="199"/>
      <c r="Q230" s="199"/>
      <c r="R230" s="199">
        <f t="shared" si="110"/>
        <v>-0.89999999999999991</v>
      </c>
      <c r="S230" s="199"/>
      <c r="T230" s="199"/>
      <c r="U230" s="199">
        <f t="shared" si="113"/>
        <v>-13.200000000000001</v>
      </c>
      <c r="V230" s="199"/>
      <c r="W230" s="199">
        <f t="shared" si="111"/>
        <v>0</v>
      </c>
    </row>
    <row r="231" spans="1:43" ht="12.75" customHeight="1">
      <c r="B231" s="93" t="s">
        <v>463</v>
      </c>
      <c r="C231" s="94"/>
      <c r="D231" s="94">
        <v>-6</v>
      </c>
      <c r="E231" s="94">
        <v>1</v>
      </c>
      <c r="F231" s="105">
        <v>3.05</v>
      </c>
      <c r="G231" s="200"/>
      <c r="H231" s="94">
        <v>3.24</v>
      </c>
      <c r="I231" s="93"/>
      <c r="K231" s="199"/>
      <c r="L231" s="199"/>
      <c r="M231" s="199"/>
      <c r="N231" s="199">
        <f t="shared" si="109"/>
        <v>0</v>
      </c>
      <c r="O231" s="199"/>
      <c r="P231" s="199"/>
      <c r="Q231" s="199"/>
      <c r="R231" s="199">
        <f t="shared" si="110"/>
        <v>-2.7449999999999997</v>
      </c>
      <c r="S231" s="199"/>
      <c r="T231" s="199"/>
      <c r="U231" s="199">
        <f t="shared" si="113"/>
        <v>-59.292000000000002</v>
      </c>
      <c r="V231" s="199"/>
      <c r="W231" s="199">
        <f t="shared" si="111"/>
        <v>0</v>
      </c>
    </row>
    <row r="232" spans="1:43" ht="12.75" customHeight="1">
      <c r="B232" s="93" t="s">
        <v>855</v>
      </c>
      <c r="C232" s="94" t="s">
        <v>813</v>
      </c>
      <c r="D232" s="94">
        <v>6</v>
      </c>
      <c r="E232" s="94">
        <v>1</v>
      </c>
      <c r="F232" s="105">
        <v>4.5</v>
      </c>
      <c r="G232" s="200">
        <v>3.7</v>
      </c>
      <c r="H232" s="94">
        <v>3.3</v>
      </c>
      <c r="K232" s="199"/>
      <c r="L232" s="199"/>
      <c r="M232" s="199"/>
      <c r="N232" s="199">
        <f t="shared" si="109"/>
        <v>99.9</v>
      </c>
      <c r="O232" s="199"/>
      <c r="P232" s="199"/>
      <c r="Q232" s="199"/>
      <c r="R232" s="199">
        <f t="shared" si="110"/>
        <v>10.709999999999999</v>
      </c>
      <c r="S232" s="199"/>
      <c r="T232" s="199"/>
      <c r="U232" s="199">
        <f>(F232*2+G232*2)*H232*D232*E232</f>
        <v>324.71999999999991</v>
      </c>
      <c r="V232" s="199"/>
      <c r="W232" s="199">
        <f t="shared" si="111"/>
        <v>99.9</v>
      </c>
    </row>
    <row r="233" spans="1:43" ht="12.75" customHeight="1">
      <c r="B233" s="93" t="s">
        <v>788</v>
      </c>
      <c r="C233" s="94"/>
      <c r="D233" s="94">
        <v>-6</v>
      </c>
      <c r="E233" s="94">
        <v>1</v>
      </c>
      <c r="F233" s="105">
        <v>0.9</v>
      </c>
      <c r="G233" s="200"/>
      <c r="H233" s="94">
        <v>2.2000000000000002</v>
      </c>
      <c r="I233" s="93"/>
      <c r="K233" s="199"/>
      <c r="L233" s="199"/>
      <c r="M233" s="199"/>
      <c r="N233" s="199">
        <f t="shared" si="109"/>
        <v>0</v>
      </c>
      <c r="O233" s="199"/>
      <c r="P233" s="199"/>
      <c r="Q233" s="199"/>
      <c r="R233" s="199">
        <f t="shared" si="110"/>
        <v>-0.81</v>
      </c>
      <c r="S233" s="199"/>
      <c r="T233" s="199"/>
      <c r="U233" s="199">
        <f t="shared" ref="U233:U235" si="114">(F233+G233*2)*H233*D233*E233</f>
        <v>-11.88</v>
      </c>
      <c r="V233" s="199"/>
      <c r="W233" s="199">
        <f t="shared" si="111"/>
        <v>0</v>
      </c>
    </row>
    <row r="234" spans="1:43" ht="12.75" customHeight="1">
      <c r="B234" s="93" t="s">
        <v>770</v>
      </c>
      <c r="C234" s="94"/>
      <c r="D234" s="94">
        <v>-6</v>
      </c>
      <c r="E234" s="94">
        <v>1</v>
      </c>
      <c r="F234" s="105">
        <v>1</v>
      </c>
      <c r="G234" s="200"/>
      <c r="H234" s="94">
        <v>2.2000000000000002</v>
      </c>
      <c r="I234" s="93"/>
      <c r="K234" s="199"/>
      <c r="L234" s="199"/>
      <c r="M234" s="199"/>
      <c r="N234" s="199">
        <f t="shared" si="109"/>
        <v>0</v>
      </c>
      <c r="O234" s="199"/>
      <c r="P234" s="199"/>
      <c r="Q234" s="199"/>
      <c r="R234" s="199">
        <f t="shared" si="110"/>
        <v>-0.89999999999999991</v>
      </c>
      <c r="S234" s="199"/>
      <c r="T234" s="199"/>
      <c r="U234" s="199">
        <f t="shared" si="114"/>
        <v>-13.200000000000001</v>
      </c>
      <c r="V234" s="199"/>
      <c r="W234" s="199">
        <f t="shared" si="111"/>
        <v>0</v>
      </c>
    </row>
    <row r="235" spans="1:43" ht="12.75" customHeight="1">
      <c r="B235" s="93" t="s">
        <v>787</v>
      </c>
      <c r="C235" s="94"/>
      <c r="D235" s="94">
        <v>-6</v>
      </c>
      <c r="E235" s="94">
        <v>1</v>
      </c>
      <c r="F235" s="105">
        <v>1</v>
      </c>
      <c r="G235" s="200"/>
      <c r="H235" s="94">
        <v>2.2000000000000002</v>
      </c>
      <c r="I235" s="93"/>
      <c r="K235" s="199"/>
      <c r="L235" s="199"/>
      <c r="M235" s="199"/>
      <c r="N235" s="199">
        <f t="shared" si="109"/>
        <v>0</v>
      </c>
      <c r="O235" s="199"/>
      <c r="P235" s="199"/>
      <c r="Q235" s="199"/>
      <c r="R235" s="199">
        <f t="shared" si="110"/>
        <v>-0.89999999999999991</v>
      </c>
      <c r="S235" s="199"/>
      <c r="T235" s="199"/>
      <c r="U235" s="199">
        <f t="shared" si="114"/>
        <v>-13.200000000000001</v>
      </c>
      <c r="V235" s="199"/>
      <c r="W235" s="199">
        <f t="shared" si="111"/>
        <v>0</v>
      </c>
    </row>
    <row r="236" spans="1:43" ht="12.75" customHeight="1">
      <c r="B236" s="93" t="s">
        <v>858</v>
      </c>
      <c r="C236" s="94" t="s">
        <v>813</v>
      </c>
      <c r="D236" s="94">
        <v>6</v>
      </c>
      <c r="E236" s="94">
        <v>1</v>
      </c>
      <c r="F236" s="105">
        <v>3.01</v>
      </c>
      <c r="G236" s="200">
        <v>1.5</v>
      </c>
      <c r="H236" s="94">
        <v>3.3</v>
      </c>
      <c r="K236" s="199"/>
      <c r="L236" s="199"/>
      <c r="M236" s="199"/>
      <c r="N236" s="199"/>
      <c r="O236" s="199">
        <f t="shared" ref="O236:O239" si="115">F236*G236*D236*E236</f>
        <v>27.089999999999996</v>
      </c>
      <c r="P236" s="199"/>
      <c r="Q236" s="199"/>
      <c r="R236" s="199"/>
      <c r="S236" s="199"/>
      <c r="T236" s="199"/>
      <c r="U236" s="199">
        <f t="shared" ref="U236:U239" si="116">(G236*2+F236*2)*H236*D236*E236</f>
        <v>178.596</v>
      </c>
      <c r="V236" s="199"/>
      <c r="W236" s="199">
        <f t="shared" ref="W236:W239" si="117">O236</f>
        <v>27.089999999999996</v>
      </c>
    </row>
    <row r="237" spans="1:43" ht="12.75" customHeight="1">
      <c r="B237" s="93" t="s">
        <v>788</v>
      </c>
      <c r="C237" s="94"/>
      <c r="D237" s="94">
        <v>-6</v>
      </c>
      <c r="E237" s="94">
        <v>1</v>
      </c>
      <c r="F237" s="94">
        <v>0.9</v>
      </c>
      <c r="G237" s="94"/>
      <c r="H237" s="94">
        <v>2.2000000000000002</v>
      </c>
      <c r="I237" s="93"/>
      <c r="K237" s="199"/>
      <c r="L237" s="199"/>
      <c r="M237" s="199"/>
      <c r="N237" s="199"/>
      <c r="O237" s="199">
        <f t="shared" si="115"/>
        <v>0</v>
      </c>
      <c r="P237" s="199"/>
      <c r="Q237" s="199"/>
      <c r="R237" s="199"/>
      <c r="S237" s="199"/>
      <c r="T237" s="199"/>
      <c r="U237" s="199">
        <f t="shared" si="116"/>
        <v>-23.76</v>
      </c>
      <c r="V237" s="199"/>
      <c r="W237" s="199">
        <f t="shared" si="117"/>
        <v>0</v>
      </c>
    </row>
    <row r="238" spans="1:43" ht="12.75" customHeight="1">
      <c r="B238" s="93" t="s">
        <v>779</v>
      </c>
      <c r="C238" s="94"/>
      <c r="D238" s="94">
        <v>-6</v>
      </c>
      <c r="E238" s="94">
        <v>1</v>
      </c>
      <c r="F238" s="94">
        <v>0.6</v>
      </c>
      <c r="G238" s="94"/>
      <c r="H238" s="94">
        <v>0.8</v>
      </c>
      <c r="I238" s="93"/>
      <c r="K238" s="199"/>
      <c r="L238" s="199"/>
      <c r="M238" s="199"/>
      <c r="N238" s="199"/>
      <c r="O238" s="199">
        <f t="shared" si="115"/>
        <v>0</v>
      </c>
      <c r="P238" s="199"/>
      <c r="Q238" s="199"/>
      <c r="R238" s="199"/>
      <c r="S238" s="199"/>
      <c r="T238" s="199"/>
      <c r="U238" s="199">
        <f t="shared" si="116"/>
        <v>-5.76</v>
      </c>
      <c r="V238" s="199"/>
      <c r="W238" s="199">
        <f t="shared" si="117"/>
        <v>0</v>
      </c>
    </row>
    <row r="239" spans="1:43" ht="12.75" customHeight="1">
      <c r="B239" s="93" t="s">
        <v>858</v>
      </c>
      <c r="C239" s="94" t="s">
        <v>813</v>
      </c>
      <c r="D239" s="94">
        <v>6</v>
      </c>
      <c r="E239" s="94">
        <v>1</v>
      </c>
      <c r="F239" s="105">
        <v>2.85</v>
      </c>
      <c r="G239" s="200">
        <v>1.7</v>
      </c>
      <c r="H239" s="94">
        <v>3.3</v>
      </c>
      <c r="K239" s="199"/>
      <c r="L239" s="199"/>
      <c r="M239" s="199"/>
      <c r="N239" s="199"/>
      <c r="O239" s="199">
        <f t="shared" si="115"/>
        <v>29.07</v>
      </c>
      <c r="P239" s="199"/>
      <c r="Q239" s="199"/>
      <c r="R239" s="199"/>
      <c r="S239" s="199"/>
      <c r="T239" s="199"/>
      <c r="U239" s="199">
        <f t="shared" si="116"/>
        <v>180.17999999999998</v>
      </c>
      <c r="V239" s="199"/>
      <c r="W239" s="199">
        <f t="shared" si="117"/>
        <v>29.07</v>
      </c>
    </row>
    <row r="240" spans="1:43" ht="12.75" customHeight="1">
      <c r="B240" s="93" t="s">
        <v>776</v>
      </c>
      <c r="C240" s="94"/>
      <c r="D240" s="94">
        <v>-6</v>
      </c>
      <c r="E240" s="94">
        <v>1</v>
      </c>
      <c r="F240" s="105">
        <v>0.8</v>
      </c>
      <c r="G240" s="200"/>
      <c r="H240" s="94">
        <v>2.2000000000000002</v>
      </c>
      <c r="I240" s="93"/>
      <c r="K240" s="199"/>
      <c r="L240" s="199"/>
      <c r="M240" s="199"/>
      <c r="N240" s="199">
        <f>F240*G240*D240*E240</f>
        <v>0</v>
      </c>
      <c r="O240" s="199"/>
      <c r="P240" s="199"/>
      <c r="Q240" s="199"/>
      <c r="R240" s="199">
        <f>((F240+G240*2)*0.15)*E240*D240</f>
        <v>-0.72</v>
      </c>
      <c r="S240" s="199"/>
      <c r="T240" s="199"/>
      <c r="U240" s="199">
        <f>(F240+G240*2)*H240*D240*E240</f>
        <v>-10.560000000000002</v>
      </c>
      <c r="V240" s="199"/>
      <c r="W240" s="199">
        <f>N240</f>
        <v>0</v>
      </c>
    </row>
    <row r="241" spans="1:43" ht="12.75" customHeight="1">
      <c r="B241" s="93" t="s">
        <v>857</v>
      </c>
      <c r="C241" s="94" t="s">
        <v>813</v>
      </c>
      <c r="D241" s="94">
        <v>6</v>
      </c>
      <c r="E241" s="94">
        <v>1</v>
      </c>
      <c r="F241" s="105">
        <v>1.3</v>
      </c>
      <c r="G241" s="200">
        <v>1.31</v>
      </c>
      <c r="H241" s="94">
        <v>3.3</v>
      </c>
      <c r="K241" s="199"/>
      <c r="L241" s="199"/>
      <c r="M241" s="199"/>
      <c r="N241" s="199"/>
      <c r="O241" s="199">
        <f>F241*G241*D241*E241</f>
        <v>10.218</v>
      </c>
      <c r="P241" s="199"/>
      <c r="Q241" s="199"/>
      <c r="R241" s="199"/>
      <c r="S241" s="199"/>
      <c r="T241" s="199"/>
      <c r="U241" s="199">
        <f>(G241+F241*2)*H241*D241*E241</f>
        <v>77.418000000000006</v>
      </c>
      <c r="V241" s="199"/>
      <c r="W241" s="199">
        <f>O241</f>
        <v>10.218</v>
      </c>
    </row>
    <row r="242" spans="1:43" ht="12.75" customHeight="1">
      <c r="B242" s="93" t="s">
        <v>776</v>
      </c>
      <c r="C242" s="94"/>
      <c r="D242" s="94">
        <v>-6</v>
      </c>
      <c r="E242" s="94">
        <v>1</v>
      </c>
      <c r="F242" s="105">
        <v>0.8</v>
      </c>
      <c r="G242" s="200"/>
      <c r="H242" s="94">
        <v>2.2000000000000002</v>
      </c>
      <c r="I242" s="93"/>
      <c r="K242" s="199"/>
      <c r="L242" s="199"/>
      <c r="M242" s="199"/>
      <c r="N242" s="199">
        <f>F242*G242*D242*E242</f>
        <v>0</v>
      </c>
      <c r="O242" s="199"/>
      <c r="P242" s="199"/>
      <c r="Q242" s="199"/>
      <c r="R242" s="199">
        <f>((F242+G242*2)*0.15)*E242*D242</f>
        <v>-0.72</v>
      </c>
      <c r="S242" s="199"/>
      <c r="T242" s="199"/>
      <c r="U242" s="199">
        <f>(F242+G242*2)*H242*D242*E242</f>
        <v>-10.560000000000002</v>
      </c>
      <c r="V242" s="199"/>
      <c r="W242" s="199">
        <f>N242</f>
        <v>0</v>
      </c>
    </row>
    <row r="243" spans="1:43" ht="12.75" customHeight="1">
      <c r="B243" s="93" t="s">
        <v>859</v>
      </c>
      <c r="C243" s="94" t="s">
        <v>813</v>
      </c>
      <c r="D243" s="94">
        <v>6</v>
      </c>
      <c r="E243" s="94">
        <v>1</v>
      </c>
      <c r="F243" s="105">
        <v>2.1</v>
      </c>
      <c r="G243" s="200">
        <v>2.4</v>
      </c>
      <c r="H243" s="94">
        <v>3.3</v>
      </c>
      <c r="K243" s="199"/>
      <c r="L243" s="199"/>
      <c r="M243" s="199"/>
      <c r="N243" s="199"/>
      <c r="O243" s="199">
        <f t="shared" ref="O243:O244" si="118">F243*G243*D243*E243</f>
        <v>30.240000000000002</v>
      </c>
      <c r="P243" s="199"/>
      <c r="Q243" s="199"/>
      <c r="R243" s="199"/>
      <c r="S243" s="199"/>
      <c r="T243" s="199"/>
      <c r="U243" s="199">
        <f t="shared" ref="U243:U244" si="119">(G243*2+F243*2)*H243*D243*E243</f>
        <v>178.2</v>
      </c>
      <c r="V243" s="199"/>
      <c r="W243" s="199">
        <f t="shared" ref="W243:W244" si="120">O243</f>
        <v>30.240000000000002</v>
      </c>
    </row>
    <row r="244" spans="1:43" ht="12.75" customHeight="1">
      <c r="B244" s="93" t="s">
        <v>773</v>
      </c>
      <c r="C244" s="94"/>
      <c r="D244" s="94">
        <v>-6</v>
      </c>
      <c r="E244" s="94">
        <v>1</v>
      </c>
      <c r="F244" s="94">
        <v>0.8</v>
      </c>
      <c r="G244" s="94"/>
      <c r="H244" s="94">
        <v>2.2000000000000002</v>
      </c>
      <c r="I244" s="93"/>
      <c r="K244" s="199"/>
      <c r="L244" s="199"/>
      <c r="M244" s="199"/>
      <c r="N244" s="199"/>
      <c r="O244" s="199">
        <f t="shared" si="118"/>
        <v>0</v>
      </c>
      <c r="P244" s="199"/>
      <c r="Q244" s="199"/>
      <c r="R244" s="199"/>
      <c r="S244" s="199"/>
      <c r="T244" s="199"/>
      <c r="U244" s="199">
        <f t="shared" si="119"/>
        <v>-21.120000000000005</v>
      </c>
      <c r="V244" s="199"/>
      <c r="W244" s="199">
        <f t="shared" si="120"/>
        <v>0</v>
      </c>
    </row>
    <row r="245" spans="1:43" ht="12.75" customHeight="1">
      <c r="B245" s="93" t="s">
        <v>856</v>
      </c>
      <c r="C245" s="94" t="s">
        <v>813</v>
      </c>
      <c r="D245" s="94">
        <v>6</v>
      </c>
      <c r="E245" s="94">
        <v>1</v>
      </c>
      <c r="F245" s="105">
        <v>3.4</v>
      </c>
      <c r="G245" s="200">
        <v>1.5</v>
      </c>
      <c r="H245" s="94">
        <v>3.3</v>
      </c>
      <c r="K245" s="199"/>
      <c r="L245" s="199"/>
      <c r="M245" s="199"/>
      <c r="N245" s="199">
        <f t="shared" ref="N245:N252" si="121">F245*G245*D245*E245</f>
        <v>30.599999999999998</v>
      </c>
      <c r="O245" s="199"/>
      <c r="P245" s="199"/>
      <c r="Q245" s="199"/>
      <c r="R245" s="199">
        <f t="shared" ref="R245:R250" si="122">((F245+G245*2)*0.15)*E245*D245</f>
        <v>5.76</v>
      </c>
      <c r="S245" s="199"/>
      <c r="T245" s="199"/>
      <c r="U245" s="199">
        <f>G245*2*H245*D245*E245</f>
        <v>59.399999999999991</v>
      </c>
      <c r="V245" s="199"/>
      <c r="W245" s="199">
        <f t="shared" ref="W245:W250" si="123">N245</f>
        <v>30.599999999999998</v>
      </c>
    </row>
    <row r="246" spans="1:43" ht="12.75" customHeight="1">
      <c r="B246" s="93" t="s">
        <v>787</v>
      </c>
      <c r="C246" s="94"/>
      <c r="D246" s="94">
        <v>-6</v>
      </c>
      <c r="E246" s="94">
        <v>1</v>
      </c>
      <c r="F246" s="105">
        <v>1</v>
      </c>
      <c r="G246" s="200"/>
      <c r="H246" s="94">
        <v>2.2000000000000002</v>
      </c>
      <c r="I246" s="93"/>
      <c r="K246" s="199"/>
      <c r="L246" s="199"/>
      <c r="M246" s="199"/>
      <c r="N246" s="199">
        <f t="shared" si="121"/>
        <v>0</v>
      </c>
      <c r="O246" s="199"/>
      <c r="P246" s="199"/>
      <c r="Q246" s="199"/>
      <c r="R246" s="199">
        <f t="shared" si="122"/>
        <v>-0.89999999999999991</v>
      </c>
      <c r="S246" s="199"/>
      <c r="T246" s="199"/>
      <c r="U246" s="199">
        <f t="shared" ref="U246:U247" si="124">(F246+G246*2)*H246*D246*E246</f>
        <v>-13.200000000000001</v>
      </c>
      <c r="V246" s="199"/>
      <c r="W246" s="199">
        <f t="shared" si="123"/>
        <v>0</v>
      </c>
    </row>
    <row r="247" spans="1:43" ht="12.75" customHeight="1">
      <c r="B247" s="147" t="s">
        <v>781</v>
      </c>
      <c r="C247" s="94" t="s">
        <v>560</v>
      </c>
      <c r="D247" s="94">
        <v>-6</v>
      </c>
      <c r="E247" s="94">
        <v>1</v>
      </c>
      <c r="F247" s="94">
        <v>1.3</v>
      </c>
      <c r="G247" s="94"/>
      <c r="H247" s="94">
        <v>1</v>
      </c>
      <c r="K247" s="199"/>
      <c r="L247" s="199"/>
      <c r="M247" s="199"/>
      <c r="N247" s="199">
        <f t="shared" si="121"/>
        <v>0</v>
      </c>
      <c r="O247" s="199"/>
      <c r="P247" s="199"/>
      <c r="Q247" s="199"/>
      <c r="R247" s="199">
        <f t="shared" si="122"/>
        <v>-1.17</v>
      </c>
      <c r="S247" s="199"/>
      <c r="T247" s="199"/>
      <c r="U247" s="199">
        <f t="shared" si="124"/>
        <v>-7.8000000000000007</v>
      </c>
      <c r="V247" s="199"/>
      <c r="W247" s="199">
        <f t="shared" si="123"/>
        <v>0</v>
      </c>
    </row>
    <row r="248" spans="1:43" ht="12.75" customHeight="1">
      <c r="A248" s="210"/>
      <c r="B248" s="210" t="s">
        <v>856</v>
      </c>
      <c r="C248" s="211" t="s">
        <v>813</v>
      </c>
      <c r="D248" s="211">
        <v>6</v>
      </c>
      <c r="E248" s="94">
        <v>1</v>
      </c>
      <c r="F248" s="212">
        <v>3.85</v>
      </c>
      <c r="G248" s="211">
        <v>1.7</v>
      </c>
      <c r="H248" s="211">
        <v>3.3</v>
      </c>
      <c r="I248" s="210"/>
      <c r="J248" s="210"/>
      <c r="K248" s="213"/>
      <c r="L248" s="213"/>
      <c r="M248" s="213"/>
      <c r="N248" s="214">
        <f t="shared" si="121"/>
        <v>39.269999999999996</v>
      </c>
      <c r="O248" s="213"/>
      <c r="P248" s="213"/>
      <c r="Q248" s="213"/>
      <c r="R248" s="214">
        <f t="shared" si="122"/>
        <v>6.5249999999999995</v>
      </c>
      <c r="S248" s="213"/>
      <c r="T248" s="213"/>
      <c r="U248" s="214">
        <f>G248*2*H248*D248*E248</f>
        <v>67.319999999999993</v>
      </c>
      <c r="V248" s="213"/>
      <c r="W248" s="214">
        <f t="shared" si="123"/>
        <v>39.269999999999996</v>
      </c>
      <c r="X248" s="210"/>
      <c r="Y248" s="210"/>
      <c r="Z248" s="210"/>
      <c r="AA248" s="210"/>
      <c r="AB248" s="210"/>
      <c r="AC248" s="210"/>
      <c r="AD248" s="210"/>
      <c r="AE248" s="210"/>
      <c r="AF248" s="210"/>
      <c r="AG248" s="210"/>
      <c r="AH248" s="210"/>
      <c r="AI248" s="210"/>
      <c r="AJ248" s="210"/>
      <c r="AK248" s="210"/>
      <c r="AL248" s="210"/>
      <c r="AM248" s="210"/>
      <c r="AN248" s="210"/>
      <c r="AO248" s="210"/>
      <c r="AP248" s="210"/>
      <c r="AQ248" s="210"/>
    </row>
    <row r="249" spans="1:43" ht="12.75" customHeight="1">
      <c r="A249" s="210"/>
      <c r="B249" s="210" t="s">
        <v>787</v>
      </c>
      <c r="C249" s="210"/>
      <c r="D249" s="211">
        <v>-6</v>
      </c>
      <c r="E249" s="94">
        <v>1</v>
      </c>
      <c r="F249" s="212">
        <v>1</v>
      </c>
      <c r="G249" s="210"/>
      <c r="H249" s="211">
        <v>2.2000000000000002</v>
      </c>
      <c r="I249" s="210"/>
      <c r="J249" s="210"/>
      <c r="K249" s="213"/>
      <c r="L249" s="213"/>
      <c r="M249" s="213"/>
      <c r="N249" s="214">
        <f t="shared" si="121"/>
        <v>0</v>
      </c>
      <c r="O249" s="213"/>
      <c r="P249" s="213"/>
      <c r="Q249" s="213"/>
      <c r="R249" s="214">
        <f t="shared" si="122"/>
        <v>-0.89999999999999991</v>
      </c>
      <c r="S249" s="213"/>
      <c r="T249" s="213"/>
      <c r="U249" s="214">
        <f t="shared" ref="U249:U250" si="125">(F249+G249*2)*H249*D249*E249</f>
        <v>-13.200000000000001</v>
      </c>
      <c r="V249" s="213"/>
      <c r="W249" s="214">
        <f t="shared" si="123"/>
        <v>0</v>
      </c>
      <c r="X249" s="210"/>
      <c r="Y249" s="210"/>
      <c r="Z249" s="210"/>
      <c r="AA249" s="210"/>
      <c r="AB249" s="210"/>
      <c r="AC249" s="210"/>
      <c r="AD249" s="210"/>
      <c r="AE249" s="210"/>
      <c r="AF249" s="210"/>
      <c r="AG249" s="210"/>
      <c r="AH249" s="210"/>
      <c r="AI249" s="210"/>
      <c r="AJ249" s="210"/>
      <c r="AK249" s="210"/>
      <c r="AL249" s="210"/>
      <c r="AM249" s="210"/>
      <c r="AN249" s="210"/>
      <c r="AO249" s="210"/>
      <c r="AP249" s="210"/>
      <c r="AQ249" s="210"/>
    </row>
    <row r="250" spans="1:43" ht="12.75" customHeight="1">
      <c r="A250" s="210"/>
      <c r="B250" s="204" t="s">
        <v>781</v>
      </c>
      <c r="C250" s="211" t="s">
        <v>560</v>
      </c>
      <c r="D250" s="211">
        <v>-6</v>
      </c>
      <c r="E250" s="94">
        <v>1</v>
      </c>
      <c r="F250" s="211">
        <v>1.3</v>
      </c>
      <c r="G250" s="210"/>
      <c r="H250" s="211">
        <v>1</v>
      </c>
      <c r="I250" s="210"/>
      <c r="J250" s="210"/>
      <c r="K250" s="213"/>
      <c r="L250" s="213"/>
      <c r="M250" s="213"/>
      <c r="N250" s="214">
        <f t="shared" si="121"/>
        <v>0</v>
      </c>
      <c r="O250" s="213"/>
      <c r="P250" s="213"/>
      <c r="Q250" s="213"/>
      <c r="R250" s="214">
        <f t="shared" si="122"/>
        <v>-1.17</v>
      </c>
      <c r="S250" s="213"/>
      <c r="T250" s="213"/>
      <c r="U250" s="214">
        <f t="shared" si="125"/>
        <v>-7.8000000000000007</v>
      </c>
      <c r="V250" s="213"/>
      <c r="W250" s="214">
        <f t="shared" si="123"/>
        <v>0</v>
      </c>
      <c r="X250" s="210"/>
      <c r="Y250" s="210"/>
      <c r="Z250" s="210"/>
      <c r="AA250" s="210"/>
      <c r="AB250" s="210"/>
      <c r="AC250" s="210"/>
      <c r="AD250" s="210"/>
      <c r="AE250" s="210"/>
      <c r="AF250" s="210"/>
      <c r="AG250" s="210"/>
      <c r="AH250" s="210"/>
      <c r="AI250" s="210"/>
      <c r="AJ250" s="210"/>
      <c r="AK250" s="210"/>
      <c r="AL250" s="210"/>
      <c r="AM250" s="210"/>
      <c r="AN250" s="210"/>
      <c r="AO250" s="210"/>
      <c r="AP250" s="210"/>
      <c r="AQ250" s="210"/>
    </row>
    <row r="251" spans="1:43" ht="12.75" customHeight="1">
      <c r="B251" s="93" t="s">
        <v>1161</v>
      </c>
      <c r="C251" s="211" t="s">
        <v>813</v>
      </c>
      <c r="D251" s="211">
        <v>6</v>
      </c>
      <c r="E251" s="94">
        <v>1</v>
      </c>
      <c r="F251" s="212">
        <v>5.89</v>
      </c>
      <c r="G251" s="211">
        <v>5.89</v>
      </c>
      <c r="H251" s="211">
        <v>3.3</v>
      </c>
      <c r="I251" s="210"/>
      <c r="J251" s="210"/>
      <c r="K251" s="213"/>
      <c r="L251" s="213">
        <f>F251*G251*D251*E251</f>
        <v>208.15259999999998</v>
      </c>
      <c r="M251" s="213"/>
      <c r="N251" s="214"/>
      <c r="O251" s="213"/>
      <c r="P251" s="213">
        <f>((F251+G251*2)*0.15)*E251*D251</f>
        <v>15.902999999999999</v>
      </c>
      <c r="Q251" s="213"/>
      <c r="R251" s="214"/>
      <c r="S251" s="213"/>
      <c r="T251" s="213">
        <f>G251*2*H251*D251*E251</f>
        <v>233.24399999999997</v>
      </c>
      <c r="U251" s="214"/>
      <c r="V251" s="213">
        <f>L251</f>
        <v>208.15259999999998</v>
      </c>
      <c r="W251" s="214"/>
    </row>
    <row r="252" spans="1:43" ht="12.75" customHeight="1">
      <c r="B252" s="93" t="s">
        <v>918</v>
      </c>
      <c r="C252" s="211" t="s">
        <v>813</v>
      </c>
      <c r="D252" s="94">
        <v>1</v>
      </c>
      <c r="E252" s="94">
        <v>1</v>
      </c>
      <c r="F252" s="94">
        <v>17.71</v>
      </c>
      <c r="G252" s="94">
        <v>17.71</v>
      </c>
      <c r="H252" s="94">
        <v>4.3499999999999996</v>
      </c>
      <c r="I252" s="93"/>
      <c r="K252" s="199"/>
      <c r="L252" s="199"/>
      <c r="M252" s="199"/>
      <c r="N252" s="214">
        <f t="shared" si="121"/>
        <v>313.64410000000004</v>
      </c>
      <c r="O252" s="199"/>
      <c r="P252" s="199"/>
      <c r="Q252" s="199"/>
      <c r="R252" s="199"/>
      <c r="S252" s="199"/>
      <c r="T252" s="213">
        <f>G252*2*H252*D252*E252</f>
        <v>154.077</v>
      </c>
      <c r="U252" s="199"/>
      <c r="V252" s="199"/>
      <c r="W252" s="199"/>
    </row>
    <row r="253" spans="1:43" ht="12.75" customHeight="1">
      <c r="B253" s="93" t="s">
        <v>917</v>
      </c>
      <c r="C253" s="211" t="s">
        <v>813</v>
      </c>
      <c r="D253" s="94">
        <v>1</v>
      </c>
      <c r="E253" s="94">
        <v>1</v>
      </c>
      <c r="F253" s="94">
        <v>20.059999999999999</v>
      </c>
      <c r="G253" s="94">
        <v>20.059999999999999</v>
      </c>
      <c r="H253" s="94">
        <f>6.65-4.65</f>
        <v>2</v>
      </c>
      <c r="I253" s="93"/>
      <c r="K253" s="199"/>
      <c r="L253" s="199"/>
      <c r="M253" s="199"/>
      <c r="N253" s="214">
        <f t="shared" ref="N253" si="126">F253*G253*D253*E253</f>
        <v>402.40359999999993</v>
      </c>
      <c r="O253" s="199"/>
      <c r="P253" s="199"/>
      <c r="Q253" s="199"/>
      <c r="R253" s="199"/>
      <c r="S253" s="199"/>
      <c r="T253" s="213"/>
      <c r="U253" s="199"/>
      <c r="V253" s="199"/>
      <c r="W253" s="199"/>
    </row>
    <row r="254" spans="1:43" ht="12.75" customHeight="1">
      <c r="B254" s="93" t="s">
        <v>1162</v>
      </c>
      <c r="C254" s="211" t="s">
        <v>813</v>
      </c>
      <c r="D254" s="211">
        <v>2</v>
      </c>
      <c r="E254" s="94">
        <v>1</v>
      </c>
      <c r="F254" s="212">
        <v>3.5</v>
      </c>
      <c r="G254" s="211">
        <v>1.7</v>
      </c>
      <c r="H254" s="211">
        <v>3.3</v>
      </c>
      <c r="I254" s="210"/>
      <c r="J254" s="210"/>
      <c r="K254" s="213"/>
      <c r="L254" s="213">
        <f>F254*G254*D254*E254</f>
        <v>11.9</v>
      </c>
      <c r="M254" s="213"/>
      <c r="N254" s="214"/>
      <c r="O254" s="213"/>
      <c r="P254" s="213">
        <f>((F254+G254*2)*0.15)*E254*D254</f>
        <v>2.0699999999999998</v>
      </c>
      <c r="Q254" s="213"/>
      <c r="R254" s="214"/>
      <c r="S254" s="213"/>
      <c r="T254" s="213">
        <f>G254*2*H254*D254*E254</f>
        <v>22.439999999999998</v>
      </c>
      <c r="U254" s="214"/>
      <c r="V254" s="213">
        <f>L254</f>
        <v>11.9</v>
      </c>
      <c r="W254" s="214"/>
    </row>
    <row r="255" spans="1:43" ht="12.75" customHeight="1">
      <c r="C255" s="94"/>
      <c r="D255" s="94"/>
      <c r="E255" s="94"/>
      <c r="F255" s="94"/>
      <c r="G255" s="94"/>
      <c r="H255" s="94"/>
      <c r="I255" s="93"/>
      <c r="K255" s="199"/>
      <c r="L255" s="199"/>
      <c r="M255" s="199"/>
      <c r="N255" s="199"/>
      <c r="O255" s="199"/>
      <c r="P255" s="199"/>
      <c r="Q255" s="199"/>
      <c r="R255" s="199"/>
      <c r="S255" s="199"/>
      <c r="T255" s="199"/>
      <c r="U255" s="199"/>
      <c r="V255" s="199"/>
      <c r="W255" s="199"/>
    </row>
    <row r="256" spans="1:43" ht="12.75" customHeight="1">
      <c r="C256" s="94"/>
      <c r="D256" s="94"/>
      <c r="E256" s="94"/>
      <c r="F256" s="94"/>
      <c r="G256" s="94"/>
      <c r="H256" s="94"/>
      <c r="I256" s="93"/>
      <c r="K256" s="199"/>
      <c r="L256" s="199"/>
      <c r="M256" s="199"/>
      <c r="N256" s="199"/>
      <c r="O256" s="199"/>
      <c r="P256" s="199"/>
      <c r="Q256" s="199"/>
      <c r="R256" s="199"/>
      <c r="S256" s="199"/>
      <c r="T256" s="199"/>
      <c r="U256" s="199"/>
      <c r="V256" s="199"/>
      <c r="W256" s="199"/>
    </row>
    <row r="257" spans="2:24" ht="12.75" customHeight="1">
      <c r="C257" s="94"/>
      <c r="D257" s="94"/>
      <c r="E257" s="94"/>
      <c r="F257" s="94"/>
      <c r="G257" s="200"/>
      <c r="H257" s="94"/>
      <c r="K257" s="199"/>
      <c r="L257" s="199"/>
      <c r="M257" s="199"/>
      <c r="N257" s="199"/>
      <c r="O257" s="199"/>
      <c r="P257" s="199"/>
      <c r="Q257" s="199"/>
      <c r="R257" s="199"/>
      <c r="S257" s="199"/>
      <c r="T257" s="199"/>
      <c r="U257" s="199"/>
      <c r="V257" s="199"/>
      <c r="W257" s="199"/>
    </row>
    <row r="258" spans="2:24" s="348" customFormat="1" ht="12.75" customHeight="1">
      <c r="B258" s="362" t="s">
        <v>194</v>
      </c>
      <c r="C258" s="342"/>
      <c r="D258" s="342"/>
      <c r="E258" s="342"/>
      <c r="F258" s="342"/>
      <c r="G258" s="363"/>
      <c r="H258" s="342"/>
      <c r="K258" s="364">
        <f t="shared" ref="K258:W258" si="127">SUM(K8:K257)</f>
        <v>0</v>
      </c>
      <c r="L258" s="364">
        <f t="shared" si="127"/>
        <v>230.17259999999999</v>
      </c>
      <c r="M258" s="364">
        <f t="shared" si="127"/>
        <v>0</v>
      </c>
      <c r="N258" s="364">
        <f t="shared" si="127"/>
        <v>3816.4806660000008</v>
      </c>
      <c r="O258" s="364">
        <f t="shared" si="127"/>
        <v>657.78520000000003</v>
      </c>
      <c r="P258" s="364">
        <f t="shared" si="127"/>
        <v>17.972999999999999</v>
      </c>
      <c r="Q258" s="364">
        <f>SUM(Q8:Q257)/0.15</f>
        <v>12.8</v>
      </c>
      <c r="R258" s="364">
        <f t="shared" si="127"/>
        <v>294.75484202936747</v>
      </c>
      <c r="S258" s="364">
        <f t="shared" si="127"/>
        <v>10.68</v>
      </c>
      <c r="T258" s="364">
        <f t="shared" si="127"/>
        <v>409.76099999999997</v>
      </c>
      <c r="U258" s="364">
        <f t="shared" si="127"/>
        <v>11737.802004841868</v>
      </c>
      <c r="V258" s="364">
        <f t="shared" si="127"/>
        <v>706.52879999999993</v>
      </c>
      <c r="W258" s="364">
        <f t="shared" si="127"/>
        <v>3281.8619660000013</v>
      </c>
      <c r="X258" s="364"/>
    </row>
    <row r="259" spans="2:24" ht="12.75" customHeight="1">
      <c r="C259" s="94"/>
      <c r="D259" s="94"/>
      <c r="E259" s="94"/>
      <c r="F259" s="94"/>
      <c r="G259" s="200"/>
      <c r="H259" s="94"/>
      <c r="K259" s="199"/>
      <c r="L259" s="199"/>
      <c r="M259" s="199"/>
      <c r="N259" s="199"/>
      <c r="O259" s="199"/>
      <c r="P259" s="199"/>
      <c r="Q259" s="199"/>
      <c r="R259" s="199"/>
      <c r="S259" s="199"/>
      <c r="T259" s="199"/>
      <c r="U259" s="199"/>
      <c r="V259" s="199"/>
      <c r="W259" s="199"/>
    </row>
    <row r="260" spans="2:24" ht="12.75" customHeight="1">
      <c r="B260" s="93" t="s">
        <v>876</v>
      </c>
      <c r="C260" s="94"/>
      <c r="D260" s="94"/>
      <c r="E260" s="94"/>
      <c r="F260" s="94"/>
      <c r="G260" s="200"/>
      <c r="H260" s="94"/>
      <c r="K260" s="199"/>
      <c r="L260" s="199"/>
      <c r="M260" s="199"/>
      <c r="N260" s="199"/>
      <c r="O260" s="199"/>
      <c r="P260" s="199"/>
      <c r="Q260" s="199"/>
      <c r="R260" s="199"/>
      <c r="S260" s="199"/>
      <c r="T260" s="199"/>
      <c r="U260" s="199"/>
      <c r="V260" s="199"/>
      <c r="W260" s="199"/>
    </row>
    <row r="261" spans="2:24" ht="12.75" customHeight="1">
      <c r="B261" s="93" t="s">
        <v>877</v>
      </c>
      <c r="C261" s="94"/>
      <c r="D261" s="94"/>
      <c r="E261" s="94"/>
      <c r="F261" s="94"/>
      <c r="G261" s="200"/>
      <c r="H261" s="94"/>
      <c r="K261" s="199"/>
      <c r="L261" s="199"/>
      <c r="M261" s="199"/>
      <c r="N261" s="199"/>
      <c r="O261" s="199"/>
      <c r="P261" s="199"/>
      <c r="Q261" s="199"/>
      <c r="R261" s="199"/>
      <c r="S261" s="199"/>
      <c r="T261" s="199"/>
      <c r="U261" s="199"/>
      <c r="V261" s="199"/>
      <c r="W261" s="199"/>
    </row>
    <row r="262" spans="2:24" ht="12.75" customHeight="1">
      <c r="B262" s="93" t="s">
        <v>503</v>
      </c>
      <c r="C262" s="94" t="s">
        <v>105</v>
      </c>
      <c r="D262" s="94">
        <v>1</v>
      </c>
      <c r="E262" s="94">
        <v>160</v>
      </c>
      <c r="F262" s="94">
        <v>1</v>
      </c>
      <c r="G262" s="200"/>
      <c r="H262" s="94"/>
      <c r="K262" s="199">
        <f t="shared" ref="K262:K265" si="128">PRODUCT(D262:F262)</f>
        <v>160</v>
      </c>
      <c r="L262" s="199"/>
      <c r="M262" s="199"/>
      <c r="N262" s="199"/>
      <c r="O262" s="199"/>
      <c r="P262" s="199">
        <f t="shared" ref="P262:P265" si="129">E262*D262*0.45</f>
        <v>72</v>
      </c>
      <c r="Q262" s="199"/>
      <c r="R262" s="199"/>
      <c r="S262" s="199"/>
      <c r="T262" s="199"/>
      <c r="U262" s="199"/>
      <c r="V262" s="199"/>
      <c r="W262" s="199"/>
    </row>
    <row r="263" spans="2:24" ht="12.75" customHeight="1">
      <c r="B263" s="93" t="s">
        <v>442</v>
      </c>
      <c r="C263" s="94" t="s">
        <v>105</v>
      </c>
      <c r="D263" s="94">
        <v>2</v>
      </c>
      <c r="E263" s="94">
        <v>22</v>
      </c>
      <c r="F263" s="94">
        <v>1.2</v>
      </c>
      <c r="G263" s="200"/>
      <c r="H263" s="94"/>
      <c r="K263" s="199">
        <f t="shared" si="128"/>
        <v>52.8</v>
      </c>
      <c r="L263" s="199"/>
      <c r="M263" s="199"/>
      <c r="N263" s="199"/>
      <c r="O263" s="199"/>
      <c r="P263" s="199">
        <f t="shared" si="129"/>
        <v>19.8</v>
      </c>
      <c r="Q263" s="199"/>
      <c r="R263" s="199"/>
      <c r="S263" s="199"/>
      <c r="T263" s="199"/>
      <c r="U263" s="199"/>
      <c r="V263" s="199"/>
      <c r="W263" s="199"/>
    </row>
    <row r="264" spans="2:24" ht="12.75" customHeight="1">
      <c r="B264" s="93" t="s">
        <v>791</v>
      </c>
      <c r="C264" s="94" t="s">
        <v>105</v>
      </c>
      <c r="D264" s="94">
        <f>2*5</f>
        <v>10</v>
      </c>
      <c r="E264" s="94">
        <v>22</v>
      </c>
      <c r="F264" s="94">
        <v>1.2</v>
      </c>
      <c r="G264" s="200"/>
      <c r="H264" s="94"/>
      <c r="K264" s="199">
        <f t="shared" si="128"/>
        <v>264</v>
      </c>
      <c r="L264" s="199"/>
      <c r="M264" s="199"/>
      <c r="N264" s="199"/>
      <c r="O264" s="199"/>
      <c r="P264" s="199">
        <f t="shared" si="129"/>
        <v>99</v>
      </c>
      <c r="Q264" s="199"/>
      <c r="R264" s="199"/>
      <c r="S264" s="199"/>
      <c r="T264" s="199"/>
      <c r="U264" s="199"/>
      <c r="V264" s="199"/>
      <c r="W264" s="199"/>
    </row>
    <row r="265" spans="2:24" ht="12.75" customHeight="1">
      <c r="B265" s="93" t="s">
        <v>469</v>
      </c>
      <c r="C265" s="94" t="s">
        <v>105</v>
      </c>
      <c r="D265" s="94">
        <v>1</v>
      </c>
      <c r="E265" s="94">
        <v>22</v>
      </c>
      <c r="F265" s="94">
        <v>1.2</v>
      </c>
      <c r="G265" s="200"/>
      <c r="H265" s="94"/>
      <c r="K265" s="199">
        <f t="shared" si="128"/>
        <v>26.4</v>
      </c>
      <c r="L265" s="199"/>
      <c r="M265" s="199"/>
      <c r="N265" s="199"/>
      <c r="O265" s="199"/>
      <c r="P265" s="199">
        <f t="shared" si="129"/>
        <v>9.9</v>
      </c>
      <c r="Q265" s="199"/>
      <c r="R265" s="199"/>
      <c r="S265" s="199"/>
      <c r="T265" s="199"/>
      <c r="U265" s="199"/>
      <c r="V265" s="199"/>
      <c r="W265" s="199"/>
    </row>
    <row r="266" spans="2:24" ht="12.75" customHeight="1">
      <c r="C266" s="94"/>
      <c r="D266" s="94"/>
      <c r="E266" s="94"/>
      <c r="F266" s="94"/>
      <c r="G266" s="200"/>
      <c r="H266" s="94"/>
      <c r="K266" s="199"/>
      <c r="L266" s="199"/>
      <c r="M266" s="199"/>
      <c r="N266" s="199"/>
      <c r="O266" s="199"/>
      <c r="P266" s="199"/>
      <c r="Q266" s="199"/>
      <c r="R266" s="199"/>
      <c r="S266" s="199"/>
      <c r="T266" s="199"/>
      <c r="U266" s="199"/>
      <c r="V266" s="199"/>
      <c r="W266" s="199"/>
    </row>
    <row r="267" spans="2:24" s="348" customFormat="1" ht="12.75" customHeight="1">
      <c r="B267" s="362" t="s">
        <v>194</v>
      </c>
      <c r="C267" s="342"/>
      <c r="D267" s="342"/>
      <c r="E267" s="342"/>
      <c r="F267" s="342"/>
      <c r="G267" s="363"/>
      <c r="H267" s="342"/>
      <c r="K267" s="364">
        <f>SUM(K262:K266)</f>
        <v>503.2</v>
      </c>
      <c r="L267" s="364"/>
      <c r="M267" s="364"/>
      <c r="N267" s="364"/>
      <c r="O267" s="364"/>
      <c r="P267" s="364">
        <f>SUM(P262:P266)</f>
        <v>200.70000000000002</v>
      </c>
      <c r="Q267" s="365"/>
      <c r="R267" s="365"/>
      <c r="S267" s="365"/>
      <c r="T267" s="365"/>
      <c r="U267" s="365"/>
      <c r="V267" s="365"/>
      <c r="W267" s="365"/>
    </row>
    <row r="268" spans="2:24" ht="12.75" customHeight="1">
      <c r="C268" s="94"/>
      <c r="D268" s="94"/>
      <c r="E268" s="94"/>
      <c r="F268" s="94"/>
      <c r="G268" s="200"/>
      <c r="H268" s="94"/>
      <c r="K268" s="199"/>
      <c r="L268" s="199"/>
      <c r="M268" s="199"/>
      <c r="N268" s="199"/>
      <c r="O268" s="199"/>
      <c r="P268" s="199"/>
      <c r="Q268" s="199"/>
      <c r="R268" s="199"/>
      <c r="S268" s="199"/>
      <c r="T268" s="199"/>
      <c r="U268" s="199"/>
      <c r="V268" s="199"/>
      <c r="W268" s="199"/>
    </row>
    <row r="269" spans="2:24" ht="12.75" customHeight="1">
      <c r="B269" s="35" t="s">
        <v>878</v>
      </c>
      <c r="C269" s="94"/>
      <c r="D269" s="94"/>
      <c r="E269" s="94"/>
      <c r="F269" s="94"/>
      <c r="G269" s="200"/>
      <c r="H269" s="94"/>
      <c r="K269" s="199"/>
      <c r="L269" s="199"/>
      <c r="M269" s="199"/>
      <c r="N269" s="199"/>
      <c r="O269" s="199"/>
      <c r="P269" s="199"/>
      <c r="Q269" s="199"/>
      <c r="R269" s="199"/>
      <c r="S269" s="199"/>
      <c r="T269" s="199"/>
      <c r="U269" s="199"/>
      <c r="V269" s="199"/>
      <c r="W269" s="199"/>
    </row>
    <row r="270" spans="2:24" ht="12.75" customHeight="1">
      <c r="B270" s="35" t="s">
        <v>879</v>
      </c>
      <c r="C270" s="211" t="s">
        <v>813</v>
      </c>
      <c r="D270" s="94">
        <v>1</v>
      </c>
      <c r="E270" s="94">
        <v>1</v>
      </c>
      <c r="F270" s="94">
        <f>2.94+3.11+2.52+0.62+3.18+(3.25+3.33)*6</f>
        <v>51.85</v>
      </c>
      <c r="G270" s="200"/>
      <c r="H270" s="94">
        <v>0.82</v>
      </c>
      <c r="K270" s="199"/>
      <c r="L270" s="199"/>
      <c r="M270" s="199"/>
      <c r="N270" s="199"/>
      <c r="O270" s="199"/>
      <c r="P270" s="199"/>
      <c r="Q270" s="199"/>
      <c r="R270" s="199"/>
      <c r="S270" s="199"/>
      <c r="T270" s="199"/>
      <c r="U270" s="199"/>
      <c r="V270" s="199"/>
      <c r="W270" s="199"/>
      <c r="X270" s="35">
        <f>PRODUCT(D270:H270)</f>
        <v>42.516999999999996</v>
      </c>
    </row>
    <row r="271" spans="2:24" ht="12.75" customHeight="1">
      <c r="C271" s="94"/>
      <c r="D271" s="94">
        <v>-1</v>
      </c>
      <c r="E271" s="94">
        <v>2</v>
      </c>
      <c r="F271" s="94">
        <v>5.2</v>
      </c>
      <c r="G271" s="200"/>
      <c r="H271" s="94">
        <v>3.2</v>
      </c>
      <c r="K271" s="199"/>
      <c r="L271" s="199"/>
      <c r="M271" s="199"/>
      <c r="N271" s="199"/>
      <c r="O271" s="199"/>
      <c r="P271" s="199"/>
      <c r="Q271" s="199"/>
      <c r="R271" s="199"/>
      <c r="S271" s="199"/>
      <c r="T271" s="199"/>
      <c r="U271" s="199"/>
      <c r="V271" s="199"/>
      <c r="W271" s="199"/>
    </row>
    <row r="272" spans="2:24" ht="12.75" customHeight="1">
      <c r="B272" s="181" t="s">
        <v>194</v>
      </c>
      <c r="C272" s="94"/>
      <c r="D272" s="94"/>
      <c r="E272" s="94"/>
      <c r="F272" s="94"/>
      <c r="G272" s="200"/>
      <c r="H272" s="94"/>
      <c r="K272" s="215"/>
      <c r="L272" s="215"/>
      <c r="M272" s="215"/>
      <c r="N272" s="215"/>
      <c r="O272" s="215"/>
      <c r="P272" s="215"/>
      <c r="Q272" s="199"/>
      <c r="R272" s="199"/>
      <c r="S272" s="199"/>
      <c r="T272" s="199"/>
      <c r="U272" s="199"/>
      <c r="V272" s="199"/>
      <c r="W272" s="199"/>
      <c r="X272" s="35">
        <f>X270</f>
        <v>42.516999999999996</v>
      </c>
    </row>
    <row r="273" spans="2:29" ht="12.75" customHeight="1">
      <c r="C273" s="94"/>
      <c r="D273" s="94"/>
      <c r="E273" s="94"/>
      <c r="F273" s="94"/>
      <c r="G273" s="200"/>
      <c r="H273" s="94"/>
      <c r="K273" s="199"/>
      <c r="L273" s="199"/>
      <c r="M273" s="199"/>
      <c r="N273" s="199"/>
      <c r="O273" s="199"/>
      <c r="P273" s="199"/>
      <c r="Q273" s="199"/>
      <c r="R273" s="199"/>
      <c r="S273" s="199"/>
      <c r="T273" s="199"/>
      <c r="U273" s="199"/>
      <c r="V273" s="199"/>
      <c r="W273" s="199"/>
    </row>
    <row r="274" spans="2:29" ht="12.75" customHeight="1">
      <c r="B274" s="36" t="s">
        <v>880</v>
      </c>
      <c r="C274" s="211" t="s">
        <v>813</v>
      </c>
      <c r="D274" s="94">
        <v>1</v>
      </c>
      <c r="E274" s="94">
        <v>1</v>
      </c>
      <c r="F274" s="94">
        <v>33.299999999999997</v>
      </c>
      <c r="G274" s="200"/>
      <c r="H274" s="94">
        <v>23.1</v>
      </c>
      <c r="K274" s="199"/>
      <c r="L274" s="199"/>
      <c r="M274" s="199"/>
      <c r="N274" s="199"/>
      <c r="O274" s="199"/>
      <c r="P274" s="199"/>
      <c r="Q274" s="199"/>
      <c r="R274" s="199"/>
      <c r="S274" s="199"/>
      <c r="T274" s="199"/>
      <c r="U274" s="199"/>
      <c r="V274" s="199"/>
      <c r="W274" s="199"/>
      <c r="Y274" s="35">
        <f t="shared" ref="Y274:Y276" si="130">PRODUCT(D274:H274)</f>
        <v>769.23</v>
      </c>
    </row>
    <row r="275" spans="2:29" ht="12.75" customHeight="1">
      <c r="B275" s="36" t="s">
        <v>881</v>
      </c>
      <c r="C275" s="211"/>
      <c r="D275" s="94">
        <v>-1</v>
      </c>
      <c r="E275" s="94">
        <v>2</v>
      </c>
      <c r="F275" s="94">
        <v>5.2</v>
      </c>
      <c r="G275" s="200"/>
      <c r="H275" s="94">
        <v>3.2</v>
      </c>
      <c r="K275" s="199"/>
      <c r="L275" s="199"/>
      <c r="M275" s="199"/>
      <c r="N275" s="199"/>
      <c r="O275" s="199"/>
      <c r="P275" s="199"/>
      <c r="Q275" s="199"/>
      <c r="R275" s="199"/>
      <c r="S275" s="199"/>
      <c r="T275" s="199"/>
      <c r="U275" s="199"/>
      <c r="V275" s="199"/>
      <c r="W275" s="199"/>
      <c r="Y275" s="35">
        <f t="shared" si="130"/>
        <v>-33.28</v>
      </c>
    </row>
    <row r="276" spans="2:29" ht="12.75" customHeight="1">
      <c r="B276" s="36" t="s">
        <v>882</v>
      </c>
      <c r="C276" s="211"/>
      <c r="D276" s="94">
        <v>-1</v>
      </c>
      <c r="E276" s="94">
        <v>2</v>
      </c>
      <c r="F276" s="94">
        <v>5.2</v>
      </c>
      <c r="G276" s="200"/>
      <c r="H276" s="94">
        <v>3.2</v>
      </c>
      <c r="K276" s="199"/>
      <c r="L276" s="199"/>
      <c r="M276" s="199"/>
      <c r="N276" s="199"/>
      <c r="O276" s="199"/>
      <c r="P276" s="199"/>
      <c r="Q276" s="199"/>
      <c r="R276" s="199"/>
      <c r="S276" s="199"/>
      <c r="T276" s="199"/>
      <c r="U276" s="199"/>
      <c r="V276" s="199"/>
      <c r="W276" s="199"/>
      <c r="Y276" s="35">
        <f t="shared" si="130"/>
        <v>-33.28</v>
      </c>
    </row>
    <row r="277" spans="2:29" ht="12.75" customHeight="1">
      <c r="B277" s="36" t="s">
        <v>883</v>
      </c>
      <c r="C277" s="211" t="s">
        <v>813</v>
      </c>
      <c r="D277" s="94">
        <v>1</v>
      </c>
      <c r="E277" s="94">
        <v>1</v>
      </c>
      <c r="F277" s="94">
        <v>33.299999999999997</v>
      </c>
      <c r="G277" s="200"/>
      <c r="H277" s="94">
        <v>23.1</v>
      </c>
      <c r="K277" s="199"/>
      <c r="L277" s="199"/>
      <c r="M277" s="199"/>
      <c r="N277" s="199"/>
      <c r="O277" s="199"/>
      <c r="P277" s="199"/>
      <c r="Q277" s="199"/>
      <c r="R277" s="199"/>
      <c r="S277" s="199"/>
      <c r="T277" s="199"/>
      <c r="U277" s="199"/>
      <c r="V277" s="199"/>
      <c r="W277" s="199"/>
      <c r="Y277" s="35">
        <f>SUM(Y274:Y276)</f>
        <v>702.67000000000007</v>
      </c>
      <c r="Z277" s="35">
        <f t="shared" ref="Z277:Z279" si="131">PRODUCT(D277:H277)</f>
        <v>769.23</v>
      </c>
    </row>
    <row r="278" spans="2:29" ht="12.75" customHeight="1">
      <c r="B278" s="36" t="s">
        <v>881</v>
      </c>
      <c r="C278" s="211"/>
      <c r="D278" s="94">
        <v>-1</v>
      </c>
      <c r="E278" s="94">
        <v>2</v>
      </c>
      <c r="F278" s="94">
        <v>5.2</v>
      </c>
      <c r="G278" s="200"/>
      <c r="H278" s="94">
        <v>3.2</v>
      </c>
      <c r="K278" s="199"/>
      <c r="L278" s="199"/>
      <c r="M278" s="199"/>
      <c r="N278" s="199"/>
      <c r="O278" s="199"/>
      <c r="P278" s="199"/>
      <c r="Q278" s="199"/>
      <c r="R278" s="199"/>
      <c r="S278" s="199"/>
      <c r="T278" s="199"/>
      <c r="U278" s="199"/>
      <c r="V278" s="199"/>
      <c r="W278" s="199"/>
      <c r="Z278" s="35">
        <f t="shared" si="131"/>
        <v>-33.28</v>
      </c>
    </row>
    <row r="279" spans="2:29" ht="12.75" customHeight="1">
      <c r="B279" s="36" t="s">
        <v>882</v>
      </c>
      <c r="C279" s="211"/>
      <c r="D279" s="94">
        <v>-1</v>
      </c>
      <c r="E279" s="94">
        <v>2</v>
      </c>
      <c r="F279" s="94">
        <v>5.2</v>
      </c>
      <c r="G279" s="200"/>
      <c r="H279" s="94">
        <v>3.2</v>
      </c>
      <c r="K279" s="199"/>
      <c r="L279" s="199"/>
      <c r="M279" s="199"/>
      <c r="N279" s="199"/>
      <c r="O279" s="199"/>
      <c r="P279" s="199"/>
      <c r="Q279" s="199"/>
      <c r="R279" s="199"/>
      <c r="S279" s="199"/>
      <c r="T279" s="199"/>
      <c r="U279" s="199"/>
      <c r="V279" s="199"/>
      <c r="W279" s="199"/>
      <c r="Z279" s="35">
        <f t="shared" si="131"/>
        <v>-33.28</v>
      </c>
    </row>
    <row r="280" spans="2:29" ht="12.75" customHeight="1">
      <c r="B280" s="36" t="s">
        <v>884</v>
      </c>
      <c r="C280" s="211" t="s">
        <v>813</v>
      </c>
      <c r="D280" s="94">
        <v>1</v>
      </c>
      <c r="E280" s="94">
        <v>1</v>
      </c>
      <c r="F280" s="94">
        <v>33.299999999999997</v>
      </c>
      <c r="G280" s="200"/>
      <c r="H280" s="94">
        <v>23.1</v>
      </c>
      <c r="K280" s="199"/>
      <c r="L280" s="199"/>
      <c r="M280" s="199"/>
      <c r="N280" s="199"/>
      <c r="O280" s="199"/>
      <c r="P280" s="199"/>
      <c r="Q280" s="199"/>
      <c r="R280" s="199"/>
      <c r="S280" s="199"/>
      <c r="T280" s="199"/>
      <c r="U280" s="199"/>
      <c r="V280" s="199"/>
      <c r="W280" s="199"/>
      <c r="Z280" s="35">
        <f>SUM(Z277:Z279)</f>
        <v>702.67000000000007</v>
      </c>
      <c r="AA280" s="35">
        <f t="shared" ref="AA280:AA282" si="132">PRODUCT(D280:H280)</f>
        <v>769.23</v>
      </c>
    </row>
    <row r="281" spans="2:29" ht="12.75" customHeight="1">
      <c r="B281" s="36" t="s">
        <v>881</v>
      </c>
      <c r="C281" s="211"/>
      <c r="D281" s="94">
        <v>-1</v>
      </c>
      <c r="E281" s="94">
        <v>2</v>
      </c>
      <c r="F281" s="94">
        <v>5.2</v>
      </c>
      <c r="G281" s="200"/>
      <c r="H281" s="94">
        <v>3.2</v>
      </c>
      <c r="K281" s="199"/>
      <c r="L281" s="199"/>
      <c r="M281" s="199"/>
      <c r="N281" s="199"/>
      <c r="O281" s="199"/>
      <c r="P281" s="199"/>
      <c r="Q281" s="199"/>
      <c r="R281" s="199"/>
      <c r="S281" s="199"/>
      <c r="T281" s="199"/>
      <c r="U281" s="199"/>
      <c r="V281" s="199"/>
      <c r="W281" s="199"/>
      <c r="AA281" s="35">
        <f t="shared" si="132"/>
        <v>-33.28</v>
      </c>
    </row>
    <row r="282" spans="2:29" ht="12.75" customHeight="1">
      <c r="B282" s="36" t="s">
        <v>882</v>
      </c>
      <c r="C282" s="211"/>
      <c r="D282" s="94">
        <v>-1</v>
      </c>
      <c r="E282" s="94">
        <v>2</v>
      </c>
      <c r="F282" s="94">
        <v>5.2</v>
      </c>
      <c r="G282" s="200"/>
      <c r="H282" s="94">
        <v>3.2</v>
      </c>
      <c r="K282" s="199"/>
      <c r="L282" s="199"/>
      <c r="M282" s="199"/>
      <c r="N282" s="199"/>
      <c r="O282" s="199"/>
      <c r="P282" s="199"/>
      <c r="Q282" s="199"/>
      <c r="R282" s="199"/>
      <c r="S282" s="199"/>
      <c r="T282" s="199"/>
      <c r="U282" s="199"/>
      <c r="V282" s="199"/>
      <c r="W282" s="199"/>
      <c r="AA282" s="35">
        <f t="shared" si="132"/>
        <v>-33.28</v>
      </c>
    </row>
    <row r="283" spans="2:29" ht="12.75" customHeight="1">
      <c r="B283" s="36" t="s">
        <v>800</v>
      </c>
      <c r="C283" s="211" t="s">
        <v>813</v>
      </c>
      <c r="D283" s="94">
        <v>1</v>
      </c>
      <c r="E283" s="94">
        <v>1</v>
      </c>
      <c r="F283" s="94">
        <v>33.299999999999997</v>
      </c>
      <c r="G283" s="200"/>
      <c r="H283" s="94">
        <v>23.1</v>
      </c>
      <c r="K283" s="199"/>
      <c r="L283" s="199"/>
      <c r="M283" s="199"/>
      <c r="N283" s="199"/>
      <c r="O283" s="199"/>
      <c r="P283" s="199"/>
      <c r="Q283" s="199"/>
      <c r="R283" s="199"/>
      <c r="S283" s="199"/>
      <c r="T283" s="199"/>
      <c r="U283" s="199"/>
      <c r="V283" s="199"/>
      <c r="W283" s="199"/>
      <c r="AA283" s="35">
        <f>SUM(AA280:AA282)</f>
        <v>702.67000000000007</v>
      </c>
      <c r="AB283" s="35">
        <f t="shared" ref="AB283:AB285" si="133">PRODUCT(D283:H283)</f>
        <v>769.23</v>
      </c>
    </row>
    <row r="284" spans="2:29" ht="12.75" customHeight="1">
      <c r="B284" s="36" t="s">
        <v>881</v>
      </c>
      <c r="C284" s="211"/>
      <c r="D284" s="94">
        <v>-1</v>
      </c>
      <c r="E284" s="94">
        <v>2</v>
      </c>
      <c r="F284" s="94">
        <v>5.2</v>
      </c>
      <c r="G284" s="200"/>
      <c r="H284" s="94">
        <v>3.2</v>
      </c>
      <c r="K284" s="199"/>
      <c r="L284" s="199"/>
      <c r="M284" s="199"/>
      <c r="N284" s="199"/>
      <c r="O284" s="199"/>
      <c r="P284" s="199"/>
      <c r="Q284" s="199"/>
      <c r="R284" s="199"/>
      <c r="S284" s="199"/>
      <c r="T284" s="199"/>
      <c r="U284" s="199"/>
      <c r="V284" s="199"/>
      <c r="W284" s="199"/>
      <c r="AB284" s="35">
        <f t="shared" si="133"/>
        <v>-33.28</v>
      </c>
    </row>
    <row r="285" spans="2:29" ht="12.75" customHeight="1">
      <c r="B285" s="36" t="s">
        <v>882</v>
      </c>
      <c r="C285" s="211"/>
      <c r="D285" s="94">
        <v>-1</v>
      </c>
      <c r="E285" s="94">
        <v>2</v>
      </c>
      <c r="F285" s="94">
        <v>5.2</v>
      </c>
      <c r="G285" s="200"/>
      <c r="H285" s="94">
        <v>3.2</v>
      </c>
      <c r="K285" s="199"/>
      <c r="L285" s="199"/>
      <c r="M285" s="199"/>
      <c r="N285" s="199"/>
      <c r="O285" s="199"/>
      <c r="P285" s="199"/>
      <c r="Q285" s="199"/>
      <c r="R285" s="199"/>
      <c r="S285" s="199"/>
      <c r="T285" s="199"/>
      <c r="U285" s="199"/>
      <c r="V285" s="199"/>
      <c r="W285" s="199"/>
      <c r="AB285" s="35">
        <f t="shared" si="133"/>
        <v>-33.28</v>
      </c>
    </row>
    <row r="286" spans="2:29" ht="12.75" customHeight="1">
      <c r="B286" s="36" t="s">
        <v>801</v>
      </c>
      <c r="C286" s="211" t="s">
        <v>813</v>
      </c>
      <c r="D286" s="94">
        <v>1</v>
      </c>
      <c r="E286" s="94">
        <v>1</v>
      </c>
      <c r="F286" s="94">
        <v>33.299999999999997</v>
      </c>
      <c r="G286" s="200"/>
      <c r="H286" s="94">
        <v>23.1</v>
      </c>
      <c r="K286" s="199"/>
      <c r="L286" s="199"/>
      <c r="M286" s="199"/>
      <c r="N286" s="199"/>
      <c r="O286" s="199"/>
      <c r="P286" s="199"/>
      <c r="Q286" s="199"/>
      <c r="R286" s="199"/>
      <c r="S286" s="199"/>
      <c r="T286" s="199"/>
      <c r="U286" s="199"/>
      <c r="V286" s="199"/>
      <c r="W286" s="199"/>
      <c r="AC286" s="35">
        <f t="shared" ref="AC286:AC288" si="134">PRODUCT(D286:H286)</f>
        <v>769.23</v>
      </c>
    </row>
    <row r="287" spans="2:29" ht="12.75" customHeight="1">
      <c r="B287" s="36" t="s">
        <v>881</v>
      </c>
      <c r="C287" s="211"/>
      <c r="D287" s="94">
        <v>-1</v>
      </c>
      <c r="E287" s="94">
        <v>2</v>
      </c>
      <c r="F287" s="94">
        <v>5.2</v>
      </c>
      <c r="G287" s="200"/>
      <c r="H287" s="94">
        <v>3.2</v>
      </c>
      <c r="K287" s="199"/>
      <c r="L287" s="199"/>
      <c r="M287" s="199"/>
      <c r="N287" s="199"/>
      <c r="O287" s="199"/>
      <c r="P287" s="199"/>
      <c r="Q287" s="199"/>
      <c r="R287" s="199"/>
      <c r="S287" s="199"/>
      <c r="T287" s="199"/>
      <c r="U287" s="199"/>
      <c r="V287" s="199"/>
      <c r="W287" s="199"/>
      <c r="AC287" s="35">
        <f t="shared" si="134"/>
        <v>-33.28</v>
      </c>
    </row>
    <row r="288" spans="2:29" ht="12.75" customHeight="1">
      <c r="B288" s="36" t="s">
        <v>882</v>
      </c>
      <c r="C288" s="211"/>
      <c r="D288" s="94">
        <v>-1</v>
      </c>
      <c r="E288" s="94">
        <v>2</v>
      </c>
      <c r="F288" s="94">
        <v>5.2</v>
      </c>
      <c r="G288" s="200"/>
      <c r="H288" s="94">
        <v>3.2</v>
      </c>
      <c r="K288" s="199"/>
      <c r="L288" s="199"/>
      <c r="M288" s="199"/>
      <c r="N288" s="199"/>
      <c r="O288" s="199"/>
      <c r="P288" s="199"/>
      <c r="Q288" s="199"/>
      <c r="R288" s="199"/>
      <c r="S288" s="199"/>
      <c r="T288" s="199"/>
      <c r="U288" s="199"/>
      <c r="V288" s="199"/>
      <c r="W288" s="199"/>
      <c r="AC288" s="35">
        <f t="shared" si="134"/>
        <v>-33.28</v>
      </c>
    </row>
    <row r="289" spans="2:32" ht="12.75" customHeight="1">
      <c r="B289" s="36" t="s">
        <v>802</v>
      </c>
      <c r="C289" s="211" t="s">
        <v>813</v>
      </c>
      <c r="D289" s="94">
        <v>1</v>
      </c>
      <c r="E289" s="94">
        <v>1</v>
      </c>
      <c r="F289" s="94">
        <v>33.299999999999997</v>
      </c>
      <c r="G289" s="200"/>
      <c r="H289" s="94">
        <v>23.1</v>
      </c>
      <c r="K289" s="199"/>
      <c r="L289" s="199"/>
      <c r="M289" s="199"/>
      <c r="N289" s="199"/>
      <c r="O289" s="199"/>
      <c r="P289" s="199"/>
      <c r="Q289" s="199"/>
      <c r="R289" s="199"/>
      <c r="S289" s="199"/>
      <c r="T289" s="199"/>
      <c r="U289" s="199"/>
      <c r="V289" s="199"/>
      <c r="W289" s="199"/>
      <c r="AD289" s="35">
        <f t="shared" ref="AD289:AD291" si="135">PRODUCT(D289:H289)</f>
        <v>769.23</v>
      </c>
    </row>
    <row r="290" spans="2:32" ht="12.75" customHeight="1">
      <c r="B290" s="36" t="s">
        <v>881</v>
      </c>
      <c r="C290" s="211"/>
      <c r="D290" s="94">
        <v>-1</v>
      </c>
      <c r="E290" s="94">
        <v>2</v>
      </c>
      <c r="F290" s="94">
        <v>5.2</v>
      </c>
      <c r="G290" s="200"/>
      <c r="H290" s="94">
        <v>3.2</v>
      </c>
      <c r="K290" s="199"/>
      <c r="L290" s="199"/>
      <c r="M290" s="199"/>
      <c r="N290" s="199"/>
      <c r="O290" s="199"/>
      <c r="P290" s="199"/>
      <c r="Q290" s="199"/>
      <c r="R290" s="199"/>
      <c r="S290" s="199"/>
      <c r="T290" s="199"/>
      <c r="U290" s="199"/>
      <c r="V290" s="199"/>
      <c r="W290" s="199"/>
      <c r="AD290" s="35">
        <f t="shared" si="135"/>
        <v>-33.28</v>
      </c>
    </row>
    <row r="291" spans="2:32" ht="12.75" customHeight="1">
      <c r="B291" s="36" t="s">
        <v>882</v>
      </c>
      <c r="C291" s="211"/>
      <c r="D291" s="94">
        <v>-1</v>
      </c>
      <c r="E291" s="94">
        <v>2</v>
      </c>
      <c r="F291" s="94">
        <v>5.2</v>
      </c>
      <c r="G291" s="200"/>
      <c r="H291" s="94">
        <v>3.2</v>
      </c>
      <c r="K291" s="199"/>
      <c r="L291" s="199"/>
      <c r="M291" s="199"/>
      <c r="N291" s="199"/>
      <c r="O291" s="199"/>
      <c r="P291" s="199"/>
      <c r="Q291" s="199"/>
      <c r="R291" s="199"/>
      <c r="S291" s="199"/>
      <c r="T291" s="199"/>
      <c r="U291" s="199"/>
      <c r="V291" s="199"/>
      <c r="W291" s="199"/>
      <c r="AD291" s="35">
        <f t="shared" si="135"/>
        <v>-33.28</v>
      </c>
    </row>
    <row r="292" spans="2:32" ht="12.75" customHeight="1">
      <c r="B292" s="36" t="s">
        <v>803</v>
      </c>
      <c r="C292" s="211" t="s">
        <v>813</v>
      </c>
      <c r="D292" s="94">
        <v>1</v>
      </c>
      <c r="E292" s="94">
        <v>1</v>
      </c>
      <c r="F292" s="94">
        <v>33.299999999999997</v>
      </c>
      <c r="G292" s="200"/>
      <c r="H292" s="94">
        <v>23.1</v>
      </c>
      <c r="K292" s="199"/>
      <c r="L292" s="199"/>
      <c r="M292" s="199"/>
      <c r="N292" s="199"/>
      <c r="O292" s="199"/>
      <c r="P292" s="199"/>
      <c r="Q292" s="199"/>
      <c r="R292" s="199"/>
      <c r="S292" s="199"/>
      <c r="T292" s="199"/>
      <c r="U292" s="199"/>
      <c r="V292" s="199"/>
      <c r="W292" s="199"/>
      <c r="AE292" s="35">
        <f t="shared" ref="AE292:AE294" si="136">PRODUCT(D292:H292)</f>
        <v>769.23</v>
      </c>
    </row>
    <row r="293" spans="2:32" ht="12.75" customHeight="1">
      <c r="B293" s="36" t="s">
        <v>881</v>
      </c>
      <c r="C293" s="211"/>
      <c r="D293" s="94">
        <v>-1</v>
      </c>
      <c r="E293" s="94">
        <v>2</v>
      </c>
      <c r="F293" s="94">
        <v>5.2</v>
      </c>
      <c r="G293" s="200"/>
      <c r="H293" s="94">
        <v>3.2</v>
      </c>
      <c r="K293" s="199"/>
      <c r="L293" s="199"/>
      <c r="M293" s="199"/>
      <c r="N293" s="199"/>
      <c r="O293" s="199"/>
      <c r="P293" s="199"/>
      <c r="Q293" s="199"/>
      <c r="R293" s="199"/>
      <c r="S293" s="199"/>
      <c r="T293" s="199"/>
      <c r="U293" s="199"/>
      <c r="V293" s="199"/>
      <c r="W293" s="199"/>
      <c r="AE293" s="35">
        <f t="shared" si="136"/>
        <v>-33.28</v>
      </c>
    </row>
    <row r="294" spans="2:32" ht="12.75" customHeight="1">
      <c r="B294" s="36" t="s">
        <v>882</v>
      </c>
      <c r="C294" s="211"/>
      <c r="D294" s="94">
        <v>-1</v>
      </c>
      <c r="E294" s="94">
        <v>2</v>
      </c>
      <c r="F294" s="94">
        <v>5.2</v>
      </c>
      <c r="G294" s="200"/>
      <c r="H294" s="94">
        <v>3.2</v>
      </c>
      <c r="K294" s="199"/>
      <c r="L294" s="199"/>
      <c r="M294" s="199"/>
      <c r="N294" s="199"/>
      <c r="O294" s="199"/>
      <c r="P294" s="199"/>
      <c r="Q294" s="199"/>
      <c r="R294" s="199"/>
      <c r="S294" s="199"/>
      <c r="T294" s="199"/>
      <c r="U294" s="199"/>
      <c r="V294" s="199"/>
      <c r="W294" s="199"/>
      <c r="AE294" s="35">
        <f t="shared" si="136"/>
        <v>-33.28</v>
      </c>
    </row>
    <row r="295" spans="2:32" ht="12.75" customHeight="1">
      <c r="B295" s="36" t="s">
        <v>804</v>
      </c>
      <c r="C295" s="211" t="s">
        <v>813</v>
      </c>
      <c r="D295" s="94">
        <v>1</v>
      </c>
      <c r="E295" s="94">
        <v>1</v>
      </c>
      <c r="F295" s="94">
        <v>33.299999999999997</v>
      </c>
      <c r="G295" s="200">
        <v>0.3</v>
      </c>
      <c r="H295" s="94">
        <v>23.1</v>
      </c>
      <c r="K295" s="199"/>
      <c r="L295" s="199"/>
      <c r="M295" s="199"/>
      <c r="N295" s="199"/>
      <c r="O295" s="199"/>
      <c r="P295" s="199"/>
      <c r="Q295" s="199"/>
      <c r="R295" s="199"/>
      <c r="S295" s="199"/>
      <c r="T295" s="199"/>
      <c r="U295" s="199"/>
      <c r="V295" s="199"/>
      <c r="W295" s="199"/>
      <c r="AF295" s="35">
        <f>D295*E295*(F295*2+H295*2)*G295</f>
        <v>33.839999999999996</v>
      </c>
    </row>
    <row r="296" spans="2:32" ht="12.75" customHeight="1">
      <c r="B296" s="36"/>
      <c r="C296" s="94"/>
      <c r="D296" s="94"/>
      <c r="E296" s="94"/>
      <c r="F296" s="94"/>
      <c r="G296" s="200"/>
      <c r="H296" s="94"/>
      <c r="K296" s="199"/>
      <c r="L296" s="199"/>
      <c r="M296" s="199"/>
      <c r="N296" s="199"/>
      <c r="O296" s="199"/>
      <c r="P296" s="199"/>
      <c r="Q296" s="199"/>
      <c r="R296" s="199"/>
      <c r="S296" s="199"/>
      <c r="T296" s="199"/>
      <c r="U296" s="199"/>
      <c r="V296" s="199"/>
      <c r="W296" s="199"/>
    </row>
    <row r="297" spans="2:32" ht="12.75" customHeight="1">
      <c r="B297" s="36"/>
      <c r="C297" s="94"/>
      <c r="D297" s="94"/>
      <c r="E297" s="94"/>
      <c r="F297" s="94"/>
      <c r="G297" s="200"/>
      <c r="H297" s="94"/>
      <c r="K297" s="199"/>
      <c r="L297" s="199"/>
      <c r="M297" s="199"/>
      <c r="N297" s="199"/>
      <c r="O297" s="199"/>
      <c r="P297" s="199"/>
      <c r="Q297" s="199"/>
      <c r="R297" s="199"/>
      <c r="S297" s="199"/>
      <c r="T297" s="199"/>
      <c r="U297" s="199"/>
      <c r="V297" s="199"/>
      <c r="W297" s="199"/>
    </row>
    <row r="298" spans="2:32" ht="12.75" customHeight="1">
      <c r="B298" s="36"/>
      <c r="C298" s="94"/>
      <c r="D298" s="94"/>
      <c r="E298" s="94"/>
      <c r="F298" s="94"/>
      <c r="G298" s="200"/>
      <c r="H298" s="94"/>
      <c r="K298" s="199"/>
      <c r="L298" s="199"/>
      <c r="M298" s="199"/>
      <c r="N298" s="199"/>
      <c r="O298" s="199"/>
      <c r="P298" s="199"/>
      <c r="Q298" s="199"/>
      <c r="R298" s="199"/>
      <c r="S298" s="199"/>
      <c r="T298" s="199"/>
      <c r="U298" s="199"/>
      <c r="V298" s="199"/>
      <c r="W298" s="199"/>
    </row>
    <row r="299" spans="2:32" ht="12.75" customHeight="1">
      <c r="B299" s="36"/>
      <c r="C299" s="94"/>
      <c r="D299" s="94"/>
      <c r="E299" s="94"/>
      <c r="F299" s="94"/>
      <c r="G299" s="200"/>
      <c r="H299" s="94"/>
      <c r="K299" s="199"/>
      <c r="L299" s="199"/>
      <c r="M299" s="199"/>
      <c r="N299" s="199"/>
      <c r="O299" s="199"/>
      <c r="P299" s="199"/>
      <c r="Q299" s="199"/>
      <c r="R299" s="199"/>
      <c r="S299" s="199"/>
      <c r="T299" s="199"/>
      <c r="U299" s="199"/>
      <c r="V299" s="199"/>
      <c r="W299" s="199"/>
    </row>
    <row r="300" spans="2:32" ht="12.75" customHeight="1">
      <c r="B300" s="36"/>
      <c r="C300" s="94"/>
      <c r="D300" s="94"/>
      <c r="E300" s="94"/>
      <c r="F300" s="94"/>
      <c r="G300" s="200"/>
      <c r="H300" s="94"/>
      <c r="K300" s="199"/>
      <c r="L300" s="199"/>
      <c r="M300" s="199"/>
      <c r="N300" s="199"/>
      <c r="O300" s="199"/>
      <c r="P300" s="199"/>
      <c r="Q300" s="199"/>
      <c r="R300" s="199"/>
      <c r="S300" s="199"/>
      <c r="T300" s="199"/>
      <c r="U300" s="199"/>
      <c r="V300" s="199"/>
      <c r="W300" s="199"/>
    </row>
    <row r="301" spans="2:32" ht="12.75" customHeight="1">
      <c r="B301" s="36"/>
      <c r="C301" s="94"/>
      <c r="D301" s="94"/>
      <c r="E301" s="94"/>
      <c r="F301" s="94"/>
      <c r="G301" s="200"/>
      <c r="H301" s="94"/>
      <c r="K301" s="199"/>
      <c r="L301" s="199"/>
      <c r="M301" s="199"/>
      <c r="N301" s="199"/>
      <c r="O301" s="199"/>
      <c r="P301" s="199"/>
      <c r="Q301" s="199"/>
      <c r="R301" s="199"/>
      <c r="S301" s="199"/>
      <c r="T301" s="199"/>
      <c r="U301" s="199"/>
      <c r="V301" s="199"/>
      <c r="W301" s="199"/>
    </row>
    <row r="302" spans="2:32" ht="12.75" customHeight="1">
      <c r="B302" s="36"/>
      <c r="C302" s="94"/>
      <c r="D302" s="94"/>
      <c r="E302" s="94"/>
      <c r="F302" s="94"/>
      <c r="G302" s="200"/>
      <c r="H302" s="94"/>
      <c r="K302" s="199"/>
      <c r="L302" s="199"/>
      <c r="M302" s="199"/>
      <c r="N302" s="199"/>
      <c r="O302" s="199"/>
      <c r="P302" s="199"/>
      <c r="Q302" s="199"/>
      <c r="R302" s="199"/>
      <c r="S302" s="199"/>
      <c r="T302" s="199"/>
      <c r="U302" s="199"/>
      <c r="V302" s="199"/>
      <c r="W302" s="199"/>
    </row>
    <row r="303" spans="2:32" ht="12.75" customHeight="1">
      <c r="B303" s="36"/>
      <c r="C303" s="94"/>
      <c r="D303" s="94"/>
      <c r="E303" s="94"/>
      <c r="F303" s="94"/>
      <c r="G303" s="200"/>
      <c r="H303" s="94"/>
      <c r="K303" s="199"/>
      <c r="L303" s="199"/>
      <c r="M303" s="199"/>
      <c r="N303" s="199"/>
      <c r="O303" s="199"/>
      <c r="P303" s="199"/>
      <c r="Q303" s="199"/>
      <c r="R303" s="199"/>
      <c r="S303" s="199"/>
      <c r="T303" s="199"/>
      <c r="U303" s="199"/>
      <c r="V303" s="199"/>
      <c r="W303" s="199"/>
    </row>
    <row r="304" spans="2:32" ht="12.75" customHeight="1">
      <c r="B304" s="36"/>
      <c r="C304" s="94"/>
      <c r="D304" s="94"/>
      <c r="E304" s="94"/>
      <c r="F304" s="94"/>
      <c r="G304" s="200"/>
      <c r="H304" s="94"/>
      <c r="K304" s="199"/>
      <c r="L304" s="199"/>
      <c r="M304" s="199"/>
      <c r="N304" s="199"/>
      <c r="O304" s="199"/>
      <c r="P304" s="199"/>
      <c r="Q304" s="199"/>
      <c r="R304" s="199"/>
      <c r="S304" s="199"/>
      <c r="T304" s="199"/>
      <c r="U304" s="199"/>
      <c r="V304" s="199"/>
      <c r="W304" s="199"/>
    </row>
    <row r="305" spans="2:23" ht="12.75" customHeight="1">
      <c r="B305" s="36"/>
      <c r="C305" s="94"/>
      <c r="D305" s="94"/>
      <c r="E305" s="94"/>
      <c r="F305" s="94"/>
      <c r="G305" s="200"/>
      <c r="H305" s="94"/>
      <c r="K305" s="199"/>
      <c r="L305" s="199"/>
      <c r="M305" s="199"/>
      <c r="N305" s="199"/>
      <c r="O305" s="199"/>
      <c r="P305" s="199"/>
      <c r="Q305" s="199"/>
      <c r="R305" s="199"/>
      <c r="S305" s="199"/>
      <c r="T305" s="199"/>
      <c r="U305" s="199"/>
      <c r="V305" s="199"/>
      <c r="W305" s="199"/>
    </row>
    <row r="306" spans="2:23" ht="12.75" customHeight="1">
      <c r="B306" s="36"/>
      <c r="C306" s="94"/>
      <c r="D306" s="94"/>
      <c r="E306" s="94"/>
      <c r="F306" s="94"/>
      <c r="G306" s="200"/>
      <c r="H306" s="94"/>
      <c r="K306" s="199"/>
      <c r="L306" s="199"/>
      <c r="M306" s="199"/>
      <c r="N306" s="199"/>
      <c r="O306" s="199"/>
      <c r="P306" s="199"/>
      <c r="Q306" s="199"/>
      <c r="R306" s="199"/>
      <c r="S306" s="199"/>
      <c r="T306" s="199"/>
      <c r="U306" s="199"/>
      <c r="V306" s="199"/>
      <c r="W306" s="199"/>
    </row>
    <row r="307" spans="2:23" ht="12.75" customHeight="1">
      <c r="B307" s="36"/>
      <c r="C307" s="94"/>
      <c r="D307" s="94"/>
      <c r="E307" s="94"/>
      <c r="F307" s="94"/>
      <c r="G307" s="200"/>
      <c r="H307" s="94"/>
      <c r="K307" s="199"/>
      <c r="L307" s="199"/>
      <c r="M307" s="199"/>
      <c r="N307" s="199"/>
      <c r="O307" s="199"/>
      <c r="P307" s="199"/>
      <c r="Q307" s="199"/>
      <c r="R307" s="199"/>
      <c r="S307" s="199"/>
      <c r="T307" s="199"/>
      <c r="U307" s="199"/>
      <c r="V307" s="199"/>
      <c r="W307" s="199"/>
    </row>
    <row r="308" spans="2:23" ht="12.75" customHeight="1">
      <c r="B308" s="36"/>
      <c r="C308" s="94"/>
      <c r="D308" s="94"/>
      <c r="E308" s="94"/>
      <c r="F308" s="94"/>
      <c r="G308" s="200"/>
      <c r="H308" s="94"/>
      <c r="K308" s="199"/>
      <c r="L308" s="199"/>
      <c r="M308" s="199"/>
      <c r="N308" s="199"/>
      <c r="O308" s="199"/>
      <c r="P308" s="199"/>
      <c r="Q308" s="199"/>
      <c r="R308" s="199"/>
      <c r="S308" s="199"/>
      <c r="T308" s="199"/>
      <c r="U308" s="199"/>
      <c r="V308" s="199"/>
      <c r="W308" s="199"/>
    </row>
    <row r="309" spans="2:23" ht="12.75" customHeight="1">
      <c r="B309" s="36"/>
      <c r="C309" s="94"/>
      <c r="D309" s="94"/>
      <c r="E309" s="94"/>
      <c r="F309" s="94"/>
      <c r="G309" s="200"/>
      <c r="H309" s="94"/>
      <c r="K309" s="199"/>
      <c r="L309" s="199"/>
      <c r="M309" s="199"/>
      <c r="N309" s="199"/>
      <c r="O309" s="199"/>
      <c r="P309" s="199"/>
      <c r="Q309" s="199"/>
      <c r="R309" s="199"/>
      <c r="S309" s="199"/>
      <c r="T309" s="199"/>
      <c r="U309" s="199"/>
      <c r="V309" s="199"/>
      <c r="W309" s="199"/>
    </row>
    <row r="310" spans="2:23" ht="12.75" customHeight="1">
      <c r="B310" s="36"/>
      <c r="C310" s="94"/>
      <c r="D310" s="94"/>
      <c r="E310" s="94"/>
      <c r="F310" s="94"/>
      <c r="G310" s="200"/>
      <c r="H310" s="94"/>
      <c r="K310" s="199"/>
      <c r="L310" s="199"/>
      <c r="M310" s="199"/>
      <c r="N310" s="199"/>
      <c r="O310" s="199"/>
      <c r="P310" s="199"/>
      <c r="Q310" s="199"/>
      <c r="R310" s="199"/>
      <c r="S310" s="199"/>
      <c r="T310" s="199"/>
      <c r="U310" s="199"/>
      <c r="V310" s="199"/>
      <c r="W310" s="199"/>
    </row>
    <row r="311" spans="2:23" ht="12.75" customHeight="1">
      <c r="B311" s="36"/>
      <c r="C311" s="94"/>
      <c r="D311" s="94"/>
      <c r="E311" s="94"/>
      <c r="F311" s="94"/>
      <c r="G311" s="200"/>
      <c r="H311" s="94"/>
      <c r="K311" s="199"/>
      <c r="L311" s="199"/>
      <c r="M311" s="199"/>
      <c r="N311" s="199"/>
      <c r="O311" s="199"/>
      <c r="P311" s="199"/>
      <c r="Q311" s="199"/>
      <c r="R311" s="199"/>
      <c r="S311" s="199"/>
      <c r="T311" s="199"/>
      <c r="U311" s="199"/>
      <c r="V311" s="199"/>
      <c r="W311" s="199"/>
    </row>
    <row r="312" spans="2:23" ht="12.75" customHeight="1">
      <c r="B312" s="36"/>
      <c r="C312" s="94"/>
      <c r="D312" s="94"/>
      <c r="E312" s="94"/>
      <c r="F312" s="94"/>
      <c r="G312" s="200"/>
      <c r="H312" s="94"/>
      <c r="K312" s="199"/>
      <c r="L312" s="199"/>
      <c r="M312" s="199"/>
      <c r="N312" s="199"/>
      <c r="O312" s="199"/>
      <c r="P312" s="199"/>
      <c r="Q312" s="199"/>
      <c r="R312" s="199"/>
      <c r="S312" s="199"/>
      <c r="T312" s="199"/>
      <c r="U312" s="199"/>
      <c r="V312" s="199"/>
      <c r="W312" s="199"/>
    </row>
    <row r="313" spans="2:23" ht="12.75" customHeight="1">
      <c r="B313" s="36"/>
      <c r="C313" s="94"/>
      <c r="D313" s="94"/>
      <c r="E313" s="94"/>
      <c r="F313" s="94"/>
      <c r="G313" s="200"/>
      <c r="H313" s="94"/>
      <c r="K313" s="199"/>
      <c r="L313" s="199"/>
      <c r="M313" s="199"/>
      <c r="N313" s="199"/>
      <c r="O313" s="199"/>
      <c r="P313" s="199"/>
      <c r="Q313" s="199"/>
      <c r="R313" s="199"/>
      <c r="S313" s="199"/>
      <c r="T313" s="199"/>
      <c r="U313" s="199"/>
      <c r="V313" s="199"/>
      <c r="W313" s="199"/>
    </row>
    <row r="314" spans="2:23" ht="12.75" customHeight="1">
      <c r="B314" s="36"/>
      <c r="C314" s="94"/>
      <c r="D314" s="94"/>
      <c r="E314" s="94"/>
      <c r="F314" s="94"/>
      <c r="G314" s="200"/>
      <c r="H314" s="94"/>
      <c r="K314" s="199"/>
      <c r="L314" s="199"/>
      <c r="M314" s="199"/>
      <c r="N314" s="199"/>
      <c r="O314" s="199"/>
      <c r="P314" s="199"/>
      <c r="Q314" s="199"/>
      <c r="R314" s="199"/>
      <c r="S314" s="199"/>
      <c r="T314" s="199"/>
      <c r="U314" s="199"/>
      <c r="V314" s="199"/>
      <c r="W314" s="199"/>
    </row>
    <row r="315" spans="2:23" ht="12.75" customHeight="1">
      <c r="B315" s="36"/>
      <c r="C315" s="94"/>
      <c r="D315" s="94"/>
      <c r="E315" s="94"/>
      <c r="F315" s="94"/>
      <c r="G315" s="200"/>
      <c r="H315" s="94"/>
      <c r="K315" s="199"/>
      <c r="L315" s="199"/>
      <c r="M315" s="199"/>
      <c r="N315" s="199"/>
      <c r="O315" s="199"/>
      <c r="P315" s="199"/>
      <c r="Q315" s="199"/>
      <c r="R315" s="199"/>
      <c r="S315" s="199"/>
      <c r="T315" s="199"/>
      <c r="U315" s="199"/>
      <c r="V315" s="199"/>
      <c r="W315" s="199"/>
    </row>
    <row r="316" spans="2:23" ht="12.75" customHeight="1">
      <c r="B316" s="36"/>
      <c r="C316" s="94"/>
      <c r="D316" s="94"/>
      <c r="E316" s="94"/>
      <c r="F316" s="94"/>
      <c r="G316" s="200"/>
      <c r="H316" s="94"/>
      <c r="K316" s="199"/>
      <c r="L316" s="199"/>
      <c r="M316" s="199"/>
      <c r="N316" s="199"/>
      <c r="O316" s="199"/>
      <c r="P316" s="199"/>
      <c r="Q316" s="199"/>
      <c r="R316" s="199"/>
      <c r="S316" s="199"/>
      <c r="T316" s="199"/>
      <c r="U316" s="199"/>
      <c r="V316" s="199"/>
      <c r="W316" s="199"/>
    </row>
    <row r="317" spans="2:23" ht="12.75" customHeight="1">
      <c r="B317" s="36"/>
      <c r="C317" s="94"/>
      <c r="D317" s="94"/>
      <c r="E317" s="94"/>
      <c r="F317" s="94"/>
      <c r="G317" s="200"/>
      <c r="H317" s="94"/>
      <c r="K317" s="199"/>
      <c r="L317" s="199"/>
      <c r="M317" s="199"/>
      <c r="N317" s="199"/>
      <c r="O317" s="199"/>
      <c r="P317" s="199"/>
      <c r="Q317" s="199"/>
      <c r="R317" s="199"/>
      <c r="S317" s="199"/>
      <c r="T317" s="199"/>
      <c r="U317" s="199"/>
      <c r="V317" s="199"/>
      <c r="W317" s="199"/>
    </row>
    <row r="318" spans="2:23" ht="12.75" customHeight="1">
      <c r="B318" s="36"/>
      <c r="C318" s="94"/>
      <c r="D318" s="94"/>
      <c r="E318" s="94"/>
      <c r="F318" s="94"/>
      <c r="G318" s="200"/>
      <c r="H318" s="94"/>
      <c r="K318" s="199"/>
      <c r="L318" s="199"/>
      <c r="M318" s="199"/>
      <c r="N318" s="199"/>
      <c r="O318" s="199"/>
      <c r="P318" s="199"/>
      <c r="Q318" s="199"/>
      <c r="R318" s="199"/>
      <c r="S318" s="199"/>
      <c r="T318" s="199"/>
      <c r="U318" s="199"/>
      <c r="V318" s="199"/>
      <c r="W318" s="199"/>
    </row>
    <row r="319" spans="2:23" ht="12.75" customHeight="1">
      <c r="B319" s="36"/>
      <c r="C319" s="94"/>
      <c r="D319" s="94"/>
      <c r="E319" s="94"/>
      <c r="F319" s="94"/>
      <c r="G319" s="200"/>
      <c r="H319" s="94"/>
      <c r="K319" s="199"/>
      <c r="L319" s="199"/>
      <c r="M319" s="199"/>
      <c r="N319" s="199"/>
      <c r="O319" s="199"/>
      <c r="P319" s="199"/>
      <c r="Q319" s="199"/>
      <c r="R319" s="199"/>
      <c r="S319" s="199"/>
      <c r="T319" s="199"/>
      <c r="U319" s="199"/>
      <c r="V319" s="199"/>
      <c r="W319" s="199"/>
    </row>
    <row r="320" spans="2:23" ht="12.75" customHeight="1">
      <c r="C320" s="94"/>
      <c r="D320" s="94"/>
      <c r="E320" s="94"/>
      <c r="F320" s="94"/>
      <c r="G320" s="200"/>
      <c r="H320" s="94"/>
      <c r="K320" s="199"/>
      <c r="L320" s="199"/>
      <c r="M320" s="199"/>
      <c r="N320" s="199"/>
      <c r="O320" s="199"/>
      <c r="P320" s="199"/>
      <c r="Q320" s="199"/>
      <c r="R320" s="199"/>
      <c r="S320" s="199"/>
      <c r="T320" s="199"/>
      <c r="U320" s="199"/>
      <c r="V320" s="199"/>
      <c r="W320" s="199"/>
    </row>
    <row r="321" spans="3:23" ht="12.75" customHeight="1">
      <c r="C321" s="94"/>
      <c r="D321" s="94"/>
      <c r="E321" s="94"/>
      <c r="F321" s="94"/>
      <c r="G321" s="200"/>
      <c r="H321" s="94"/>
      <c r="K321" s="199"/>
      <c r="L321" s="199"/>
      <c r="M321" s="199"/>
      <c r="N321" s="199"/>
      <c r="O321" s="199"/>
      <c r="P321" s="199"/>
      <c r="Q321" s="199"/>
      <c r="R321" s="199"/>
      <c r="S321" s="199"/>
      <c r="T321" s="199"/>
      <c r="U321" s="199"/>
      <c r="V321" s="199"/>
      <c r="W321" s="199"/>
    </row>
    <row r="322" spans="3:23" ht="12.75" customHeight="1">
      <c r="C322" s="94"/>
      <c r="D322" s="94"/>
      <c r="E322" s="94"/>
      <c r="F322" s="94"/>
      <c r="G322" s="200"/>
      <c r="H322" s="94"/>
      <c r="K322" s="199"/>
      <c r="L322" s="199"/>
      <c r="M322" s="199"/>
      <c r="N322" s="199"/>
      <c r="O322" s="199"/>
      <c r="P322" s="199"/>
      <c r="Q322" s="199"/>
      <c r="R322" s="199"/>
      <c r="S322" s="199"/>
      <c r="T322" s="199"/>
      <c r="U322" s="199"/>
      <c r="V322" s="199"/>
      <c r="W322" s="199"/>
    </row>
    <row r="323" spans="3:23" ht="12.75" customHeight="1">
      <c r="C323" s="94"/>
      <c r="D323" s="94"/>
      <c r="E323" s="94"/>
      <c r="F323" s="94"/>
      <c r="G323" s="200"/>
      <c r="H323" s="94"/>
      <c r="K323" s="199"/>
      <c r="L323" s="199"/>
      <c r="M323" s="199"/>
      <c r="N323" s="199"/>
      <c r="O323" s="199"/>
      <c r="P323" s="199"/>
      <c r="Q323" s="199"/>
      <c r="R323" s="199"/>
      <c r="S323" s="199"/>
      <c r="T323" s="199"/>
      <c r="U323" s="199"/>
      <c r="V323" s="199"/>
      <c r="W323" s="199"/>
    </row>
    <row r="324" spans="3:23" ht="12.75" customHeight="1">
      <c r="C324" s="94"/>
      <c r="D324" s="94"/>
      <c r="E324" s="94"/>
      <c r="F324" s="94"/>
      <c r="G324" s="200"/>
      <c r="H324" s="94"/>
      <c r="K324" s="199"/>
      <c r="L324" s="199"/>
      <c r="M324" s="199"/>
      <c r="N324" s="199"/>
      <c r="O324" s="199"/>
      <c r="P324" s="199"/>
      <c r="Q324" s="199"/>
      <c r="R324" s="199"/>
      <c r="S324" s="199"/>
      <c r="T324" s="199"/>
      <c r="U324" s="199"/>
      <c r="V324" s="199"/>
      <c r="W324" s="199"/>
    </row>
    <row r="325" spans="3:23" ht="12.75" customHeight="1">
      <c r="C325" s="94"/>
      <c r="D325" s="94"/>
      <c r="E325" s="94"/>
      <c r="F325" s="94"/>
      <c r="G325" s="200"/>
      <c r="H325" s="94"/>
      <c r="K325" s="199"/>
      <c r="L325" s="199"/>
      <c r="M325" s="199"/>
      <c r="N325" s="199"/>
      <c r="O325" s="199"/>
      <c r="P325" s="199"/>
      <c r="Q325" s="199"/>
      <c r="R325" s="199"/>
      <c r="S325" s="199"/>
      <c r="T325" s="199"/>
      <c r="U325" s="199"/>
      <c r="V325" s="199"/>
      <c r="W325" s="199"/>
    </row>
    <row r="326" spans="3:23" ht="12.75" customHeight="1">
      <c r="C326" s="94"/>
      <c r="D326" s="94"/>
      <c r="E326" s="94"/>
      <c r="F326" s="94"/>
      <c r="G326" s="200"/>
      <c r="H326" s="94"/>
      <c r="K326" s="199"/>
      <c r="L326" s="199"/>
      <c r="M326" s="199"/>
      <c r="N326" s="199"/>
      <c r="O326" s="199"/>
      <c r="P326" s="199"/>
      <c r="Q326" s="199"/>
      <c r="R326" s="199"/>
      <c r="S326" s="199"/>
      <c r="T326" s="199"/>
      <c r="U326" s="199"/>
      <c r="V326" s="199"/>
      <c r="W326" s="199"/>
    </row>
    <row r="327" spans="3:23" ht="12.75" customHeight="1">
      <c r="C327" s="94"/>
      <c r="D327" s="94"/>
      <c r="E327" s="94"/>
      <c r="F327" s="94"/>
      <c r="G327" s="200"/>
      <c r="H327" s="94"/>
      <c r="K327" s="199"/>
      <c r="L327" s="199"/>
      <c r="M327" s="199"/>
      <c r="N327" s="199"/>
      <c r="O327" s="199"/>
      <c r="P327" s="199"/>
      <c r="Q327" s="199"/>
      <c r="R327" s="199"/>
      <c r="S327" s="199"/>
      <c r="T327" s="199"/>
      <c r="U327" s="199"/>
      <c r="V327" s="199"/>
      <c r="W327" s="199"/>
    </row>
    <row r="328" spans="3:23" ht="12.75" customHeight="1">
      <c r="C328" s="94"/>
      <c r="D328" s="94"/>
      <c r="E328" s="94"/>
      <c r="F328" s="94"/>
      <c r="G328" s="200"/>
      <c r="H328" s="94"/>
      <c r="K328" s="199"/>
      <c r="L328" s="199"/>
      <c r="M328" s="199"/>
      <c r="N328" s="199"/>
      <c r="O328" s="199"/>
      <c r="P328" s="199"/>
      <c r="Q328" s="199"/>
      <c r="R328" s="199"/>
      <c r="S328" s="199"/>
      <c r="T328" s="199"/>
      <c r="U328" s="199"/>
      <c r="V328" s="199"/>
      <c r="W328" s="199"/>
    </row>
    <row r="329" spans="3:23" ht="12.75" customHeight="1">
      <c r="C329" s="94"/>
      <c r="D329" s="94"/>
      <c r="E329" s="94"/>
      <c r="F329" s="94"/>
      <c r="G329" s="200"/>
      <c r="H329" s="94"/>
      <c r="K329" s="199"/>
      <c r="L329" s="199"/>
      <c r="M329" s="199"/>
      <c r="N329" s="199"/>
      <c r="O329" s="199"/>
      <c r="P329" s="199"/>
      <c r="Q329" s="199"/>
      <c r="R329" s="199"/>
      <c r="S329" s="199"/>
      <c r="T329" s="199"/>
      <c r="U329" s="199"/>
      <c r="V329" s="199"/>
      <c r="W329" s="199"/>
    </row>
    <row r="330" spans="3:23" ht="12.75" customHeight="1">
      <c r="C330" s="94"/>
      <c r="D330" s="94"/>
      <c r="E330" s="94"/>
      <c r="F330" s="94"/>
      <c r="G330" s="200"/>
      <c r="H330" s="94"/>
      <c r="K330" s="199"/>
      <c r="L330" s="199"/>
      <c r="M330" s="199"/>
      <c r="N330" s="199"/>
      <c r="O330" s="199"/>
      <c r="P330" s="199"/>
      <c r="Q330" s="199"/>
      <c r="R330" s="199"/>
      <c r="S330" s="199"/>
      <c r="T330" s="199"/>
      <c r="U330" s="199"/>
      <c r="V330" s="199"/>
      <c r="W330" s="199"/>
    </row>
    <row r="331" spans="3:23" ht="12.75" customHeight="1">
      <c r="C331" s="94"/>
      <c r="D331" s="94"/>
      <c r="E331" s="94"/>
      <c r="F331" s="94"/>
      <c r="G331" s="200"/>
      <c r="H331" s="94"/>
      <c r="K331" s="199"/>
      <c r="L331" s="199"/>
      <c r="M331" s="199"/>
      <c r="N331" s="199"/>
      <c r="O331" s="199"/>
      <c r="P331" s="199"/>
      <c r="Q331" s="199"/>
      <c r="R331" s="199"/>
      <c r="S331" s="199"/>
      <c r="T331" s="199"/>
      <c r="U331" s="199"/>
      <c r="V331" s="199"/>
      <c r="W331" s="199"/>
    </row>
    <row r="332" spans="3:23" ht="12.75" customHeight="1">
      <c r="C332" s="94"/>
      <c r="D332" s="94"/>
      <c r="E332" s="94"/>
      <c r="F332" s="94"/>
      <c r="G332" s="200"/>
      <c r="H332" s="94"/>
      <c r="K332" s="199"/>
      <c r="L332" s="199"/>
      <c r="M332" s="199"/>
      <c r="N332" s="199"/>
      <c r="O332" s="199"/>
      <c r="P332" s="199"/>
      <c r="Q332" s="199"/>
      <c r="R332" s="199"/>
      <c r="S332" s="199"/>
      <c r="T332" s="199"/>
      <c r="U332" s="199"/>
      <c r="V332" s="199"/>
      <c r="W332" s="199"/>
    </row>
    <row r="333" spans="3:23" ht="12.75" customHeight="1">
      <c r="C333" s="94"/>
      <c r="D333" s="94"/>
      <c r="E333" s="94"/>
      <c r="F333" s="94"/>
      <c r="G333" s="200"/>
      <c r="H333" s="94"/>
      <c r="K333" s="199"/>
      <c r="L333" s="199"/>
      <c r="M333" s="199"/>
      <c r="N333" s="199"/>
      <c r="O333" s="199"/>
      <c r="P333" s="199"/>
      <c r="Q333" s="199"/>
      <c r="R333" s="199"/>
      <c r="S333" s="199"/>
      <c r="T333" s="199"/>
      <c r="U333" s="199"/>
      <c r="V333" s="199"/>
      <c r="W333" s="199"/>
    </row>
    <row r="334" spans="3:23" ht="12.75" customHeight="1">
      <c r="C334" s="94"/>
      <c r="D334" s="94"/>
      <c r="E334" s="94"/>
      <c r="F334" s="94"/>
      <c r="G334" s="200"/>
      <c r="H334" s="94"/>
      <c r="K334" s="199"/>
      <c r="L334" s="199"/>
      <c r="M334" s="199"/>
      <c r="N334" s="199"/>
      <c r="O334" s="199"/>
      <c r="P334" s="199"/>
      <c r="Q334" s="199"/>
      <c r="R334" s="199"/>
      <c r="S334" s="199"/>
      <c r="T334" s="199"/>
      <c r="U334" s="199"/>
      <c r="V334" s="199"/>
      <c r="W334" s="199"/>
    </row>
    <row r="335" spans="3:23" ht="12.75" customHeight="1">
      <c r="C335" s="94"/>
      <c r="D335" s="94"/>
      <c r="E335" s="94"/>
      <c r="F335" s="94"/>
      <c r="G335" s="200"/>
      <c r="H335" s="94"/>
      <c r="K335" s="199"/>
      <c r="L335" s="199"/>
      <c r="M335" s="199"/>
      <c r="N335" s="199"/>
      <c r="O335" s="199"/>
      <c r="P335" s="199"/>
      <c r="Q335" s="199"/>
      <c r="R335" s="199"/>
      <c r="S335" s="199"/>
      <c r="T335" s="199"/>
      <c r="U335" s="199"/>
      <c r="V335" s="199"/>
      <c r="W335" s="199"/>
    </row>
    <row r="336" spans="3:23" ht="12.75" customHeight="1">
      <c r="C336" s="94"/>
      <c r="D336" s="94"/>
      <c r="E336" s="94"/>
      <c r="F336" s="94"/>
      <c r="G336" s="200"/>
      <c r="H336" s="94"/>
      <c r="K336" s="199"/>
      <c r="L336" s="199"/>
      <c r="M336" s="199"/>
      <c r="N336" s="199"/>
      <c r="O336" s="199"/>
      <c r="P336" s="199"/>
      <c r="Q336" s="199"/>
      <c r="R336" s="199"/>
      <c r="S336" s="199"/>
      <c r="T336" s="199"/>
      <c r="U336" s="199"/>
      <c r="V336" s="199"/>
      <c r="W336" s="199"/>
    </row>
    <row r="337" spans="3:23" ht="12.75" customHeight="1">
      <c r="C337" s="94"/>
      <c r="D337" s="94"/>
      <c r="E337" s="94"/>
      <c r="F337" s="94"/>
      <c r="G337" s="200"/>
      <c r="H337" s="94"/>
      <c r="K337" s="199"/>
      <c r="L337" s="199"/>
      <c r="M337" s="199"/>
      <c r="N337" s="199"/>
      <c r="O337" s="199"/>
      <c r="P337" s="199"/>
      <c r="Q337" s="199"/>
      <c r="R337" s="199"/>
      <c r="S337" s="199"/>
      <c r="T337" s="199"/>
      <c r="U337" s="199"/>
      <c r="V337" s="199"/>
      <c r="W337" s="199"/>
    </row>
    <row r="338" spans="3:23" ht="12.75" customHeight="1">
      <c r="C338" s="94"/>
      <c r="D338" s="94"/>
      <c r="E338" s="94"/>
      <c r="F338" s="94"/>
      <c r="G338" s="200"/>
      <c r="H338" s="94"/>
      <c r="K338" s="199"/>
      <c r="L338" s="199"/>
      <c r="M338" s="199"/>
      <c r="N338" s="199"/>
      <c r="O338" s="199"/>
      <c r="P338" s="199"/>
      <c r="Q338" s="199"/>
      <c r="R338" s="199"/>
      <c r="S338" s="199"/>
      <c r="T338" s="199"/>
      <c r="U338" s="199"/>
      <c r="V338" s="199"/>
      <c r="W338" s="199"/>
    </row>
    <row r="339" spans="3:23" ht="12.75" customHeight="1">
      <c r="C339" s="94"/>
      <c r="D339" s="94"/>
      <c r="E339" s="94"/>
      <c r="F339" s="94"/>
      <c r="G339" s="200"/>
      <c r="H339" s="94"/>
      <c r="K339" s="199"/>
      <c r="L339" s="199"/>
      <c r="M339" s="199"/>
      <c r="N339" s="199"/>
      <c r="O339" s="199"/>
      <c r="P339" s="199"/>
      <c r="Q339" s="199"/>
      <c r="R339" s="199"/>
      <c r="S339" s="199"/>
      <c r="T339" s="199"/>
      <c r="U339" s="199"/>
      <c r="V339" s="199"/>
      <c r="W339" s="199"/>
    </row>
    <row r="340" spans="3:23" ht="12.75" customHeight="1">
      <c r="C340" s="94"/>
      <c r="D340" s="94"/>
      <c r="E340" s="94"/>
      <c r="F340" s="94"/>
      <c r="G340" s="200"/>
      <c r="H340" s="94"/>
      <c r="K340" s="199"/>
      <c r="L340" s="199"/>
      <c r="M340" s="199"/>
      <c r="N340" s="199"/>
      <c r="O340" s="199"/>
      <c r="P340" s="199"/>
      <c r="Q340" s="199"/>
      <c r="R340" s="199"/>
      <c r="S340" s="199"/>
      <c r="T340" s="199"/>
      <c r="U340" s="199"/>
      <c r="V340" s="199"/>
      <c r="W340" s="199"/>
    </row>
    <row r="341" spans="3:23" ht="12.75" customHeight="1">
      <c r="C341" s="94"/>
      <c r="D341" s="94"/>
      <c r="E341" s="94"/>
      <c r="F341" s="94"/>
      <c r="G341" s="200"/>
      <c r="H341" s="94"/>
      <c r="K341" s="199"/>
      <c r="L341" s="199"/>
      <c r="M341" s="199"/>
      <c r="N341" s="199"/>
      <c r="O341" s="199"/>
      <c r="P341" s="199"/>
      <c r="Q341" s="199"/>
      <c r="R341" s="199"/>
      <c r="S341" s="199"/>
      <c r="T341" s="199"/>
      <c r="U341" s="199"/>
      <c r="V341" s="199"/>
      <c r="W341" s="199"/>
    </row>
    <row r="342" spans="3:23" ht="12.75" customHeight="1">
      <c r="C342" s="94"/>
      <c r="D342" s="94"/>
      <c r="E342" s="94"/>
      <c r="F342" s="94"/>
      <c r="G342" s="200"/>
      <c r="H342" s="94"/>
      <c r="K342" s="199"/>
      <c r="L342" s="199"/>
      <c r="M342" s="199"/>
      <c r="N342" s="199"/>
      <c r="O342" s="199"/>
      <c r="P342" s="199"/>
      <c r="Q342" s="199"/>
      <c r="R342" s="199"/>
      <c r="S342" s="199"/>
      <c r="T342" s="199"/>
      <c r="U342" s="199"/>
      <c r="V342" s="199"/>
      <c r="W342" s="199"/>
    </row>
    <row r="343" spans="3:23" ht="12.75" customHeight="1">
      <c r="C343" s="94"/>
      <c r="D343" s="94"/>
      <c r="E343" s="94"/>
      <c r="F343" s="94"/>
      <c r="G343" s="200"/>
      <c r="H343" s="94"/>
      <c r="K343" s="199"/>
      <c r="L343" s="199"/>
      <c r="M343" s="199"/>
      <c r="N343" s="199"/>
      <c r="O343" s="199"/>
      <c r="P343" s="199"/>
      <c r="Q343" s="199"/>
      <c r="R343" s="199"/>
      <c r="S343" s="199"/>
      <c r="T343" s="199"/>
      <c r="U343" s="199"/>
      <c r="V343" s="199"/>
      <c r="W343" s="199"/>
    </row>
    <row r="344" spans="3:23" ht="12.75" customHeight="1">
      <c r="C344" s="94"/>
      <c r="D344" s="94"/>
      <c r="E344" s="94"/>
      <c r="F344" s="94"/>
      <c r="G344" s="200"/>
      <c r="H344" s="94"/>
      <c r="K344" s="199"/>
      <c r="L344" s="199"/>
      <c r="M344" s="199"/>
      <c r="N344" s="199"/>
      <c r="O344" s="199"/>
      <c r="P344" s="199"/>
      <c r="Q344" s="199"/>
      <c r="R344" s="199"/>
      <c r="S344" s="199"/>
      <c r="T344" s="199"/>
      <c r="U344" s="199"/>
      <c r="V344" s="199"/>
      <c r="W344" s="199"/>
    </row>
    <row r="345" spans="3:23" ht="12.75" customHeight="1">
      <c r="C345" s="94"/>
      <c r="D345" s="94"/>
      <c r="E345" s="94"/>
      <c r="F345" s="94"/>
      <c r="G345" s="200"/>
      <c r="H345" s="94"/>
      <c r="K345" s="199"/>
      <c r="L345" s="199"/>
      <c r="M345" s="199"/>
      <c r="N345" s="199"/>
      <c r="O345" s="199"/>
      <c r="P345" s="199"/>
      <c r="Q345" s="199"/>
      <c r="R345" s="199"/>
      <c r="S345" s="199"/>
      <c r="T345" s="199"/>
      <c r="U345" s="199"/>
      <c r="V345" s="199"/>
      <c r="W345" s="199"/>
    </row>
    <row r="346" spans="3:23" ht="12.75" customHeight="1">
      <c r="C346" s="94"/>
      <c r="D346" s="94"/>
      <c r="E346" s="94"/>
      <c r="F346" s="94"/>
      <c r="G346" s="200"/>
      <c r="H346" s="94"/>
      <c r="K346" s="199"/>
      <c r="L346" s="199"/>
      <c r="M346" s="199"/>
      <c r="N346" s="199"/>
      <c r="O346" s="199"/>
      <c r="P346" s="199"/>
      <c r="Q346" s="199"/>
      <c r="R346" s="199"/>
      <c r="S346" s="199"/>
      <c r="T346" s="199"/>
      <c r="U346" s="199"/>
      <c r="V346" s="199"/>
      <c r="W346" s="199"/>
    </row>
    <row r="347" spans="3:23" ht="12.75" customHeight="1">
      <c r="C347" s="94"/>
      <c r="D347" s="94"/>
      <c r="E347" s="94"/>
      <c r="F347" s="94"/>
      <c r="G347" s="200"/>
      <c r="H347" s="94"/>
      <c r="K347" s="199"/>
      <c r="L347" s="199"/>
      <c r="M347" s="199"/>
      <c r="N347" s="199"/>
      <c r="O347" s="199"/>
      <c r="P347" s="199"/>
      <c r="Q347" s="199"/>
      <c r="R347" s="199"/>
      <c r="S347" s="199"/>
      <c r="T347" s="199"/>
      <c r="U347" s="199"/>
      <c r="V347" s="199"/>
      <c r="W347" s="199"/>
    </row>
    <row r="348" spans="3:23" ht="12.75" customHeight="1">
      <c r="C348" s="94"/>
      <c r="D348" s="94"/>
      <c r="E348" s="94"/>
      <c r="F348" s="94"/>
      <c r="G348" s="200"/>
      <c r="H348" s="94"/>
      <c r="K348" s="199"/>
      <c r="L348" s="199"/>
      <c r="M348" s="199"/>
      <c r="N348" s="199"/>
      <c r="O348" s="199"/>
      <c r="P348" s="199"/>
      <c r="Q348" s="199"/>
      <c r="R348" s="199"/>
      <c r="S348" s="199"/>
      <c r="T348" s="199"/>
      <c r="U348" s="199"/>
      <c r="V348" s="199"/>
      <c r="W348" s="199"/>
    </row>
    <row r="349" spans="3:23" ht="12.75" customHeight="1">
      <c r="C349" s="94"/>
      <c r="D349" s="94"/>
      <c r="E349" s="94"/>
      <c r="F349" s="94"/>
      <c r="G349" s="200"/>
      <c r="H349" s="94"/>
      <c r="K349" s="199"/>
      <c r="L349" s="199"/>
      <c r="M349" s="199"/>
      <c r="N349" s="199"/>
      <c r="O349" s="199"/>
      <c r="P349" s="199"/>
      <c r="Q349" s="199"/>
      <c r="R349" s="199"/>
      <c r="S349" s="199"/>
      <c r="T349" s="199"/>
      <c r="U349" s="199"/>
      <c r="V349" s="199"/>
      <c r="W349" s="199"/>
    </row>
    <row r="350" spans="3:23" ht="12.75" customHeight="1">
      <c r="C350" s="94"/>
      <c r="D350" s="94"/>
      <c r="E350" s="94"/>
      <c r="F350" s="94"/>
      <c r="G350" s="200"/>
      <c r="H350" s="94"/>
      <c r="K350" s="199"/>
      <c r="L350" s="199"/>
      <c r="M350" s="199"/>
      <c r="N350" s="199"/>
      <c r="O350" s="199"/>
      <c r="P350" s="199"/>
      <c r="Q350" s="199"/>
      <c r="R350" s="199"/>
      <c r="S350" s="199"/>
      <c r="T350" s="199"/>
      <c r="U350" s="199"/>
      <c r="V350" s="199"/>
      <c r="W350" s="199"/>
    </row>
    <row r="351" spans="3:23" ht="12.75" customHeight="1">
      <c r="C351" s="94"/>
      <c r="D351" s="94"/>
      <c r="E351" s="94"/>
      <c r="F351" s="94"/>
      <c r="G351" s="200"/>
      <c r="H351" s="94"/>
      <c r="K351" s="199"/>
      <c r="L351" s="199"/>
      <c r="M351" s="199"/>
      <c r="N351" s="199"/>
      <c r="O351" s="199"/>
      <c r="P351" s="199"/>
      <c r="Q351" s="199"/>
      <c r="R351" s="199"/>
      <c r="S351" s="199"/>
      <c r="T351" s="199"/>
      <c r="U351" s="199"/>
      <c r="V351" s="199"/>
      <c r="W351" s="199"/>
    </row>
    <row r="352" spans="3:23" ht="12.75" customHeight="1">
      <c r="C352" s="94"/>
      <c r="D352" s="94"/>
      <c r="E352" s="94"/>
      <c r="F352" s="94"/>
      <c r="G352" s="200"/>
      <c r="H352" s="94"/>
      <c r="K352" s="199"/>
      <c r="L352" s="199"/>
      <c r="M352" s="199"/>
      <c r="N352" s="199"/>
      <c r="O352" s="199"/>
      <c r="P352" s="199"/>
      <c r="Q352" s="199"/>
      <c r="R352" s="199"/>
      <c r="S352" s="199"/>
      <c r="T352" s="199"/>
      <c r="U352" s="199"/>
      <c r="V352" s="199"/>
      <c r="W352" s="199"/>
    </row>
    <row r="353" spans="3:23" ht="12.75" customHeight="1">
      <c r="C353" s="94"/>
      <c r="D353" s="94"/>
      <c r="E353" s="94"/>
      <c r="F353" s="94"/>
      <c r="G353" s="200"/>
      <c r="H353" s="94"/>
      <c r="K353" s="199"/>
      <c r="L353" s="199"/>
      <c r="M353" s="199"/>
      <c r="N353" s="199"/>
      <c r="O353" s="199"/>
      <c r="P353" s="199"/>
      <c r="Q353" s="199"/>
      <c r="R353" s="199"/>
      <c r="S353" s="199"/>
      <c r="T353" s="199"/>
      <c r="U353" s="199"/>
      <c r="V353" s="199"/>
      <c r="W353" s="199"/>
    </row>
    <row r="354" spans="3:23" ht="12.75" customHeight="1">
      <c r="C354" s="94"/>
      <c r="D354" s="94"/>
      <c r="E354" s="94"/>
      <c r="F354" s="94"/>
      <c r="G354" s="200"/>
      <c r="H354" s="94"/>
      <c r="K354" s="199"/>
      <c r="L354" s="199"/>
      <c r="M354" s="199"/>
      <c r="N354" s="199"/>
      <c r="O354" s="199"/>
      <c r="P354" s="199"/>
      <c r="Q354" s="199"/>
      <c r="R354" s="199"/>
      <c r="S354" s="199"/>
      <c r="T354" s="199"/>
      <c r="U354" s="199"/>
      <c r="V354" s="199"/>
      <c r="W354" s="199"/>
    </row>
    <row r="355" spans="3:23" ht="12.75" customHeight="1">
      <c r="C355" s="94"/>
      <c r="D355" s="94"/>
      <c r="E355" s="94"/>
      <c r="F355" s="94"/>
      <c r="G355" s="200"/>
      <c r="H355" s="94"/>
      <c r="K355" s="199"/>
      <c r="L355" s="199"/>
      <c r="M355" s="199"/>
      <c r="N355" s="199"/>
      <c r="O355" s="199"/>
      <c r="P355" s="199"/>
      <c r="Q355" s="199"/>
      <c r="R355" s="199"/>
      <c r="S355" s="199"/>
      <c r="T355" s="199"/>
      <c r="U355" s="199"/>
      <c r="V355" s="199"/>
      <c r="W355" s="199"/>
    </row>
    <row r="356" spans="3:23" ht="12.75" customHeight="1">
      <c r="C356" s="94"/>
      <c r="D356" s="94"/>
      <c r="E356" s="94"/>
      <c r="F356" s="94"/>
      <c r="G356" s="200"/>
      <c r="H356" s="94"/>
      <c r="K356" s="199"/>
      <c r="L356" s="199"/>
      <c r="M356" s="199"/>
      <c r="N356" s="199"/>
      <c r="O356" s="199"/>
      <c r="P356" s="199"/>
      <c r="Q356" s="199"/>
      <c r="R356" s="199"/>
      <c r="S356" s="199"/>
      <c r="T356" s="199"/>
      <c r="U356" s="199"/>
      <c r="V356" s="199"/>
      <c r="W356" s="199"/>
    </row>
    <row r="357" spans="3:23" ht="12.75" customHeight="1">
      <c r="C357" s="94"/>
      <c r="D357" s="94"/>
      <c r="E357" s="94"/>
      <c r="F357" s="94"/>
      <c r="G357" s="200"/>
      <c r="H357" s="94"/>
      <c r="K357" s="199"/>
      <c r="L357" s="199"/>
      <c r="M357" s="199"/>
      <c r="N357" s="199"/>
      <c r="O357" s="199"/>
      <c r="P357" s="199"/>
      <c r="Q357" s="199"/>
      <c r="R357" s="199"/>
      <c r="S357" s="199"/>
      <c r="T357" s="199"/>
      <c r="U357" s="199"/>
      <c r="V357" s="199"/>
      <c r="W357" s="199"/>
    </row>
    <row r="358" spans="3:23" ht="12.75" customHeight="1">
      <c r="C358" s="94"/>
      <c r="D358" s="94"/>
      <c r="E358" s="94"/>
      <c r="F358" s="94"/>
      <c r="G358" s="200"/>
      <c r="H358" s="94"/>
      <c r="K358" s="199"/>
      <c r="L358" s="199"/>
      <c r="M358" s="199"/>
      <c r="N358" s="199"/>
      <c r="O358" s="199"/>
      <c r="P358" s="199"/>
      <c r="Q358" s="199"/>
      <c r="R358" s="199"/>
      <c r="S358" s="199"/>
      <c r="T358" s="199"/>
      <c r="U358" s="199"/>
      <c r="V358" s="199"/>
      <c r="W358" s="199"/>
    </row>
    <row r="359" spans="3:23" ht="12.75" customHeight="1">
      <c r="C359" s="94"/>
      <c r="D359" s="94"/>
      <c r="E359" s="94"/>
      <c r="F359" s="94"/>
      <c r="G359" s="200"/>
      <c r="H359" s="94"/>
      <c r="K359" s="199"/>
      <c r="L359" s="199"/>
      <c r="M359" s="199"/>
      <c r="N359" s="199"/>
      <c r="O359" s="199"/>
      <c r="P359" s="199"/>
      <c r="Q359" s="199"/>
      <c r="R359" s="199"/>
      <c r="S359" s="199"/>
      <c r="T359" s="199"/>
      <c r="U359" s="199"/>
      <c r="V359" s="199"/>
      <c r="W359" s="199"/>
    </row>
    <row r="360" spans="3:23" ht="12.75" customHeight="1">
      <c r="C360" s="94"/>
      <c r="D360" s="94"/>
      <c r="E360" s="94"/>
      <c r="F360" s="94"/>
      <c r="G360" s="200"/>
      <c r="H360" s="94"/>
      <c r="K360" s="199"/>
      <c r="L360" s="199"/>
      <c r="M360" s="199"/>
      <c r="N360" s="199"/>
      <c r="O360" s="199"/>
      <c r="P360" s="199"/>
      <c r="Q360" s="199"/>
      <c r="R360" s="199"/>
      <c r="S360" s="199"/>
      <c r="T360" s="199"/>
      <c r="U360" s="199"/>
      <c r="V360" s="199"/>
      <c r="W360" s="199"/>
    </row>
    <row r="361" spans="3:23" ht="12.75" customHeight="1">
      <c r="C361" s="94"/>
      <c r="D361" s="94"/>
      <c r="E361" s="94"/>
      <c r="F361" s="94"/>
      <c r="G361" s="200"/>
      <c r="H361" s="94"/>
      <c r="K361" s="199"/>
      <c r="L361" s="199"/>
      <c r="M361" s="199"/>
      <c r="N361" s="199"/>
      <c r="O361" s="199"/>
      <c r="P361" s="199"/>
      <c r="Q361" s="199"/>
      <c r="R361" s="199"/>
      <c r="S361" s="199"/>
      <c r="T361" s="199"/>
      <c r="U361" s="199"/>
      <c r="V361" s="199"/>
      <c r="W361" s="199"/>
    </row>
    <row r="362" spans="3:23" ht="12.75" customHeight="1">
      <c r="C362" s="94"/>
      <c r="D362" s="94"/>
      <c r="E362" s="94"/>
      <c r="F362" s="94"/>
      <c r="G362" s="200"/>
      <c r="H362" s="94"/>
      <c r="K362" s="199"/>
      <c r="L362" s="199"/>
      <c r="M362" s="199"/>
      <c r="N362" s="199"/>
      <c r="O362" s="199"/>
      <c r="P362" s="199"/>
      <c r="Q362" s="199"/>
      <c r="R362" s="199"/>
      <c r="S362" s="199"/>
      <c r="T362" s="199"/>
      <c r="U362" s="199"/>
      <c r="V362" s="199"/>
      <c r="W362" s="199"/>
    </row>
    <row r="363" spans="3:23" ht="12.75" customHeight="1">
      <c r="C363" s="94"/>
      <c r="D363" s="94"/>
      <c r="E363" s="94"/>
      <c r="F363" s="94"/>
      <c r="G363" s="200"/>
      <c r="H363" s="94"/>
      <c r="K363" s="199"/>
      <c r="L363" s="199"/>
      <c r="M363" s="199"/>
      <c r="N363" s="199"/>
      <c r="O363" s="199"/>
      <c r="P363" s="199"/>
      <c r="Q363" s="199"/>
      <c r="R363" s="199"/>
      <c r="S363" s="199"/>
      <c r="T363" s="199"/>
      <c r="U363" s="199"/>
      <c r="V363" s="199"/>
      <c r="W363" s="199"/>
    </row>
    <row r="364" spans="3:23" ht="12.75" customHeight="1">
      <c r="C364" s="94"/>
      <c r="D364" s="94"/>
      <c r="E364" s="94"/>
      <c r="F364" s="94"/>
      <c r="G364" s="200"/>
      <c r="H364" s="94"/>
      <c r="K364" s="199"/>
      <c r="L364" s="199"/>
      <c r="M364" s="199"/>
      <c r="N364" s="199"/>
      <c r="O364" s="199"/>
      <c r="P364" s="199"/>
      <c r="Q364" s="199"/>
      <c r="R364" s="199"/>
      <c r="S364" s="199"/>
      <c r="T364" s="199"/>
      <c r="U364" s="199"/>
      <c r="V364" s="199"/>
      <c r="W364" s="199"/>
    </row>
    <row r="365" spans="3:23" ht="12.75" customHeight="1">
      <c r="C365" s="94"/>
      <c r="D365" s="94"/>
      <c r="E365" s="94"/>
      <c r="F365" s="94"/>
      <c r="G365" s="200"/>
      <c r="H365" s="94"/>
      <c r="K365" s="199"/>
      <c r="L365" s="199"/>
      <c r="M365" s="199"/>
      <c r="N365" s="199"/>
      <c r="O365" s="199"/>
      <c r="P365" s="199"/>
      <c r="Q365" s="199"/>
      <c r="R365" s="199"/>
      <c r="S365" s="199"/>
      <c r="T365" s="199"/>
      <c r="U365" s="199"/>
      <c r="V365" s="199"/>
      <c r="W365" s="199"/>
    </row>
    <row r="366" spans="3:23" ht="12.75" customHeight="1">
      <c r="C366" s="94"/>
      <c r="D366" s="94"/>
      <c r="E366" s="94"/>
      <c r="F366" s="94"/>
      <c r="G366" s="200"/>
      <c r="H366" s="94"/>
      <c r="K366" s="199"/>
      <c r="L366" s="199"/>
      <c r="M366" s="199"/>
      <c r="N366" s="199"/>
      <c r="O366" s="199"/>
      <c r="P366" s="199"/>
      <c r="Q366" s="199"/>
      <c r="R366" s="199"/>
      <c r="S366" s="199"/>
      <c r="T366" s="199"/>
      <c r="U366" s="199"/>
      <c r="V366" s="199"/>
      <c r="W366" s="199"/>
    </row>
    <row r="367" spans="3:23" ht="12.75" customHeight="1">
      <c r="C367" s="94"/>
      <c r="D367" s="94"/>
      <c r="E367" s="94"/>
      <c r="F367" s="94"/>
      <c r="G367" s="200"/>
      <c r="H367" s="94"/>
      <c r="K367" s="199"/>
      <c r="L367" s="199"/>
      <c r="M367" s="199"/>
      <c r="N367" s="199"/>
      <c r="O367" s="199"/>
      <c r="P367" s="199"/>
      <c r="Q367" s="199"/>
      <c r="R367" s="199"/>
      <c r="S367" s="199"/>
      <c r="T367" s="199"/>
      <c r="U367" s="199"/>
      <c r="V367" s="199"/>
      <c r="W367" s="199"/>
    </row>
    <row r="368" spans="3:23" ht="12.75" customHeight="1">
      <c r="C368" s="94"/>
      <c r="D368" s="94"/>
      <c r="E368" s="94"/>
      <c r="F368" s="94"/>
      <c r="G368" s="200"/>
      <c r="H368" s="94"/>
      <c r="K368" s="199"/>
      <c r="L368" s="199"/>
      <c r="M368" s="199"/>
      <c r="N368" s="199"/>
      <c r="O368" s="199"/>
      <c r="P368" s="199"/>
      <c r="Q368" s="199"/>
      <c r="R368" s="199"/>
      <c r="S368" s="199"/>
      <c r="T368" s="199"/>
      <c r="U368" s="199"/>
      <c r="V368" s="199"/>
      <c r="W368" s="199"/>
    </row>
    <row r="369" spans="3:23" ht="12.75" customHeight="1">
      <c r="C369" s="94"/>
      <c r="D369" s="94"/>
      <c r="E369" s="94"/>
      <c r="F369" s="94"/>
      <c r="G369" s="200"/>
      <c r="H369" s="94"/>
      <c r="K369" s="199"/>
      <c r="L369" s="199"/>
      <c r="M369" s="199"/>
      <c r="N369" s="199"/>
      <c r="O369" s="199"/>
      <c r="P369" s="199"/>
      <c r="Q369" s="199"/>
      <c r="R369" s="199"/>
      <c r="S369" s="199"/>
      <c r="T369" s="199"/>
      <c r="U369" s="199"/>
      <c r="V369" s="199"/>
      <c r="W369" s="199"/>
    </row>
    <row r="370" spans="3:23" ht="12.75" customHeight="1">
      <c r="C370" s="94"/>
      <c r="D370" s="94"/>
      <c r="E370" s="94"/>
      <c r="F370" s="94"/>
      <c r="G370" s="200"/>
      <c r="H370" s="94"/>
      <c r="K370" s="199"/>
      <c r="L370" s="199"/>
      <c r="M370" s="199"/>
      <c r="N370" s="199"/>
      <c r="O370" s="199"/>
      <c r="P370" s="199"/>
      <c r="Q370" s="199"/>
      <c r="R370" s="199"/>
      <c r="S370" s="199"/>
      <c r="T370" s="199"/>
      <c r="U370" s="199"/>
      <c r="V370" s="199"/>
      <c r="W370" s="199"/>
    </row>
    <row r="371" spans="3:23" ht="12.75" customHeight="1">
      <c r="C371" s="94"/>
      <c r="D371" s="94"/>
      <c r="E371" s="94"/>
      <c r="F371" s="94"/>
      <c r="G371" s="200"/>
      <c r="H371" s="94"/>
      <c r="K371" s="199"/>
      <c r="L371" s="199"/>
      <c r="M371" s="199"/>
      <c r="N371" s="199"/>
      <c r="O371" s="199"/>
      <c r="P371" s="199"/>
      <c r="Q371" s="199"/>
      <c r="R371" s="199"/>
      <c r="S371" s="199"/>
      <c r="T371" s="199"/>
      <c r="U371" s="199"/>
      <c r="V371" s="199"/>
      <c r="W371" s="199"/>
    </row>
    <row r="372" spans="3:23" ht="12.75" customHeight="1">
      <c r="C372" s="94"/>
      <c r="D372" s="94"/>
      <c r="E372" s="94"/>
      <c r="F372" s="94"/>
      <c r="G372" s="200"/>
      <c r="H372" s="94"/>
      <c r="K372" s="199"/>
      <c r="L372" s="199"/>
      <c r="M372" s="199"/>
      <c r="N372" s="199"/>
      <c r="O372" s="199"/>
      <c r="P372" s="199"/>
      <c r="Q372" s="199"/>
      <c r="R372" s="199"/>
      <c r="S372" s="199"/>
      <c r="T372" s="199"/>
      <c r="U372" s="199"/>
      <c r="V372" s="199"/>
      <c r="W372" s="199"/>
    </row>
    <row r="373" spans="3:23" ht="12.75" customHeight="1">
      <c r="C373" s="94"/>
      <c r="D373" s="94"/>
      <c r="E373" s="94"/>
      <c r="F373" s="94"/>
      <c r="G373" s="200"/>
      <c r="H373" s="94"/>
      <c r="K373" s="199"/>
      <c r="L373" s="199"/>
      <c r="M373" s="199"/>
      <c r="N373" s="199"/>
      <c r="O373" s="199"/>
      <c r="P373" s="199"/>
      <c r="Q373" s="199"/>
      <c r="R373" s="199"/>
      <c r="S373" s="199"/>
      <c r="T373" s="199"/>
      <c r="U373" s="199"/>
      <c r="V373" s="199"/>
      <c r="W373" s="199"/>
    </row>
    <row r="374" spans="3:23" ht="12.75" customHeight="1">
      <c r="C374" s="94"/>
      <c r="D374" s="94"/>
      <c r="E374" s="94"/>
      <c r="F374" s="94"/>
      <c r="G374" s="200"/>
      <c r="H374" s="94"/>
      <c r="K374" s="199"/>
      <c r="L374" s="199"/>
      <c r="M374" s="199"/>
      <c r="N374" s="199"/>
      <c r="O374" s="199"/>
      <c r="P374" s="199"/>
      <c r="Q374" s="199"/>
      <c r="R374" s="199"/>
      <c r="S374" s="199"/>
      <c r="T374" s="199"/>
      <c r="U374" s="199"/>
      <c r="V374" s="199"/>
      <c r="W374" s="199"/>
    </row>
    <row r="375" spans="3:23" ht="12.75" customHeight="1">
      <c r="C375" s="94"/>
      <c r="D375" s="94"/>
      <c r="E375" s="94"/>
      <c r="F375" s="94"/>
      <c r="G375" s="200"/>
      <c r="H375" s="94"/>
      <c r="K375" s="199"/>
      <c r="L375" s="199"/>
      <c r="M375" s="199"/>
      <c r="N375" s="199"/>
      <c r="O375" s="199"/>
      <c r="P375" s="199"/>
      <c r="Q375" s="199"/>
      <c r="R375" s="199"/>
      <c r="S375" s="199"/>
      <c r="T375" s="199"/>
      <c r="U375" s="199"/>
      <c r="V375" s="199"/>
      <c r="W375" s="199"/>
    </row>
    <row r="376" spans="3:23" ht="12.75" customHeight="1">
      <c r="C376" s="94"/>
      <c r="D376" s="94"/>
      <c r="E376" s="94"/>
      <c r="F376" s="94"/>
      <c r="G376" s="200"/>
      <c r="H376" s="94"/>
      <c r="K376" s="199"/>
      <c r="L376" s="199"/>
      <c r="M376" s="199"/>
      <c r="N376" s="199"/>
      <c r="O376" s="199"/>
      <c r="P376" s="199"/>
      <c r="Q376" s="199"/>
      <c r="R376" s="199"/>
      <c r="S376" s="199"/>
      <c r="T376" s="199"/>
      <c r="U376" s="199"/>
      <c r="V376" s="199"/>
      <c r="W376" s="199"/>
    </row>
    <row r="377" spans="3:23" ht="12.75" customHeight="1">
      <c r="C377" s="94"/>
      <c r="D377" s="94"/>
      <c r="E377" s="94"/>
      <c r="F377" s="94"/>
      <c r="G377" s="200"/>
      <c r="H377" s="94"/>
      <c r="K377" s="199"/>
      <c r="L377" s="199"/>
      <c r="M377" s="199"/>
      <c r="N377" s="199"/>
      <c r="O377" s="199"/>
      <c r="P377" s="199"/>
      <c r="Q377" s="199"/>
      <c r="R377" s="199"/>
      <c r="S377" s="199"/>
      <c r="T377" s="199"/>
      <c r="U377" s="199"/>
      <c r="V377" s="199"/>
      <c r="W377" s="199"/>
    </row>
    <row r="378" spans="3:23" ht="12.75" customHeight="1">
      <c r="C378" s="94"/>
      <c r="D378" s="94"/>
      <c r="E378" s="94"/>
      <c r="F378" s="94"/>
      <c r="G378" s="200"/>
      <c r="H378" s="94"/>
      <c r="K378" s="199"/>
      <c r="L378" s="199"/>
      <c r="M378" s="199"/>
      <c r="N378" s="199"/>
      <c r="O378" s="199"/>
      <c r="P378" s="199"/>
      <c r="Q378" s="199"/>
      <c r="R378" s="199"/>
      <c r="S378" s="199"/>
      <c r="T378" s="199"/>
      <c r="U378" s="199"/>
      <c r="V378" s="199"/>
      <c r="W378" s="199"/>
    </row>
    <row r="379" spans="3:23" ht="12.75" customHeight="1">
      <c r="C379" s="94"/>
      <c r="D379" s="94"/>
      <c r="E379" s="94"/>
      <c r="F379" s="94"/>
      <c r="G379" s="200"/>
      <c r="H379" s="94"/>
      <c r="K379" s="199"/>
      <c r="L379" s="199"/>
      <c r="M379" s="199"/>
      <c r="N379" s="199"/>
      <c r="O379" s="199"/>
      <c r="P379" s="199"/>
      <c r="Q379" s="199"/>
      <c r="R379" s="199"/>
      <c r="S379" s="199"/>
      <c r="T379" s="199"/>
      <c r="U379" s="199"/>
      <c r="V379" s="199"/>
      <c r="W379" s="199"/>
    </row>
    <row r="380" spans="3:23" ht="12.75" customHeight="1">
      <c r="C380" s="94"/>
      <c r="D380" s="94"/>
      <c r="E380" s="94"/>
      <c r="F380" s="94"/>
      <c r="G380" s="200"/>
      <c r="H380" s="94"/>
      <c r="K380" s="199"/>
      <c r="L380" s="199"/>
      <c r="M380" s="199"/>
      <c r="N380" s="199"/>
      <c r="O380" s="199"/>
      <c r="P380" s="199"/>
      <c r="Q380" s="199"/>
      <c r="R380" s="199"/>
      <c r="S380" s="199"/>
      <c r="T380" s="199"/>
      <c r="U380" s="199"/>
      <c r="V380" s="199"/>
      <c r="W380" s="199"/>
    </row>
    <row r="381" spans="3:23" ht="12.75" customHeight="1">
      <c r="C381" s="94"/>
      <c r="D381" s="94"/>
      <c r="E381" s="94"/>
      <c r="F381" s="94"/>
      <c r="G381" s="200"/>
      <c r="H381" s="94"/>
      <c r="K381" s="199"/>
      <c r="L381" s="199"/>
      <c r="M381" s="199"/>
      <c r="N381" s="199"/>
      <c r="O381" s="199"/>
      <c r="P381" s="199"/>
      <c r="Q381" s="199"/>
      <c r="R381" s="199"/>
      <c r="S381" s="199"/>
      <c r="T381" s="199"/>
      <c r="U381" s="199"/>
      <c r="V381" s="199"/>
      <c r="W381" s="199"/>
    </row>
    <row r="382" spans="3:23" ht="12.75" customHeight="1">
      <c r="C382" s="94"/>
      <c r="D382" s="94"/>
      <c r="E382" s="94"/>
      <c r="F382" s="94"/>
      <c r="G382" s="200"/>
      <c r="H382" s="94"/>
      <c r="K382" s="199"/>
      <c r="L382" s="199"/>
      <c r="M382" s="199"/>
      <c r="N382" s="199"/>
      <c r="O382" s="199"/>
      <c r="P382" s="199"/>
      <c r="Q382" s="199"/>
      <c r="R382" s="199"/>
      <c r="S382" s="199"/>
      <c r="T382" s="199"/>
      <c r="U382" s="199"/>
      <c r="V382" s="199"/>
      <c r="W382" s="199"/>
    </row>
    <row r="383" spans="3:23" ht="12.75" customHeight="1">
      <c r="C383" s="94"/>
      <c r="D383" s="94"/>
      <c r="E383" s="94"/>
      <c r="F383" s="94"/>
      <c r="G383" s="200"/>
      <c r="H383" s="94"/>
      <c r="K383" s="199"/>
      <c r="L383" s="199"/>
      <c r="M383" s="199"/>
      <c r="N383" s="199"/>
      <c r="O383" s="199"/>
      <c r="P383" s="199"/>
      <c r="Q383" s="199"/>
      <c r="R383" s="199"/>
      <c r="S383" s="199"/>
      <c r="T383" s="199"/>
      <c r="U383" s="199"/>
      <c r="V383" s="199"/>
      <c r="W383" s="199"/>
    </row>
    <row r="384" spans="3:23" ht="12.75" customHeight="1">
      <c r="C384" s="94"/>
      <c r="D384" s="94"/>
      <c r="E384" s="94"/>
      <c r="F384" s="94"/>
      <c r="G384" s="200"/>
      <c r="H384" s="94"/>
      <c r="K384" s="199"/>
      <c r="L384" s="199"/>
      <c r="M384" s="199"/>
      <c r="N384" s="199"/>
      <c r="O384" s="199"/>
      <c r="P384" s="199"/>
      <c r="Q384" s="199"/>
      <c r="R384" s="199"/>
      <c r="S384" s="199"/>
      <c r="T384" s="199"/>
      <c r="U384" s="199"/>
      <c r="V384" s="199"/>
      <c r="W384" s="199"/>
    </row>
    <row r="385" spans="3:23" ht="12.75" customHeight="1">
      <c r="C385" s="94"/>
      <c r="D385" s="94"/>
      <c r="E385" s="94"/>
      <c r="F385" s="94"/>
      <c r="G385" s="200"/>
      <c r="H385" s="94"/>
      <c r="K385" s="199"/>
      <c r="L385" s="199"/>
      <c r="M385" s="199"/>
      <c r="N385" s="199"/>
      <c r="O385" s="199"/>
      <c r="P385" s="199"/>
      <c r="Q385" s="199"/>
      <c r="R385" s="199"/>
      <c r="S385" s="199"/>
      <c r="T385" s="199"/>
      <c r="U385" s="199"/>
      <c r="V385" s="199"/>
      <c r="W385" s="199"/>
    </row>
    <row r="386" spans="3:23" ht="12.75" customHeight="1">
      <c r="C386" s="94"/>
      <c r="D386" s="94"/>
      <c r="E386" s="94"/>
      <c r="F386" s="94"/>
      <c r="G386" s="200"/>
      <c r="H386" s="94"/>
      <c r="K386" s="199"/>
      <c r="L386" s="199"/>
      <c r="M386" s="199"/>
      <c r="N386" s="199"/>
      <c r="O386" s="199"/>
      <c r="P386" s="199"/>
      <c r="Q386" s="199"/>
      <c r="R386" s="199"/>
      <c r="S386" s="199"/>
      <c r="T386" s="199"/>
      <c r="U386" s="199"/>
      <c r="V386" s="199"/>
      <c r="W386" s="199"/>
    </row>
    <row r="387" spans="3:23" ht="12.75" customHeight="1">
      <c r="C387" s="94"/>
      <c r="D387" s="94"/>
      <c r="E387" s="94"/>
      <c r="F387" s="94"/>
      <c r="G387" s="200"/>
      <c r="H387" s="94"/>
      <c r="K387" s="199"/>
      <c r="L387" s="199"/>
      <c r="M387" s="199"/>
      <c r="N387" s="199"/>
      <c r="O387" s="199"/>
      <c r="P387" s="199"/>
      <c r="Q387" s="199"/>
      <c r="R387" s="199"/>
      <c r="S387" s="199"/>
      <c r="T387" s="199"/>
      <c r="U387" s="199"/>
      <c r="V387" s="199"/>
      <c r="W387" s="199"/>
    </row>
    <row r="388" spans="3:23" ht="12.75" customHeight="1">
      <c r="C388" s="94"/>
      <c r="D388" s="94"/>
      <c r="E388" s="94"/>
      <c r="F388" s="94"/>
      <c r="G388" s="200"/>
      <c r="H388" s="94"/>
      <c r="K388" s="199"/>
      <c r="L388" s="199"/>
      <c r="M388" s="199"/>
      <c r="N388" s="199"/>
      <c r="O388" s="199"/>
      <c r="P388" s="199"/>
      <c r="Q388" s="199"/>
      <c r="R388" s="199"/>
      <c r="S388" s="199"/>
      <c r="T388" s="199"/>
      <c r="U388" s="199"/>
      <c r="V388" s="199"/>
      <c r="W388" s="199"/>
    </row>
    <row r="389" spans="3:23" ht="12.75" customHeight="1">
      <c r="C389" s="94"/>
      <c r="D389" s="94"/>
      <c r="E389" s="94"/>
      <c r="F389" s="94"/>
      <c r="G389" s="200"/>
      <c r="H389" s="94"/>
      <c r="K389" s="199"/>
      <c r="L389" s="199"/>
      <c r="M389" s="199"/>
      <c r="N389" s="199"/>
      <c r="O389" s="199"/>
      <c r="P389" s="199"/>
      <c r="Q389" s="199"/>
      <c r="R389" s="199"/>
      <c r="S389" s="199"/>
      <c r="T389" s="199"/>
      <c r="U389" s="199"/>
      <c r="V389" s="199"/>
      <c r="W389" s="199"/>
    </row>
    <row r="390" spans="3:23" ht="12.75" customHeight="1">
      <c r="C390" s="94"/>
      <c r="D390" s="94"/>
      <c r="E390" s="94"/>
      <c r="F390" s="94"/>
      <c r="G390" s="200"/>
      <c r="H390" s="94"/>
      <c r="K390" s="199"/>
      <c r="L390" s="199"/>
      <c r="M390" s="199"/>
      <c r="N390" s="199"/>
      <c r="O390" s="199"/>
      <c r="P390" s="199"/>
      <c r="Q390" s="199"/>
      <c r="R390" s="199"/>
      <c r="S390" s="199"/>
      <c r="T390" s="199"/>
      <c r="U390" s="199"/>
      <c r="V390" s="199"/>
      <c r="W390" s="199"/>
    </row>
    <row r="391" spans="3:23" ht="12.75" customHeight="1">
      <c r="C391" s="94"/>
      <c r="D391" s="94"/>
      <c r="E391" s="94"/>
      <c r="F391" s="94"/>
      <c r="G391" s="200"/>
      <c r="H391" s="94"/>
      <c r="K391" s="199"/>
      <c r="L391" s="199"/>
      <c r="M391" s="199"/>
      <c r="N391" s="199"/>
      <c r="O391" s="199"/>
      <c r="P391" s="199"/>
      <c r="Q391" s="199"/>
      <c r="R391" s="199"/>
      <c r="S391" s="199"/>
      <c r="T391" s="199"/>
      <c r="U391" s="199"/>
      <c r="V391" s="199"/>
      <c r="W391" s="199"/>
    </row>
    <row r="392" spans="3:23" ht="12.75" customHeight="1">
      <c r="C392" s="94"/>
      <c r="D392" s="94"/>
      <c r="E392" s="94"/>
      <c r="F392" s="94"/>
      <c r="G392" s="200"/>
      <c r="H392" s="94"/>
      <c r="K392" s="199"/>
      <c r="L392" s="199"/>
      <c r="M392" s="199"/>
      <c r="N392" s="199"/>
      <c r="O392" s="199"/>
      <c r="P392" s="199"/>
      <c r="Q392" s="199"/>
      <c r="R392" s="199"/>
      <c r="S392" s="199"/>
      <c r="T392" s="199"/>
      <c r="U392" s="199"/>
      <c r="V392" s="199"/>
      <c r="W392" s="199"/>
    </row>
    <row r="393" spans="3:23" ht="12.75" customHeight="1">
      <c r="C393" s="94"/>
      <c r="D393" s="94"/>
      <c r="E393" s="94"/>
      <c r="F393" s="94"/>
      <c r="G393" s="200"/>
      <c r="H393" s="94"/>
      <c r="K393" s="199"/>
      <c r="L393" s="199"/>
      <c r="M393" s="199"/>
      <c r="N393" s="199"/>
      <c r="O393" s="199"/>
      <c r="P393" s="199"/>
      <c r="Q393" s="199"/>
      <c r="R393" s="199"/>
      <c r="S393" s="199"/>
      <c r="T393" s="199"/>
      <c r="U393" s="199"/>
      <c r="V393" s="199"/>
      <c r="W393" s="199"/>
    </row>
    <row r="394" spans="3:23" ht="12.75" customHeight="1">
      <c r="C394" s="94"/>
      <c r="D394" s="94"/>
      <c r="E394" s="94"/>
      <c r="F394" s="94"/>
      <c r="G394" s="200"/>
      <c r="H394" s="94"/>
      <c r="K394" s="199"/>
      <c r="L394" s="199"/>
      <c r="M394" s="199"/>
      <c r="N394" s="199"/>
      <c r="O394" s="199"/>
      <c r="P394" s="199"/>
      <c r="Q394" s="199"/>
      <c r="R394" s="199"/>
      <c r="S394" s="199"/>
      <c r="T394" s="199"/>
      <c r="U394" s="199"/>
      <c r="V394" s="199"/>
      <c r="W394" s="199"/>
    </row>
    <row r="395" spans="3:23" ht="12.75" customHeight="1">
      <c r="C395" s="94"/>
      <c r="D395" s="94"/>
      <c r="E395" s="94"/>
      <c r="F395" s="94"/>
      <c r="G395" s="200"/>
      <c r="H395" s="94"/>
      <c r="K395" s="199"/>
      <c r="L395" s="199"/>
      <c r="M395" s="199"/>
      <c r="N395" s="199"/>
      <c r="O395" s="199"/>
      <c r="P395" s="199"/>
      <c r="Q395" s="199"/>
      <c r="R395" s="199"/>
      <c r="S395" s="199"/>
      <c r="T395" s="199"/>
      <c r="U395" s="199"/>
      <c r="V395" s="199"/>
      <c r="W395" s="199"/>
    </row>
    <row r="396" spans="3:23" ht="12.75" customHeight="1">
      <c r="C396" s="94"/>
      <c r="D396" s="94"/>
      <c r="E396" s="94"/>
      <c r="F396" s="94"/>
      <c r="G396" s="200"/>
      <c r="H396" s="94"/>
      <c r="K396" s="199"/>
      <c r="L396" s="199"/>
      <c r="M396" s="199"/>
      <c r="N396" s="199"/>
      <c r="O396" s="199"/>
      <c r="P396" s="199"/>
      <c r="Q396" s="199"/>
      <c r="R396" s="199"/>
      <c r="S396" s="199"/>
      <c r="T396" s="199"/>
      <c r="U396" s="199"/>
      <c r="V396" s="199"/>
      <c r="W396" s="199"/>
    </row>
    <row r="397" spans="3:23" ht="12.75" customHeight="1">
      <c r="C397" s="94"/>
      <c r="D397" s="94"/>
      <c r="E397" s="94"/>
      <c r="F397" s="94"/>
      <c r="G397" s="200"/>
      <c r="H397" s="94"/>
      <c r="K397" s="199"/>
      <c r="L397" s="199"/>
      <c r="M397" s="199"/>
      <c r="N397" s="199"/>
      <c r="O397" s="199"/>
      <c r="P397" s="199"/>
      <c r="Q397" s="199"/>
      <c r="R397" s="199"/>
      <c r="S397" s="199"/>
      <c r="T397" s="199"/>
      <c r="U397" s="199"/>
      <c r="V397" s="199"/>
      <c r="W397" s="199"/>
    </row>
    <row r="398" spans="3:23" ht="12.75" customHeight="1">
      <c r="C398" s="94"/>
      <c r="D398" s="94"/>
      <c r="E398" s="94"/>
      <c r="F398" s="94"/>
      <c r="G398" s="200"/>
      <c r="H398" s="94"/>
      <c r="K398" s="199"/>
      <c r="L398" s="199"/>
      <c r="M398" s="199"/>
      <c r="N398" s="199"/>
      <c r="O398" s="199"/>
      <c r="P398" s="199"/>
      <c r="Q398" s="199"/>
      <c r="R398" s="199"/>
      <c r="S398" s="199"/>
      <c r="T398" s="199"/>
      <c r="U398" s="199"/>
      <c r="V398" s="199"/>
      <c r="W398" s="199"/>
    </row>
    <row r="399" spans="3:23" ht="12.75" customHeight="1">
      <c r="C399" s="94"/>
      <c r="D399" s="94"/>
      <c r="E399" s="94"/>
      <c r="F399" s="94"/>
      <c r="G399" s="200"/>
      <c r="H399" s="94"/>
      <c r="K399" s="199"/>
      <c r="L399" s="199"/>
      <c r="M399" s="199"/>
      <c r="N399" s="199"/>
      <c r="O399" s="199"/>
      <c r="P399" s="199"/>
      <c r="Q399" s="199"/>
      <c r="R399" s="199"/>
      <c r="S399" s="199"/>
      <c r="T399" s="199"/>
      <c r="U399" s="199"/>
      <c r="V399" s="199"/>
      <c r="W399" s="199"/>
    </row>
    <row r="400" spans="3:23" ht="12.75" customHeight="1">
      <c r="C400" s="94"/>
      <c r="D400" s="94"/>
      <c r="E400" s="94"/>
      <c r="F400" s="94"/>
      <c r="G400" s="200"/>
      <c r="H400" s="94"/>
      <c r="K400" s="199"/>
      <c r="L400" s="199"/>
      <c r="M400" s="199"/>
      <c r="N400" s="199"/>
      <c r="O400" s="199"/>
      <c r="P400" s="199"/>
      <c r="Q400" s="199"/>
      <c r="R400" s="199"/>
      <c r="S400" s="199"/>
      <c r="T400" s="199"/>
      <c r="U400" s="199"/>
      <c r="V400" s="199"/>
      <c r="W400" s="199"/>
    </row>
    <row r="401" spans="3:23" ht="12.75" customHeight="1">
      <c r="C401" s="94"/>
      <c r="D401" s="94"/>
      <c r="E401" s="94"/>
      <c r="F401" s="94"/>
      <c r="G401" s="200"/>
      <c r="H401" s="94"/>
      <c r="K401" s="199"/>
      <c r="L401" s="199"/>
      <c r="M401" s="199"/>
      <c r="N401" s="199"/>
      <c r="O401" s="199"/>
      <c r="P401" s="199"/>
      <c r="Q401" s="199"/>
      <c r="R401" s="199"/>
      <c r="S401" s="199"/>
      <c r="T401" s="199"/>
      <c r="U401" s="199"/>
      <c r="V401" s="199"/>
      <c r="W401" s="199"/>
    </row>
    <row r="402" spans="3:23" ht="12.75" customHeight="1">
      <c r="C402" s="94"/>
      <c r="D402" s="94"/>
      <c r="E402" s="94"/>
      <c r="F402" s="94"/>
      <c r="G402" s="200"/>
      <c r="H402" s="94"/>
      <c r="K402" s="199"/>
      <c r="L402" s="199"/>
      <c r="M402" s="199"/>
      <c r="N402" s="199"/>
      <c r="O402" s="199"/>
      <c r="P402" s="199"/>
      <c r="Q402" s="199"/>
      <c r="R402" s="199"/>
      <c r="S402" s="199"/>
      <c r="T402" s="199"/>
      <c r="U402" s="199"/>
      <c r="V402" s="199"/>
      <c r="W402" s="199"/>
    </row>
    <row r="403" spans="3:23" ht="12.75" customHeight="1">
      <c r="C403" s="94"/>
      <c r="D403" s="94"/>
      <c r="E403" s="94"/>
      <c r="F403" s="94"/>
      <c r="G403" s="200"/>
      <c r="H403" s="94"/>
      <c r="K403" s="199"/>
      <c r="L403" s="199"/>
      <c r="M403" s="199"/>
      <c r="N403" s="199"/>
      <c r="O403" s="199"/>
      <c r="P403" s="199"/>
      <c r="Q403" s="199"/>
      <c r="R403" s="199"/>
      <c r="S403" s="199"/>
      <c r="T403" s="199"/>
      <c r="U403" s="199"/>
      <c r="V403" s="199"/>
      <c r="W403" s="199"/>
    </row>
    <row r="404" spans="3:23" ht="12.75" customHeight="1">
      <c r="C404" s="94"/>
      <c r="D404" s="94"/>
      <c r="E404" s="94"/>
      <c r="F404" s="94"/>
      <c r="G404" s="200"/>
      <c r="H404" s="94"/>
      <c r="K404" s="199"/>
      <c r="L404" s="199"/>
      <c r="M404" s="199"/>
      <c r="N404" s="199"/>
      <c r="O404" s="199"/>
      <c r="P404" s="199"/>
      <c r="Q404" s="199"/>
      <c r="R404" s="199"/>
      <c r="S404" s="199"/>
      <c r="T404" s="199"/>
      <c r="U404" s="199"/>
      <c r="V404" s="199"/>
      <c r="W404" s="199"/>
    </row>
    <row r="405" spans="3:23" ht="12.75" customHeight="1">
      <c r="C405" s="94"/>
      <c r="D405" s="94"/>
      <c r="E405" s="94"/>
      <c r="F405" s="94"/>
      <c r="G405" s="200"/>
      <c r="H405" s="94"/>
      <c r="K405" s="199"/>
      <c r="L405" s="199"/>
      <c r="M405" s="199"/>
      <c r="N405" s="199"/>
      <c r="O405" s="199"/>
      <c r="P405" s="199"/>
      <c r="Q405" s="199"/>
      <c r="R405" s="199"/>
      <c r="S405" s="199"/>
      <c r="T405" s="199"/>
      <c r="U405" s="199"/>
      <c r="V405" s="199"/>
      <c r="W405" s="199"/>
    </row>
    <row r="406" spans="3:23" ht="12.75" customHeight="1">
      <c r="C406" s="94"/>
      <c r="D406" s="94"/>
      <c r="E406" s="94"/>
      <c r="F406" s="94"/>
      <c r="G406" s="200"/>
      <c r="H406" s="94"/>
      <c r="K406" s="199"/>
      <c r="L406" s="199"/>
      <c r="M406" s="199"/>
      <c r="N406" s="199"/>
      <c r="O406" s="199"/>
      <c r="P406" s="199"/>
      <c r="Q406" s="199"/>
      <c r="R406" s="199"/>
      <c r="S406" s="199"/>
      <c r="T406" s="199"/>
      <c r="U406" s="199"/>
      <c r="V406" s="199"/>
      <c r="W406" s="199"/>
    </row>
    <row r="407" spans="3:23" ht="12.75" customHeight="1">
      <c r="C407" s="94"/>
      <c r="D407" s="94"/>
      <c r="E407" s="94"/>
      <c r="F407" s="94"/>
      <c r="G407" s="200"/>
      <c r="H407" s="94"/>
      <c r="K407" s="199"/>
      <c r="L407" s="199"/>
      <c r="M407" s="199"/>
      <c r="N407" s="199"/>
      <c r="O407" s="199"/>
      <c r="P407" s="199"/>
      <c r="Q407" s="199"/>
      <c r="R407" s="199"/>
      <c r="S407" s="199"/>
      <c r="T407" s="199"/>
      <c r="U407" s="199"/>
      <c r="V407" s="199"/>
      <c r="W407" s="199"/>
    </row>
    <row r="408" spans="3:23" ht="12.75" customHeight="1">
      <c r="C408" s="94"/>
      <c r="D408" s="94"/>
      <c r="E408" s="94"/>
      <c r="F408" s="94"/>
      <c r="G408" s="200"/>
      <c r="H408" s="94"/>
      <c r="K408" s="199"/>
      <c r="L408" s="199"/>
      <c r="M408" s="199"/>
      <c r="N408" s="199"/>
      <c r="O408" s="199"/>
      <c r="P408" s="199"/>
      <c r="Q408" s="199"/>
      <c r="R408" s="199"/>
      <c r="S408" s="199"/>
      <c r="T408" s="199"/>
      <c r="U408" s="199"/>
      <c r="V408" s="199"/>
      <c r="W408" s="199"/>
    </row>
    <row r="409" spans="3:23" ht="12.75" customHeight="1">
      <c r="C409" s="94"/>
      <c r="D409" s="94"/>
      <c r="E409" s="94"/>
      <c r="F409" s="94"/>
      <c r="G409" s="200"/>
      <c r="H409" s="94"/>
      <c r="K409" s="199"/>
      <c r="L409" s="199"/>
      <c r="M409" s="199"/>
      <c r="N409" s="199"/>
      <c r="O409" s="199"/>
      <c r="P409" s="199"/>
      <c r="Q409" s="199"/>
      <c r="R409" s="199"/>
      <c r="S409" s="199"/>
      <c r="T409" s="199"/>
      <c r="U409" s="199"/>
      <c r="V409" s="199"/>
      <c r="W409" s="199"/>
    </row>
    <row r="410" spans="3:23" ht="12.75" customHeight="1">
      <c r="C410" s="94"/>
      <c r="D410" s="94"/>
      <c r="E410" s="94"/>
      <c r="F410" s="94"/>
      <c r="G410" s="200"/>
      <c r="H410" s="94"/>
      <c r="K410" s="199"/>
      <c r="L410" s="199"/>
      <c r="M410" s="199"/>
      <c r="N410" s="199"/>
      <c r="O410" s="199"/>
      <c r="P410" s="199"/>
      <c r="Q410" s="199"/>
      <c r="R410" s="199"/>
      <c r="S410" s="199"/>
      <c r="T410" s="199"/>
      <c r="U410" s="199"/>
      <c r="V410" s="199"/>
      <c r="W410" s="199"/>
    </row>
    <row r="411" spans="3:23" ht="12.75" customHeight="1">
      <c r="C411" s="94"/>
      <c r="D411" s="94"/>
      <c r="E411" s="94"/>
      <c r="F411" s="94"/>
      <c r="G411" s="200"/>
      <c r="H411" s="94"/>
      <c r="K411" s="199"/>
      <c r="L411" s="199"/>
      <c r="M411" s="199"/>
      <c r="N411" s="199"/>
      <c r="O411" s="199"/>
      <c r="P411" s="199"/>
      <c r="Q411" s="199"/>
      <c r="R411" s="199"/>
      <c r="S411" s="199"/>
      <c r="T411" s="199"/>
      <c r="U411" s="199"/>
      <c r="V411" s="199"/>
      <c r="W411" s="199"/>
    </row>
    <row r="412" spans="3:23" ht="12.75" customHeight="1">
      <c r="C412" s="94"/>
      <c r="D412" s="94"/>
      <c r="E412" s="94"/>
      <c r="F412" s="94"/>
      <c r="G412" s="200"/>
      <c r="H412" s="94"/>
      <c r="K412" s="199"/>
      <c r="L412" s="199"/>
      <c r="M412" s="199"/>
      <c r="N412" s="199"/>
      <c r="O412" s="199"/>
      <c r="P412" s="199"/>
      <c r="Q412" s="199"/>
      <c r="R412" s="199"/>
      <c r="S412" s="199"/>
      <c r="T412" s="199"/>
      <c r="U412" s="199"/>
      <c r="V412" s="199"/>
      <c r="W412" s="199"/>
    </row>
    <row r="413" spans="3:23" ht="12.75" customHeight="1">
      <c r="C413" s="94"/>
      <c r="D413" s="94"/>
      <c r="E413" s="94"/>
      <c r="F413" s="94"/>
      <c r="G413" s="200"/>
      <c r="H413" s="94"/>
      <c r="K413" s="199"/>
      <c r="L413" s="199"/>
      <c r="M413" s="199"/>
      <c r="N413" s="199"/>
      <c r="O413" s="199"/>
      <c r="P413" s="199"/>
      <c r="Q413" s="199"/>
      <c r="R413" s="199"/>
      <c r="S413" s="199"/>
      <c r="T413" s="199"/>
      <c r="U413" s="199"/>
      <c r="V413" s="199"/>
      <c r="W413" s="199"/>
    </row>
    <row r="414" spans="3:23" ht="12.75" customHeight="1">
      <c r="C414" s="94"/>
      <c r="D414" s="94"/>
      <c r="E414" s="94"/>
      <c r="F414" s="94"/>
      <c r="G414" s="200"/>
      <c r="H414" s="94"/>
      <c r="K414" s="199"/>
      <c r="L414" s="199"/>
      <c r="M414" s="199"/>
      <c r="N414" s="199"/>
      <c r="O414" s="199"/>
      <c r="P414" s="199"/>
      <c r="Q414" s="199"/>
      <c r="R414" s="199"/>
      <c r="S414" s="199"/>
      <c r="T414" s="199"/>
      <c r="U414" s="199"/>
      <c r="V414" s="199"/>
      <c r="W414" s="199"/>
    </row>
    <row r="415" spans="3:23" ht="12.75" customHeight="1">
      <c r="C415" s="94"/>
      <c r="D415" s="94"/>
      <c r="E415" s="94"/>
      <c r="F415" s="94"/>
      <c r="G415" s="200"/>
      <c r="H415" s="94"/>
      <c r="K415" s="199"/>
      <c r="L415" s="199"/>
      <c r="M415" s="199"/>
      <c r="N415" s="199"/>
      <c r="O415" s="199"/>
      <c r="P415" s="199"/>
      <c r="Q415" s="199"/>
      <c r="R415" s="199"/>
      <c r="S415" s="199"/>
      <c r="T415" s="199"/>
      <c r="U415" s="199"/>
      <c r="V415" s="199"/>
      <c r="W415" s="199"/>
    </row>
    <row r="416" spans="3:23" ht="12.75" customHeight="1">
      <c r="C416" s="94"/>
      <c r="D416" s="94"/>
      <c r="E416" s="94"/>
      <c r="F416" s="94"/>
      <c r="G416" s="200"/>
      <c r="H416" s="94"/>
      <c r="K416" s="199"/>
      <c r="L416" s="199"/>
      <c r="M416" s="199"/>
      <c r="N416" s="199"/>
      <c r="O416" s="199"/>
      <c r="P416" s="199"/>
      <c r="Q416" s="199"/>
      <c r="R416" s="199"/>
      <c r="S416" s="199"/>
      <c r="T416" s="199"/>
      <c r="U416" s="199"/>
      <c r="V416" s="199"/>
      <c r="W416" s="199"/>
    </row>
    <row r="417" spans="3:23" ht="12.75" customHeight="1">
      <c r="C417" s="94"/>
      <c r="D417" s="94"/>
      <c r="E417" s="94"/>
      <c r="F417" s="94"/>
      <c r="G417" s="200"/>
      <c r="H417" s="94"/>
      <c r="K417" s="199"/>
      <c r="L417" s="199"/>
      <c r="M417" s="199"/>
      <c r="N417" s="199"/>
      <c r="O417" s="199"/>
      <c r="P417" s="199"/>
      <c r="Q417" s="199"/>
      <c r="R417" s="199"/>
      <c r="S417" s="199"/>
      <c r="T417" s="199"/>
      <c r="U417" s="199"/>
      <c r="V417" s="199"/>
      <c r="W417" s="199"/>
    </row>
    <row r="418" spans="3:23" ht="12.75" customHeight="1">
      <c r="C418" s="94"/>
      <c r="D418" s="94"/>
      <c r="E418" s="94"/>
      <c r="F418" s="94"/>
      <c r="G418" s="200"/>
      <c r="H418" s="94"/>
      <c r="K418" s="199"/>
      <c r="L418" s="199"/>
      <c r="M418" s="199"/>
      <c r="N418" s="199"/>
      <c r="O418" s="199"/>
      <c r="P418" s="199"/>
      <c r="Q418" s="199"/>
      <c r="R418" s="199"/>
      <c r="S418" s="199"/>
      <c r="T418" s="199"/>
      <c r="U418" s="199"/>
      <c r="V418" s="199"/>
      <c r="W418" s="199"/>
    </row>
    <row r="419" spans="3:23" ht="12.75" customHeight="1">
      <c r="C419" s="94"/>
      <c r="D419" s="94"/>
      <c r="E419" s="94"/>
      <c r="F419" s="94"/>
      <c r="G419" s="200"/>
      <c r="H419" s="94"/>
      <c r="K419" s="199"/>
      <c r="L419" s="199"/>
      <c r="M419" s="199"/>
      <c r="N419" s="199"/>
      <c r="O419" s="199"/>
      <c r="P419" s="199"/>
      <c r="Q419" s="199"/>
      <c r="R419" s="199"/>
      <c r="S419" s="199"/>
      <c r="T419" s="199"/>
      <c r="U419" s="199"/>
      <c r="V419" s="199"/>
      <c r="W419" s="199"/>
    </row>
    <row r="420" spans="3:23" ht="12.75" customHeight="1">
      <c r="C420" s="94"/>
      <c r="D420" s="94"/>
      <c r="E420" s="94"/>
      <c r="F420" s="94"/>
      <c r="G420" s="200"/>
      <c r="H420" s="94"/>
      <c r="K420" s="199"/>
      <c r="L420" s="199"/>
      <c r="M420" s="199"/>
      <c r="N420" s="199"/>
      <c r="O420" s="199"/>
      <c r="P420" s="199"/>
      <c r="Q420" s="199"/>
      <c r="R420" s="199"/>
      <c r="S420" s="199"/>
      <c r="T420" s="199"/>
      <c r="U420" s="199"/>
      <c r="V420" s="199"/>
      <c r="W420" s="199"/>
    </row>
    <row r="421" spans="3:23" ht="12.75" customHeight="1">
      <c r="C421" s="94"/>
      <c r="D421" s="94"/>
      <c r="E421" s="94"/>
      <c r="F421" s="94"/>
      <c r="G421" s="200"/>
      <c r="H421" s="94"/>
      <c r="K421" s="199"/>
      <c r="L421" s="199"/>
      <c r="M421" s="199"/>
      <c r="N421" s="199"/>
      <c r="O421" s="199"/>
      <c r="P421" s="199"/>
      <c r="Q421" s="199"/>
      <c r="R421" s="199"/>
      <c r="S421" s="199"/>
      <c r="T421" s="199"/>
      <c r="U421" s="199"/>
      <c r="V421" s="199"/>
      <c r="W421" s="199"/>
    </row>
    <row r="422" spans="3:23" ht="12.75" customHeight="1">
      <c r="C422" s="94"/>
      <c r="D422" s="94"/>
      <c r="E422" s="94"/>
      <c r="F422" s="94"/>
      <c r="G422" s="200"/>
      <c r="H422" s="94"/>
      <c r="K422" s="199"/>
      <c r="L422" s="199"/>
      <c r="M422" s="199"/>
      <c r="N422" s="199"/>
      <c r="O422" s="199"/>
      <c r="P422" s="199"/>
      <c r="Q422" s="199"/>
      <c r="R422" s="199"/>
      <c r="S422" s="199"/>
      <c r="T422" s="199"/>
      <c r="U422" s="199"/>
      <c r="V422" s="199"/>
      <c r="W422" s="199"/>
    </row>
    <row r="423" spans="3:23" ht="12.75" customHeight="1">
      <c r="C423" s="94"/>
      <c r="D423" s="94"/>
      <c r="E423" s="94"/>
      <c r="F423" s="94"/>
      <c r="G423" s="200"/>
      <c r="H423" s="94"/>
      <c r="K423" s="199"/>
      <c r="L423" s="199"/>
      <c r="M423" s="199"/>
      <c r="N423" s="199"/>
      <c r="O423" s="199"/>
      <c r="P423" s="199"/>
      <c r="Q423" s="199"/>
      <c r="R423" s="199"/>
      <c r="S423" s="199"/>
      <c r="T423" s="199"/>
      <c r="U423" s="199"/>
      <c r="V423" s="199"/>
      <c r="W423" s="199"/>
    </row>
    <row r="424" spans="3:23" ht="12.75" customHeight="1">
      <c r="C424" s="94"/>
      <c r="D424" s="94"/>
      <c r="E424" s="94"/>
      <c r="F424" s="94"/>
      <c r="G424" s="200"/>
      <c r="H424" s="94"/>
      <c r="K424" s="199"/>
      <c r="L424" s="199"/>
      <c r="M424" s="199"/>
      <c r="N424" s="199"/>
      <c r="O424" s="199"/>
      <c r="P424" s="199"/>
      <c r="Q424" s="199"/>
      <c r="R424" s="199"/>
      <c r="S424" s="199"/>
      <c r="T424" s="199"/>
      <c r="U424" s="199"/>
      <c r="V424" s="199"/>
      <c r="W424" s="199"/>
    </row>
    <row r="425" spans="3:23" ht="12.75" customHeight="1">
      <c r="C425" s="94"/>
      <c r="D425" s="94"/>
      <c r="E425" s="94"/>
      <c r="F425" s="94"/>
      <c r="G425" s="200"/>
      <c r="H425" s="94"/>
      <c r="K425" s="199"/>
      <c r="L425" s="199"/>
      <c r="M425" s="199"/>
      <c r="N425" s="199"/>
      <c r="O425" s="199"/>
      <c r="P425" s="199"/>
      <c r="Q425" s="199"/>
      <c r="R425" s="199"/>
      <c r="S425" s="199"/>
      <c r="T425" s="199"/>
      <c r="U425" s="199"/>
      <c r="V425" s="199"/>
      <c r="W425" s="199"/>
    </row>
    <row r="426" spans="3:23" ht="12.75" customHeight="1">
      <c r="C426" s="94"/>
      <c r="D426" s="94"/>
      <c r="E426" s="94"/>
      <c r="F426" s="94"/>
      <c r="G426" s="200"/>
      <c r="H426" s="94"/>
      <c r="K426" s="199"/>
      <c r="L426" s="199"/>
      <c r="M426" s="199"/>
      <c r="N426" s="199"/>
      <c r="O426" s="199"/>
      <c r="P426" s="199"/>
      <c r="Q426" s="199"/>
      <c r="R426" s="199"/>
      <c r="S426" s="199"/>
      <c r="T426" s="199"/>
      <c r="U426" s="199"/>
      <c r="V426" s="199"/>
      <c r="W426" s="199"/>
    </row>
    <row r="427" spans="3:23" ht="12.75" customHeight="1">
      <c r="C427" s="94"/>
      <c r="D427" s="94"/>
      <c r="E427" s="94"/>
      <c r="F427" s="94"/>
      <c r="G427" s="200"/>
      <c r="H427" s="94"/>
      <c r="K427" s="199"/>
      <c r="L427" s="199"/>
      <c r="M427" s="199"/>
      <c r="N427" s="199"/>
      <c r="O427" s="199"/>
      <c r="P427" s="199"/>
      <c r="Q427" s="199"/>
      <c r="R427" s="199"/>
      <c r="S427" s="199"/>
      <c r="T427" s="199"/>
      <c r="U427" s="199"/>
      <c r="V427" s="199"/>
      <c r="W427" s="199"/>
    </row>
    <row r="428" spans="3:23" ht="12.75" customHeight="1">
      <c r="C428" s="94"/>
      <c r="D428" s="94"/>
      <c r="E428" s="94"/>
      <c r="F428" s="94"/>
      <c r="G428" s="200"/>
      <c r="H428" s="94"/>
      <c r="K428" s="199"/>
      <c r="L428" s="199"/>
      <c r="M428" s="199"/>
      <c r="N428" s="199"/>
      <c r="O428" s="199"/>
      <c r="P428" s="199"/>
      <c r="Q428" s="199"/>
      <c r="R428" s="199"/>
      <c r="S428" s="199"/>
      <c r="T428" s="199"/>
      <c r="U428" s="199"/>
      <c r="V428" s="199"/>
      <c r="W428" s="199"/>
    </row>
    <row r="429" spans="3:23" ht="12.75" customHeight="1">
      <c r="C429" s="94"/>
      <c r="D429" s="94"/>
      <c r="E429" s="94"/>
      <c r="F429" s="94"/>
      <c r="G429" s="200"/>
      <c r="H429" s="94"/>
      <c r="K429" s="199"/>
      <c r="L429" s="199"/>
      <c r="M429" s="199"/>
      <c r="N429" s="199"/>
      <c r="O429" s="199"/>
      <c r="P429" s="199"/>
      <c r="Q429" s="199"/>
      <c r="R429" s="199"/>
      <c r="S429" s="199"/>
      <c r="T429" s="199"/>
      <c r="U429" s="199"/>
      <c r="V429" s="199"/>
      <c r="W429" s="199"/>
    </row>
    <row r="430" spans="3:23" ht="12.75" customHeight="1">
      <c r="C430" s="94"/>
      <c r="D430" s="94"/>
      <c r="E430" s="94"/>
      <c r="F430" s="94"/>
      <c r="G430" s="200"/>
      <c r="H430" s="94"/>
      <c r="K430" s="199"/>
      <c r="L430" s="199"/>
      <c r="M430" s="199"/>
      <c r="N430" s="199"/>
      <c r="O430" s="199"/>
      <c r="P430" s="199"/>
      <c r="Q430" s="199"/>
      <c r="R430" s="199"/>
      <c r="S430" s="199"/>
      <c r="T430" s="199"/>
      <c r="U430" s="199"/>
      <c r="V430" s="199"/>
      <c r="W430" s="199"/>
    </row>
    <row r="431" spans="3:23" ht="12.75" customHeight="1">
      <c r="C431" s="94"/>
      <c r="D431" s="94"/>
      <c r="E431" s="94"/>
      <c r="F431" s="94"/>
      <c r="G431" s="200"/>
      <c r="H431" s="94"/>
      <c r="K431" s="199"/>
      <c r="L431" s="199"/>
      <c r="M431" s="199"/>
      <c r="N431" s="199"/>
      <c r="O431" s="199"/>
      <c r="P431" s="199"/>
      <c r="Q431" s="199"/>
      <c r="R431" s="199"/>
      <c r="S431" s="199"/>
      <c r="T431" s="199"/>
      <c r="U431" s="199"/>
      <c r="V431" s="199"/>
      <c r="W431" s="199"/>
    </row>
    <row r="432" spans="3:23" ht="12.75" customHeight="1">
      <c r="C432" s="94"/>
      <c r="D432" s="94"/>
      <c r="E432" s="94"/>
      <c r="F432" s="94"/>
      <c r="G432" s="200"/>
      <c r="H432" s="94"/>
      <c r="K432" s="199"/>
      <c r="L432" s="199"/>
      <c r="M432" s="199"/>
      <c r="N432" s="199"/>
      <c r="O432" s="199"/>
      <c r="P432" s="199"/>
      <c r="Q432" s="199"/>
      <c r="R432" s="199"/>
      <c r="S432" s="199"/>
      <c r="T432" s="199"/>
      <c r="U432" s="199"/>
      <c r="V432" s="199"/>
      <c r="W432" s="199"/>
    </row>
    <row r="433" spans="3:23" ht="12.75" customHeight="1">
      <c r="C433" s="94"/>
      <c r="D433" s="94"/>
      <c r="E433" s="94"/>
      <c r="F433" s="94"/>
      <c r="G433" s="200"/>
      <c r="H433" s="94"/>
      <c r="K433" s="199"/>
      <c r="L433" s="199"/>
      <c r="M433" s="199"/>
      <c r="N433" s="199"/>
      <c r="O433" s="199"/>
      <c r="P433" s="199"/>
      <c r="Q433" s="199"/>
      <c r="R433" s="199"/>
      <c r="S433" s="199"/>
      <c r="T433" s="199"/>
      <c r="U433" s="199"/>
      <c r="V433" s="199"/>
      <c r="W433" s="199"/>
    </row>
    <row r="434" spans="3:23" ht="12.75" customHeight="1">
      <c r="C434" s="94"/>
      <c r="D434" s="94"/>
      <c r="E434" s="94"/>
      <c r="F434" s="94"/>
      <c r="G434" s="200"/>
      <c r="H434" s="94"/>
      <c r="K434" s="199"/>
      <c r="L434" s="199"/>
      <c r="M434" s="199"/>
      <c r="N434" s="199"/>
      <c r="O434" s="199"/>
      <c r="P434" s="199"/>
      <c r="Q434" s="199"/>
      <c r="R434" s="199"/>
      <c r="S434" s="199"/>
      <c r="T434" s="199"/>
      <c r="U434" s="199"/>
      <c r="V434" s="199"/>
      <c r="W434" s="199"/>
    </row>
    <row r="435" spans="3:23" ht="12.75" customHeight="1">
      <c r="C435" s="94"/>
      <c r="D435" s="94"/>
      <c r="E435" s="94"/>
      <c r="F435" s="94"/>
      <c r="G435" s="200"/>
      <c r="H435" s="94"/>
      <c r="K435" s="199"/>
      <c r="L435" s="199"/>
      <c r="M435" s="199"/>
      <c r="N435" s="199"/>
      <c r="O435" s="199"/>
      <c r="P435" s="199"/>
      <c r="Q435" s="199"/>
      <c r="R435" s="199"/>
      <c r="S435" s="199"/>
      <c r="T435" s="199"/>
      <c r="U435" s="199"/>
      <c r="V435" s="199"/>
      <c r="W435" s="199"/>
    </row>
    <row r="436" spans="3:23" ht="12.75" customHeight="1">
      <c r="C436" s="94"/>
      <c r="D436" s="94"/>
      <c r="E436" s="94"/>
      <c r="F436" s="94"/>
      <c r="G436" s="200"/>
      <c r="H436" s="94"/>
      <c r="K436" s="199"/>
      <c r="L436" s="199"/>
      <c r="M436" s="199"/>
      <c r="N436" s="199"/>
      <c r="O436" s="199"/>
      <c r="P436" s="199"/>
      <c r="Q436" s="199"/>
      <c r="R436" s="199"/>
      <c r="S436" s="199"/>
      <c r="T436" s="199"/>
      <c r="U436" s="199"/>
      <c r="V436" s="199"/>
      <c r="W436" s="199"/>
    </row>
    <row r="437" spans="3:23" ht="12.75" customHeight="1">
      <c r="C437" s="94"/>
      <c r="D437" s="94"/>
      <c r="E437" s="94"/>
      <c r="F437" s="94"/>
      <c r="G437" s="200"/>
      <c r="H437" s="94"/>
      <c r="K437" s="199"/>
      <c r="L437" s="199"/>
      <c r="M437" s="199"/>
      <c r="N437" s="199"/>
      <c r="O437" s="199"/>
      <c r="P437" s="199"/>
      <c r="Q437" s="199"/>
      <c r="R437" s="199"/>
      <c r="S437" s="199"/>
      <c r="T437" s="199"/>
      <c r="U437" s="199"/>
      <c r="V437" s="199"/>
      <c r="W437" s="199"/>
    </row>
    <row r="438" spans="3:23" ht="12.75" customHeight="1">
      <c r="C438" s="94"/>
      <c r="D438" s="94"/>
      <c r="E438" s="94"/>
      <c r="F438" s="94"/>
      <c r="G438" s="200"/>
      <c r="H438" s="94"/>
      <c r="K438" s="199"/>
      <c r="L438" s="199"/>
      <c r="M438" s="199"/>
      <c r="N438" s="199"/>
      <c r="O438" s="199"/>
      <c r="P438" s="199"/>
      <c r="Q438" s="199"/>
      <c r="R438" s="199"/>
      <c r="S438" s="199"/>
      <c r="T438" s="199"/>
      <c r="U438" s="199"/>
      <c r="V438" s="199"/>
      <c r="W438" s="199"/>
    </row>
    <row r="439" spans="3:23" ht="12.75" customHeight="1">
      <c r="C439" s="94"/>
      <c r="D439" s="94"/>
      <c r="E439" s="94"/>
      <c r="F439" s="94"/>
      <c r="G439" s="200"/>
      <c r="H439" s="94"/>
      <c r="K439" s="199"/>
      <c r="L439" s="199"/>
      <c r="M439" s="199"/>
      <c r="N439" s="199"/>
      <c r="O439" s="199"/>
      <c r="P439" s="199"/>
      <c r="Q439" s="199"/>
      <c r="R439" s="199"/>
      <c r="S439" s="199"/>
      <c r="T439" s="199"/>
      <c r="U439" s="199"/>
      <c r="V439" s="199"/>
      <c r="W439" s="199"/>
    </row>
    <row r="440" spans="3:23" ht="12.75" customHeight="1">
      <c r="C440" s="94"/>
      <c r="D440" s="94"/>
      <c r="E440" s="94"/>
      <c r="F440" s="94"/>
      <c r="G440" s="200"/>
      <c r="H440" s="94"/>
      <c r="K440" s="199"/>
      <c r="L440" s="199"/>
      <c r="M440" s="199"/>
      <c r="N440" s="199"/>
      <c r="O440" s="199"/>
      <c r="P440" s="199"/>
      <c r="Q440" s="199"/>
      <c r="R440" s="199"/>
      <c r="S440" s="199"/>
      <c r="T440" s="199"/>
      <c r="U440" s="199"/>
      <c r="V440" s="199"/>
      <c r="W440" s="199"/>
    </row>
    <row r="441" spans="3:23" ht="12.75" customHeight="1">
      <c r="C441" s="94"/>
      <c r="D441" s="94"/>
      <c r="E441" s="94"/>
      <c r="F441" s="94"/>
      <c r="G441" s="200"/>
      <c r="H441" s="94"/>
      <c r="K441" s="199"/>
      <c r="L441" s="199"/>
      <c r="M441" s="199"/>
      <c r="N441" s="199"/>
      <c r="O441" s="199"/>
      <c r="P441" s="199"/>
      <c r="Q441" s="199"/>
      <c r="R441" s="199"/>
      <c r="S441" s="199"/>
      <c r="T441" s="199"/>
      <c r="U441" s="199"/>
      <c r="V441" s="199"/>
      <c r="W441" s="199"/>
    </row>
    <row r="442" spans="3:23" ht="12.75" customHeight="1">
      <c r="C442" s="94"/>
      <c r="D442" s="94"/>
      <c r="E442" s="94"/>
      <c r="F442" s="94"/>
      <c r="G442" s="200"/>
      <c r="H442" s="94"/>
      <c r="K442" s="199"/>
      <c r="L442" s="199"/>
      <c r="M442" s="199"/>
      <c r="N442" s="199"/>
      <c r="O442" s="199"/>
      <c r="P442" s="199"/>
      <c r="Q442" s="199"/>
      <c r="R442" s="199"/>
      <c r="S442" s="199"/>
      <c r="T442" s="199"/>
      <c r="U442" s="199"/>
      <c r="V442" s="199"/>
      <c r="W442" s="199"/>
    </row>
    <row r="443" spans="3:23" ht="12.75" customHeight="1">
      <c r="C443" s="94"/>
      <c r="D443" s="94"/>
      <c r="E443" s="94"/>
      <c r="F443" s="94"/>
      <c r="G443" s="200"/>
      <c r="H443" s="94"/>
      <c r="K443" s="199"/>
      <c r="L443" s="199"/>
      <c r="M443" s="199"/>
      <c r="N443" s="199"/>
      <c r="O443" s="199"/>
      <c r="P443" s="199"/>
      <c r="Q443" s="199"/>
      <c r="R443" s="199"/>
      <c r="S443" s="199"/>
      <c r="T443" s="199"/>
      <c r="U443" s="199"/>
      <c r="V443" s="199"/>
      <c r="W443" s="199"/>
    </row>
    <row r="444" spans="3:23" ht="12.75" customHeight="1">
      <c r="C444" s="94"/>
      <c r="D444" s="94"/>
      <c r="E444" s="94"/>
      <c r="F444" s="94"/>
      <c r="G444" s="200"/>
      <c r="H444" s="94"/>
      <c r="K444" s="199"/>
      <c r="L444" s="199"/>
      <c r="M444" s="199"/>
      <c r="N444" s="199"/>
      <c r="O444" s="199"/>
      <c r="P444" s="199"/>
      <c r="Q444" s="199"/>
      <c r="R444" s="199"/>
      <c r="S444" s="199"/>
      <c r="T444" s="199"/>
      <c r="U444" s="199"/>
      <c r="V444" s="199"/>
      <c r="W444" s="199"/>
    </row>
    <row r="445" spans="3:23" ht="12.75" customHeight="1">
      <c r="C445" s="94"/>
      <c r="D445" s="94"/>
      <c r="E445" s="94"/>
      <c r="F445" s="94"/>
      <c r="G445" s="200"/>
      <c r="H445" s="94"/>
      <c r="K445" s="199"/>
      <c r="L445" s="199"/>
      <c r="M445" s="199"/>
      <c r="N445" s="199"/>
      <c r="O445" s="199"/>
      <c r="P445" s="199"/>
      <c r="Q445" s="199"/>
      <c r="R445" s="199"/>
      <c r="S445" s="199"/>
      <c r="T445" s="199"/>
      <c r="U445" s="199"/>
      <c r="V445" s="199"/>
      <c r="W445" s="199"/>
    </row>
    <row r="446" spans="3:23" ht="12.75" customHeight="1">
      <c r="C446" s="94"/>
      <c r="D446" s="94"/>
      <c r="E446" s="94"/>
      <c r="F446" s="94"/>
      <c r="G446" s="200"/>
      <c r="H446" s="94"/>
      <c r="K446" s="199"/>
      <c r="L446" s="199"/>
      <c r="M446" s="199"/>
      <c r="N446" s="199"/>
      <c r="O446" s="199"/>
      <c r="P446" s="199"/>
      <c r="Q446" s="199"/>
      <c r="R446" s="199"/>
      <c r="S446" s="199"/>
      <c r="T446" s="199"/>
      <c r="U446" s="199"/>
      <c r="V446" s="199"/>
      <c r="W446" s="199"/>
    </row>
    <row r="447" spans="3:23" ht="12.75" customHeight="1">
      <c r="C447" s="94"/>
      <c r="D447" s="94"/>
      <c r="E447" s="94"/>
      <c r="F447" s="94"/>
      <c r="G447" s="200"/>
      <c r="H447" s="94"/>
      <c r="K447" s="199"/>
      <c r="L447" s="199"/>
      <c r="M447" s="199"/>
      <c r="N447" s="199"/>
      <c r="O447" s="199"/>
      <c r="P447" s="199"/>
      <c r="Q447" s="199"/>
      <c r="R447" s="199"/>
      <c r="S447" s="199"/>
      <c r="T447" s="199"/>
      <c r="U447" s="199"/>
      <c r="V447" s="199"/>
      <c r="W447" s="199"/>
    </row>
    <row r="448" spans="3:23" ht="12.75" customHeight="1">
      <c r="C448" s="94"/>
      <c r="D448" s="94"/>
      <c r="E448" s="94"/>
      <c r="F448" s="94"/>
      <c r="G448" s="200"/>
      <c r="H448" s="94"/>
      <c r="K448" s="199"/>
      <c r="L448" s="199"/>
      <c r="M448" s="199"/>
      <c r="N448" s="199"/>
      <c r="O448" s="199"/>
      <c r="P448" s="199"/>
      <c r="Q448" s="199"/>
      <c r="R448" s="199"/>
      <c r="S448" s="199"/>
      <c r="T448" s="199"/>
      <c r="U448" s="199"/>
      <c r="V448" s="199"/>
      <c r="W448" s="199"/>
    </row>
    <row r="449" spans="3:23" ht="12.75" customHeight="1">
      <c r="C449" s="94"/>
      <c r="D449" s="94"/>
      <c r="E449" s="94"/>
      <c r="F449" s="94"/>
      <c r="G449" s="200"/>
      <c r="H449" s="94"/>
      <c r="K449" s="199"/>
      <c r="L449" s="199"/>
      <c r="M449" s="199"/>
      <c r="N449" s="199"/>
      <c r="O449" s="199"/>
      <c r="P449" s="199"/>
      <c r="Q449" s="199"/>
      <c r="R449" s="199"/>
      <c r="S449" s="199"/>
      <c r="T449" s="199"/>
      <c r="U449" s="199"/>
      <c r="V449" s="199"/>
      <c r="W449" s="199"/>
    </row>
    <row r="450" spans="3:23" ht="12.75" customHeight="1">
      <c r="C450" s="94"/>
      <c r="D450" s="94"/>
      <c r="E450" s="94"/>
      <c r="F450" s="94"/>
      <c r="G450" s="200"/>
      <c r="H450" s="94"/>
      <c r="K450" s="199"/>
      <c r="L450" s="199"/>
      <c r="M450" s="199"/>
      <c r="N450" s="199"/>
      <c r="O450" s="199"/>
      <c r="P450" s="199"/>
      <c r="Q450" s="199"/>
      <c r="R450" s="199"/>
      <c r="S450" s="199"/>
      <c r="T450" s="199"/>
      <c r="U450" s="199"/>
      <c r="V450" s="199"/>
      <c r="W450" s="199"/>
    </row>
    <row r="451" spans="3:23" ht="12.75" customHeight="1">
      <c r="C451" s="94"/>
      <c r="D451" s="94"/>
      <c r="E451" s="94"/>
      <c r="F451" s="94"/>
      <c r="G451" s="200"/>
      <c r="H451" s="94"/>
      <c r="K451" s="199"/>
      <c r="L451" s="199"/>
      <c r="M451" s="199"/>
      <c r="N451" s="199"/>
      <c r="O451" s="199"/>
      <c r="P451" s="199"/>
      <c r="Q451" s="199"/>
      <c r="R451" s="199"/>
      <c r="S451" s="199"/>
      <c r="T451" s="199"/>
      <c r="U451" s="199"/>
      <c r="V451" s="199"/>
      <c r="W451" s="199"/>
    </row>
    <row r="452" spans="3:23" ht="12.75" customHeight="1">
      <c r="C452" s="94"/>
      <c r="D452" s="94"/>
      <c r="E452" s="94"/>
      <c r="F452" s="94"/>
      <c r="G452" s="200"/>
      <c r="H452" s="94"/>
      <c r="K452" s="199"/>
      <c r="L452" s="199"/>
      <c r="M452" s="199"/>
      <c r="N452" s="199"/>
      <c r="O452" s="199"/>
      <c r="P452" s="199"/>
      <c r="Q452" s="199"/>
      <c r="R452" s="199"/>
      <c r="S452" s="199"/>
      <c r="T452" s="199"/>
      <c r="U452" s="199"/>
      <c r="V452" s="199"/>
      <c r="W452" s="199"/>
    </row>
    <row r="453" spans="3:23" ht="12.75" customHeight="1">
      <c r="C453" s="94"/>
      <c r="D453" s="94"/>
      <c r="E453" s="94"/>
      <c r="F453" s="94"/>
      <c r="G453" s="200"/>
      <c r="H453" s="94"/>
      <c r="K453" s="199"/>
      <c r="L453" s="199"/>
      <c r="M453" s="199"/>
      <c r="N453" s="199"/>
      <c r="O453" s="199"/>
      <c r="P453" s="199"/>
      <c r="Q453" s="199"/>
      <c r="R453" s="199"/>
      <c r="S453" s="199"/>
      <c r="T453" s="199"/>
      <c r="U453" s="199"/>
      <c r="V453" s="199"/>
      <c r="W453" s="199"/>
    </row>
    <row r="454" spans="3:23" ht="12.75" customHeight="1">
      <c r="C454" s="94"/>
      <c r="D454" s="94"/>
      <c r="E454" s="94"/>
      <c r="F454" s="94"/>
      <c r="G454" s="200"/>
      <c r="H454" s="94"/>
      <c r="K454" s="199"/>
      <c r="L454" s="199"/>
      <c r="M454" s="199"/>
      <c r="N454" s="199"/>
      <c r="O454" s="199"/>
      <c r="P454" s="199"/>
      <c r="Q454" s="199"/>
      <c r="R454" s="199"/>
      <c r="S454" s="199"/>
      <c r="T454" s="199"/>
      <c r="U454" s="199"/>
      <c r="V454" s="199"/>
      <c r="W454" s="199"/>
    </row>
    <row r="455" spans="3:23" ht="12.75" customHeight="1">
      <c r="C455" s="94"/>
      <c r="D455" s="94"/>
      <c r="E455" s="94"/>
      <c r="F455" s="94"/>
      <c r="G455" s="200"/>
      <c r="H455" s="94"/>
      <c r="K455" s="199"/>
      <c r="L455" s="199"/>
      <c r="M455" s="199"/>
      <c r="N455" s="199"/>
      <c r="O455" s="199"/>
      <c r="P455" s="199"/>
      <c r="Q455" s="199"/>
      <c r="R455" s="199"/>
      <c r="S455" s="199"/>
      <c r="T455" s="199"/>
      <c r="U455" s="199"/>
      <c r="V455" s="199"/>
      <c r="W455" s="199"/>
    </row>
    <row r="456" spans="3:23" ht="12.75" customHeight="1">
      <c r="C456" s="94"/>
      <c r="D456" s="94"/>
      <c r="E456" s="94"/>
      <c r="F456" s="94"/>
      <c r="G456" s="200"/>
      <c r="H456" s="94"/>
      <c r="K456" s="199"/>
      <c r="L456" s="199"/>
      <c r="M456" s="199"/>
      <c r="N456" s="199"/>
      <c r="O456" s="199"/>
      <c r="P456" s="199"/>
      <c r="Q456" s="199"/>
      <c r="R456" s="199"/>
      <c r="S456" s="199"/>
      <c r="T456" s="199"/>
      <c r="U456" s="199"/>
      <c r="V456" s="199"/>
      <c r="W456" s="199"/>
    </row>
    <row r="457" spans="3:23" ht="12.75" customHeight="1">
      <c r="C457" s="94"/>
      <c r="D457" s="94"/>
      <c r="E457" s="94"/>
      <c r="F457" s="94"/>
      <c r="G457" s="200"/>
      <c r="H457" s="94"/>
      <c r="K457" s="199"/>
      <c r="L457" s="199"/>
      <c r="M457" s="199"/>
      <c r="N457" s="199"/>
      <c r="O457" s="199"/>
      <c r="P457" s="199"/>
      <c r="Q457" s="199"/>
      <c r="R457" s="199"/>
      <c r="S457" s="199"/>
      <c r="T457" s="199"/>
      <c r="U457" s="199"/>
      <c r="V457" s="199"/>
      <c r="W457" s="199"/>
    </row>
    <row r="458" spans="3:23" ht="12.75" customHeight="1">
      <c r="C458" s="94"/>
      <c r="D458" s="94"/>
      <c r="E458" s="94"/>
      <c r="F458" s="94"/>
      <c r="G458" s="200"/>
      <c r="H458" s="94"/>
      <c r="K458" s="199"/>
      <c r="L458" s="199"/>
      <c r="M458" s="199"/>
      <c r="N458" s="199"/>
      <c r="O458" s="199"/>
      <c r="P458" s="199"/>
      <c r="Q458" s="199"/>
      <c r="R458" s="199"/>
      <c r="S458" s="199"/>
      <c r="T458" s="199"/>
      <c r="U458" s="199"/>
      <c r="V458" s="199"/>
      <c r="W458" s="199"/>
    </row>
    <row r="459" spans="3:23" ht="12.75" customHeight="1">
      <c r="C459" s="94"/>
      <c r="D459" s="94"/>
      <c r="E459" s="94"/>
      <c r="F459" s="94"/>
      <c r="G459" s="200"/>
      <c r="H459" s="94"/>
      <c r="K459" s="199"/>
      <c r="L459" s="199"/>
      <c r="M459" s="199"/>
      <c r="N459" s="199"/>
      <c r="O459" s="199"/>
      <c r="P459" s="199"/>
      <c r="Q459" s="199"/>
      <c r="R459" s="199"/>
      <c r="S459" s="199"/>
      <c r="T459" s="199"/>
      <c r="U459" s="199"/>
      <c r="V459" s="199"/>
      <c r="W459" s="199"/>
    </row>
    <row r="460" spans="3:23" ht="12.75" customHeight="1">
      <c r="C460" s="94"/>
      <c r="D460" s="94"/>
      <c r="E460" s="94"/>
      <c r="F460" s="94"/>
      <c r="G460" s="200"/>
      <c r="H460" s="94"/>
      <c r="K460" s="199"/>
      <c r="L460" s="199"/>
      <c r="M460" s="199"/>
      <c r="N460" s="199"/>
      <c r="O460" s="199"/>
      <c r="P460" s="199"/>
      <c r="Q460" s="199"/>
      <c r="R460" s="199"/>
      <c r="S460" s="199"/>
      <c r="T460" s="199"/>
      <c r="U460" s="199"/>
      <c r="V460" s="199"/>
      <c r="W460" s="199"/>
    </row>
    <row r="461" spans="3:23" ht="12.75" customHeight="1">
      <c r="C461" s="94"/>
      <c r="D461" s="94"/>
      <c r="E461" s="94"/>
      <c r="F461" s="94"/>
      <c r="G461" s="200"/>
      <c r="H461" s="94"/>
      <c r="K461" s="199"/>
      <c r="L461" s="199"/>
      <c r="M461" s="199"/>
      <c r="N461" s="199"/>
      <c r="O461" s="199"/>
      <c r="P461" s="199"/>
      <c r="Q461" s="199"/>
      <c r="R461" s="199"/>
      <c r="S461" s="199"/>
      <c r="T461" s="199"/>
      <c r="U461" s="199"/>
      <c r="V461" s="199"/>
      <c r="W461" s="199"/>
    </row>
    <row r="462" spans="3:23" ht="12.75" customHeight="1">
      <c r="C462" s="94"/>
      <c r="D462" s="94"/>
      <c r="E462" s="94"/>
      <c r="F462" s="94"/>
      <c r="G462" s="200"/>
      <c r="H462" s="94"/>
      <c r="K462" s="199"/>
      <c r="L462" s="199"/>
      <c r="M462" s="199"/>
      <c r="N462" s="199"/>
      <c r="O462" s="199"/>
      <c r="P462" s="199"/>
      <c r="Q462" s="199"/>
      <c r="R462" s="199"/>
      <c r="S462" s="199"/>
      <c r="T462" s="199"/>
      <c r="U462" s="199"/>
      <c r="V462" s="199"/>
      <c r="W462" s="199"/>
    </row>
    <row r="463" spans="3:23" ht="12.75" customHeight="1">
      <c r="C463" s="94"/>
      <c r="D463" s="94"/>
      <c r="E463" s="94"/>
      <c r="F463" s="94"/>
      <c r="G463" s="200"/>
      <c r="H463" s="94"/>
      <c r="K463" s="199"/>
      <c r="L463" s="199"/>
      <c r="M463" s="199"/>
      <c r="N463" s="199"/>
      <c r="O463" s="199"/>
      <c r="P463" s="199"/>
      <c r="Q463" s="199"/>
      <c r="R463" s="199"/>
      <c r="S463" s="199"/>
      <c r="T463" s="199"/>
      <c r="U463" s="199"/>
      <c r="V463" s="199"/>
      <c r="W463" s="199"/>
    </row>
    <row r="464" spans="3:23" ht="12.75" customHeight="1">
      <c r="C464" s="94"/>
      <c r="D464" s="94"/>
      <c r="E464" s="94"/>
      <c r="F464" s="94"/>
      <c r="G464" s="200"/>
      <c r="H464" s="94"/>
      <c r="K464" s="199"/>
      <c r="L464" s="199"/>
      <c r="M464" s="199"/>
      <c r="N464" s="199"/>
      <c r="O464" s="199"/>
      <c r="P464" s="199"/>
      <c r="Q464" s="199"/>
      <c r="R464" s="199"/>
      <c r="S464" s="199"/>
      <c r="T464" s="199"/>
      <c r="U464" s="199"/>
      <c r="V464" s="199"/>
      <c r="W464" s="199"/>
    </row>
    <row r="465" spans="3:23" ht="12.75" customHeight="1">
      <c r="C465" s="94"/>
      <c r="D465" s="94"/>
      <c r="E465" s="94"/>
      <c r="F465" s="94"/>
      <c r="G465" s="200"/>
      <c r="H465" s="94"/>
      <c r="K465" s="199"/>
      <c r="L465" s="199"/>
      <c r="M465" s="199"/>
      <c r="N465" s="199"/>
      <c r="O465" s="199"/>
      <c r="P465" s="199"/>
      <c r="Q465" s="199"/>
      <c r="R465" s="199"/>
      <c r="S465" s="199"/>
      <c r="T465" s="199"/>
      <c r="U465" s="199"/>
      <c r="V465" s="199"/>
      <c r="W465" s="199"/>
    </row>
    <row r="466" spans="3:23" ht="12.75" customHeight="1">
      <c r="C466" s="94"/>
      <c r="D466" s="94"/>
      <c r="E466" s="94"/>
      <c r="F466" s="94"/>
      <c r="G466" s="200"/>
      <c r="H466" s="94"/>
      <c r="K466" s="199"/>
      <c r="L466" s="199"/>
      <c r="M466" s="199"/>
      <c r="N466" s="199"/>
      <c r="O466" s="199"/>
      <c r="P466" s="199"/>
      <c r="Q466" s="199"/>
      <c r="R466" s="199"/>
      <c r="S466" s="199"/>
      <c r="T466" s="199"/>
      <c r="U466" s="199"/>
      <c r="V466" s="199"/>
      <c r="W466" s="199"/>
    </row>
    <row r="467" spans="3:23" ht="12.75" customHeight="1">
      <c r="C467" s="94"/>
      <c r="D467" s="94"/>
      <c r="E467" s="94"/>
      <c r="F467" s="94"/>
      <c r="G467" s="200"/>
      <c r="H467" s="94"/>
      <c r="K467" s="199"/>
      <c r="L467" s="199"/>
      <c r="M467" s="199"/>
      <c r="N467" s="199"/>
      <c r="O467" s="199"/>
      <c r="P467" s="199"/>
      <c r="Q467" s="199"/>
      <c r="R467" s="199"/>
      <c r="S467" s="199"/>
      <c r="T467" s="199"/>
      <c r="U467" s="199"/>
      <c r="V467" s="199"/>
      <c r="W467" s="199"/>
    </row>
    <row r="468" spans="3:23" ht="12.75" customHeight="1">
      <c r="C468" s="94"/>
      <c r="D468" s="94"/>
      <c r="E468" s="94"/>
      <c r="F468" s="94"/>
      <c r="G468" s="200"/>
      <c r="H468" s="94"/>
      <c r="K468" s="199"/>
      <c r="L468" s="199"/>
      <c r="M468" s="199"/>
      <c r="N468" s="199"/>
      <c r="O468" s="199"/>
      <c r="P468" s="199"/>
      <c r="Q468" s="199"/>
      <c r="R468" s="199"/>
      <c r="S468" s="199"/>
      <c r="T468" s="199"/>
      <c r="U468" s="199"/>
      <c r="V468" s="199"/>
      <c r="W468" s="199"/>
    </row>
    <row r="469" spans="3:23" ht="12.75" customHeight="1">
      <c r="C469" s="94"/>
      <c r="D469" s="94"/>
      <c r="E469" s="94"/>
      <c r="F469" s="94"/>
      <c r="G469" s="200"/>
      <c r="H469" s="94"/>
      <c r="K469" s="199"/>
      <c r="L469" s="199"/>
      <c r="M469" s="199"/>
      <c r="N469" s="199"/>
      <c r="O469" s="199"/>
      <c r="P469" s="199"/>
      <c r="Q469" s="199"/>
      <c r="R469" s="199"/>
      <c r="S469" s="199"/>
      <c r="T469" s="199"/>
      <c r="U469" s="199"/>
      <c r="V469" s="199"/>
      <c r="W469" s="199"/>
    </row>
    <row r="470" spans="3:23" ht="12.75" customHeight="1">
      <c r="C470" s="94"/>
      <c r="D470" s="94"/>
      <c r="E470" s="94"/>
      <c r="F470" s="94"/>
      <c r="G470" s="200"/>
      <c r="H470" s="94"/>
      <c r="K470" s="199"/>
      <c r="L470" s="199"/>
      <c r="M470" s="199"/>
      <c r="N470" s="199"/>
      <c r="O470" s="199"/>
      <c r="P470" s="199"/>
      <c r="Q470" s="199"/>
      <c r="R470" s="199"/>
      <c r="S470" s="199"/>
      <c r="T470" s="199"/>
      <c r="U470" s="199"/>
      <c r="V470" s="199"/>
      <c r="W470" s="199"/>
    </row>
    <row r="471" spans="3:23" ht="12.75" customHeight="1">
      <c r="C471" s="94"/>
      <c r="D471" s="94"/>
      <c r="E471" s="94"/>
      <c r="F471" s="94"/>
      <c r="G471" s="200"/>
      <c r="H471" s="94"/>
      <c r="K471" s="199"/>
      <c r="L471" s="199"/>
      <c r="M471" s="199"/>
      <c r="N471" s="199"/>
      <c r="O471" s="199"/>
      <c r="P471" s="199"/>
      <c r="Q471" s="199"/>
      <c r="R471" s="199"/>
      <c r="S471" s="199"/>
      <c r="T471" s="199"/>
      <c r="U471" s="199"/>
      <c r="V471" s="199"/>
      <c r="W471" s="199"/>
    </row>
    <row r="472" spans="3:23" ht="12.75" customHeight="1">
      <c r="C472" s="94"/>
      <c r="D472" s="94"/>
      <c r="E472" s="94"/>
      <c r="F472" s="94"/>
      <c r="G472" s="200"/>
      <c r="H472" s="94"/>
      <c r="K472" s="199"/>
      <c r="L472" s="199"/>
      <c r="M472" s="199"/>
      <c r="N472" s="199"/>
      <c r="O472" s="199"/>
      <c r="P472" s="199"/>
      <c r="Q472" s="199"/>
      <c r="R472" s="199"/>
      <c r="S472" s="199"/>
      <c r="T472" s="199"/>
      <c r="U472" s="199"/>
      <c r="V472" s="199"/>
      <c r="W472" s="199"/>
    </row>
    <row r="473" spans="3:23" ht="12.75" customHeight="1">
      <c r="C473" s="94"/>
      <c r="D473" s="94"/>
      <c r="E473" s="94"/>
      <c r="F473" s="94"/>
      <c r="G473" s="200"/>
      <c r="H473" s="94"/>
      <c r="K473" s="199"/>
      <c r="L473" s="199"/>
      <c r="M473" s="199"/>
      <c r="N473" s="199"/>
      <c r="O473" s="199"/>
      <c r="P473" s="199"/>
      <c r="Q473" s="199"/>
      <c r="R473" s="199"/>
      <c r="S473" s="199"/>
      <c r="T473" s="199"/>
      <c r="U473" s="199"/>
      <c r="V473" s="199"/>
      <c r="W473" s="199"/>
    </row>
    <row r="474" spans="3:23" ht="12.75" customHeight="1">
      <c r="C474" s="94"/>
      <c r="D474" s="94"/>
      <c r="E474" s="94"/>
      <c r="F474" s="94"/>
      <c r="G474" s="200"/>
      <c r="H474" s="94"/>
      <c r="K474" s="199"/>
      <c r="L474" s="199"/>
      <c r="M474" s="199"/>
      <c r="N474" s="199"/>
      <c r="O474" s="199"/>
      <c r="P474" s="199"/>
      <c r="Q474" s="199"/>
      <c r="R474" s="199"/>
      <c r="S474" s="199"/>
      <c r="T474" s="199"/>
      <c r="U474" s="199"/>
      <c r="V474" s="199"/>
      <c r="W474" s="199"/>
    </row>
    <row r="475" spans="3:23" ht="12.75" customHeight="1">
      <c r="C475" s="94"/>
      <c r="D475" s="94"/>
      <c r="E475" s="94"/>
      <c r="F475" s="94"/>
      <c r="G475" s="200"/>
      <c r="H475" s="94"/>
      <c r="K475" s="199"/>
      <c r="L475" s="199"/>
      <c r="M475" s="199"/>
      <c r="N475" s="199"/>
      <c r="O475" s="199"/>
      <c r="P475" s="199"/>
      <c r="Q475" s="199"/>
      <c r="R475" s="199"/>
      <c r="S475" s="199"/>
      <c r="T475" s="199"/>
      <c r="U475" s="199"/>
      <c r="V475" s="199"/>
      <c r="W475" s="199"/>
    </row>
    <row r="476" spans="3:23" ht="12.75" customHeight="1">
      <c r="C476" s="94"/>
      <c r="D476" s="94"/>
      <c r="E476" s="94"/>
      <c r="F476" s="94"/>
      <c r="G476" s="200"/>
      <c r="H476" s="94"/>
      <c r="K476" s="199"/>
      <c r="L476" s="199"/>
      <c r="M476" s="199"/>
      <c r="N476" s="199"/>
      <c r="O476" s="199"/>
      <c r="P476" s="199"/>
      <c r="Q476" s="199"/>
      <c r="R476" s="199"/>
      <c r="S476" s="199"/>
      <c r="T476" s="199"/>
      <c r="U476" s="199"/>
      <c r="V476" s="199"/>
      <c r="W476" s="199"/>
    </row>
    <row r="477" spans="3:23" ht="12.75" customHeight="1">
      <c r="C477" s="94"/>
      <c r="D477" s="94"/>
      <c r="E477" s="94"/>
      <c r="F477" s="94"/>
      <c r="G477" s="200"/>
      <c r="H477" s="94"/>
      <c r="K477" s="199"/>
      <c r="L477" s="199"/>
      <c r="M477" s="199"/>
      <c r="N477" s="199"/>
      <c r="O477" s="199"/>
      <c r="P477" s="199"/>
      <c r="Q477" s="199"/>
      <c r="R477" s="199"/>
      <c r="S477" s="199"/>
      <c r="T477" s="199"/>
      <c r="U477" s="199"/>
      <c r="V477" s="199"/>
      <c r="W477" s="199"/>
    </row>
    <row r="478" spans="3:23" ht="12.75" customHeight="1">
      <c r="C478" s="94"/>
      <c r="D478" s="94"/>
      <c r="E478" s="94"/>
      <c r="F478" s="94"/>
      <c r="G478" s="200"/>
      <c r="H478" s="94"/>
      <c r="K478" s="199"/>
      <c r="L478" s="199"/>
      <c r="M478" s="199"/>
      <c r="N478" s="199"/>
      <c r="O478" s="199"/>
      <c r="P478" s="199"/>
      <c r="Q478" s="199"/>
      <c r="R478" s="199"/>
      <c r="S478" s="199"/>
      <c r="T478" s="199"/>
      <c r="U478" s="199"/>
      <c r="V478" s="199"/>
      <c r="W478" s="199"/>
    </row>
    <row r="479" spans="3:23" ht="12.75" customHeight="1">
      <c r="C479" s="94"/>
      <c r="D479" s="94"/>
      <c r="E479" s="94"/>
      <c r="F479" s="94"/>
      <c r="G479" s="200"/>
      <c r="H479" s="94"/>
      <c r="K479" s="199"/>
      <c r="L479" s="199"/>
      <c r="M479" s="199"/>
      <c r="N479" s="199"/>
      <c r="O479" s="199"/>
      <c r="P479" s="199"/>
      <c r="Q479" s="199"/>
      <c r="R479" s="199"/>
      <c r="S479" s="199"/>
      <c r="T479" s="199"/>
      <c r="U479" s="199"/>
      <c r="V479" s="199"/>
      <c r="W479" s="199"/>
    </row>
    <row r="480" spans="3:23" ht="12.75" customHeight="1">
      <c r="C480" s="94"/>
      <c r="D480" s="94"/>
      <c r="E480" s="94"/>
      <c r="F480" s="94"/>
      <c r="G480" s="200"/>
      <c r="H480" s="94"/>
      <c r="K480" s="199"/>
      <c r="L480" s="199"/>
      <c r="M480" s="199"/>
      <c r="N480" s="199"/>
      <c r="O480" s="199"/>
      <c r="P480" s="199"/>
      <c r="Q480" s="199"/>
      <c r="R480" s="199"/>
      <c r="S480" s="199"/>
      <c r="T480" s="199"/>
      <c r="U480" s="199"/>
      <c r="V480" s="199"/>
      <c r="W480" s="199"/>
    </row>
    <row r="481" spans="3:23" ht="12.75" customHeight="1">
      <c r="C481" s="94"/>
      <c r="D481" s="94"/>
      <c r="E481" s="94"/>
      <c r="F481" s="94"/>
      <c r="G481" s="200"/>
      <c r="H481" s="94"/>
      <c r="K481" s="199"/>
      <c r="L481" s="199"/>
      <c r="M481" s="199"/>
      <c r="N481" s="199"/>
      <c r="O481" s="199"/>
      <c r="P481" s="199"/>
      <c r="Q481" s="199"/>
      <c r="R481" s="199"/>
      <c r="S481" s="199"/>
      <c r="T481" s="199"/>
      <c r="U481" s="199"/>
      <c r="V481" s="199"/>
      <c r="W481" s="199"/>
    </row>
    <row r="482" spans="3:23" ht="12.75" customHeight="1">
      <c r="C482" s="94"/>
      <c r="D482" s="94"/>
      <c r="E482" s="94"/>
      <c r="F482" s="94"/>
      <c r="G482" s="200"/>
      <c r="H482" s="94"/>
      <c r="K482" s="199"/>
      <c r="L482" s="199"/>
      <c r="M482" s="199"/>
      <c r="N482" s="199"/>
      <c r="O482" s="199"/>
      <c r="P482" s="199"/>
      <c r="Q482" s="199"/>
      <c r="R482" s="199"/>
      <c r="S482" s="199"/>
      <c r="T482" s="199"/>
      <c r="U482" s="199"/>
      <c r="V482" s="199"/>
      <c r="W482" s="199"/>
    </row>
    <row r="483" spans="3:23" ht="12.75" customHeight="1">
      <c r="C483" s="94"/>
      <c r="D483" s="94"/>
      <c r="E483" s="94"/>
      <c r="F483" s="94"/>
      <c r="G483" s="200"/>
      <c r="H483" s="94"/>
      <c r="K483" s="199"/>
      <c r="L483" s="199"/>
      <c r="M483" s="199"/>
      <c r="N483" s="199"/>
      <c r="O483" s="199"/>
      <c r="P483" s="199"/>
      <c r="Q483" s="199"/>
      <c r="R483" s="199"/>
      <c r="S483" s="199"/>
      <c r="T483" s="199"/>
      <c r="U483" s="199"/>
      <c r="V483" s="199"/>
      <c r="W483" s="199"/>
    </row>
    <row r="484" spans="3:23" ht="12.75" customHeight="1">
      <c r="C484" s="94"/>
      <c r="D484" s="94"/>
      <c r="E484" s="94"/>
      <c r="F484" s="94"/>
      <c r="G484" s="200"/>
      <c r="H484" s="94"/>
      <c r="K484" s="199"/>
      <c r="L484" s="199"/>
      <c r="M484" s="199"/>
      <c r="N484" s="199"/>
      <c r="O484" s="199"/>
      <c r="P484" s="199"/>
      <c r="Q484" s="199"/>
      <c r="R484" s="199"/>
      <c r="S484" s="199"/>
      <c r="T484" s="199"/>
      <c r="U484" s="199"/>
      <c r="V484" s="199"/>
      <c r="W484" s="199"/>
    </row>
    <row r="485" spans="3:23" ht="12.75" customHeight="1">
      <c r="C485" s="94"/>
      <c r="D485" s="94"/>
      <c r="E485" s="94"/>
      <c r="F485" s="94"/>
      <c r="G485" s="200"/>
      <c r="H485" s="94"/>
      <c r="K485" s="199"/>
      <c r="L485" s="199"/>
      <c r="M485" s="199"/>
      <c r="N485" s="199"/>
      <c r="O485" s="199"/>
      <c r="P485" s="199"/>
      <c r="Q485" s="199"/>
      <c r="R485" s="199"/>
      <c r="S485" s="199"/>
      <c r="T485" s="199"/>
      <c r="U485" s="199"/>
      <c r="V485" s="199"/>
      <c r="W485" s="199"/>
    </row>
    <row r="486" spans="3:23" ht="12.75" customHeight="1">
      <c r="C486" s="94"/>
      <c r="D486" s="94"/>
      <c r="E486" s="94"/>
      <c r="F486" s="94"/>
      <c r="G486" s="200"/>
      <c r="H486" s="94"/>
      <c r="K486" s="199"/>
      <c r="L486" s="199"/>
      <c r="M486" s="199"/>
      <c r="N486" s="199"/>
      <c r="O486" s="199"/>
      <c r="P486" s="199"/>
      <c r="Q486" s="199"/>
      <c r="R486" s="199"/>
      <c r="S486" s="199"/>
      <c r="T486" s="199"/>
      <c r="U486" s="199"/>
      <c r="V486" s="199"/>
      <c r="W486" s="199"/>
    </row>
    <row r="487" spans="3:23" ht="12.75" customHeight="1">
      <c r="C487" s="94"/>
      <c r="D487" s="94"/>
      <c r="E487" s="94"/>
      <c r="F487" s="94"/>
      <c r="G487" s="200"/>
      <c r="H487" s="94"/>
      <c r="K487" s="199"/>
      <c r="L487" s="199"/>
      <c r="M487" s="199"/>
      <c r="N487" s="199"/>
      <c r="O487" s="199"/>
      <c r="P487" s="199"/>
      <c r="Q487" s="199"/>
      <c r="R487" s="199"/>
      <c r="S487" s="199"/>
      <c r="T487" s="199"/>
      <c r="U487" s="199"/>
      <c r="V487" s="199"/>
      <c r="W487" s="199"/>
    </row>
    <row r="488" spans="3:23" ht="12.75" customHeight="1">
      <c r="C488" s="94"/>
      <c r="D488" s="94"/>
      <c r="E488" s="94"/>
      <c r="F488" s="94"/>
      <c r="G488" s="200"/>
      <c r="H488" s="94"/>
      <c r="K488" s="199"/>
      <c r="L488" s="199"/>
      <c r="M488" s="199"/>
      <c r="N488" s="199"/>
      <c r="O488" s="199"/>
      <c r="P488" s="199"/>
      <c r="Q488" s="199"/>
      <c r="R488" s="199"/>
      <c r="S488" s="199"/>
      <c r="T488" s="199"/>
      <c r="U488" s="199"/>
      <c r="V488" s="199"/>
      <c r="W488" s="199"/>
    </row>
    <row r="489" spans="3:23" ht="12.75" customHeight="1">
      <c r="C489" s="94"/>
      <c r="D489" s="94"/>
      <c r="E489" s="94"/>
      <c r="F489" s="94"/>
      <c r="G489" s="200"/>
      <c r="H489" s="94"/>
      <c r="K489" s="199"/>
      <c r="L489" s="199"/>
      <c r="M489" s="199"/>
      <c r="N489" s="199"/>
      <c r="O489" s="199"/>
      <c r="P489" s="199"/>
      <c r="Q489" s="199"/>
      <c r="R489" s="199"/>
      <c r="S489" s="199"/>
      <c r="T489" s="199"/>
      <c r="U489" s="199"/>
      <c r="V489" s="199"/>
      <c r="W489" s="199"/>
    </row>
    <row r="490" spans="3:23" ht="12.75" customHeight="1">
      <c r="C490" s="94"/>
      <c r="D490" s="94"/>
      <c r="E490" s="94"/>
      <c r="F490" s="94"/>
      <c r="G490" s="200"/>
      <c r="H490" s="94"/>
      <c r="K490" s="199"/>
      <c r="L490" s="199"/>
      <c r="M490" s="199"/>
      <c r="N490" s="199"/>
      <c r="O490" s="199"/>
      <c r="P490" s="199"/>
      <c r="Q490" s="199"/>
      <c r="R490" s="199"/>
      <c r="S490" s="199"/>
      <c r="T490" s="199"/>
      <c r="U490" s="199"/>
      <c r="V490" s="199"/>
      <c r="W490" s="199"/>
    </row>
    <row r="491" spans="3:23" ht="12.75" customHeight="1">
      <c r="C491" s="94"/>
      <c r="D491" s="94"/>
      <c r="E491" s="94"/>
      <c r="F491" s="94"/>
      <c r="G491" s="200"/>
      <c r="H491" s="94"/>
      <c r="K491" s="199"/>
      <c r="L491" s="199"/>
      <c r="M491" s="199"/>
      <c r="N491" s="199"/>
      <c r="O491" s="199"/>
      <c r="P491" s="199"/>
      <c r="Q491" s="199"/>
      <c r="R491" s="199"/>
      <c r="S491" s="199"/>
      <c r="T491" s="199"/>
      <c r="U491" s="199"/>
      <c r="V491" s="199"/>
      <c r="W491" s="199"/>
    </row>
    <row r="492" spans="3:23" ht="12.75" customHeight="1">
      <c r="C492" s="94"/>
      <c r="D492" s="94"/>
      <c r="E492" s="94"/>
      <c r="F492" s="94"/>
      <c r="G492" s="200"/>
      <c r="H492" s="94"/>
      <c r="K492" s="199"/>
      <c r="L492" s="199"/>
      <c r="M492" s="199"/>
      <c r="N492" s="199"/>
      <c r="O492" s="199"/>
      <c r="P492" s="199"/>
      <c r="Q492" s="199"/>
      <c r="R492" s="199"/>
      <c r="S492" s="199"/>
      <c r="T492" s="199"/>
      <c r="U492" s="199"/>
      <c r="V492" s="199"/>
      <c r="W492" s="199"/>
    </row>
    <row r="493" spans="3:23" ht="12.75" customHeight="1">
      <c r="C493" s="94"/>
      <c r="D493" s="94"/>
      <c r="E493" s="94"/>
      <c r="F493" s="94"/>
      <c r="G493" s="200"/>
      <c r="H493" s="94"/>
      <c r="K493" s="199"/>
      <c r="L493" s="199"/>
      <c r="M493" s="199"/>
      <c r="N493" s="199"/>
      <c r="O493" s="199"/>
      <c r="P493" s="199"/>
      <c r="Q493" s="199"/>
      <c r="R493" s="199"/>
      <c r="S493" s="199"/>
      <c r="T493" s="199"/>
      <c r="U493" s="199"/>
      <c r="V493" s="199"/>
      <c r="W493" s="199"/>
    </row>
    <row r="494" spans="3:23" ht="12.75" customHeight="1">
      <c r="C494" s="94"/>
      <c r="D494" s="94"/>
      <c r="E494" s="94"/>
      <c r="F494" s="94"/>
      <c r="G494" s="200"/>
      <c r="H494" s="94"/>
      <c r="K494" s="199"/>
      <c r="L494" s="199"/>
      <c r="M494" s="199"/>
      <c r="N494" s="199"/>
      <c r="O494" s="199"/>
      <c r="P494" s="199"/>
      <c r="Q494" s="199"/>
      <c r="R494" s="199"/>
      <c r="S494" s="199"/>
      <c r="T494" s="199"/>
      <c r="U494" s="199"/>
      <c r="V494" s="199"/>
      <c r="W494" s="199"/>
    </row>
    <row r="495" spans="3:23" ht="12.75" customHeight="1">
      <c r="C495" s="94"/>
      <c r="D495" s="94"/>
      <c r="E495" s="94"/>
      <c r="F495" s="94"/>
      <c r="G495" s="200"/>
      <c r="H495" s="94"/>
      <c r="K495" s="199"/>
      <c r="L495" s="199"/>
      <c r="M495" s="199"/>
      <c r="N495" s="199"/>
      <c r="O495" s="199"/>
      <c r="P495" s="199"/>
      <c r="Q495" s="199"/>
      <c r="R495" s="199"/>
      <c r="S495" s="199"/>
      <c r="T495" s="199"/>
      <c r="U495" s="199"/>
      <c r="V495" s="199"/>
      <c r="W495" s="199"/>
    </row>
    <row r="496" spans="3:23" ht="12.75" customHeight="1">
      <c r="C496" s="94"/>
      <c r="D496" s="94"/>
      <c r="E496" s="94"/>
      <c r="F496" s="94"/>
      <c r="G496" s="200"/>
      <c r="H496" s="94"/>
      <c r="K496" s="199"/>
      <c r="L496" s="199"/>
      <c r="M496" s="199"/>
      <c r="N496" s="199"/>
      <c r="O496" s="199"/>
      <c r="P496" s="199"/>
      <c r="Q496" s="199"/>
      <c r="R496" s="199"/>
      <c r="S496" s="199"/>
      <c r="T496" s="199"/>
      <c r="U496" s="199"/>
      <c r="V496" s="199"/>
      <c r="W496" s="199"/>
    </row>
    <row r="497" spans="3:23" ht="12.75" customHeight="1">
      <c r="C497" s="94"/>
      <c r="D497" s="94"/>
      <c r="E497" s="94"/>
      <c r="F497" s="94"/>
      <c r="G497" s="200"/>
      <c r="H497" s="94"/>
      <c r="K497" s="199"/>
      <c r="L497" s="199"/>
      <c r="M497" s="199"/>
      <c r="N497" s="199"/>
      <c r="O497" s="199"/>
      <c r="P497" s="199"/>
      <c r="Q497" s="199"/>
      <c r="R497" s="199"/>
      <c r="S497" s="199"/>
      <c r="T497" s="199"/>
      <c r="U497" s="199"/>
      <c r="V497" s="199"/>
      <c r="W497" s="199"/>
    </row>
    <row r="498" spans="3:23" ht="12.75" customHeight="1">
      <c r="C498" s="94"/>
      <c r="D498" s="94"/>
      <c r="E498" s="94"/>
      <c r="F498" s="94"/>
      <c r="G498" s="200"/>
      <c r="H498" s="94"/>
      <c r="K498" s="199"/>
      <c r="L498" s="199"/>
      <c r="M498" s="199"/>
      <c r="N498" s="199"/>
      <c r="O498" s="199"/>
      <c r="P498" s="199"/>
      <c r="Q498" s="199"/>
      <c r="R498" s="199"/>
      <c r="S498" s="199"/>
      <c r="T498" s="199"/>
      <c r="U498" s="199"/>
      <c r="V498" s="199"/>
      <c r="W498" s="199"/>
    </row>
    <row r="499" spans="3:23" ht="12.75" customHeight="1">
      <c r="C499" s="94"/>
      <c r="D499" s="94"/>
      <c r="E499" s="94"/>
      <c r="F499" s="94"/>
      <c r="G499" s="200"/>
      <c r="H499" s="94"/>
      <c r="K499" s="199"/>
      <c r="L499" s="199"/>
      <c r="M499" s="199"/>
      <c r="N499" s="199"/>
      <c r="O499" s="199"/>
      <c r="P499" s="199"/>
      <c r="Q499" s="199"/>
      <c r="R499" s="199"/>
      <c r="S499" s="199"/>
      <c r="T499" s="199"/>
      <c r="U499" s="199"/>
      <c r="V499" s="199"/>
      <c r="W499" s="199"/>
    </row>
    <row r="500" spans="3:23" ht="12.75" customHeight="1">
      <c r="C500" s="94"/>
      <c r="D500" s="94"/>
      <c r="E500" s="94"/>
      <c r="F500" s="94"/>
      <c r="G500" s="200"/>
      <c r="H500" s="94"/>
      <c r="K500" s="199"/>
      <c r="L500" s="199"/>
      <c r="M500" s="199"/>
      <c r="N500" s="199"/>
      <c r="O500" s="199"/>
      <c r="P500" s="199"/>
      <c r="Q500" s="199"/>
      <c r="R500" s="199"/>
      <c r="S500" s="199"/>
      <c r="T500" s="199"/>
      <c r="U500" s="199"/>
      <c r="V500" s="199"/>
      <c r="W500" s="199"/>
    </row>
    <row r="501" spans="3:23" ht="12.75" customHeight="1">
      <c r="C501" s="94"/>
      <c r="D501" s="94"/>
      <c r="E501" s="94"/>
      <c r="F501" s="94"/>
      <c r="G501" s="200"/>
      <c r="H501" s="94"/>
      <c r="K501" s="199"/>
      <c r="L501" s="199"/>
      <c r="M501" s="199"/>
      <c r="N501" s="199"/>
      <c r="O501" s="199"/>
      <c r="P501" s="199"/>
      <c r="Q501" s="199"/>
      <c r="R501" s="199"/>
      <c r="S501" s="199"/>
      <c r="T501" s="199"/>
      <c r="U501" s="199"/>
      <c r="V501" s="199"/>
      <c r="W501" s="199"/>
    </row>
    <row r="502" spans="3:23" ht="12.75" customHeight="1">
      <c r="C502" s="94"/>
      <c r="D502" s="94"/>
      <c r="E502" s="94"/>
      <c r="F502" s="94"/>
      <c r="G502" s="200"/>
      <c r="H502" s="94"/>
      <c r="K502" s="199"/>
      <c r="L502" s="199"/>
      <c r="M502" s="199"/>
      <c r="N502" s="199"/>
      <c r="O502" s="199"/>
      <c r="P502" s="199"/>
      <c r="Q502" s="199"/>
      <c r="R502" s="199"/>
      <c r="S502" s="199"/>
      <c r="T502" s="199"/>
      <c r="U502" s="199"/>
      <c r="V502" s="199"/>
      <c r="W502" s="199"/>
    </row>
    <row r="503" spans="3:23" ht="12.75" customHeight="1">
      <c r="C503" s="94"/>
      <c r="D503" s="94"/>
      <c r="E503" s="94"/>
      <c r="F503" s="94"/>
      <c r="G503" s="200"/>
      <c r="H503" s="94"/>
      <c r="K503" s="199"/>
      <c r="L503" s="199"/>
      <c r="M503" s="199"/>
      <c r="N503" s="199"/>
      <c r="O503" s="199"/>
      <c r="P503" s="199"/>
      <c r="Q503" s="199"/>
      <c r="R503" s="199"/>
      <c r="S503" s="199"/>
      <c r="T503" s="199"/>
      <c r="U503" s="199"/>
      <c r="V503" s="199"/>
      <c r="W503" s="199"/>
    </row>
    <row r="504" spans="3:23" ht="12.75" customHeight="1">
      <c r="C504" s="94"/>
      <c r="D504" s="94"/>
      <c r="E504" s="94"/>
      <c r="F504" s="94"/>
      <c r="G504" s="200"/>
      <c r="H504" s="94"/>
      <c r="K504" s="199"/>
      <c r="L504" s="199"/>
      <c r="M504" s="199"/>
      <c r="N504" s="199"/>
      <c r="O504" s="199"/>
      <c r="P504" s="199"/>
      <c r="Q504" s="199"/>
      <c r="R504" s="199"/>
      <c r="S504" s="199"/>
      <c r="T504" s="199"/>
      <c r="U504" s="199"/>
      <c r="V504" s="199"/>
      <c r="W504" s="199"/>
    </row>
    <row r="505" spans="3:23" ht="12.75" customHeight="1">
      <c r="C505" s="94"/>
      <c r="D505" s="94"/>
      <c r="E505" s="94"/>
      <c r="F505" s="94"/>
      <c r="G505" s="200"/>
      <c r="H505" s="94"/>
      <c r="K505" s="199"/>
      <c r="L505" s="199"/>
      <c r="M505" s="199"/>
      <c r="N505" s="199"/>
      <c r="O505" s="199"/>
      <c r="P505" s="199"/>
      <c r="Q505" s="199"/>
      <c r="R505" s="199"/>
      <c r="S505" s="199"/>
      <c r="T505" s="199"/>
      <c r="U505" s="199"/>
      <c r="V505" s="199"/>
      <c r="W505" s="199"/>
    </row>
    <row r="506" spans="3:23" ht="12.75" customHeight="1">
      <c r="C506" s="94"/>
      <c r="D506" s="94"/>
      <c r="E506" s="94"/>
      <c r="F506" s="94"/>
      <c r="G506" s="200"/>
      <c r="H506" s="94"/>
      <c r="K506" s="199"/>
      <c r="L506" s="199"/>
      <c r="M506" s="199"/>
      <c r="N506" s="199"/>
      <c r="O506" s="199"/>
      <c r="P506" s="199"/>
      <c r="Q506" s="199"/>
      <c r="R506" s="199"/>
      <c r="S506" s="199"/>
      <c r="T506" s="199"/>
      <c r="U506" s="199"/>
      <c r="V506" s="199"/>
      <c r="W506" s="199"/>
    </row>
    <row r="507" spans="3:23" ht="12.75" customHeight="1">
      <c r="C507" s="94"/>
      <c r="D507" s="94"/>
      <c r="E507" s="94"/>
      <c r="F507" s="94"/>
      <c r="G507" s="200"/>
      <c r="H507" s="94"/>
      <c r="K507" s="199"/>
      <c r="L507" s="199"/>
      <c r="M507" s="199"/>
      <c r="N507" s="199"/>
      <c r="O507" s="199"/>
      <c r="P507" s="199"/>
      <c r="Q507" s="199"/>
      <c r="R507" s="199"/>
      <c r="S507" s="199"/>
      <c r="T507" s="199"/>
      <c r="U507" s="199"/>
      <c r="V507" s="199"/>
      <c r="W507" s="199"/>
    </row>
    <row r="508" spans="3:23" ht="12.75" customHeight="1">
      <c r="C508" s="94"/>
      <c r="D508" s="94"/>
      <c r="E508" s="94"/>
      <c r="F508" s="94"/>
      <c r="G508" s="200"/>
      <c r="H508" s="94"/>
      <c r="K508" s="199"/>
      <c r="L508" s="199"/>
      <c r="M508" s="199"/>
      <c r="N508" s="199"/>
      <c r="O508" s="199"/>
      <c r="P508" s="199"/>
      <c r="Q508" s="199"/>
      <c r="R508" s="199"/>
      <c r="S508" s="199"/>
      <c r="T508" s="199"/>
      <c r="U508" s="199"/>
      <c r="V508" s="199"/>
      <c r="W508" s="199"/>
    </row>
    <row r="509" spans="3:23" ht="12.75" customHeight="1">
      <c r="C509" s="94"/>
      <c r="D509" s="94"/>
      <c r="E509" s="94"/>
      <c r="F509" s="94"/>
      <c r="G509" s="200"/>
      <c r="H509" s="94"/>
      <c r="K509" s="199"/>
      <c r="L509" s="199"/>
      <c r="M509" s="199"/>
      <c r="N509" s="199"/>
      <c r="O509" s="199"/>
      <c r="P509" s="199"/>
      <c r="Q509" s="199"/>
      <c r="R509" s="199"/>
      <c r="S509" s="199"/>
      <c r="T509" s="199"/>
      <c r="U509" s="199"/>
      <c r="V509" s="199"/>
      <c r="W509" s="199"/>
    </row>
    <row r="510" spans="3:23" ht="12.75" customHeight="1">
      <c r="C510" s="94"/>
      <c r="D510" s="94"/>
      <c r="E510" s="94"/>
      <c r="F510" s="94"/>
      <c r="G510" s="200"/>
      <c r="H510" s="94"/>
      <c r="K510" s="199"/>
      <c r="L510" s="199"/>
      <c r="M510" s="199"/>
      <c r="N510" s="199"/>
      <c r="O510" s="199"/>
      <c r="P510" s="199"/>
      <c r="Q510" s="199"/>
      <c r="R510" s="199"/>
      <c r="S510" s="199"/>
      <c r="T510" s="199"/>
      <c r="U510" s="199"/>
      <c r="V510" s="199"/>
      <c r="W510" s="199"/>
    </row>
    <row r="511" spans="3:23" ht="12.75" customHeight="1">
      <c r="C511" s="94"/>
      <c r="D511" s="94"/>
      <c r="E511" s="94"/>
      <c r="F511" s="94"/>
      <c r="G511" s="200"/>
      <c r="H511" s="94"/>
      <c r="K511" s="199"/>
      <c r="L511" s="199"/>
      <c r="M511" s="199"/>
      <c r="N511" s="199"/>
      <c r="O511" s="199"/>
      <c r="P511" s="199"/>
      <c r="Q511" s="199"/>
      <c r="R511" s="199"/>
      <c r="S511" s="199"/>
      <c r="T511" s="199"/>
      <c r="U511" s="199"/>
      <c r="V511" s="199"/>
      <c r="W511" s="199"/>
    </row>
    <row r="512" spans="3:23" ht="12.75" customHeight="1">
      <c r="C512" s="94"/>
      <c r="D512" s="94"/>
      <c r="E512" s="94"/>
      <c r="F512" s="94"/>
      <c r="G512" s="200"/>
      <c r="H512" s="94"/>
      <c r="K512" s="199"/>
      <c r="L512" s="199"/>
      <c r="M512" s="199"/>
      <c r="N512" s="199"/>
      <c r="O512" s="199"/>
      <c r="P512" s="199"/>
      <c r="Q512" s="199"/>
      <c r="R512" s="199"/>
      <c r="S512" s="199"/>
      <c r="T512" s="199"/>
      <c r="U512" s="199"/>
      <c r="V512" s="199"/>
      <c r="W512" s="199"/>
    </row>
    <row r="513" spans="3:23" ht="12.75" customHeight="1">
      <c r="C513" s="94"/>
      <c r="D513" s="94"/>
      <c r="E513" s="94"/>
      <c r="F513" s="94"/>
      <c r="G513" s="200"/>
      <c r="H513" s="94"/>
      <c r="K513" s="199"/>
      <c r="L513" s="199"/>
      <c r="M513" s="199"/>
      <c r="N513" s="199"/>
      <c r="O513" s="199"/>
      <c r="P513" s="199"/>
      <c r="Q513" s="199"/>
      <c r="R513" s="199"/>
      <c r="S513" s="199"/>
      <c r="T513" s="199"/>
      <c r="U513" s="199"/>
      <c r="V513" s="199"/>
      <c r="W513" s="199"/>
    </row>
    <row r="514" spans="3:23" ht="12.75" customHeight="1">
      <c r="C514" s="94"/>
      <c r="D514" s="94"/>
      <c r="E514" s="94"/>
      <c r="F514" s="94"/>
      <c r="G514" s="200"/>
      <c r="H514" s="94"/>
      <c r="K514" s="199"/>
      <c r="L514" s="199"/>
      <c r="M514" s="199"/>
      <c r="N514" s="199"/>
      <c r="O514" s="199"/>
      <c r="P514" s="199"/>
      <c r="Q514" s="199"/>
      <c r="R514" s="199"/>
      <c r="S514" s="199"/>
      <c r="T514" s="199"/>
      <c r="U514" s="199"/>
      <c r="V514" s="199"/>
      <c r="W514" s="199"/>
    </row>
    <row r="515" spans="3:23" ht="12.75" customHeight="1">
      <c r="C515" s="94"/>
      <c r="D515" s="94"/>
      <c r="E515" s="94"/>
      <c r="F515" s="94"/>
      <c r="G515" s="200"/>
      <c r="H515" s="94"/>
      <c r="K515" s="199"/>
      <c r="L515" s="199"/>
      <c r="M515" s="199"/>
      <c r="N515" s="199"/>
      <c r="O515" s="199"/>
      <c r="P515" s="199"/>
      <c r="Q515" s="199"/>
      <c r="R515" s="199"/>
      <c r="S515" s="199"/>
      <c r="T515" s="199"/>
      <c r="U515" s="199"/>
      <c r="V515" s="199"/>
      <c r="W515" s="199"/>
    </row>
    <row r="516" spans="3:23" ht="12.75" customHeight="1">
      <c r="C516" s="94"/>
      <c r="D516" s="94"/>
      <c r="E516" s="94"/>
      <c r="F516" s="94"/>
      <c r="G516" s="200"/>
      <c r="H516" s="94"/>
      <c r="K516" s="199"/>
      <c r="L516" s="199"/>
      <c r="M516" s="199"/>
      <c r="N516" s="199"/>
      <c r="O516" s="199"/>
      <c r="P516" s="199"/>
      <c r="Q516" s="199"/>
      <c r="R516" s="199"/>
      <c r="S516" s="199"/>
      <c r="T516" s="199"/>
      <c r="U516" s="199"/>
      <c r="V516" s="199"/>
      <c r="W516" s="199"/>
    </row>
    <row r="517" spans="3:23" ht="12.75" customHeight="1">
      <c r="C517" s="94"/>
      <c r="D517" s="94"/>
      <c r="E517" s="94"/>
      <c r="F517" s="94"/>
      <c r="G517" s="200"/>
      <c r="H517" s="94"/>
      <c r="K517" s="199"/>
      <c r="L517" s="199"/>
      <c r="M517" s="199"/>
      <c r="N517" s="199"/>
      <c r="O517" s="199"/>
      <c r="P517" s="199"/>
      <c r="Q517" s="199"/>
      <c r="R517" s="199"/>
      <c r="S517" s="199"/>
      <c r="T517" s="199"/>
      <c r="U517" s="199"/>
      <c r="V517" s="199"/>
      <c r="W517" s="199"/>
    </row>
    <row r="518" spans="3:23" ht="12.75" customHeight="1">
      <c r="C518" s="94"/>
      <c r="D518" s="94"/>
      <c r="E518" s="94"/>
      <c r="F518" s="94"/>
      <c r="G518" s="200"/>
      <c r="H518" s="94"/>
      <c r="K518" s="199"/>
      <c r="L518" s="199"/>
      <c r="M518" s="199"/>
      <c r="N518" s="199"/>
      <c r="O518" s="199"/>
      <c r="P518" s="199"/>
      <c r="Q518" s="199"/>
      <c r="R518" s="199"/>
      <c r="S518" s="199"/>
      <c r="T518" s="199"/>
      <c r="U518" s="199"/>
      <c r="V518" s="199"/>
      <c r="W518" s="199"/>
    </row>
    <row r="519" spans="3:23" ht="12.75" customHeight="1">
      <c r="C519" s="94"/>
      <c r="D519" s="94"/>
      <c r="E519" s="94"/>
      <c r="F519" s="94"/>
      <c r="G519" s="200"/>
      <c r="H519" s="94"/>
      <c r="K519" s="199"/>
      <c r="L519" s="199"/>
      <c r="M519" s="199"/>
      <c r="N519" s="199"/>
      <c r="O519" s="199"/>
      <c r="P519" s="199"/>
      <c r="Q519" s="199"/>
      <c r="R519" s="199"/>
      <c r="S519" s="199"/>
      <c r="T519" s="199"/>
      <c r="U519" s="199"/>
      <c r="V519" s="199"/>
      <c r="W519" s="199"/>
    </row>
    <row r="520" spans="3:23" ht="12.75" customHeight="1">
      <c r="C520" s="94"/>
      <c r="D520" s="94"/>
      <c r="E520" s="94"/>
      <c r="F520" s="94"/>
      <c r="G520" s="200"/>
      <c r="H520" s="94"/>
      <c r="K520" s="199"/>
      <c r="L520" s="199"/>
      <c r="M520" s="199"/>
      <c r="N520" s="199"/>
      <c r="O520" s="199"/>
      <c r="P520" s="199"/>
      <c r="Q520" s="199"/>
      <c r="R520" s="199"/>
      <c r="S520" s="199"/>
      <c r="T520" s="199"/>
      <c r="U520" s="199"/>
      <c r="V520" s="199"/>
      <c r="W520" s="199"/>
    </row>
    <row r="521" spans="3:23" ht="12.75" customHeight="1">
      <c r="C521" s="94"/>
      <c r="D521" s="94"/>
      <c r="E521" s="94"/>
      <c r="F521" s="94"/>
      <c r="G521" s="200"/>
      <c r="H521" s="94"/>
      <c r="K521" s="199"/>
      <c r="L521" s="199"/>
      <c r="M521" s="199"/>
      <c r="N521" s="199"/>
      <c r="O521" s="199"/>
      <c r="P521" s="199"/>
      <c r="Q521" s="199"/>
      <c r="R521" s="199"/>
      <c r="S521" s="199"/>
      <c r="T521" s="199"/>
      <c r="U521" s="199"/>
      <c r="V521" s="199"/>
      <c r="W521" s="199"/>
    </row>
    <row r="522" spans="3:23" ht="12.75" customHeight="1">
      <c r="C522" s="94"/>
      <c r="D522" s="94"/>
      <c r="E522" s="94"/>
      <c r="F522" s="94"/>
      <c r="G522" s="200"/>
      <c r="H522" s="94"/>
      <c r="K522" s="199"/>
      <c r="L522" s="199"/>
      <c r="M522" s="199"/>
      <c r="N522" s="199"/>
      <c r="O522" s="199"/>
      <c r="P522" s="199"/>
      <c r="Q522" s="199"/>
      <c r="R522" s="199"/>
      <c r="S522" s="199"/>
      <c r="T522" s="199"/>
      <c r="U522" s="199"/>
      <c r="V522" s="199"/>
      <c r="W522" s="199"/>
    </row>
    <row r="523" spans="3:23" ht="12.75" customHeight="1">
      <c r="C523" s="94"/>
      <c r="D523" s="94"/>
      <c r="E523" s="94"/>
      <c r="F523" s="94"/>
      <c r="G523" s="200"/>
      <c r="H523" s="94"/>
      <c r="K523" s="199"/>
      <c r="L523" s="199"/>
      <c r="M523" s="199"/>
      <c r="N523" s="199"/>
      <c r="O523" s="199"/>
      <c r="P523" s="199"/>
      <c r="Q523" s="199"/>
      <c r="R523" s="199"/>
      <c r="S523" s="199"/>
      <c r="T523" s="199"/>
      <c r="U523" s="199"/>
      <c r="V523" s="199"/>
      <c r="W523" s="199"/>
    </row>
    <row r="524" spans="3:23" ht="12.75" customHeight="1">
      <c r="C524" s="94"/>
      <c r="D524" s="94"/>
      <c r="E524" s="94"/>
      <c r="F524" s="94"/>
      <c r="G524" s="200"/>
      <c r="H524" s="94"/>
      <c r="K524" s="199"/>
      <c r="L524" s="199"/>
      <c r="M524" s="199"/>
      <c r="N524" s="199"/>
      <c r="O524" s="199"/>
      <c r="P524" s="199"/>
      <c r="Q524" s="199"/>
      <c r="R524" s="199"/>
      <c r="S524" s="199"/>
      <c r="T524" s="199"/>
      <c r="U524" s="199"/>
      <c r="V524" s="199"/>
      <c r="W524" s="199"/>
    </row>
    <row r="525" spans="3:23" ht="12.75" customHeight="1">
      <c r="C525" s="94"/>
      <c r="D525" s="94"/>
      <c r="E525" s="94"/>
      <c r="F525" s="94"/>
      <c r="G525" s="200"/>
      <c r="H525" s="94"/>
      <c r="K525" s="199"/>
      <c r="L525" s="199"/>
      <c r="M525" s="199"/>
      <c r="N525" s="199"/>
      <c r="O525" s="199"/>
      <c r="P525" s="199"/>
      <c r="Q525" s="199"/>
      <c r="R525" s="199"/>
      <c r="S525" s="199"/>
      <c r="T525" s="199"/>
      <c r="U525" s="199"/>
      <c r="V525" s="199"/>
      <c r="W525" s="199"/>
    </row>
    <row r="526" spans="3:23" ht="12.75" customHeight="1">
      <c r="C526" s="94"/>
      <c r="D526" s="94"/>
      <c r="E526" s="94"/>
      <c r="F526" s="94"/>
      <c r="G526" s="200"/>
      <c r="H526" s="94"/>
      <c r="K526" s="199"/>
      <c r="L526" s="199"/>
      <c r="M526" s="199"/>
      <c r="N526" s="199"/>
      <c r="O526" s="199"/>
      <c r="P526" s="199"/>
      <c r="Q526" s="199"/>
      <c r="R526" s="199"/>
      <c r="S526" s="199"/>
      <c r="T526" s="199"/>
      <c r="U526" s="199"/>
      <c r="V526" s="199"/>
      <c r="W526" s="199"/>
    </row>
    <row r="527" spans="3:23" ht="12.75" customHeight="1">
      <c r="C527" s="94"/>
      <c r="D527" s="94"/>
      <c r="E527" s="94"/>
      <c r="F527" s="94"/>
      <c r="G527" s="200"/>
      <c r="H527" s="94"/>
      <c r="K527" s="199"/>
      <c r="L527" s="199"/>
      <c r="M527" s="199"/>
      <c r="N527" s="199"/>
      <c r="O527" s="199"/>
      <c r="P527" s="199"/>
      <c r="Q527" s="199"/>
      <c r="R527" s="199"/>
      <c r="S527" s="199"/>
      <c r="T527" s="199"/>
      <c r="U527" s="199"/>
      <c r="V527" s="199"/>
      <c r="W527" s="199"/>
    </row>
    <row r="528" spans="3:23" ht="12.75" customHeight="1">
      <c r="C528" s="94"/>
      <c r="D528" s="94"/>
      <c r="E528" s="94"/>
      <c r="F528" s="94"/>
      <c r="G528" s="200"/>
      <c r="H528" s="94"/>
      <c r="K528" s="199"/>
      <c r="L528" s="199"/>
      <c r="M528" s="199"/>
      <c r="N528" s="199"/>
      <c r="O528" s="199"/>
      <c r="P528" s="199"/>
      <c r="Q528" s="199"/>
      <c r="R528" s="199"/>
      <c r="S528" s="199"/>
      <c r="T528" s="199"/>
      <c r="U528" s="199"/>
      <c r="V528" s="199"/>
      <c r="W528" s="199"/>
    </row>
    <row r="529" spans="3:23" ht="12.75" customHeight="1">
      <c r="C529" s="94"/>
      <c r="D529" s="94"/>
      <c r="E529" s="94"/>
      <c r="F529" s="94"/>
      <c r="G529" s="200"/>
      <c r="H529" s="94"/>
      <c r="K529" s="199"/>
      <c r="L529" s="199"/>
      <c r="M529" s="199"/>
      <c r="N529" s="199"/>
      <c r="O529" s="199"/>
      <c r="P529" s="199"/>
      <c r="Q529" s="199"/>
      <c r="R529" s="199"/>
      <c r="S529" s="199"/>
      <c r="T529" s="199"/>
      <c r="U529" s="199"/>
      <c r="V529" s="199"/>
      <c r="W529" s="199"/>
    </row>
    <row r="530" spans="3:23" ht="12.75" customHeight="1">
      <c r="C530" s="94"/>
      <c r="D530" s="94"/>
      <c r="E530" s="94"/>
      <c r="F530" s="94"/>
      <c r="G530" s="200"/>
      <c r="H530" s="94"/>
      <c r="K530" s="199"/>
      <c r="L530" s="199"/>
      <c r="M530" s="199"/>
      <c r="N530" s="199"/>
      <c r="O530" s="199"/>
      <c r="P530" s="199"/>
      <c r="Q530" s="199"/>
      <c r="R530" s="199"/>
      <c r="S530" s="199"/>
      <c r="T530" s="199"/>
      <c r="U530" s="199"/>
      <c r="V530" s="199"/>
      <c r="W530" s="199"/>
    </row>
    <row r="531" spans="3:23" ht="12.75" customHeight="1">
      <c r="C531" s="94"/>
      <c r="D531" s="94"/>
      <c r="E531" s="94"/>
      <c r="F531" s="94"/>
      <c r="G531" s="200"/>
      <c r="H531" s="94"/>
      <c r="K531" s="199"/>
      <c r="L531" s="199"/>
      <c r="M531" s="199"/>
      <c r="N531" s="199"/>
      <c r="O531" s="199"/>
      <c r="P531" s="199"/>
      <c r="Q531" s="199"/>
      <c r="R531" s="199"/>
      <c r="S531" s="199"/>
      <c r="T531" s="199"/>
      <c r="U531" s="199"/>
      <c r="V531" s="199"/>
      <c r="W531" s="199"/>
    </row>
    <row r="532" spans="3:23" ht="12.75" customHeight="1">
      <c r="C532" s="94"/>
      <c r="D532" s="94"/>
      <c r="E532" s="94"/>
      <c r="F532" s="94"/>
      <c r="G532" s="200"/>
      <c r="H532" s="94"/>
      <c r="K532" s="199"/>
      <c r="L532" s="199"/>
      <c r="M532" s="199"/>
      <c r="N532" s="199"/>
      <c r="O532" s="199"/>
      <c r="P532" s="199"/>
      <c r="Q532" s="199"/>
      <c r="R532" s="199"/>
      <c r="S532" s="199"/>
      <c r="T532" s="199"/>
      <c r="U532" s="199"/>
      <c r="V532" s="199"/>
      <c r="W532" s="199"/>
    </row>
    <row r="533" spans="3:23" ht="12.75" customHeight="1">
      <c r="C533" s="94"/>
      <c r="D533" s="94"/>
      <c r="E533" s="94"/>
      <c r="F533" s="94"/>
      <c r="G533" s="200"/>
      <c r="H533" s="94"/>
      <c r="K533" s="199"/>
      <c r="L533" s="199"/>
      <c r="M533" s="199"/>
      <c r="N533" s="199"/>
      <c r="O533" s="199"/>
      <c r="P533" s="199"/>
      <c r="Q533" s="199"/>
      <c r="R533" s="199"/>
      <c r="S533" s="199"/>
      <c r="T533" s="199"/>
      <c r="U533" s="199"/>
      <c r="V533" s="199"/>
      <c r="W533" s="199"/>
    </row>
    <row r="534" spans="3:23" ht="12.75" customHeight="1">
      <c r="C534" s="94"/>
      <c r="D534" s="94"/>
      <c r="E534" s="94"/>
      <c r="F534" s="94"/>
      <c r="G534" s="200"/>
      <c r="H534" s="94"/>
      <c r="K534" s="199"/>
      <c r="L534" s="199"/>
      <c r="M534" s="199"/>
      <c r="N534" s="199"/>
      <c r="O534" s="199"/>
      <c r="P534" s="199"/>
      <c r="Q534" s="199"/>
      <c r="R534" s="199"/>
      <c r="S534" s="199"/>
      <c r="T534" s="199"/>
      <c r="U534" s="199"/>
      <c r="V534" s="199"/>
      <c r="W534" s="199"/>
    </row>
    <row r="535" spans="3:23" ht="12.75" customHeight="1">
      <c r="C535" s="94"/>
      <c r="D535" s="94"/>
      <c r="E535" s="94"/>
      <c r="F535" s="94"/>
      <c r="G535" s="200"/>
      <c r="H535" s="94"/>
      <c r="K535" s="199"/>
      <c r="L535" s="199"/>
      <c r="M535" s="199"/>
      <c r="N535" s="199"/>
      <c r="O535" s="199"/>
      <c r="P535" s="199"/>
      <c r="Q535" s="199"/>
      <c r="R535" s="199"/>
      <c r="S535" s="199"/>
      <c r="T535" s="199"/>
      <c r="U535" s="199"/>
      <c r="V535" s="199"/>
      <c r="W535" s="199"/>
    </row>
    <row r="536" spans="3:23" ht="12.75" customHeight="1">
      <c r="C536" s="94"/>
      <c r="D536" s="94"/>
      <c r="E536" s="94"/>
      <c r="F536" s="94"/>
      <c r="G536" s="200"/>
      <c r="H536" s="94"/>
      <c r="K536" s="199"/>
      <c r="L536" s="199"/>
      <c r="M536" s="199"/>
      <c r="N536" s="199"/>
      <c r="O536" s="199"/>
      <c r="P536" s="199"/>
      <c r="Q536" s="199"/>
      <c r="R536" s="199"/>
      <c r="S536" s="199"/>
      <c r="T536" s="199"/>
      <c r="U536" s="199"/>
      <c r="V536" s="199"/>
      <c r="W536" s="199"/>
    </row>
    <row r="537" spans="3:23" ht="12.75" customHeight="1">
      <c r="C537" s="94"/>
      <c r="D537" s="94"/>
      <c r="E537" s="94"/>
      <c r="F537" s="94"/>
      <c r="G537" s="200"/>
      <c r="H537" s="94"/>
      <c r="K537" s="199"/>
      <c r="L537" s="199"/>
      <c r="M537" s="199"/>
      <c r="N537" s="199"/>
      <c r="O537" s="199"/>
      <c r="P537" s="199"/>
      <c r="Q537" s="199"/>
      <c r="R537" s="199"/>
      <c r="S537" s="199"/>
      <c r="T537" s="199"/>
      <c r="U537" s="199"/>
      <c r="V537" s="199"/>
      <c r="W537" s="199"/>
    </row>
    <row r="538" spans="3:23" ht="12.75" customHeight="1">
      <c r="C538" s="94"/>
      <c r="D538" s="94"/>
      <c r="E538" s="94"/>
      <c r="F538" s="94"/>
      <c r="G538" s="200"/>
      <c r="H538" s="94"/>
      <c r="K538" s="199"/>
      <c r="L538" s="199"/>
      <c r="M538" s="199"/>
      <c r="N538" s="199"/>
      <c r="O538" s="199"/>
      <c r="P538" s="199"/>
      <c r="Q538" s="199"/>
      <c r="R538" s="199"/>
      <c r="S538" s="199"/>
      <c r="T538" s="199"/>
      <c r="U538" s="199"/>
      <c r="V538" s="199"/>
      <c r="W538" s="199"/>
    </row>
    <row r="539" spans="3:23" ht="12.75" customHeight="1">
      <c r="C539" s="94"/>
      <c r="D539" s="94"/>
      <c r="E539" s="94"/>
      <c r="F539" s="94"/>
      <c r="G539" s="200"/>
      <c r="H539" s="94"/>
      <c r="K539" s="199"/>
      <c r="L539" s="199"/>
      <c r="M539" s="199"/>
      <c r="N539" s="199"/>
      <c r="O539" s="199"/>
      <c r="P539" s="199"/>
      <c r="Q539" s="199"/>
      <c r="R539" s="199"/>
      <c r="S539" s="199"/>
      <c r="T539" s="199"/>
      <c r="U539" s="199"/>
      <c r="V539" s="199"/>
      <c r="W539" s="199"/>
    </row>
    <row r="540" spans="3:23" ht="12.75" customHeight="1">
      <c r="C540" s="94"/>
      <c r="D540" s="94"/>
      <c r="E540" s="94"/>
      <c r="F540" s="94"/>
      <c r="G540" s="200"/>
      <c r="H540" s="94"/>
      <c r="K540" s="199"/>
      <c r="L540" s="199"/>
      <c r="M540" s="199"/>
      <c r="N540" s="199"/>
      <c r="O540" s="199"/>
      <c r="P540" s="199"/>
      <c r="Q540" s="199"/>
      <c r="R540" s="199"/>
      <c r="S540" s="199"/>
      <c r="T540" s="199"/>
      <c r="U540" s="199"/>
      <c r="V540" s="199"/>
      <c r="W540" s="199"/>
    </row>
    <row r="541" spans="3:23" ht="12.75" customHeight="1">
      <c r="C541" s="94"/>
      <c r="D541" s="94"/>
      <c r="E541" s="94"/>
      <c r="F541" s="94"/>
      <c r="G541" s="200"/>
      <c r="H541" s="94"/>
      <c r="K541" s="199"/>
      <c r="L541" s="199"/>
      <c r="M541" s="199"/>
      <c r="N541" s="199"/>
      <c r="O541" s="199"/>
      <c r="P541" s="199"/>
      <c r="Q541" s="199"/>
      <c r="R541" s="199"/>
      <c r="S541" s="199"/>
      <c r="T541" s="199"/>
      <c r="U541" s="199"/>
      <c r="V541" s="199"/>
      <c r="W541" s="199"/>
    </row>
    <row r="542" spans="3:23" ht="12.75" customHeight="1">
      <c r="C542" s="94"/>
      <c r="D542" s="94"/>
      <c r="E542" s="94"/>
      <c r="F542" s="94"/>
      <c r="G542" s="200"/>
      <c r="H542" s="94"/>
      <c r="K542" s="199"/>
      <c r="L542" s="199"/>
      <c r="M542" s="199"/>
      <c r="N542" s="199"/>
      <c r="O542" s="199"/>
      <c r="P542" s="199"/>
      <c r="Q542" s="199"/>
      <c r="R542" s="199"/>
      <c r="S542" s="199"/>
      <c r="T542" s="199"/>
      <c r="U542" s="199"/>
      <c r="V542" s="199"/>
      <c r="W542" s="199"/>
    </row>
    <row r="543" spans="3:23" ht="12.75" customHeight="1">
      <c r="C543" s="94"/>
      <c r="D543" s="94"/>
      <c r="E543" s="94"/>
      <c r="F543" s="94"/>
      <c r="G543" s="200"/>
      <c r="H543" s="94"/>
      <c r="K543" s="199"/>
      <c r="L543" s="199"/>
      <c r="M543" s="199"/>
      <c r="N543" s="199"/>
      <c r="O543" s="199"/>
      <c r="P543" s="199"/>
      <c r="Q543" s="199"/>
      <c r="R543" s="199"/>
      <c r="S543" s="199"/>
      <c r="T543" s="199"/>
      <c r="U543" s="199"/>
      <c r="V543" s="199"/>
      <c r="W543" s="199"/>
    </row>
    <row r="544" spans="3:23" ht="12.75" customHeight="1">
      <c r="C544" s="94"/>
      <c r="D544" s="94"/>
      <c r="E544" s="94"/>
      <c r="F544" s="94"/>
      <c r="G544" s="200"/>
      <c r="H544" s="94"/>
      <c r="K544" s="199"/>
      <c r="L544" s="199"/>
      <c r="M544" s="199"/>
      <c r="N544" s="199"/>
      <c r="O544" s="199"/>
      <c r="P544" s="199"/>
      <c r="Q544" s="199"/>
      <c r="R544" s="199"/>
      <c r="S544" s="199"/>
      <c r="T544" s="199"/>
      <c r="U544" s="199"/>
      <c r="V544" s="199"/>
      <c r="W544" s="199"/>
    </row>
    <row r="545" spans="3:23" ht="12.75" customHeight="1">
      <c r="C545" s="94"/>
      <c r="D545" s="94"/>
      <c r="E545" s="94"/>
      <c r="F545" s="94"/>
      <c r="G545" s="200"/>
      <c r="H545" s="94"/>
      <c r="K545" s="199"/>
      <c r="L545" s="199"/>
      <c r="M545" s="199"/>
      <c r="N545" s="199"/>
      <c r="O545" s="199"/>
      <c r="P545" s="199"/>
      <c r="Q545" s="199"/>
      <c r="R545" s="199"/>
      <c r="S545" s="199"/>
      <c r="T545" s="199"/>
      <c r="U545" s="199"/>
      <c r="V545" s="199"/>
      <c r="W545" s="199"/>
    </row>
    <row r="546" spans="3:23" ht="12.75" customHeight="1">
      <c r="C546" s="94"/>
      <c r="D546" s="94"/>
      <c r="E546" s="94"/>
      <c r="F546" s="94"/>
      <c r="G546" s="200"/>
      <c r="H546" s="94"/>
      <c r="K546" s="199"/>
      <c r="L546" s="199"/>
      <c r="M546" s="199"/>
      <c r="N546" s="199"/>
      <c r="O546" s="199"/>
      <c r="P546" s="199"/>
      <c r="Q546" s="199"/>
      <c r="R546" s="199"/>
      <c r="S546" s="199"/>
      <c r="T546" s="199"/>
      <c r="U546" s="199"/>
      <c r="V546" s="199"/>
      <c r="W546" s="199"/>
    </row>
    <row r="547" spans="3:23" ht="12.75" customHeight="1">
      <c r="C547" s="94"/>
      <c r="D547" s="94"/>
      <c r="E547" s="94"/>
      <c r="F547" s="94"/>
      <c r="G547" s="200"/>
      <c r="H547" s="94"/>
      <c r="K547" s="199"/>
      <c r="L547" s="199"/>
      <c r="M547" s="199"/>
      <c r="N547" s="199"/>
      <c r="O547" s="199"/>
      <c r="P547" s="199"/>
      <c r="Q547" s="199"/>
      <c r="R547" s="199"/>
      <c r="S547" s="199"/>
      <c r="T547" s="199"/>
      <c r="U547" s="199"/>
      <c r="V547" s="199"/>
      <c r="W547" s="199"/>
    </row>
    <row r="548" spans="3:23" ht="12.75" customHeight="1">
      <c r="C548" s="94"/>
      <c r="D548" s="94"/>
      <c r="E548" s="94"/>
      <c r="F548" s="94"/>
      <c r="G548" s="200"/>
      <c r="H548" s="94"/>
      <c r="K548" s="199"/>
      <c r="L548" s="199"/>
      <c r="M548" s="199"/>
      <c r="N548" s="199"/>
      <c r="O548" s="199"/>
      <c r="P548" s="199"/>
      <c r="Q548" s="199"/>
      <c r="R548" s="199"/>
      <c r="S548" s="199"/>
      <c r="T548" s="199"/>
      <c r="U548" s="199"/>
      <c r="V548" s="199"/>
      <c r="W548" s="199"/>
    </row>
    <row r="549" spans="3:23" ht="12.75" customHeight="1">
      <c r="C549" s="94"/>
      <c r="D549" s="94"/>
      <c r="E549" s="94"/>
      <c r="F549" s="94"/>
      <c r="G549" s="200"/>
      <c r="H549" s="94"/>
      <c r="K549" s="199"/>
      <c r="L549" s="199"/>
      <c r="M549" s="199"/>
      <c r="N549" s="199"/>
      <c r="O549" s="199"/>
      <c r="P549" s="199"/>
      <c r="Q549" s="199"/>
      <c r="R549" s="199"/>
      <c r="S549" s="199"/>
      <c r="T549" s="199"/>
      <c r="U549" s="199"/>
      <c r="V549" s="199"/>
      <c r="W549" s="199"/>
    </row>
    <row r="550" spans="3:23" ht="12.75" customHeight="1">
      <c r="C550" s="94"/>
      <c r="D550" s="94"/>
      <c r="E550" s="94"/>
      <c r="F550" s="94"/>
      <c r="G550" s="200"/>
      <c r="H550" s="94"/>
      <c r="K550" s="199"/>
      <c r="L550" s="199"/>
      <c r="M550" s="199"/>
      <c r="N550" s="199"/>
      <c r="O550" s="199"/>
      <c r="P550" s="199"/>
      <c r="Q550" s="199"/>
      <c r="R550" s="199"/>
      <c r="S550" s="199"/>
      <c r="T550" s="199"/>
      <c r="U550" s="199"/>
      <c r="V550" s="199"/>
      <c r="W550" s="199"/>
    </row>
    <row r="551" spans="3:23" ht="12.75" customHeight="1">
      <c r="C551" s="94"/>
      <c r="D551" s="94"/>
      <c r="E551" s="94"/>
      <c r="F551" s="94"/>
      <c r="G551" s="200"/>
      <c r="H551" s="94"/>
      <c r="K551" s="199"/>
      <c r="L551" s="199"/>
      <c r="M551" s="199"/>
      <c r="N551" s="199"/>
      <c r="O551" s="199"/>
      <c r="P551" s="199"/>
      <c r="Q551" s="199"/>
      <c r="R551" s="199"/>
      <c r="S551" s="199"/>
      <c r="T551" s="199"/>
      <c r="U551" s="199"/>
      <c r="V551" s="199"/>
      <c r="W551" s="199"/>
    </row>
    <row r="552" spans="3:23" ht="12.75" customHeight="1">
      <c r="C552" s="94"/>
      <c r="D552" s="94"/>
      <c r="E552" s="94"/>
      <c r="F552" s="94"/>
      <c r="G552" s="200"/>
      <c r="H552" s="94"/>
      <c r="K552" s="199"/>
      <c r="L552" s="199"/>
      <c r="M552" s="199"/>
      <c r="N552" s="199"/>
      <c r="O552" s="199"/>
      <c r="P552" s="199"/>
      <c r="Q552" s="199"/>
      <c r="R552" s="199"/>
      <c r="S552" s="199"/>
      <c r="T552" s="199"/>
      <c r="U552" s="199"/>
      <c r="V552" s="199"/>
      <c r="W552" s="199"/>
    </row>
    <row r="553" spans="3:23" ht="12.75" customHeight="1">
      <c r="C553" s="94"/>
      <c r="D553" s="94"/>
      <c r="E553" s="94"/>
      <c r="F553" s="94"/>
      <c r="G553" s="200"/>
      <c r="H553" s="94"/>
      <c r="K553" s="199"/>
      <c r="L553" s="199"/>
      <c r="M553" s="199"/>
      <c r="N553" s="199"/>
      <c r="O553" s="199"/>
      <c r="P553" s="199"/>
      <c r="Q553" s="199"/>
      <c r="R553" s="199"/>
      <c r="S553" s="199"/>
      <c r="T553" s="199"/>
      <c r="U553" s="199"/>
      <c r="V553" s="199"/>
      <c r="W553" s="199"/>
    </row>
    <row r="554" spans="3:23" ht="12.75" customHeight="1">
      <c r="C554" s="94"/>
      <c r="D554" s="94"/>
      <c r="E554" s="94"/>
      <c r="F554" s="94"/>
      <c r="G554" s="200"/>
      <c r="H554" s="94"/>
      <c r="K554" s="199"/>
      <c r="L554" s="199"/>
      <c r="M554" s="199"/>
      <c r="N554" s="199"/>
      <c r="O554" s="199"/>
      <c r="P554" s="199"/>
      <c r="Q554" s="199"/>
      <c r="R554" s="199"/>
      <c r="S554" s="199"/>
      <c r="T554" s="199"/>
      <c r="U554" s="199"/>
      <c r="V554" s="199"/>
      <c r="W554" s="199"/>
    </row>
    <row r="555" spans="3:23" ht="12.75" customHeight="1">
      <c r="C555" s="94"/>
      <c r="D555" s="94"/>
      <c r="E555" s="94"/>
      <c r="F555" s="94"/>
      <c r="G555" s="200"/>
      <c r="H555" s="94"/>
      <c r="K555" s="199"/>
      <c r="L555" s="199"/>
      <c r="M555" s="199"/>
      <c r="N555" s="199"/>
      <c r="O555" s="199"/>
      <c r="P555" s="199"/>
      <c r="Q555" s="199"/>
      <c r="R555" s="199"/>
      <c r="S555" s="199"/>
      <c r="T555" s="199"/>
      <c r="U555" s="199"/>
      <c r="V555" s="199"/>
      <c r="W555" s="199"/>
    </row>
    <row r="556" spans="3:23" ht="12.75" customHeight="1">
      <c r="C556" s="94"/>
      <c r="D556" s="94"/>
      <c r="E556" s="94"/>
      <c r="F556" s="94"/>
      <c r="G556" s="200"/>
      <c r="H556" s="94"/>
      <c r="K556" s="199"/>
      <c r="L556" s="199"/>
      <c r="M556" s="199"/>
      <c r="N556" s="199"/>
      <c r="O556" s="199"/>
      <c r="P556" s="199"/>
      <c r="Q556" s="199"/>
      <c r="R556" s="199"/>
      <c r="S556" s="199"/>
      <c r="T556" s="199"/>
      <c r="U556" s="199"/>
      <c r="V556" s="199"/>
      <c r="W556" s="199"/>
    </row>
    <row r="557" spans="3:23" ht="12.75" customHeight="1">
      <c r="C557" s="94"/>
      <c r="D557" s="94"/>
      <c r="E557" s="94"/>
      <c r="F557" s="94"/>
      <c r="G557" s="200"/>
      <c r="H557" s="94"/>
      <c r="K557" s="199"/>
      <c r="L557" s="199"/>
      <c r="M557" s="199"/>
      <c r="N557" s="199"/>
      <c r="O557" s="199"/>
      <c r="P557" s="199"/>
      <c r="Q557" s="199"/>
      <c r="R557" s="199"/>
      <c r="S557" s="199"/>
      <c r="T557" s="199"/>
      <c r="U557" s="199"/>
      <c r="V557" s="199"/>
      <c r="W557" s="199"/>
    </row>
    <row r="558" spans="3:23" ht="12.75" customHeight="1">
      <c r="C558" s="94"/>
      <c r="D558" s="94"/>
      <c r="E558" s="94"/>
      <c r="F558" s="94"/>
      <c r="G558" s="200"/>
      <c r="H558" s="94"/>
      <c r="K558" s="199"/>
      <c r="L558" s="199"/>
      <c r="M558" s="199"/>
      <c r="N558" s="199"/>
      <c r="O558" s="199"/>
      <c r="P558" s="199"/>
      <c r="Q558" s="199"/>
      <c r="R558" s="199"/>
      <c r="S558" s="199"/>
      <c r="T558" s="199"/>
      <c r="U558" s="199"/>
      <c r="V558" s="199"/>
      <c r="W558" s="199"/>
    </row>
    <row r="559" spans="3:23" ht="12.75" customHeight="1">
      <c r="C559" s="94"/>
      <c r="D559" s="94"/>
      <c r="E559" s="94"/>
      <c r="F559" s="94"/>
      <c r="G559" s="200"/>
      <c r="H559" s="94"/>
      <c r="K559" s="199"/>
      <c r="L559" s="199"/>
      <c r="M559" s="199"/>
      <c r="N559" s="199"/>
      <c r="O559" s="199"/>
      <c r="P559" s="199"/>
      <c r="Q559" s="199"/>
      <c r="R559" s="199"/>
      <c r="S559" s="199"/>
      <c r="T559" s="199"/>
      <c r="U559" s="199"/>
      <c r="V559" s="199"/>
      <c r="W559" s="199"/>
    </row>
    <row r="560" spans="3:23" ht="12.75" customHeight="1">
      <c r="C560" s="94"/>
      <c r="D560" s="94"/>
      <c r="E560" s="94"/>
      <c r="F560" s="94"/>
      <c r="G560" s="200"/>
      <c r="H560" s="94"/>
      <c r="K560" s="199"/>
      <c r="L560" s="199"/>
      <c r="M560" s="199"/>
      <c r="N560" s="199"/>
      <c r="O560" s="199"/>
      <c r="P560" s="199"/>
      <c r="Q560" s="199"/>
      <c r="R560" s="199"/>
      <c r="S560" s="199"/>
      <c r="T560" s="199"/>
      <c r="U560" s="199"/>
      <c r="V560" s="199"/>
      <c r="W560" s="199"/>
    </row>
    <row r="561" spans="3:23" ht="12.75" customHeight="1">
      <c r="C561" s="94"/>
      <c r="D561" s="94"/>
      <c r="E561" s="94"/>
      <c r="F561" s="94"/>
      <c r="G561" s="200"/>
      <c r="H561" s="94"/>
      <c r="K561" s="199"/>
      <c r="L561" s="199"/>
      <c r="M561" s="199"/>
      <c r="N561" s="199"/>
      <c r="O561" s="199"/>
      <c r="P561" s="199"/>
      <c r="Q561" s="199"/>
      <c r="R561" s="199"/>
      <c r="S561" s="199"/>
      <c r="T561" s="199"/>
      <c r="U561" s="199"/>
      <c r="V561" s="199"/>
      <c r="W561" s="199"/>
    </row>
    <row r="562" spans="3:23" ht="12.75" customHeight="1">
      <c r="C562" s="94"/>
      <c r="D562" s="94"/>
      <c r="E562" s="94"/>
      <c r="F562" s="94"/>
      <c r="G562" s="200"/>
      <c r="H562" s="94"/>
      <c r="K562" s="199"/>
      <c r="L562" s="199"/>
      <c r="M562" s="199"/>
      <c r="N562" s="199"/>
      <c r="O562" s="199"/>
      <c r="P562" s="199"/>
      <c r="Q562" s="199"/>
      <c r="R562" s="199"/>
      <c r="S562" s="199"/>
      <c r="T562" s="199"/>
      <c r="U562" s="199"/>
      <c r="V562" s="199"/>
      <c r="W562" s="199"/>
    </row>
    <row r="563" spans="3:23" ht="12.75" customHeight="1">
      <c r="C563" s="94"/>
      <c r="D563" s="94"/>
      <c r="E563" s="94"/>
      <c r="F563" s="94"/>
      <c r="G563" s="200"/>
      <c r="H563" s="94"/>
      <c r="K563" s="199"/>
      <c r="L563" s="199"/>
      <c r="M563" s="199"/>
      <c r="N563" s="199"/>
      <c r="O563" s="199"/>
      <c r="P563" s="199"/>
      <c r="Q563" s="199"/>
      <c r="R563" s="199"/>
      <c r="S563" s="199"/>
      <c r="T563" s="199"/>
      <c r="U563" s="199"/>
      <c r="V563" s="199"/>
      <c r="W563" s="199"/>
    </row>
    <row r="564" spans="3:23" ht="12.75" customHeight="1">
      <c r="C564" s="94"/>
      <c r="D564" s="94"/>
      <c r="E564" s="94"/>
      <c r="F564" s="94"/>
      <c r="G564" s="200"/>
      <c r="H564" s="94"/>
      <c r="K564" s="199"/>
      <c r="L564" s="199"/>
      <c r="M564" s="199"/>
      <c r="N564" s="199"/>
      <c r="O564" s="199"/>
      <c r="P564" s="199"/>
      <c r="Q564" s="199"/>
      <c r="R564" s="199"/>
      <c r="S564" s="199"/>
      <c r="T564" s="199"/>
      <c r="U564" s="199"/>
      <c r="V564" s="199"/>
      <c r="W564" s="199"/>
    </row>
    <row r="565" spans="3:23" ht="12.75" customHeight="1">
      <c r="C565" s="94"/>
      <c r="D565" s="94"/>
      <c r="E565" s="94"/>
      <c r="F565" s="94"/>
      <c r="G565" s="200"/>
      <c r="H565" s="94"/>
      <c r="K565" s="199"/>
      <c r="L565" s="199"/>
      <c r="M565" s="199"/>
      <c r="N565" s="199"/>
      <c r="O565" s="199"/>
      <c r="P565" s="199"/>
      <c r="Q565" s="199"/>
      <c r="R565" s="199"/>
      <c r="S565" s="199"/>
      <c r="T565" s="199"/>
      <c r="U565" s="199"/>
      <c r="V565" s="199"/>
      <c r="W565" s="199"/>
    </row>
    <row r="566" spans="3:23" ht="12.75" customHeight="1">
      <c r="C566" s="94"/>
      <c r="D566" s="94"/>
      <c r="E566" s="94"/>
      <c r="F566" s="94"/>
      <c r="G566" s="200"/>
      <c r="H566" s="94"/>
      <c r="K566" s="199"/>
      <c r="L566" s="199"/>
      <c r="M566" s="199"/>
      <c r="N566" s="199"/>
      <c r="O566" s="199"/>
      <c r="P566" s="199"/>
      <c r="Q566" s="199"/>
      <c r="R566" s="199"/>
      <c r="S566" s="199"/>
      <c r="T566" s="199"/>
      <c r="U566" s="199"/>
      <c r="V566" s="199"/>
      <c r="W566" s="199"/>
    </row>
    <row r="567" spans="3:23" ht="12.75" customHeight="1">
      <c r="C567" s="94"/>
      <c r="D567" s="94"/>
      <c r="E567" s="94"/>
      <c r="F567" s="94"/>
      <c r="G567" s="200"/>
      <c r="H567" s="94"/>
      <c r="K567" s="199"/>
      <c r="L567" s="199"/>
      <c r="M567" s="199"/>
      <c r="N567" s="199"/>
      <c r="O567" s="199"/>
      <c r="P567" s="199"/>
      <c r="Q567" s="199"/>
      <c r="R567" s="199"/>
      <c r="S567" s="199"/>
      <c r="T567" s="199"/>
      <c r="U567" s="199"/>
      <c r="V567" s="199"/>
      <c r="W567" s="199"/>
    </row>
    <row r="568" spans="3:23" ht="12.75" customHeight="1">
      <c r="C568" s="94"/>
      <c r="D568" s="94"/>
      <c r="E568" s="94"/>
      <c r="F568" s="94"/>
      <c r="G568" s="200"/>
      <c r="H568" s="94"/>
      <c r="K568" s="199"/>
      <c r="L568" s="199"/>
      <c r="M568" s="199"/>
      <c r="N568" s="199"/>
      <c r="O568" s="199"/>
      <c r="P568" s="199"/>
      <c r="Q568" s="199"/>
      <c r="R568" s="199"/>
      <c r="S568" s="199"/>
      <c r="T568" s="199"/>
      <c r="U568" s="199"/>
      <c r="V568" s="199"/>
      <c r="W568" s="199"/>
    </row>
    <row r="569" spans="3:23" ht="12.75" customHeight="1">
      <c r="C569" s="94"/>
      <c r="D569" s="94"/>
      <c r="E569" s="94"/>
      <c r="F569" s="94"/>
      <c r="G569" s="200"/>
      <c r="H569" s="94"/>
      <c r="K569" s="199"/>
      <c r="L569" s="199"/>
      <c r="M569" s="199"/>
      <c r="N569" s="199"/>
      <c r="O569" s="199"/>
      <c r="P569" s="199"/>
      <c r="Q569" s="199"/>
      <c r="R569" s="199"/>
      <c r="S569" s="199"/>
      <c r="T569" s="199"/>
      <c r="U569" s="199"/>
      <c r="V569" s="199"/>
      <c r="W569" s="199"/>
    </row>
    <row r="570" spans="3:23" ht="12.75" customHeight="1">
      <c r="C570" s="94"/>
      <c r="D570" s="94"/>
      <c r="E570" s="94"/>
      <c r="F570" s="94"/>
      <c r="G570" s="200"/>
      <c r="H570" s="94"/>
      <c r="K570" s="199"/>
      <c r="L570" s="199"/>
      <c r="M570" s="199"/>
      <c r="N570" s="199"/>
      <c r="O570" s="199"/>
      <c r="P570" s="199"/>
      <c r="Q570" s="199"/>
      <c r="R570" s="199"/>
      <c r="S570" s="199"/>
      <c r="T570" s="199"/>
      <c r="U570" s="199"/>
      <c r="V570" s="199"/>
      <c r="W570" s="199"/>
    </row>
    <row r="571" spans="3:23" ht="12.75" customHeight="1">
      <c r="C571" s="94"/>
      <c r="D571" s="94"/>
      <c r="E571" s="94"/>
      <c r="F571" s="94"/>
      <c r="G571" s="200"/>
      <c r="H571" s="94"/>
      <c r="K571" s="199"/>
      <c r="L571" s="199"/>
      <c r="M571" s="199"/>
      <c r="N571" s="199"/>
      <c r="O571" s="199"/>
      <c r="P571" s="199"/>
      <c r="Q571" s="199"/>
      <c r="R571" s="199"/>
      <c r="S571" s="199"/>
      <c r="T571" s="199"/>
      <c r="U571" s="199"/>
      <c r="V571" s="199"/>
      <c r="W571" s="199"/>
    </row>
    <row r="572" spans="3:23" ht="12.75" customHeight="1">
      <c r="C572" s="94"/>
      <c r="D572" s="94"/>
      <c r="E572" s="94"/>
      <c r="F572" s="94"/>
      <c r="G572" s="200"/>
      <c r="H572" s="94"/>
      <c r="K572" s="199"/>
      <c r="L572" s="199"/>
      <c r="M572" s="199"/>
      <c r="N572" s="199"/>
      <c r="O572" s="199"/>
      <c r="P572" s="199"/>
      <c r="Q572" s="199"/>
      <c r="R572" s="199"/>
      <c r="S572" s="199"/>
      <c r="T572" s="199"/>
      <c r="U572" s="199"/>
      <c r="V572" s="199"/>
      <c r="W572" s="199"/>
    </row>
    <row r="573" spans="3:23" ht="12.75" customHeight="1">
      <c r="C573" s="94"/>
      <c r="D573" s="94"/>
      <c r="E573" s="94"/>
      <c r="F573" s="94"/>
      <c r="G573" s="200"/>
      <c r="H573" s="94"/>
      <c r="K573" s="199"/>
      <c r="L573" s="199"/>
      <c r="M573" s="199"/>
      <c r="N573" s="199"/>
      <c r="O573" s="199"/>
      <c r="P573" s="199"/>
      <c r="Q573" s="199"/>
      <c r="R573" s="199"/>
      <c r="S573" s="199"/>
      <c r="T573" s="199"/>
      <c r="U573" s="199"/>
      <c r="V573" s="199"/>
      <c r="W573" s="199"/>
    </row>
    <row r="574" spans="3:23" ht="12.75" customHeight="1">
      <c r="C574" s="94"/>
      <c r="D574" s="94"/>
      <c r="E574" s="94"/>
      <c r="F574" s="94"/>
      <c r="G574" s="200"/>
      <c r="H574" s="94"/>
      <c r="K574" s="199"/>
      <c r="L574" s="199"/>
      <c r="M574" s="199"/>
      <c r="N574" s="199"/>
      <c r="O574" s="199"/>
      <c r="P574" s="199"/>
      <c r="Q574" s="199"/>
      <c r="R574" s="199"/>
      <c r="S574" s="199"/>
      <c r="T574" s="199"/>
      <c r="U574" s="199"/>
      <c r="V574" s="199"/>
      <c r="W574" s="199"/>
    </row>
    <row r="575" spans="3:23" ht="12.75" customHeight="1">
      <c r="C575" s="94"/>
      <c r="D575" s="94"/>
      <c r="E575" s="94"/>
      <c r="F575" s="94"/>
      <c r="G575" s="200"/>
      <c r="H575" s="94"/>
      <c r="K575" s="199"/>
      <c r="L575" s="199"/>
      <c r="M575" s="199"/>
      <c r="N575" s="199"/>
      <c r="O575" s="199"/>
      <c r="P575" s="199"/>
      <c r="Q575" s="199"/>
      <c r="R575" s="199"/>
      <c r="S575" s="199"/>
      <c r="T575" s="199"/>
      <c r="U575" s="199"/>
      <c r="V575" s="199"/>
      <c r="W575" s="199"/>
    </row>
    <row r="576" spans="3:23" ht="12.75" customHeight="1">
      <c r="C576" s="94"/>
      <c r="D576" s="94"/>
      <c r="E576" s="94"/>
      <c r="F576" s="94"/>
      <c r="G576" s="200"/>
      <c r="H576" s="94"/>
      <c r="K576" s="199"/>
      <c r="L576" s="199"/>
      <c r="M576" s="199"/>
      <c r="N576" s="199"/>
      <c r="O576" s="199"/>
      <c r="P576" s="199"/>
      <c r="Q576" s="199"/>
      <c r="R576" s="199"/>
      <c r="S576" s="199"/>
      <c r="T576" s="199"/>
      <c r="U576" s="199"/>
      <c r="V576" s="199"/>
      <c r="W576" s="199"/>
    </row>
    <row r="577" spans="3:23" ht="12.75" customHeight="1">
      <c r="C577" s="94"/>
      <c r="D577" s="94"/>
      <c r="E577" s="94"/>
      <c r="F577" s="94"/>
      <c r="G577" s="200"/>
      <c r="H577" s="94"/>
      <c r="K577" s="199"/>
      <c r="L577" s="199"/>
      <c r="M577" s="199"/>
      <c r="N577" s="199"/>
      <c r="O577" s="199"/>
      <c r="P577" s="199"/>
      <c r="Q577" s="199"/>
      <c r="R577" s="199"/>
      <c r="S577" s="199"/>
      <c r="T577" s="199"/>
      <c r="U577" s="199"/>
      <c r="V577" s="199"/>
      <c r="W577" s="199"/>
    </row>
    <row r="578" spans="3:23" ht="12.75" customHeight="1">
      <c r="C578" s="94"/>
      <c r="D578" s="94"/>
      <c r="E578" s="94"/>
      <c r="F578" s="94"/>
      <c r="G578" s="200"/>
      <c r="H578" s="94"/>
      <c r="K578" s="199"/>
      <c r="L578" s="199"/>
      <c r="M578" s="199"/>
      <c r="N578" s="199"/>
      <c r="O578" s="199"/>
      <c r="P578" s="199"/>
      <c r="Q578" s="199"/>
      <c r="R578" s="199"/>
      <c r="S578" s="199"/>
      <c r="T578" s="199"/>
      <c r="U578" s="199"/>
      <c r="V578" s="199"/>
      <c r="W578" s="199"/>
    </row>
    <row r="579" spans="3:23" ht="12.75" customHeight="1">
      <c r="C579" s="94"/>
      <c r="D579" s="94"/>
      <c r="E579" s="94"/>
      <c r="F579" s="94"/>
      <c r="G579" s="200"/>
      <c r="H579" s="94"/>
      <c r="K579" s="199"/>
      <c r="L579" s="199"/>
      <c r="M579" s="199"/>
      <c r="N579" s="199"/>
      <c r="O579" s="199"/>
      <c r="P579" s="199"/>
      <c r="Q579" s="199"/>
      <c r="R579" s="199"/>
      <c r="S579" s="199"/>
      <c r="T579" s="199"/>
      <c r="U579" s="199"/>
      <c r="V579" s="199"/>
      <c r="W579" s="199"/>
    </row>
    <row r="580" spans="3:23" ht="12.75" customHeight="1">
      <c r="C580" s="94"/>
      <c r="D580" s="94"/>
      <c r="E580" s="94"/>
      <c r="F580" s="94"/>
      <c r="G580" s="200"/>
      <c r="H580" s="94"/>
      <c r="K580" s="199"/>
      <c r="L580" s="199"/>
      <c r="M580" s="199"/>
      <c r="N580" s="199"/>
      <c r="O580" s="199"/>
      <c r="P580" s="199"/>
      <c r="Q580" s="199"/>
      <c r="R580" s="199"/>
      <c r="S580" s="199"/>
      <c r="T580" s="199"/>
      <c r="U580" s="199"/>
      <c r="V580" s="199"/>
      <c r="W580" s="199"/>
    </row>
    <row r="581" spans="3:23" ht="12.75" customHeight="1">
      <c r="C581" s="94"/>
      <c r="D581" s="94"/>
      <c r="E581" s="94"/>
      <c r="F581" s="94"/>
      <c r="G581" s="200"/>
      <c r="H581" s="94"/>
      <c r="K581" s="199"/>
      <c r="L581" s="199"/>
      <c r="M581" s="199"/>
      <c r="N581" s="199"/>
      <c r="O581" s="199"/>
      <c r="P581" s="199"/>
      <c r="Q581" s="199"/>
      <c r="R581" s="199"/>
      <c r="S581" s="199"/>
      <c r="T581" s="199"/>
      <c r="U581" s="199"/>
      <c r="V581" s="199"/>
      <c r="W581" s="199"/>
    </row>
    <row r="582" spans="3:23" ht="12.75" customHeight="1">
      <c r="C582" s="94"/>
      <c r="D582" s="94"/>
      <c r="E582" s="94"/>
      <c r="F582" s="94"/>
      <c r="G582" s="200"/>
      <c r="H582" s="94"/>
      <c r="K582" s="199"/>
      <c r="L582" s="199"/>
      <c r="M582" s="199"/>
      <c r="N582" s="199"/>
      <c r="O582" s="199"/>
      <c r="P582" s="199"/>
      <c r="Q582" s="199"/>
      <c r="R582" s="199"/>
      <c r="S582" s="199"/>
      <c r="T582" s="199"/>
      <c r="U582" s="199"/>
      <c r="V582" s="199"/>
      <c r="W582" s="199"/>
    </row>
    <row r="583" spans="3:23" ht="12.75" customHeight="1">
      <c r="C583" s="94"/>
      <c r="D583" s="94"/>
      <c r="E583" s="94"/>
      <c r="F583" s="94"/>
      <c r="G583" s="200"/>
      <c r="H583" s="94"/>
      <c r="K583" s="199"/>
      <c r="L583" s="199"/>
      <c r="M583" s="199"/>
      <c r="N583" s="199"/>
      <c r="O583" s="199"/>
      <c r="P583" s="199"/>
      <c r="Q583" s="199"/>
      <c r="R583" s="199"/>
      <c r="S583" s="199"/>
      <c r="T583" s="199"/>
      <c r="U583" s="199"/>
      <c r="V583" s="199"/>
      <c r="W583" s="199"/>
    </row>
    <row r="584" spans="3:23" ht="12.75" customHeight="1">
      <c r="C584" s="94"/>
      <c r="D584" s="94"/>
      <c r="E584" s="94"/>
      <c r="F584" s="94"/>
      <c r="G584" s="200"/>
      <c r="H584" s="94"/>
      <c r="K584" s="199"/>
      <c r="L584" s="199"/>
      <c r="M584" s="199"/>
      <c r="N584" s="199"/>
      <c r="O584" s="199"/>
      <c r="P584" s="199"/>
      <c r="Q584" s="199"/>
      <c r="R584" s="199"/>
      <c r="S584" s="199"/>
      <c r="T584" s="199"/>
      <c r="U584" s="199"/>
      <c r="V584" s="199"/>
      <c r="W584" s="199"/>
    </row>
    <row r="585" spans="3:23" ht="12.75" customHeight="1">
      <c r="C585" s="94"/>
      <c r="D585" s="94"/>
      <c r="E585" s="94"/>
      <c r="F585" s="94"/>
      <c r="G585" s="200"/>
      <c r="H585" s="94"/>
      <c r="K585" s="199"/>
      <c r="L585" s="199"/>
      <c r="M585" s="199"/>
      <c r="N585" s="199"/>
      <c r="O585" s="199"/>
      <c r="P585" s="199"/>
      <c r="Q585" s="199"/>
      <c r="R585" s="199"/>
      <c r="S585" s="199"/>
      <c r="T585" s="199"/>
      <c r="U585" s="199"/>
      <c r="V585" s="199"/>
      <c r="W585" s="199"/>
    </row>
    <row r="586" spans="3:23" ht="12.75" customHeight="1">
      <c r="C586" s="94"/>
      <c r="D586" s="94"/>
      <c r="E586" s="94"/>
      <c r="F586" s="94"/>
      <c r="G586" s="200"/>
      <c r="H586" s="94"/>
      <c r="K586" s="199"/>
      <c r="L586" s="199"/>
      <c r="M586" s="199"/>
      <c r="N586" s="199"/>
      <c r="O586" s="199"/>
      <c r="P586" s="199"/>
      <c r="Q586" s="199"/>
      <c r="R586" s="199"/>
      <c r="S586" s="199"/>
      <c r="T586" s="199"/>
      <c r="U586" s="199"/>
      <c r="V586" s="199"/>
      <c r="W586" s="199"/>
    </row>
    <row r="587" spans="3:23" ht="12.75" customHeight="1">
      <c r="C587" s="94"/>
      <c r="D587" s="94"/>
      <c r="E587" s="94"/>
      <c r="F587" s="94"/>
      <c r="G587" s="200"/>
      <c r="H587" s="94"/>
      <c r="K587" s="199"/>
      <c r="L587" s="199"/>
      <c r="M587" s="199"/>
      <c r="N587" s="199"/>
      <c r="O587" s="199"/>
      <c r="P587" s="199"/>
      <c r="Q587" s="199"/>
      <c r="R587" s="199"/>
      <c r="S587" s="199"/>
      <c r="T587" s="199"/>
      <c r="U587" s="199"/>
      <c r="V587" s="199"/>
      <c r="W587" s="199"/>
    </row>
    <row r="588" spans="3:23" ht="12.75" customHeight="1">
      <c r="C588" s="94"/>
      <c r="D588" s="94"/>
      <c r="E588" s="94"/>
      <c r="F588" s="94"/>
      <c r="G588" s="200"/>
      <c r="H588" s="94"/>
      <c r="K588" s="199"/>
      <c r="L588" s="199"/>
      <c r="M588" s="199"/>
      <c r="N588" s="199"/>
      <c r="O588" s="199"/>
      <c r="P588" s="199"/>
      <c r="Q588" s="199"/>
      <c r="R588" s="199"/>
      <c r="S588" s="199"/>
      <c r="T588" s="199"/>
      <c r="U588" s="199"/>
      <c r="V588" s="199"/>
      <c r="W588" s="199"/>
    </row>
    <row r="589" spans="3:23" ht="12.75" customHeight="1">
      <c r="C589" s="94"/>
      <c r="D589" s="94"/>
      <c r="E589" s="94"/>
      <c r="F589" s="94"/>
      <c r="G589" s="200"/>
      <c r="H589" s="94"/>
      <c r="K589" s="199"/>
      <c r="L589" s="199"/>
      <c r="M589" s="199"/>
      <c r="N589" s="199"/>
      <c r="O589" s="199"/>
      <c r="P589" s="199"/>
      <c r="Q589" s="199"/>
      <c r="R589" s="199"/>
      <c r="S589" s="199"/>
      <c r="T589" s="199"/>
      <c r="U589" s="199"/>
      <c r="V589" s="199"/>
      <c r="W589" s="199"/>
    </row>
    <row r="590" spans="3:23" ht="12.75" customHeight="1">
      <c r="C590" s="94"/>
      <c r="D590" s="94"/>
      <c r="E590" s="94"/>
      <c r="F590" s="94"/>
      <c r="G590" s="200"/>
      <c r="H590" s="94"/>
      <c r="K590" s="199"/>
      <c r="L590" s="199"/>
      <c r="M590" s="199"/>
      <c r="N590" s="199"/>
      <c r="O590" s="199"/>
      <c r="P590" s="199"/>
      <c r="Q590" s="199"/>
      <c r="R590" s="199"/>
      <c r="S590" s="199"/>
      <c r="T590" s="199"/>
      <c r="U590" s="199"/>
      <c r="V590" s="199"/>
      <c r="W590" s="199"/>
    </row>
    <row r="591" spans="3:23" ht="12.75" customHeight="1">
      <c r="C591" s="94"/>
      <c r="D591" s="94"/>
      <c r="E591" s="94"/>
      <c r="F591" s="94"/>
      <c r="G591" s="200"/>
      <c r="H591" s="94"/>
      <c r="K591" s="199"/>
      <c r="L591" s="199"/>
      <c r="M591" s="199"/>
      <c r="N591" s="199"/>
      <c r="O591" s="199"/>
      <c r="P591" s="199"/>
      <c r="Q591" s="199"/>
      <c r="R591" s="199"/>
      <c r="S591" s="199"/>
      <c r="T591" s="199"/>
      <c r="U591" s="199"/>
      <c r="V591" s="199"/>
      <c r="W591" s="199"/>
    </row>
    <row r="592" spans="3:23" ht="12.75" customHeight="1">
      <c r="C592" s="94"/>
      <c r="D592" s="94"/>
      <c r="E592" s="94"/>
      <c r="F592" s="94"/>
      <c r="G592" s="200"/>
      <c r="H592" s="94"/>
      <c r="K592" s="199"/>
      <c r="L592" s="199"/>
      <c r="M592" s="199"/>
      <c r="N592" s="199"/>
      <c r="O592" s="199"/>
      <c r="P592" s="199"/>
      <c r="Q592" s="199"/>
      <c r="R592" s="199"/>
      <c r="S592" s="199"/>
      <c r="T592" s="199"/>
      <c r="U592" s="199"/>
      <c r="V592" s="199"/>
      <c r="W592" s="199"/>
    </row>
    <row r="593" spans="3:23" ht="12.75" customHeight="1">
      <c r="C593" s="94"/>
      <c r="D593" s="94"/>
      <c r="E593" s="94"/>
      <c r="F593" s="94"/>
      <c r="G593" s="200"/>
      <c r="H593" s="94"/>
      <c r="K593" s="199"/>
      <c r="L593" s="199"/>
      <c r="M593" s="199"/>
      <c r="N593" s="199"/>
      <c r="O593" s="199"/>
      <c r="P593" s="199"/>
      <c r="Q593" s="199"/>
      <c r="R593" s="199"/>
      <c r="S593" s="199"/>
      <c r="T593" s="199"/>
      <c r="U593" s="199"/>
      <c r="V593" s="199"/>
      <c r="W593" s="199"/>
    </row>
    <row r="594" spans="3:23" ht="12.75" customHeight="1">
      <c r="C594" s="94"/>
      <c r="D594" s="94"/>
      <c r="E594" s="94"/>
      <c r="F594" s="94"/>
      <c r="G594" s="200"/>
      <c r="H594" s="94"/>
      <c r="K594" s="199"/>
      <c r="L594" s="199"/>
      <c r="M594" s="199"/>
      <c r="N594" s="199"/>
      <c r="O594" s="199"/>
      <c r="P594" s="199"/>
      <c r="Q594" s="199"/>
      <c r="R594" s="199"/>
      <c r="S594" s="199"/>
      <c r="T594" s="199"/>
      <c r="U594" s="199"/>
      <c r="V594" s="199"/>
      <c r="W594" s="199"/>
    </row>
    <row r="595" spans="3:23" ht="12.75" customHeight="1">
      <c r="C595" s="94"/>
      <c r="D595" s="94"/>
      <c r="E595" s="94"/>
      <c r="F595" s="94"/>
      <c r="G595" s="200"/>
      <c r="H595" s="94"/>
      <c r="K595" s="199"/>
      <c r="L595" s="199"/>
      <c r="M595" s="199"/>
      <c r="N595" s="199"/>
      <c r="O595" s="199"/>
      <c r="P595" s="199"/>
      <c r="Q595" s="199"/>
      <c r="R595" s="199"/>
      <c r="S595" s="199"/>
      <c r="T595" s="199"/>
      <c r="U595" s="199"/>
      <c r="V595" s="199"/>
      <c r="W595" s="199"/>
    </row>
    <row r="596" spans="3:23" ht="12.75" customHeight="1">
      <c r="C596" s="94"/>
      <c r="D596" s="94"/>
      <c r="E596" s="94"/>
      <c r="F596" s="94"/>
      <c r="G596" s="200"/>
      <c r="H596" s="94"/>
      <c r="K596" s="199"/>
      <c r="L596" s="199"/>
      <c r="M596" s="199"/>
      <c r="N596" s="199"/>
      <c r="O596" s="199"/>
      <c r="P596" s="199"/>
      <c r="Q596" s="199"/>
      <c r="R596" s="199"/>
      <c r="S596" s="199"/>
      <c r="T596" s="199"/>
      <c r="U596" s="199"/>
      <c r="V596" s="199"/>
      <c r="W596" s="199"/>
    </row>
    <row r="597" spans="3:23" ht="12.75" customHeight="1">
      <c r="C597" s="94"/>
      <c r="D597" s="94"/>
      <c r="E597" s="94"/>
      <c r="F597" s="94"/>
      <c r="G597" s="200"/>
      <c r="H597" s="94"/>
      <c r="K597" s="199"/>
      <c r="L597" s="199"/>
      <c r="M597" s="199"/>
      <c r="N597" s="199"/>
      <c r="O597" s="199"/>
      <c r="P597" s="199"/>
      <c r="Q597" s="199"/>
      <c r="R597" s="199"/>
      <c r="S597" s="199"/>
      <c r="T597" s="199"/>
      <c r="U597" s="199"/>
      <c r="V597" s="199"/>
      <c r="W597" s="199"/>
    </row>
    <row r="598" spans="3:23" ht="12.75" customHeight="1">
      <c r="C598" s="94"/>
      <c r="D598" s="94"/>
      <c r="E598" s="94"/>
      <c r="F598" s="94"/>
      <c r="G598" s="200"/>
      <c r="H598" s="94"/>
      <c r="K598" s="199"/>
      <c r="L598" s="199"/>
      <c r="M598" s="199"/>
      <c r="N598" s="199"/>
      <c r="O598" s="199"/>
      <c r="P598" s="199"/>
      <c r="Q598" s="199"/>
      <c r="R598" s="199"/>
      <c r="S598" s="199"/>
      <c r="T598" s="199"/>
      <c r="U598" s="199"/>
      <c r="V598" s="199"/>
      <c r="W598" s="199"/>
    </row>
    <row r="599" spans="3:23" ht="12.75" customHeight="1">
      <c r="C599" s="94"/>
      <c r="D599" s="94"/>
      <c r="E599" s="94"/>
      <c r="F599" s="94"/>
      <c r="G599" s="200"/>
      <c r="H599" s="94"/>
      <c r="K599" s="199"/>
      <c r="L599" s="199"/>
      <c r="M599" s="199"/>
      <c r="N599" s="199"/>
      <c r="O599" s="199"/>
      <c r="P599" s="199"/>
      <c r="Q599" s="199"/>
      <c r="R599" s="199"/>
      <c r="S599" s="199"/>
      <c r="T599" s="199"/>
      <c r="U599" s="199"/>
      <c r="V599" s="199"/>
      <c r="W599" s="199"/>
    </row>
    <row r="600" spans="3:23" ht="12.75" customHeight="1">
      <c r="C600" s="94"/>
      <c r="D600" s="94"/>
      <c r="E600" s="94"/>
      <c r="F600" s="94"/>
      <c r="G600" s="200"/>
      <c r="H600" s="94"/>
      <c r="K600" s="199"/>
      <c r="L600" s="199"/>
      <c r="M600" s="199"/>
      <c r="N600" s="199"/>
      <c r="O600" s="199"/>
      <c r="P600" s="199"/>
      <c r="Q600" s="199"/>
      <c r="R600" s="199"/>
      <c r="S600" s="199"/>
      <c r="T600" s="199"/>
      <c r="U600" s="199"/>
      <c r="V600" s="199"/>
      <c r="W600" s="199"/>
    </row>
    <row r="601" spans="3:23" ht="12.75" customHeight="1">
      <c r="C601" s="94"/>
      <c r="D601" s="94"/>
      <c r="E601" s="94"/>
      <c r="F601" s="94"/>
      <c r="G601" s="200"/>
      <c r="H601" s="94"/>
      <c r="K601" s="199"/>
      <c r="L601" s="199"/>
      <c r="M601" s="199"/>
      <c r="N601" s="199"/>
      <c r="O601" s="199"/>
      <c r="P601" s="199"/>
      <c r="Q601" s="199"/>
      <c r="R601" s="199"/>
      <c r="S601" s="199"/>
      <c r="T601" s="199"/>
      <c r="U601" s="199"/>
      <c r="V601" s="199"/>
      <c r="W601" s="199"/>
    </row>
    <row r="602" spans="3:23" ht="12.75" customHeight="1">
      <c r="C602" s="94"/>
      <c r="D602" s="94"/>
      <c r="E602" s="94"/>
      <c r="F602" s="94"/>
      <c r="G602" s="200"/>
      <c r="H602" s="94"/>
      <c r="K602" s="199"/>
      <c r="L602" s="199"/>
      <c r="M602" s="199"/>
      <c r="N602" s="199"/>
      <c r="O602" s="199"/>
      <c r="P602" s="199"/>
      <c r="Q602" s="199"/>
      <c r="R602" s="199"/>
      <c r="S602" s="199"/>
      <c r="T602" s="199"/>
      <c r="U602" s="199"/>
      <c r="V602" s="199"/>
      <c r="W602" s="199"/>
    </row>
    <row r="603" spans="3:23" ht="12.75" customHeight="1">
      <c r="C603" s="94"/>
      <c r="D603" s="94"/>
      <c r="E603" s="94"/>
      <c r="F603" s="94"/>
      <c r="G603" s="200"/>
      <c r="H603" s="94"/>
      <c r="K603" s="199"/>
      <c r="L603" s="199"/>
      <c r="M603" s="199"/>
      <c r="N603" s="199"/>
      <c r="O603" s="199"/>
      <c r="P603" s="199"/>
      <c r="Q603" s="199"/>
      <c r="R603" s="199"/>
      <c r="S603" s="199"/>
      <c r="T603" s="199"/>
      <c r="U603" s="199"/>
      <c r="V603" s="199"/>
      <c r="W603" s="199"/>
    </row>
    <row r="604" spans="3:23" ht="12.75" customHeight="1">
      <c r="C604" s="94"/>
      <c r="D604" s="94"/>
      <c r="E604" s="94"/>
      <c r="F604" s="94"/>
      <c r="G604" s="200"/>
      <c r="H604" s="94"/>
      <c r="K604" s="199"/>
      <c r="L604" s="199"/>
      <c r="M604" s="199"/>
      <c r="N604" s="199"/>
      <c r="O604" s="199"/>
      <c r="P604" s="199"/>
      <c r="Q604" s="199"/>
      <c r="R604" s="199"/>
      <c r="S604" s="199"/>
      <c r="T604" s="199"/>
      <c r="U604" s="199"/>
      <c r="V604" s="199"/>
      <c r="W604" s="199"/>
    </row>
    <row r="605" spans="3:23" ht="12.75" customHeight="1">
      <c r="C605" s="94"/>
      <c r="D605" s="94"/>
      <c r="E605" s="94"/>
      <c r="F605" s="94"/>
      <c r="G605" s="200"/>
      <c r="H605" s="94"/>
      <c r="K605" s="199"/>
      <c r="L605" s="199"/>
      <c r="M605" s="199"/>
      <c r="N605" s="199"/>
      <c r="O605" s="199"/>
      <c r="P605" s="199"/>
      <c r="Q605" s="199"/>
      <c r="R605" s="199"/>
      <c r="S605" s="199"/>
      <c r="T605" s="199"/>
      <c r="U605" s="199"/>
      <c r="V605" s="199"/>
      <c r="W605" s="199"/>
    </row>
    <row r="606" spans="3:23" ht="12.75" customHeight="1">
      <c r="C606" s="94"/>
      <c r="D606" s="94"/>
      <c r="E606" s="94"/>
      <c r="F606" s="94"/>
      <c r="G606" s="200"/>
      <c r="H606" s="94"/>
      <c r="K606" s="199"/>
      <c r="L606" s="199"/>
      <c r="M606" s="199"/>
      <c r="N606" s="199"/>
      <c r="O606" s="199"/>
      <c r="P606" s="199"/>
      <c r="Q606" s="199"/>
      <c r="R606" s="199"/>
      <c r="S606" s="199"/>
      <c r="T606" s="199"/>
      <c r="U606" s="199"/>
      <c r="V606" s="199"/>
      <c r="W606" s="199"/>
    </row>
    <row r="607" spans="3:23" ht="12.75" customHeight="1">
      <c r="C607" s="94"/>
      <c r="D607" s="94"/>
      <c r="E607" s="94"/>
      <c r="F607" s="94"/>
      <c r="G607" s="200"/>
      <c r="H607" s="94"/>
      <c r="K607" s="199"/>
      <c r="L607" s="199"/>
      <c r="M607" s="199"/>
      <c r="N607" s="199"/>
      <c r="O607" s="199"/>
      <c r="P607" s="199"/>
      <c r="Q607" s="199"/>
      <c r="R607" s="199"/>
      <c r="S607" s="199"/>
      <c r="T607" s="199"/>
      <c r="U607" s="199"/>
      <c r="V607" s="199"/>
      <c r="W607" s="199"/>
    </row>
    <row r="608" spans="3:23" ht="12.75" customHeight="1">
      <c r="C608" s="94"/>
      <c r="D608" s="94"/>
      <c r="E608" s="94"/>
      <c r="F608" s="94"/>
      <c r="G608" s="200"/>
      <c r="H608" s="94"/>
      <c r="K608" s="199"/>
      <c r="L608" s="199"/>
      <c r="M608" s="199"/>
      <c r="N608" s="199"/>
      <c r="O608" s="199"/>
      <c r="P608" s="199"/>
      <c r="Q608" s="199"/>
      <c r="R608" s="199"/>
      <c r="S608" s="199"/>
      <c r="T608" s="199"/>
      <c r="U608" s="199"/>
      <c r="V608" s="199"/>
      <c r="W608" s="199"/>
    </row>
    <row r="609" spans="3:23" ht="12.75" customHeight="1">
      <c r="C609" s="94"/>
      <c r="D609" s="94"/>
      <c r="E609" s="94"/>
      <c r="F609" s="94"/>
      <c r="G609" s="200"/>
      <c r="H609" s="94"/>
      <c r="K609" s="199"/>
      <c r="L609" s="199"/>
      <c r="M609" s="199"/>
      <c r="N609" s="199"/>
      <c r="O609" s="199"/>
      <c r="P609" s="199"/>
      <c r="Q609" s="199"/>
      <c r="R609" s="199"/>
      <c r="S609" s="199"/>
      <c r="T609" s="199"/>
      <c r="U609" s="199"/>
      <c r="V609" s="199"/>
      <c r="W609" s="199"/>
    </row>
    <row r="610" spans="3:23" ht="12.75" customHeight="1">
      <c r="C610" s="94"/>
      <c r="D610" s="94"/>
      <c r="E610" s="94"/>
      <c r="F610" s="94"/>
      <c r="G610" s="200"/>
      <c r="H610" s="94"/>
      <c r="K610" s="199"/>
      <c r="L610" s="199"/>
      <c r="M610" s="199"/>
      <c r="N610" s="199"/>
      <c r="O610" s="199"/>
      <c r="P610" s="199"/>
      <c r="Q610" s="199"/>
      <c r="R610" s="199"/>
      <c r="S610" s="199"/>
      <c r="T610" s="199"/>
      <c r="U610" s="199"/>
      <c r="V610" s="199"/>
      <c r="W610" s="199"/>
    </row>
    <row r="611" spans="3:23" ht="12.75" customHeight="1">
      <c r="C611" s="94"/>
      <c r="D611" s="94"/>
      <c r="E611" s="94"/>
      <c r="F611" s="94"/>
      <c r="G611" s="200"/>
      <c r="H611" s="94"/>
      <c r="K611" s="199"/>
      <c r="L611" s="199"/>
      <c r="M611" s="199"/>
      <c r="N611" s="199"/>
      <c r="O611" s="199"/>
      <c r="P611" s="199"/>
      <c r="Q611" s="199"/>
      <c r="R611" s="199"/>
      <c r="S611" s="199"/>
      <c r="T611" s="199"/>
      <c r="U611" s="199"/>
      <c r="V611" s="199"/>
      <c r="W611" s="199"/>
    </row>
    <row r="612" spans="3:23" ht="12.75" customHeight="1">
      <c r="C612" s="94"/>
      <c r="D612" s="94"/>
      <c r="E612" s="94"/>
      <c r="F612" s="94"/>
      <c r="G612" s="200"/>
      <c r="H612" s="94"/>
      <c r="K612" s="199"/>
      <c r="L612" s="199"/>
      <c r="M612" s="199"/>
      <c r="N612" s="199"/>
      <c r="O612" s="199"/>
      <c r="P612" s="199"/>
      <c r="Q612" s="199"/>
      <c r="R612" s="199"/>
      <c r="S612" s="199"/>
      <c r="T612" s="199"/>
      <c r="U612" s="199"/>
      <c r="V612" s="199"/>
      <c r="W612" s="199"/>
    </row>
    <row r="613" spans="3:23" ht="12.75" customHeight="1">
      <c r="C613" s="94"/>
      <c r="D613" s="94"/>
      <c r="E613" s="94"/>
      <c r="F613" s="94"/>
      <c r="G613" s="200"/>
      <c r="H613" s="94"/>
      <c r="K613" s="199"/>
      <c r="L613" s="199"/>
      <c r="M613" s="199"/>
      <c r="N613" s="199"/>
      <c r="O613" s="199"/>
      <c r="P613" s="199"/>
      <c r="Q613" s="199"/>
      <c r="R613" s="199"/>
      <c r="S613" s="199"/>
      <c r="T613" s="199"/>
      <c r="U613" s="199"/>
      <c r="V613" s="199"/>
      <c r="W613" s="199"/>
    </row>
    <row r="614" spans="3:23" ht="12.75" customHeight="1">
      <c r="C614" s="94"/>
      <c r="D614" s="94"/>
      <c r="E614" s="94"/>
      <c r="F614" s="94"/>
      <c r="G614" s="200"/>
      <c r="H614" s="94"/>
      <c r="K614" s="199"/>
      <c r="L614" s="199"/>
      <c r="M614" s="199"/>
      <c r="N614" s="199"/>
      <c r="O614" s="199"/>
      <c r="P614" s="199"/>
      <c r="Q614" s="199"/>
      <c r="R614" s="199"/>
      <c r="S614" s="199"/>
      <c r="T614" s="199"/>
      <c r="U614" s="199"/>
      <c r="V614" s="199"/>
      <c r="W614" s="199"/>
    </row>
    <row r="615" spans="3:23" ht="12.75" customHeight="1">
      <c r="C615" s="94"/>
      <c r="D615" s="94"/>
      <c r="E615" s="94"/>
      <c r="F615" s="94"/>
      <c r="G615" s="200"/>
      <c r="H615" s="94"/>
      <c r="K615" s="199"/>
      <c r="L615" s="199"/>
      <c r="M615" s="199"/>
      <c r="N615" s="199"/>
      <c r="O615" s="199"/>
      <c r="P615" s="199"/>
      <c r="Q615" s="199"/>
      <c r="R615" s="199"/>
      <c r="S615" s="199"/>
      <c r="T615" s="199"/>
      <c r="U615" s="199"/>
      <c r="V615" s="199"/>
      <c r="W615" s="199"/>
    </row>
    <row r="616" spans="3:23" ht="12.75" customHeight="1">
      <c r="C616" s="94"/>
      <c r="D616" s="94"/>
      <c r="E616" s="94"/>
      <c r="F616" s="94"/>
      <c r="G616" s="200"/>
      <c r="H616" s="94"/>
      <c r="K616" s="199"/>
      <c r="L616" s="199"/>
      <c r="M616" s="199"/>
      <c r="N616" s="199"/>
      <c r="O616" s="199"/>
      <c r="P616" s="199"/>
      <c r="Q616" s="199"/>
      <c r="R616" s="199"/>
      <c r="S616" s="199"/>
      <c r="T616" s="199"/>
      <c r="U616" s="199"/>
      <c r="V616" s="199"/>
      <c r="W616" s="199"/>
    </row>
    <row r="617" spans="3:23" ht="12.75" customHeight="1">
      <c r="C617" s="94"/>
      <c r="D617" s="94"/>
      <c r="E617" s="94"/>
      <c r="F617" s="94"/>
      <c r="G617" s="200"/>
      <c r="H617" s="94"/>
      <c r="K617" s="199"/>
      <c r="L617" s="199"/>
      <c r="M617" s="199"/>
      <c r="N617" s="199"/>
      <c r="O617" s="199"/>
      <c r="P617" s="199"/>
      <c r="Q617" s="199"/>
      <c r="R617" s="199"/>
      <c r="S617" s="199"/>
      <c r="T617" s="199"/>
      <c r="U617" s="199"/>
      <c r="V617" s="199"/>
      <c r="W617" s="199"/>
    </row>
    <row r="618" spans="3:23" ht="12.75" customHeight="1">
      <c r="C618" s="94"/>
      <c r="D618" s="94"/>
      <c r="E618" s="94"/>
      <c r="F618" s="94"/>
      <c r="G618" s="200"/>
      <c r="H618" s="94"/>
      <c r="K618" s="199"/>
      <c r="L618" s="199"/>
      <c r="M618" s="199"/>
      <c r="N618" s="199"/>
      <c r="O618" s="199"/>
      <c r="P618" s="199"/>
      <c r="Q618" s="199"/>
      <c r="R618" s="199"/>
      <c r="S618" s="199"/>
      <c r="T618" s="199"/>
      <c r="U618" s="199"/>
      <c r="V618" s="199"/>
      <c r="W618" s="199"/>
    </row>
    <row r="619" spans="3:23" ht="12.75" customHeight="1">
      <c r="C619" s="94"/>
      <c r="D619" s="94"/>
      <c r="E619" s="94"/>
      <c r="F619" s="94"/>
      <c r="G619" s="200"/>
      <c r="H619" s="94"/>
      <c r="K619" s="199"/>
      <c r="L619" s="199"/>
      <c r="M619" s="199"/>
      <c r="N619" s="199"/>
      <c r="O619" s="199"/>
      <c r="P619" s="199"/>
      <c r="Q619" s="199"/>
      <c r="R619" s="199"/>
      <c r="S619" s="199"/>
      <c r="T619" s="199"/>
      <c r="U619" s="199"/>
      <c r="V619" s="199"/>
      <c r="W619" s="199"/>
    </row>
    <row r="620" spans="3:23" ht="12.75" customHeight="1">
      <c r="C620" s="94"/>
      <c r="D620" s="94"/>
      <c r="E620" s="94"/>
      <c r="F620" s="94"/>
      <c r="G620" s="200"/>
      <c r="H620" s="94"/>
      <c r="K620" s="199"/>
      <c r="L620" s="199"/>
      <c r="M620" s="199"/>
      <c r="N620" s="199"/>
      <c r="O620" s="199"/>
      <c r="P620" s="199"/>
      <c r="Q620" s="199"/>
      <c r="R620" s="199"/>
      <c r="S620" s="199"/>
      <c r="T620" s="199"/>
      <c r="U620" s="199"/>
      <c r="V620" s="199"/>
      <c r="W620" s="199"/>
    </row>
    <row r="621" spans="3:23" ht="12.75" customHeight="1">
      <c r="C621" s="94"/>
      <c r="D621" s="94"/>
      <c r="E621" s="94"/>
      <c r="F621" s="94"/>
      <c r="G621" s="200"/>
      <c r="H621" s="94"/>
      <c r="K621" s="199"/>
      <c r="L621" s="199"/>
      <c r="M621" s="199"/>
      <c r="N621" s="199"/>
      <c r="O621" s="199"/>
      <c r="P621" s="199"/>
      <c r="Q621" s="199"/>
      <c r="R621" s="199"/>
      <c r="S621" s="199"/>
      <c r="T621" s="199"/>
      <c r="U621" s="199"/>
      <c r="V621" s="199"/>
      <c r="W621" s="199"/>
    </row>
    <row r="622" spans="3:23" ht="12.75" customHeight="1">
      <c r="C622" s="94"/>
      <c r="D622" s="94"/>
      <c r="E622" s="94"/>
      <c r="F622" s="94"/>
      <c r="G622" s="200"/>
      <c r="H622" s="94"/>
      <c r="K622" s="199"/>
      <c r="L622" s="199"/>
      <c r="M622" s="199"/>
      <c r="N622" s="199"/>
      <c r="O622" s="199"/>
      <c r="P622" s="199"/>
      <c r="Q622" s="199"/>
      <c r="R622" s="199"/>
      <c r="S622" s="199"/>
      <c r="T622" s="199"/>
      <c r="U622" s="199"/>
      <c r="V622" s="199"/>
      <c r="W622" s="199"/>
    </row>
    <row r="623" spans="3:23" ht="12.75" customHeight="1">
      <c r="C623" s="94"/>
      <c r="D623" s="94"/>
      <c r="E623" s="94"/>
      <c r="F623" s="94"/>
      <c r="G623" s="200"/>
      <c r="H623" s="94"/>
      <c r="K623" s="199"/>
      <c r="L623" s="199"/>
      <c r="M623" s="199"/>
      <c r="N623" s="199"/>
      <c r="O623" s="199"/>
      <c r="P623" s="199"/>
      <c r="Q623" s="199"/>
      <c r="R623" s="199"/>
      <c r="S623" s="199"/>
      <c r="T623" s="199"/>
      <c r="U623" s="199"/>
      <c r="V623" s="199"/>
      <c r="W623" s="199"/>
    </row>
    <row r="624" spans="3:23" ht="12.75" customHeight="1">
      <c r="C624" s="94"/>
      <c r="D624" s="94"/>
      <c r="E624" s="94"/>
      <c r="F624" s="94"/>
      <c r="G624" s="200"/>
      <c r="H624" s="94"/>
      <c r="K624" s="199"/>
      <c r="L624" s="199"/>
      <c r="M624" s="199"/>
      <c r="N624" s="199"/>
      <c r="O624" s="199"/>
      <c r="P624" s="199"/>
      <c r="Q624" s="199"/>
      <c r="R624" s="199"/>
      <c r="S624" s="199"/>
      <c r="T624" s="199"/>
      <c r="U624" s="199"/>
      <c r="V624" s="199"/>
      <c r="W624" s="199"/>
    </row>
    <row r="625" spans="3:23" ht="12.75" customHeight="1">
      <c r="C625" s="94"/>
      <c r="D625" s="94"/>
      <c r="E625" s="94"/>
      <c r="F625" s="94"/>
      <c r="G625" s="200"/>
      <c r="H625" s="94"/>
      <c r="K625" s="199"/>
      <c r="L625" s="199"/>
      <c r="M625" s="199"/>
      <c r="N625" s="199"/>
      <c r="O625" s="199"/>
      <c r="P625" s="199"/>
      <c r="Q625" s="199"/>
      <c r="R625" s="199"/>
      <c r="S625" s="199"/>
      <c r="T625" s="199"/>
      <c r="U625" s="199"/>
      <c r="V625" s="199"/>
      <c r="W625" s="199"/>
    </row>
    <row r="626" spans="3:23" ht="12.75" customHeight="1">
      <c r="C626" s="94"/>
      <c r="D626" s="94"/>
      <c r="E626" s="94"/>
      <c r="F626" s="94"/>
      <c r="G626" s="200"/>
      <c r="H626" s="94"/>
      <c r="K626" s="199"/>
      <c r="L626" s="199"/>
      <c r="M626" s="199"/>
      <c r="N626" s="199"/>
      <c r="O626" s="199"/>
      <c r="P626" s="199"/>
      <c r="Q626" s="199"/>
      <c r="R626" s="199"/>
      <c r="S626" s="199"/>
      <c r="T626" s="199"/>
      <c r="U626" s="199"/>
      <c r="V626" s="199"/>
      <c r="W626" s="199"/>
    </row>
    <row r="627" spans="3:23" ht="12.75" customHeight="1">
      <c r="C627" s="94"/>
      <c r="D627" s="94"/>
      <c r="E627" s="94"/>
      <c r="F627" s="94"/>
      <c r="G627" s="200"/>
      <c r="H627" s="94"/>
      <c r="K627" s="199"/>
      <c r="L627" s="199"/>
      <c r="M627" s="199"/>
      <c r="N627" s="199"/>
      <c r="O627" s="199"/>
      <c r="P627" s="199"/>
      <c r="Q627" s="199"/>
      <c r="R627" s="199"/>
      <c r="S627" s="199"/>
      <c r="T627" s="199"/>
      <c r="U627" s="199"/>
      <c r="V627" s="199"/>
      <c r="W627" s="199"/>
    </row>
    <row r="628" spans="3:23" ht="12.75" customHeight="1">
      <c r="C628" s="94"/>
      <c r="D628" s="94"/>
      <c r="E628" s="94"/>
      <c r="F628" s="94"/>
      <c r="G628" s="200"/>
      <c r="H628" s="94"/>
      <c r="K628" s="199"/>
      <c r="L628" s="199"/>
      <c r="M628" s="199"/>
      <c r="N628" s="199"/>
      <c r="O628" s="199"/>
      <c r="P628" s="199"/>
      <c r="Q628" s="199"/>
      <c r="R628" s="199"/>
      <c r="S628" s="199"/>
      <c r="T628" s="199"/>
      <c r="U628" s="199"/>
      <c r="V628" s="199"/>
      <c r="W628" s="199"/>
    </row>
    <row r="629" spans="3:23" ht="12.75" customHeight="1">
      <c r="C629" s="94"/>
      <c r="D629" s="94"/>
      <c r="E629" s="94"/>
      <c r="F629" s="94"/>
      <c r="G629" s="200"/>
      <c r="H629" s="94"/>
      <c r="K629" s="199"/>
      <c r="L629" s="199"/>
      <c r="M629" s="199"/>
      <c r="N629" s="199"/>
      <c r="O629" s="199"/>
      <c r="P629" s="199"/>
      <c r="Q629" s="199"/>
      <c r="R629" s="199"/>
      <c r="S629" s="199"/>
      <c r="T629" s="199"/>
      <c r="U629" s="199"/>
      <c r="V629" s="199"/>
      <c r="W629" s="199"/>
    </row>
    <row r="630" spans="3:23" ht="12.75" customHeight="1">
      <c r="C630" s="94"/>
      <c r="D630" s="94"/>
      <c r="E630" s="94"/>
      <c r="F630" s="94"/>
      <c r="G630" s="200"/>
      <c r="H630" s="94"/>
      <c r="K630" s="199"/>
      <c r="L630" s="199"/>
      <c r="M630" s="199"/>
      <c r="N630" s="199"/>
      <c r="O630" s="199"/>
      <c r="P630" s="199"/>
      <c r="Q630" s="199"/>
      <c r="R630" s="199"/>
      <c r="S630" s="199"/>
      <c r="T630" s="199"/>
      <c r="U630" s="199"/>
      <c r="V630" s="199"/>
      <c r="W630" s="199"/>
    </row>
    <row r="631" spans="3:23" ht="12.75" customHeight="1">
      <c r="C631" s="94"/>
      <c r="D631" s="94"/>
      <c r="E631" s="94"/>
      <c r="F631" s="94"/>
      <c r="G631" s="200"/>
      <c r="H631" s="94"/>
      <c r="K631" s="199"/>
      <c r="L631" s="199"/>
      <c r="M631" s="199"/>
      <c r="N631" s="199"/>
      <c r="O631" s="199"/>
      <c r="P631" s="199"/>
      <c r="Q631" s="199"/>
      <c r="R631" s="199"/>
      <c r="S631" s="199"/>
      <c r="T631" s="199"/>
      <c r="U631" s="199"/>
      <c r="V631" s="199"/>
      <c r="W631" s="199"/>
    </row>
    <row r="632" spans="3:23" ht="12.75" customHeight="1">
      <c r="C632" s="94"/>
      <c r="D632" s="94"/>
      <c r="E632" s="94"/>
      <c r="F632" s="94"/>
      <c r="G632" s="200"/>
      <c r="H632" s="94"/>
      <c r="K632" s="199"/>
      <c r="L632" s="199"/>
      <c r="M632" s="199"/>
      <c r="N632" s="199"/>
      <c r="O632" s="199"/>
      <c r="P632" s="199"/>
      <c r="Q632" s="199"/>
      <c r="R632" s="199"/>
      <c r="S632" s="199"/>
      <c r="T632" s="199"/>
      <c r="U632" s="199"/>
      <c r="V632" s="199"/>
      <c r="W632" s="199"/>
    </row>
    <row r="633" spans="3:23" ht="12.75" customHeight="1">
      <c r="C633" s="94"/>
      <c r="D633" s="94"/>
      <c r="E633" s="94"/>
      <c r="F633" s="94"/>
      <c r="G633" s="200"/>
      <c r="H633" s="94"/>
      <c r="K633" s="199"/>
      <c r="L633" s="199"/>
      <c r="M633" s="199"/>
      <c r="N633" s="199"/>
      <c r="O633" s="199"/>
      <c r="P633" s="199"/>
      <c r="Q633" s="199"/>
      <c r="R633" s="199"/>
      <c r="S633" s="199"/>
      <c r="T633" s="199"/>
      <c r="U633" s="199"/>
      <c r="V633" s="199"/>
      <c r="W633" s="199"/>
    </row>
    <row r="634" spans="3:23" ht="12.75" customHeight="1">
      <c r="C634" s="94"/>
      <c r="D634" s="94"/>
      <c r="E634" s="94"/>
      <c r="F634" s="94"/>
      <c r="G634" s="200"/>
      <c r="H634" s="94"/>
      <c r="K634" s="199"/>
      <c r="L634" s="199"/>
      <c r="M634" s="199"/>
      <c r="N634" s="199"/>
      <c r="O634" s="199"/>
      <c r="P634" s="199"/>
      <c r="Q634" s="199"/>
      <c r="R634" s="199"/>
      <c r="S634" s="199"/>
      <c r="T634" s="199"/>
      <c r="U634" s="199"/>
      <c r="V634" s="199"/>
      <c r="W634" s="199"/>
    </row>
    <row r="635" spans="3:23" ht="12.75" customHeight="1">
      <c r="C635" s="94"/>
      <c r="D635" s="94"/>
      <c r="E635" s="94"/>
      <c r="F635" s="94"/>
      <c r="G635" s="200"/>
      <c r="H635" s="94"/>
      <c r="K635" s="199"/>
      <c r="L635" s="199"/>
      <c r="M635" s="199"/>
      <c r="N635" s="199"/>
      <c r="O635" s="199"/>
      <c r="P635" s="199"/>
      <c r="Q635" s="199"/>
      <c r="R635" s="199"/>
      <c r="S635" s="199"/>
      <c r="T635" s="199"/>
      <c r="U635" s="199"/>
      <c r="V635" s="199"/>
      <c r="W635" s="199"/>
    </row>
    <row r="636" spans="3:23" ht="12.75" customHeight="1">
      <c r="C636" s="94"/>
      <c r="D636" s="94"/>
      <c r="E636" s="94"/>
      <c r="F636" s="94"/>
      <c r="G636" s="200"/>
      <c r="H636" s="94"/>
      <c r="K636" s="199"/>
      <c r="L636" s="199"/>
      <c r="M636" s="199"/>
      <c r="N636" s="199"/>
      <c r="O636" s="199"/>
      <c r="P636" s="199"/>
      <c r="Q636" s="199"/>
      <c r="R636" s="199"/>
      <c r="S636" s="199"/>
      <c r="T636" s="199"/>
      <c r="U636" s="199"/>
      <c r="V636" s="199"/>
      <c r="W636" s="199"/>
    </row>
    <row r="637" spans="3:23" ht="12.75" customHeight="1">
      <c r="C637" s="94"/>
      <c r="D637" s="94"/>
      <c r="E637" s="94"/>
      <c r="F637" s="94"/>
      <c r="G637" s="200"/>
      <c r="H637" s="94"/>
      <c r="K637" s="199"/>
      <c r="L637" s="199"/>
      <c r="M637" s="199"/>
      <c r="N637" s="199"/>
      <c r="O637" s="199"/>
      <c r="P637" s="199"/>
      <c r="Q637" s="199"/>
      <c r="R637" s="199"/>
      <c r="S637" s="199"/>
      <c r="T637" s="199"/>
      <c r="U637" s="199"/>
      <c r="V637" s="199"/>
      <c r="W637" s="199"/>
    </row>
    <row r="638" spans="3:23" ht="12.75" customHeight="1">
      <c r="C638" s="94"/>
      <c r="D638" s="94"/>
      <c r="E638" s="94"/>
      <c r="F638" s="94"/>
      <c r="G638" s="200"/>
      <c r="H638" s="94"/>
      <c r="K638" s="199"/>
      <c r="L638" s="199"/>
      <c r="M638" s="199"/>
      <c r="N638" s="199"/>
      <c r="O638" s="199"/>
      <c r="P638" s="199"/>
      <c r="Q638" s="199"/>
      <c r="R638" s="199"/>
      <c r="S638" s="199"/>
      <c r="T638" s="199"/>
      <c r="U638" s="199"/>
      <c r="V638" s="199"/>
      <c r="W638" s="199"/>
    </row>
    <row r="639" spans="3:23" ht="12.75" customHeight="1">
      <c r="C639" s="94"/>
      <c r="D639" s="94"/>
      <c r="E639" s="94"/>
      <c r="F639" s="94"/>
      <c r="G639" s="200"/>
      <c r="H639" s="94"/>
      <c r="K639" s="199"/>
      <c r="L639" s="199"/>
      <c r="M639" s="199"/>
      <c r="N639" s="199"/>
      <c r="O639" s="199"/>
      <c r="P639" s="199"/>
      <c r="Q639" s="199"/>
      <c r="R639" s="199"/>
      <c r="S639" s="199"/>
      <c r="T639" s="199"/>
      <c r="U639" s="199"/>
      <c r="V639" s="199"/>
      <c r="W639" s="199"/>
    </row>
    <row r="640" spans="3:23" ht="12.75" customHeight="1">
      <c r="C640" s="94"/>
      <c r="D640" s="94"/>
      <c r="E640" s="94"/>
      <c r="F640" s="94"/>
      <c r="G640" s="200"/>
      <c r="H640" s="94"/>
      <c r="K640" s="199"/>
      <c r="L640" s="199"/>
      <c r="M640" s="199"/>
      <c r="N640" s="199"/>
      <c r="O640" s="199"/>
      <c r="P640" s="199"/>
      <c r="Q640" s="199"/>
      <c r="R640" s="199"/>
      <c r="S640" s="199"/>
      <c r="T640" s="199"/>
      <c r="U640" s="199"/>
      <c r="V640" s="199"/>
      <c r="W640" s="199"/>
    </row>
    <row r="641" spans="3:23" ht="12.75" customHeight="1">
      <c r="C641" s="94"/>
      <c r="D641" s="94"/>
      <c r="E641" s="94"/>
      <c r="F641" s="94"/>
      <c r="G641" s="200"/>
      <c r="H641" s="94"/>
      <c r="K641" s="199"/>
      <c r="L641" s="199"/>
      <c r="M641" s="199"/>
      <c r="N641" s="199"/>
      <c r="O641" s="199"/>
      <c r="P641" s="199"/>
      <c r="Q641" s="199"/>
      <c r="R641" s="199"/>
      <c r="S641" s="199"/>
      <c r="T641" s="199"/>
      <c r="U641" s="199"/>
      <c r="V641" s="199"/>
      <c r="W641" s="199"/>
    </row>
    <row r="642" spans="3:23" ht="12.75" customHeight="1">
      <c r="C642" s="94"/>
      <c r="D642" s="94"/>
      <c r="E642" s="94"/>
      <c r="F642" s="94"/>
      <c r="G642" s="200"/>
      <c r="H642" s="94"/>
      <c r="K642" s="199"/>
      <c r="L642" s="199"/>
      <c r="M642" s="199"/>
      <c r="N642" s="199"/>
      <c r="O642" s="199"/>
      <c r="P642" s="199"/>
      <c r="Q642" s="199"/>
      <c r="R642" s="199"/>
      <c r="S642" s="199"/>
      <c r="T642" s="199"/>
      <c r="U642" s="199"/>
      <c r="V642" s="199"/>
      <c r="W642" s="199"/>
    </row>
    <row r="643" spans="3:23" ht="12.75" customHeight="1">
      <c r="C643" s="94"/>
      <c r="D643" s="94"/>
      <c r="E643" s="94"/>
      <c r="F643" s="94"/>
      <c r="G643" s="200"/>
      <c r="H643" s="94"/>
      <c r="K643" s="199"/>
      <c r="L643" s="199"/>
      <c r="M643" s="199"/>
      <c r="N643" s="199"/>
      <c r="O643" s="199"/>
      <c r="P643" s="199"/>
      <c r="Q643" s="199"/>
      <c r="R643" s="199"/>
      <c r="S643" s="199"/>
      <c r="T643" s="199"/>
      <c r="U643" s="199"/>
      <c r="V643" s="199"/>
      <c r="W643" s="199"/>
    </row>
    <row r="644" spans="3:23" ht="12.75" customHeight="1">
      <c r="C644" s="94"/>
      <c r="D644" s="94"/>
      <c r="E644" s="94"/>
      <c r="F644" s="94"/>
      <c r="G644" s="200"/>
      <c r="H644" s="94"/>
      <c r="K644" s="199"/>
      <c r="L644" s="199"/>
      <c r="M644" s="199"/>
      <c r="N644" s="199"/>
      <c r="O644" s="199"/>
      <c r="P644" s="199"/>
      <c r="Q644" s="199"/>
      <c r="R644" s="199"/>
      <c r="S644" s="199"/>
      <c r="T644" s="199"/>
      <c r="U644" s="199"/>
      <c r="V644" s="199"/>
      <c r="W644" s="199"/>
    </row>
    <row r="645" spans="3:23" ht="12.75" customHeight="1">
      <c r="C645" s="94"/>
      <c r="D645" s="94"/>
      <c r="E645" s="94"/>
      <c r="F645" s="94"/>
      <c r="G645" s="200"/>
      <c r="H645" s="94"/>
      <c r="K645" s="199"/>
      <c r="L645" s="199"/>
      <c r="M645" s="199"/>
      <c r="N645" s="199"/>
      <c r="O645" s="199"/>
      <c r="P645" s="199"/>
      <c r="Q645" s="199"/>
      <c r="R645" s="199"/>
      <c r="S645" s="199"/>
      <c r="T645" s="199"/>
      <c r="U645" s="199"/>
      <c r="V645" s="199"/>
      <c r="W645" s="199"/>
    </row>
    <row r="646" spans="3:23" ht="12.75" customHeight="1">
      <c r="C646" s="94"/>
      <c r="D646" s="94"/>
      <c r="E646" s="94"/>
      <c r="F646" s="94"/>
      <c r="G646" s="200"/>
      <c r="H646" s="94"/>
      <c r="K646" s="199"/>
      <c r="L646" s="199"/>
      <c r="M646" s="199"/>
      <c r="N646" s="199"/>
      <c r="O646" s="199"/>
      <c r="P646" s="199"/>
      <c r="Q646" s="199"/>
      <c r="R646" s="199"/>
      <c r="S646" s="199"/>
      <c r="T646" s="199"/>
      <c r="U646" s="199"/>
      <c r="V646" s="199"/>
      <c r="W646" s="199"/>
    </row>
    <row r="647" spans="3:23" ht="12.75" customHeight="1">
      <c r="C647" s="94"/>
      <c r="D647" s="94"/>
      <c r="E647" s="94"/>
      <c r="F647" s="94"/>
      <c r="G647" s="200"/>
      <c r="H647" s="94"/>
      <c r="K647" s="199"/>
      <c r="L647" s="199"/>
      <c r="M647" s="199"/>
      <c r="N647" s="199"/>
      <c r="O647" s="199"/>
      <c r="P647" s="199"/>
      <c r="Q647" s="199"/>
      <c r="R647" s="199"/>
      <c r="S647" s="199"/>
      <c r="T647" s="199"/>
      <c r="U647" s="199"/>
      <c r="V647" s="199"/>
      <c r="W647" s="199"/>
    </row>
    <row r="648" spans="3:23" ht="12.75" customHeight="1">
      <c r="C648" s="94"/>
      <c r="D648" s="94"/>
      <c r="E648" s="94"/>
      <c r="F648" s="94"/>
      <c r="G648" s="200"/>
      <c r="H648" s="94"/>
      <c r="K648" s="199"/>
      <c r="L648" s="199"/>
      <c r="M648" s="199"/>
      <c r="N648" s="199"/>
      <c r="O648" s="199"/>
      <c r="P648" s="199"/>
      <c r="Q648" s="199"/>
      <c r="R648" s="199"/>
      <c r="S648" s="199"/>
      <c r="T648" s="199"/>
      <c r="U648" s="199"/>
      <c r="V648" s="199"/>
      <c r="W648" s="199"/>
    </row>
    <row r="649" spans="3:23" ht="12.75" customHeight="1">
      <c r="C649" s="94"/>
      <c r="D649" s="94"/>
      <c r="E649" s="94"/>
      <c r="F649" s="94"/>
      <c r="G649" s="200"/>
      <c r="H649" s="94"/>
      <c r="K649" s="199"/>
      <c r="L649" s="199"/>
      <c r="M649" s="199"/>
      <c r="N649" s="199"/>
      <c r="O649" s="199"/>
      <c r="P649" s="199"/>
      <c r="Q649" s="199"/>
      <c r="R649" s="199"/>
      <c r="S649" s="199"/>
      <c r="T649" s="199"/>
      <c r="U649" s="199"/>
      <c r="V649" s="199"/>
      <c r="W649" s="199"/>
    </row>
    <row r="650" spans="3:23" ht="12.75" customHeight="1">
      <c r="C650" s="94"/>
      <c r="D650" s="94"/>
      <c r="E650" s="94"/>
      <c r="F650" s="94"/>
      <c r="G650" s="200"/>
      <c r="H650" s="94"/>
      <c r="K650" s="199"/>
      <c r="L650" s="199"/>
      <c r="M650" s="199"/>
      <c r="N650" s="199"/>
      <c r="O650" s="199"/>
      <c r="P650" s="199"/>
      <c r="Q650" s="199"/>
      <c r="R650" s="199"/>
      <c r="S650" s="199"/>
      <c r="T650" s="199"/>
      <c r="U650" s="199"/>
      <c r="V650" s="199"/>
      <c r="W650" s="199"/>
    </row>
    <row r="651" spans="3:23" ht="12.75" customHeight="1">
      <c r="C651" s="94"/>
      <c r="D651" s="94"/>
      <c r="E651" s="94"/>
      <c r="F651" s="94"/>
      <c r="G651" s="200"/>
      <c r="H651" s="94"/>
      <c r="K651" s="199"/>
      <c r="L651" s="199"/>
      <c r="M651" s="199"/>
      <c r="N651" s="199"/>
      <c r="O651" s="199"/>
      <c r="P651" s="199"/>
      <c r="Q651" s="199"/>
      <c r="R651" s="199"/>
      <c r="S651" s="199"/>
      <c r="T651" s="199"/>
      <c r="U651" s="199"/>
      <c r="V651" s="199"/>
      <c r="W651" s="199"/>
    </row>
    <row r="652" spans="3:23" ht="12.75" customHeight="1">
      <c r="C652" s="94"/>
      <c r="D652" s="94"/>
      <c r="E652" s="94"/>
      <c r="F652" s="94"/>
      <c r="G652" s="200"/>
      <c r="H652" s="94"/>
      <c r="K652" s="199"/>
      <c r="L652" s="199"/>
      <c r="M652" s="199"/>
      <c r="N652" s="199"/>
      <c r="O652" s="199"/>
      <c r="P652" s="199"/>
      <c r="Q652" s="199"/>
      <c r="R652" s="199"/>
      <c r="S652" s="199"/>
      <c r="T652" s="199"/>
      <c r="U652" s="199"/>
      <c r="V652" s="199"/>
      <c r="W652" s="199"/>
    </row>
    <row r="653" spans="3:23" ht="12.75" customHeight="1">
      <c r="C653" s="94"/>
      <c r="D653" s="94"/>
      <c r="E653" s="94"/>
      <c r="F653" s="94"/>
      <c r="G653" s="200"/>
      <c r="H653" s="94"/>
      <c r="K653" s="199"/>
      <c r="L653" s="199"/>
      <c r="M653" s="199"/>
      <c r="N653" s="199"/>
      <c r="O653" s="199"/>
      <c r="P653" s="199"/>
      <c r="Q653" s="199"/>
      <c r="R653" s="199"/>
      <c r="S653" s="199"/>
      <c r="T653" s="199"/>
      <c r="U653" s="199"/>
      <c r="V653" s="199"/>
      <c r="W653" s="199"/>
    </row>
    <row r="654" spans="3:23" ht="12.75" customHeight="1">
      <c r="C654" s="94"/>
      <c r="D654" s="94"/>
      <c r="E654" s="94"/>
      <c r="F654" s="94"/>
      <c r="G654" s="200"/>
      <c r="H654" s="94"/>
      <c r="K654" s="199"/>
      <c r="L654" s="199"/>
      <c r="M654" s="199"/>
      <c r="N654" s="199"/>
      <c r="O654" s="199"/>
      <c r="P654" s="199"/>
      <c r="Q654" s="199"/>
      <c r="R654" s="199"/>
      <c r="S654" s="199"/>
      <c r="T654" s="199"/>
      <c r="U654" s="199"/>
      <c r="V654" s="199"/>
      <c r="W654" s="199"/>
    </row>
    <row r="655" spans="3:23" ht="12.75" customHeight="1">
      <c r="C655" s="94"/>
      <c r="D655" s="94"/>
      <c r="E655" s="94"/>
      <c r="F655" s="94"/>
      <c r="G655" s="200"/>
      <c r="H655" s="94"/>
      <c r="K655" s="199"/>
      <c r="L655" s="199"/>
      <c r="M655" s="199"/>
      <c r="N655" s="199"/>
      <c r="O655" s="199"/>
      <c r="P655" s="199"/>
      <c r="Q655" s="199"/>
      <c r="R655" s="199"/>
      <c r="S655" s="199"/>
      <c r="T655" s="199"/>
      <c r="U655" s="199"/>
      <c r="V655" s="199"/>
      <c r="W655" s="199"/>
    </row>
    <row r="656" spans="3:23" ht="12.75" customHeight="1">
      <c r="C656" s="94"/>
      <c r="D656" s="94"/>
      <c r="E656" s="94"/>
      <c r="F656" s="94"/>
      <c r="G656" s="200"/>
      <c r="H656" s="94"/>
      <c r="K656" s="199"/>
      <c r="L656" s="199"/>
      <c r="M656" s="199"/>
      <c r="N656" s="199"/>
      <c r="O656" s="199"/>
      <c r="P656" s="199"/>
      <c r="Q656" s="199"/>
      <c r="R656" s="199"/>
      <c r="S656" s="199"/>
      <c r="T656" s="199"/>
      <c r="U656" s="199"/>
      <c r="V656" s="199"/>
      <c r="W656" s="199"/>
    </row>
    <row r="657" spans="3:23" ht="12.75" customHeight="1">
      <c r="C657" s="94"/>
      <c r="D657" s="94"/>
      <c r="E657" s="94"/>
      <c r="F657" s="94"/>
      <c r="G657" s="200"/>
      <c r="H657" s="94"/>
      <c r="K657" s="199"/>
      <c r="L657" s="199"/>
      <c r="M657" s="199"/>
      <c r="N657" s="199"/>
      <c r="O657" s="199"/>
      <c r="P657" s="199"/>
      <c r="Q657" s="199"/>
      <c r="R657" s="199"/>
      <c r="S657" s="199"/>
      <c r="T657" s="199"/>
      <c r="U657" s="199"/>
      <c r="V657" s="199"/>
      <c r="W657" s="199"/>
    </row>
    <row r="658" spans="3:23" ht="12.75" customHeight="1">
      <c r="C658" s="94"/>
      <c r="D658" s="94"/>
      <c r="E658" s="94"/>
      <c r="F658" s="94"/>
      <c r="G658" s="200"/>
      <c r="H658" s="94"/>
      <c r="K658" s="199"/>
      <c r="L658" s="199"/>
      <c r="M658" s="199"/>
      <c r="N658" s="199"/>
      <c r="O658" s="199"/>
      <c r="P658" s="199"/>
      <c r="Q658" s="199"/>
      <c r="R658" s="199"/>
      <c r="S658" s="199"/>
      <c r="T658" s="199"/>
      <c r="U658" s="199"/>
      <c r="V658" s="199"/>
      <c r="W658" s="199"/>
    </row>
    <row r="659" spans="3:23" ht="12.75" customHeight="1">
      <c r="C659" s="94"/>
      <c r="D659" s="94"/>
      <c r="E659" s="94"/>
      <c r="F659" s="94"/>
      <c r="G659" s="200"/>
      <c r="H659" s="94"/>
      <c r="K659" s="199"/>
      <c r="L659" s="199"/>
      <c r="M659" s="199"/>
      <c r="N659" s="199"/>
      <c r="O659" s="199"/>
      <c r="P659" s="199"/>
      <c r="Q659" s="199"/>
      <c r="R659" s="199"/>
      <c r="S659" s="199"/>
      <c r="T659" s="199"/>
      <c r="U659" s="199"/>
      <c r="V659" s="199"/>
      <c r="W659" s="199"/>
    </row>
    <row r="660" spans="3:23" ht="12.75" customHeight="1">
      <c r="C660" s="94"/>
      <c r="D660" s="94"/>
      <c r="E660" s="94"/>
      <c r="F660" s="94"/>
      <c r="G660" s="200"/>
      <c r="H660" s="94"/>
      <c r="K660" s="199"/>
      <c r="L660" s="199"/>
      <c r="M660" s="199"/>
      <c r="N660" s="199"/>
      <c r="O660" s="199"/>
      <c r="P660" s="199"/>
      <c r="Q660" s="199"/>
      <c r="R660" s="199"/>
      <c r="S660" s="199"/>
      <c r="T660" s="199"/>
      <c r="U660" s="199"/>
      <c r="V660" s="199"/>
      <c r="W660" s="199"/>
    </row>
    <row r="661" spans="3:23" ht="12.75" customHeight="1">
      <c r="C661" s="94"/>
      <c r="D661" s="94"/>
      <c r="E661" s="94"/>
      <c r="F661" s="94"/>
      <c r="G661" s="200"/>
      <c r="H661" s="94"/>
      <c r="K661" s="199"/>
      <c r="L661" s="199"/>
      <c r="M661" s="199"/>
      <c r="N661" s="199"/>
      <c r="O661" s="199"/>
      <c r="P661" s="199"/>
      <c r="Q661" s="199"/>
      <c r="R661" s="199"/>
      <c r="S661" s="199"/>
      <c r="T661" s="199"/>
      <c r="U661" s="199"/>
      <c r="V661" s="199"/>
      <c r="W661" s="199"/>
    </row>
    <row r="662" spans="3:23" ht="12.75" customHeight="1">
      <c r="C662" s="94"/>
      <c r="D662" s="94"/>
      <c r="E662" s="94"/>
      <c r="F662" s="94"/>
      <c r="G662" s="200"/>
      <c r="H662" s="94"/>
      <c r="K662" s="199"/>
      <c r="L662" s="199"/>
      <c r="M662" s="199"/>
      <c r="N662" s="199"/>
      <c r="O662" s="199"/>
      <c r="P662" s="199"/>
      <c r="Q662" s="199"/>
      <c r="R662" s="199"/>
      <c r="S662" s="199"/>
      <c r="T662" s="199"/>
      <c r="U662" s="199"/>
      <c r="V662" s="199"/>
      <c r="W662" s="199"/>
    </row>
    <row r="663" spans="3:23" ht="12.75" customHeight="1">
      <c r="C663" s="94"/>
      <c r="D663" s="94"/>
      <c r="E663" s="94"/>
      <c r="F663" s="94"/>
      <c r="G663" s="200"/>
      <c r="H663" s="94"/>
      <c r="K663" s="199"/>
      <c r="L663" s="199"/>
      <c r="M663" s="199"/>
      <c r="N663" s="199"/>
      <c r="O663" s="199"/>
      <c r="P663" s="199"/>
      <c r="Q663" s="199"/>
      <c r="R663" s="199"/>
      <c r="S663" s="199"/>
      <c r="T663" s="199"/>
      <c r="U663" s="199"/>
      <c r="V663" s="199"/>
      <c r="W663" s="199"/>
    </row>
    <row r="664" spans="3:23" ht="12.75" customHeight="1">
      <c r="C664" s="94"/>
      <c r="D664" s="94"/>
      <c r="E664" s="94"/>
      <c r="F664" s="94"/>
      <c r="G664" s="200"/>
      <c r="H664" s="94"/>
      <c r="K664" s="199"/>
      <c r="L664" s="199"/>
      <c r="M664" s="199"/>
      <c r="N664" s="199"/>
      <c r="O664" s="199"/>
      <c r="P664" s="199"/>
      <c r="Q664" s="199"/>
      <c r="R664" s="199"/>
      <c r="S664" s="199"/>
      <c r="T664" s="199"/>
      <c r="U664" s="199"/>
      <c r="V664" s="199"/>
      <c r="W664" s="199"/>
    </row>
    <row r="665" spans="3:23" ht="12.75" customHeight="1">
      <c r="C665" s="94"/>
      <c r="D665" s="94"/>
      <c r="E665" s="94"/>
      <c r="F665" s="94"/>
      <c r="G665" s="200"/>
      <c r="H665" s="94"/>
      <c r="K665" s="199"/>
      <c r="L665" s="199"/>
      <c r="M665" s="199"/>
      <c r="N665" s="199"/>
      <c r="O665" s="199"/>
      <c r="P665" s="199"/>
      <c r="Q665" s="199"/>
      <c r="R665" s="199"/>
      <c r="S665" s="199"/>
      <c r="T665" s="199"/>
      <c r="U665" s="199"/>
      <c r="V665" s="199"/>
      <c r="W665" s="199"/>
    </row>
    <row r="666" spans="3:23" ht="12.75" customHeight="1">
      <c r="C666" s="94"/>
      <c r="D666" s="94"/>
      <c r="E666" s="94"/>
      <c r="F666" s="94"/>
      <c r="G666" s="200"/>
      <c r="H666" s="94"/>
      <c r="K666" s="199"/>
      <c r="L666" s="199"/>
      <c r="M666" s="199"/>
      <c r="N666" s="199"/>
      <c r="O666" s="199"/>
      <c r="P666" s="199"/>
      <c r="Q666" s="199"/>
      <c r="R666" s="199"/>
      <c r="S666" s="199"/>
      <c r="T666" s="199"/>
      <c r="U666" s="199"/>
      <c r="V666" s="199"/>
      <c r="W666" s="199"/>
    </row>
    <row r="667" spans="3:23" ht="12.75" customHeight="1">
      <c r="C667" s="94"/>
      <c r="D667" s="94"/>
      <c r="E667" s="94"/>
      <c r="F667" s="94"/>
      <c r="G667" s="200"/>
      <c r="H667" s="94"/>
      <c r="K667" s="199"/>
      <c r="L667" s="199"/>
      <c r="M667" s="199"/>
      <c r="N667" s="199"/>
      <c r="O667" s="199"/>
      <c r="P667" s="199"/>
      <c r="Q667" s="199"/>
      <c r="R667" s="199"/>
      <c r="S667" s="199"/>
      <c r="T667" s="199"/>
      <c r="U667" s="199"/>
      <c r="V667" s="199"/>
      <c r="W667" s="199"/>
    </row>
    <row r="668" spans="3:23" ht="12.75" customHeight="1">
      <c r="C668" s="94"/>
      <c r="D668" s="94"/>
      <c r="E668" s="94"/>
      <c r="F668" s="94"/>
      <c r="G668" s="200"/>
      <c r="H668" s="94"/>
      <c r="K668" s="199"/>
      <c r="L668" s="199"/>
      <c r="M668" s="199"/>
      <c r="N668" s="199"/>
      <c r="O668" s="199"/>
      <c r="P668" s="199"/>
      <c r="Q668" s="199"/>
      <c r="R668" s="199"/>
      <c r="S668" s="199"/>
      <c r="T668" s="199"/>
      <c r="U668" s="199"/>
      <c r="V668" s="199"/>
      <c r="W668" s="199"/>
    </row>
    <row r="669" spans="3:23" ht="12.75" customHeight="1">
      <c r="C669" s="94"/>
      <c r="D669" s="94"/>
      <c r="E669" s="94"/>
      <c r="F669" s="94"/>
      <c r="G669" s="200"/>
      <c r="H669" s="94"/>
      <c r="K669" s="199"/>
      <c r="L669" s="199"/>
      <c r="M669" s="199"/>
      <c r="N669" s="199"/>
      <c r="O669" s="199"/>
      <c r="P669" s="199"/>
      <c r="Q669" s="199"/>
      <c r="R669" s="199"/>
      <c r="S669" s="199"/>
      <c r="T669" s="199"/>
      <c r="U669" s="199"/>
      <c r="V669" s="199"/>
      <c r="W669" s="199"/>
    </row>
    <row r="670" spans="3:23" ht="12.75" customHeight="1">
      <c r="C670" s="94"/>
      <c r="D670" s="94"/>
      <c r="E670" s="94"/>
      <c r="F670" s="94"/>
      <c r="G670" s="200"/>
      <c r="H670" s="94"/>
      <c r="K670" s="199"/>
      <c r="L670" s="199"/>
      <c r="M670" s="199"/>
      <c r="N670" s="199"/>
      <c r="O670" s="199"/>
      <c r="P670" s="199"/>
      <c r="Q670" s="199"/>
      <c r="R670" s="199"/>
      <c r="S670" s="199"/>
      <c r="T670" s="199"/>
      <c r="U670" s="199"/>
      <c r="V670" s="199"/>
      <c r="W670" s="199"/>
    </row>
    <row r="671" spans="3:23" ht="12.75" customHeight="1">
      <c r="C671" s="94"/>
      <c r="D671" s="94"/>
      <c r="E671" s="94"/>
      <c r="F671" s="94"/>
      <c r="G671" s="200"/>
      <c r="H671" s="94"/>
      <c r="K671" s="199"/>
      <c r="L671" s="199"/>
      <c r="M671" s="199"/>
      <c r="N671" s="199"/>
      <c r="O671" s="199"/>
      <c r="P671" s="199"/>
      <c r="Q671" s="199"/>
      <c r="R671" s="199"/>
      <c r="S671" s="199"/>
      <c r="T671" s="199"/>
      <c r="U671" s="199"/>
      <c r="V671" s="199"/>
      <c r="W671" s="199"/>
    </row>
    <row r="672" spans="3:23" ht="12.75" customHeight="1">
      <c r="C672" s="94"/>
      <c r="D672" s="94"/>
      <c r="E672" s="94"/>
      <c r="F672" s="94"/>
      <c r="G672" s="200"/>
      <c r="H672" s="94"/>
      <c r="K672" s="199"/>
      <c r="L672" s="199"/>
      <c r="M672" s="199"/>
      <c r="N672" s="199"/>
      <c r="O672" s="199"/>
      <c r="P672" s="199"/>
      <c r="Q672" s="199"/>
      <c r="R672" s="199"/>
      <c r="S672" s="199"/>
      <c r="T672" s="199"/>
      <c r="U672" s="199"/>
      <c r="V672" s="199"/>
      <c r="W672" s="199"/>
    </row>
    <row r="673" spans="3:23" ht="12.75" customHeight="1">
      <c r="C673" s="94"/>
      <c r="D673" s="94"/>
      <c r="E673" s="94"/>
      <c r="F673" s="94"/>
      <c r="G673" s="200"/>
      <c r="H673" s="94"/>
      <c r="K673" s="199"/>
      <c r="L673" s="199"/>
      <c r="M673" s="199"/>
      <c r="N673" s="199"/>
      <c r="O673" s="199"/>
      <c r="P673" s="199"/>
      <c r="Q673" s="199"/>
      <c r="R673" s="199"/>
      <c r="S673" s="199"/>
      <c r="T673" s="199"/>
      <c r="U673" s="199"/>
      <c r="V673" s="199"/>
      <c r="W673" s="199"/>
    </row>
    <row r="674" spans="3:23" ht="12.75" customHeight="1">
      <c r="C674" s="94"/>
      <c r="D674" s="94"/>
      <c r="E674" s="94"/>
      <c r="F674" s="94"/>
      <c r="G674" s="200"/>
      <c r="H674" s="94"/>
      <c r="K674" s="199"/>
      <c r="L674" s="199"/>
      <c r="M674" s="199"/>
      <c r="N674" s="199"/>
      <c r="O674" s="199"/>
      <c r="P674" s="199"/>
      <c r="Q674" s="199"/>
      <c r="R674" s="199"/>
      <c r="S674" s="199"/>
      <c r="T674" s="199"/>
      <c r="U674" s="199"/>
      <c r="V674" s="199"/>
      <c r="W674" s="199"/>
    </row>
    <row r="675" spans="3:23" ht="12.75" customHeight="1">
      <c r="C675" s="94"/>
      <c r="D675" s="94"/>
      <c r="E675" s="94"/>
      <c r="F675" s="94"/>
      <c r="G675" s="200"/>
      <c r="H675" s="94"/>
      <c r="K675" s="199"/>
      <c r="L675" s="199"/>
      <c r="M675" s="199"/>
      <c r="N675" s="199"/>
      <c r="O675" s="199"/>
      <c r="P675" s="199"/>
      <c r="Q675" s="199"/>
      <c r="R675" s="199"/>
      <c r="S675" s="199"/>
      <c r="T675" s="199"/>
      <c r="U675" s="199"/>
      <c r="V675" s="199"/>
      <c r="W675" s="199"/>
    </row>
    <row r="676" spans="3:23" ht="12.75" customHeight="1">
      <c r="C676" s="94"/>
      <c r="D676" s="94"/>
      <c r="E676" s="94"/>
      <c r="F676" s="94"/>
      <c r="G676" s="200"/>
      <c r="H676" s="94"/>
      <c r="K676" s="199"/>
      <c r="L676" s="199"/>
      <c r="M676" s="199"/>
      <c r="N676" s="199"/>
      <c r="O676" s="199"/>
      <c r="P676" s="199"/>
      <c r="Q676" s="199"/>
      <c r="R676" s="199"/>
      <c r="S676" s="199"/>
      <c r="T676" s="199"/>
      <c r="U676" s="199"/>
      <c r="V676" s="199"/>
      <c r="W676" s="199"/>
    </row>
    <row r="677" spans="3:23" ht="12.75" customHeight="1">
      <c r="C677" s="94"/>
      <c r="D677" s="94"/>
      <c r="E677" s="94"/>
      <c r="F677" s="94"/>
      <c r="G677" s="200"/>
      <c r="H677" s="94"/>
      <c r="K677" s="199"/>
      <c r="L677" s="199"/>
      <c r="M677" s="199"/>
      <c r="N677" s="199"/>
      <c r="O677" s="199"/>
      <c r="P677" s="199"/>
      <c r="Q677" s="199"/>
      <c r="R677" s="199"/>
      <c r="S677" s="199"/>
      <c r="T677" s="199"/>
      <c r="U677" s="199"/>
      <c r="V677" s="199"/>
      <c r="W677" s="199"/>
    </row>
    <row r="678" spans="3:23" ht="12.75" customHeight="1">
      <c r="C678" s="94"/>
      <c r="D678" s="94"/>
      <c r="E678" s="94"/>
      <c r="F678" s="94"/>
      <c r="G678" s="200"/>
      <c r="H678" s="94"/>
      <c r="K678" s="199"/>
      <c r="L678" s="199"/>
      <c r="M678" s="199"/>
      <c r="N678" s="199"/>
      <c r="O678" s="199"/>
      <c r="P678" s="199"/>
      <c r="Q678" s="199"/>
      <c r="R678" s="199"/>
      <c r="S678" s="199"/>
      <c r="T678" s="199"/>
      <c r="U678" s="199"/>
      <c r="V678" s="199"/>
      <c r="W678" s="199"/>
    </row>
    <row r="679" spans="3:23" ht="12.75" customHeight="1">
      <c r="C679" s="94"/>
      <c r="D679" s="94"/>
      <c r="E679" s="94"/>
      <c r="F679" s="94"/>
      <c r="G679" s="200"/>
      <c r="H679" s="94"/>
      <c r="K679" s="199"/>
      <c r="L679" s="199"/>
      <c r="M679" s="199"/>
      <c r="N679" s="199"/>
      <c r="O679" s="199"/>
      <c r="P679" s="199"/>
      <c r="Q679" s="199"/>
      <c r="R679" s="199"/>
      <c r="S679" s="199"/>
      <c r="T679" s="199"/>
      <c r="U679" s="199"/>
      <c r="V679" s="199"/>
      <c r="W679" s="199"/>
    </row>
    <row r="680" spans="3:23" ht="12.75" customHeight="1">
      <c r="C680" s="94"/>
      <c r="D680" s="94"/>
      <c r="E680" s="94"/>
      <c r="F680" s="94"/>
      <c r="G680" s="200"/>
      <c r="H680" s="94"/>
      <c r="K680" s="199"/>
      <c r="L680" s="199"/>
      <c r="M680" s="199"/>
      <c r="N680" s="199"/>
      <c r="O680" s="199"/>
      <c r="P680" s="199"/>
      <c r="Q680" s="199"/>
      <c r="R680" s="199"/>
      <c r="S680" s="199"/>
      <c r="T680" s="199"/>
      <c r="U680" s="199"/>
      <c r="V680" s="199"/>
      <c r="W680" s="199"/>
    </row>
    <row r="681" spans="3:23" ht="12.75" customHeight="1">
      <c r="C681" s="94"/>
      <c r="D681" s="94"/>
      <c r="E681" s="94"/>
      <c r="F681" s="94"/>
      <c r="G681" s="200"/>
      <c r="H681" s="94"/>
      <c r="K681" s="199"/>
      <c r="L681" s="199"/>
      <c r="M681" s="199"/>
      <c r="N681" s="199"/>
      <c r="O681" s="199"/>
      <c r="P681" s="199"/>
      <c r="Q681" s="199"/>
      <c r="R681" s="199"/>
      <c r="S681" s="199"/>
      <c r="T681" s="199"/>
      <c r="U681" s="199"/>
      <c r="V681" s="199"/>
      <c r="W681" s="199"/>
    </row>
    <row r="682" spans="3:23" ht="12.75" customHeight="1">
      <c r="C682" s="94"/>
      <c r="D682" s="94"/>
      <c r="E682" s="94"/>
      <c r="F682" s="94"/>
      <c r="G682" s="200"/>
      <c r="H682" s="94"/>
      <c r="K682" s="199"/>
      <c r="L682" s="199"/>
      <c r="M682" s="199"/>
      <c r="N682" s="199"/>
      <c r="O682" s="199"/>
      <c r="P682" s="199"/>
      <c r="Q682" s="199"/>
      <c r="R682" s="199"/>
      <c r="S682" s="199"/>
      <c r="T682" s="199"/>
      <c r="U682" s="199"/>
      <c r="V682" s="199"/>
      <c r="W682" s="199"/>
    </row>
    <row r="683" spans="3:23" ht="12.75" customHeight="1">
      <c r="C683" s="94"/>
      <c r="D683" s="94"/>
      <c r="E683" s="94"/>
      <c r="F683" s="94"/>
      <c r="G683" s="200"/>
      <c r="H683" s="94"/>
      <c r="K683" s="199"/>
      <c r="L683" s="199"/>
      <c r="M683" s="199"/>
      <c r="N683" s="199"/>
      <c r="O683" s="199"/>
      <c r="P683" s="199"/>
      <c r="Q683" s="199"/>
      <c r="R683" s="199"/>
      <c r="S683" s="199"/>
      <c r="T683" s="199"/>
      <c r="U683" s="199"/>
      <c r="V683" s="199"/>
      <c r="W683" s="199"/>
    </row>
    <row r="684" spans="3:23" ht="12.75" customHeight="1">
      <c r="C684" s="94"/>
      <c r="D684" s="94"/>
      <c r="E684" s="94"/>
      <c r="F684" s="94"/>
      <c r="G684" s="200"/>
      <c r="H684" s="94"/>
      <c r="K684" s="199"/>
      <c r="L684" s="199"/>
      <c r="M684" s="199"/>
      <c r="N684" s="199"/>
      <c r="O684" s="199"/>
      <c r="P684" s="199"/>
      <c r="Q684" s="199"/>
      <c r="R684" s="199"/>
      <c r="S684" s="199"/>
      <c r="T684" s="199"/>
      <c r="U684" s="199"/>
      <c r="V684" s="199"/>
      <c r="W684" s="199"/>
    </row>
    <row r="685" spans="3:23" ht="12.75" customHeight="1">
      <c r="C685" s="94"/>
      <c r="D685" s="94"/>
      <c r="E685" s="94"/>
      <c r="F685" s="94"/>
      <c r="G685" s="200"/>
      <c r="H685" s="94"/>
      <c r="K685" s="199"/>
      <c r="L685" s="199"/>
      <c r="M685" s="199"/>
      <c r="N685" s="199"/>
      <c r="O685" s="199"/>
      <c r="P685" s="199"/>
      <c r="Q685" s="199"/>
      <c r="R685" s="199"/>
      <c r="S685" s="199"/>
      <c r="T685" s="199"/>
      <c r="U685" s="199"/>
      <c r="V685" s="199"/>
      <c r="W685" s="199"/>
    </row>
    <row r="686" spans="3:23" ht="12.75" customHeight="1">
      <c r="C686" s="94"/>
      <c r="D686" s="94"/>
      <c r="E686" s="94"/>
      <c r="F686" s="94"/>
      <c r="G686" s="200"/>
      <c r="H686" s="94"/>
      <c r="K686" s="199"/>
      <c r="L686" s="199"/>
      <c r="M686" s="199"/>
      <c r="N686" s="199"/>
      <c r="O686" s="199"/>
      <c r="P686" s="199"/>
      <c r="Q686" s="199"/>
      <c r="R686" s="199"/>
      <c r="S686" s="199"/>
      <c r="T686" s="199"/>
      <c r="U686" s="199"/>
      <c r="V686" s="199"/>
      <c r="W686" s="199"/>
    </row>
    <row r="687" spans="3:23" ht="12.75" customHeight="1">
      <c r="C687" s="94"/>
      <c r="D687" s="94"/>
      <c r="E687" s="94"/>
      <c r="F687" s="94"/>
      <c r="G687" s="200"/>
      <c r="H687" s="94"/>
      <c r="K687" s="199"/>
      <c r="L687" s="199"/>
      <c r="M687" s="199"/>
      <c r="N687" s="199"/>
      <c r="O687" s="199"/>
      <c r="P687" s="199"/>
      <c r="Q687" s="199"/>
      <c r="R687" s="199"/>
      <c r="S687" s="199"/>
      <c r="T687" s="199"/>
      <c r="U687" s="199"/>
      <c r="V687" s="199"/>
      <c r="W687" s="199"/>
    </row>
    <row r="688" spans="3:23" ht="12.75" customHeight="1">
      <c r="C688" s="94"/>
      <c r="D688" s="94"/>
      <c r="E688" s="94"/>
      <c r="F688" s="94"/>
      <c r="G688" s="200"/>
      <c r="H688" s="94"/>
      <c r="K688" s="199"/>
      <c r="L688" s="199"/>
      <c r="M688" s="199"/>
      <c r="N688" s="199"/>
      <c r="O688" s="199"/>
      <c r="P688" s="199"/>
      <c r="Q688" s="199"/>
      <c r="R688" s="199"/>
      <c r="S688" s="199"/>
      <c r="T688" s="199"/>
      <c r="U688" s="199"/>
      <c r="V688" s="199"/>
      <c r="W688" s="199"/>
    </row>
    <row r="689" spans="3:23" ht="12.75" customHeight="1">
      <c r="C689" s="94"/>
      <c r="D689" s="94"/>
      <c r="E689" s="94"/>
      <c r="F689" s="94"/>
      <c r="G689" s="200"/>
      <c r="H689" s="94"/>
      <c r="K689" s="199"/>
      <c r="L689" s="199"/>
      <c r="M689" s="199"/>
      <c r="N689" s="199"/>
      <c r="O689" s="199"/>
      <c r="P689" s="199"/>
      <c r="Q689" s="199"/>
      <c r="R689" s="199"/>
      <c r="S689" s="199"/>
      <c r="T689" s="199"/>
      <c r="U689" s="199"/>
      <c r="V689" s="199"/>
      <c r="W689" s="199"/>
    </row>
    <row r="690" spans="3:23" ht="12.75" customHeight="1">
      <c r="C690" s="94"/>
      <c r="D690" s="94"/>
      <c r="E690" s="94"/>
      <c r="F690" s="94"/>
      <c r="G690" s="200"/>
      <c r="H690" s="94"/>
      <c r="K690" s="199"/>
      <c r="L690" s="199"/>
      <c r="M690" s="199"/>
      <c r="N690" s="199"/>
      <c r="O690" s="199"/>
      <c r="P690" s="199"/>
      <c r="Q690" s="199"/>
      <c r="R690" s="199"/>
      <c r="S690" s="199"/>
      <c r="T690" s="199"/>
      <c r="U690" s="199"/>
      <c r="V690" s="199"/>
      <c r="W690" s="199"/>
    </row>
    <row r="691" spans="3:23" ht="12.75" customHeight="1">
      <c r="C691" s="94"/>
      <c r="D691" s="94"/>
      <c r="E691" s="94"/>
      <c r="F691" s="94"/>
      <c r="G691" s="200"/>
      <c r="H691" s="94"/>
      <c r="K691" s="199"/>
      <c r="L691" s="199"/>
      <c r="M691" s="199"/>
      <c r="N691" s="199"/>
      <c r="O691" s="199"/>
      <c r="P691" s="199"/>
      <c r="Q691" s="199"/>
      <c r="R691" s="199"/>
      <c r="S691" s="199"/>
      <c r="T691" s="199"/>
      <c r="U691" s="199"/>
      <c r="V691" s="199"/>
      <c r="W691" s="199"/>
    </row>
    <row r="692" spans="3:23" ht="12.75" customHeight="1">
      <c r="C692" s="94"/>
      <c r="D692" s="94"/>
      <c r="E692" s="94"/>
      <c r="F692" s="94"/>
      <c r="G692" s="200"/>
      <c r="H692" s="94"/>
      <c r="K692" s="199"/>
      <c r="L692" s="199"/>
      <c r="M692" s="199"/>
      <c r="N692" s="199"/>
      <c r="O692" s="199"/>
      <c r="P692" s="199"/>
      <c r="Q692" s="199"/>
      <c r="R692" s="199"/>
      <c r="S692" s="199"/>
      <c r="T692" s="199"/>
      <c r="U692" s="199"/>
      <c r="V692" s="199"/>
      <c r="W692" s="199"/>
    </row>
    <row r="693" spans="3:23" ht="12.75" customHeight="1">
      <c r="C693" s="94"/>
      <c r="D693" s="94"/>
      <c r="E693" s="94"/>
      <c r="F693" s="94"/>
      <c r="G693" s="200"/>
      <c r="H693" s="94"/>
      <c r="K693" s="199"/>
      <c r="L693" s="199"/>
      <c r="M693" s="199"/>
      <c r="N693" s="199"/>
      <c r="O693" s="199"/>
      <c r="P693" s="199"/>
      <c r="Q693" s="199"/>
      <c r="R693" s="199"/>
      <c r="S693" s="199"/>
      <c r="T693" s="199"/>
      <c r="U693" s="199"/>
      <c r="V693" s="199"/>
      <c r="W693" s="199"/>
    </row>
    <row r="694" spans="3:23" ht="12.75" customHeight="1">
      <c r="C694" s="94"/>
      <c r="D694" s="94"/>
      <c r="E694" s="94"/>
      <c r="F694" s="94"/>
      <c r="G694" s="200"/>
      <c r="H694" s="94"/>
      <c r="K694" s="199"/>
      <c r="L694" s="199"/>
      <c r="M694" s="199"/>
      <c r="N694" s="199"/>
      <c r="O694" s="199"/>
      <c r="P694" s="199"/>
      <c r="Q694" s="199"/>
      <c r="R694" s="199"/>
      <c r="S694" s="199"/>
      <c r="T694" s="199"/>
      <c r="U694" s="199"/>
      <c r="V694" s="199"/>
      <c r="W694" s="199"/>
    </row>
    <row r="695" spans="3:23" ht="12.75" customHeight="1">
      <c r="C695" s="94"/>
      <c r="D695" s="94"/>
      <c r="E695" s="94"/>
      <c r="F695" s="94"/>
      <c r="G695" s="200"/>
      <c r="H695" s="94"/>
      <c r="K695" s="199"/>
      <c r="L695" s="199"/>
      <c r="M695" s="199"/>
      <c r="N695" s="199"/>
      <c r="O695" s="199"/>
      <c r="P695" s="199"/>
      <c r="Q695" s="199"/>
      <c r="R695" s="199"/>
      <c r="S695" s="199"/>
      <c r="T695" s="199"/>
      <c r="U695" s="199"/>
      <c r="V695" s="199"/>
      <c r="W695" s="199"/>
    </row>
    <row r="696" spans="3:23" ht="12.75" customHeight="1">
      <c r="C696" s="94"/>
      <c r="D696" s="94"/>
      <c r="E696" s="94"/>
      <c r="F696" s="94"/>
      <c r="G696" s="200"/>
      <c r="H696" s="94"/>
      <c r="K696" s="199"/>
      <c r="L696" s="199"/>
      <c r="M696" s="199"/>
      <c r="N696" s="199"/>
      <c r="O696" s="199"/>
      <c r="P696" s="199"/>
      <c r="Q696" s="199"/>
      <c r="R696" s="199"/>
      <c r="S696" s="199"/>
      <c r="T696" s="199"/>
      <c r="U696" s="199"/>
      <c r="V696" s="199"/>
      <c r="W696" s="199"/>
    </row>
    <row r="697" spans="3:23" ht="12.75" customHeight="1">
      <c r="C697" s="94"/>
      <c r="D697" s="94"/>
      <c r="E697" s="94"/>
      <c r="F697" s="94"/>
      <c r="G697" s="200"/>
      <c r="H697" s="94"/>
      <c r="K697" s="199"/>
      <c r="L697" s="199"/>
      <c r="M697" s="199"/>
      <c r="N697" s="199"/>
      <c r="O697" s="199"/>
      <c r="P697" s="199"/>
      <c r="Q697" s="199"/>
      <c r="R697" s="199"/>
      <c r="S697" s="199"/>
      <c r="T697" s="199"/>
      <c r="U697" s="199"/>
      <c r="V697" s="199"/>
      <c r="W697" s="199"/>
    </row>
    <row r="698" spans="3:23" ht="12.75" customHeight="1">
      <c r="C698" s="94"/>
      <c r="D698" s="94"/>
      <c r="E698" s="94"/>
      <c r="F698" s="94"/>
      <c r="G698" s="200"/>
      <c r="H698" s="94"/>
      <c r="K698" s="199"/>
      <c r="L698" s="199"/>
      <c r="M698" s="199"/>
      <c r="N698" s="199"/>
      <c r="O698" s="199"/>
      <c r="P698" s="199"/>
      <c r="Q698" s="199"/>
      <c r="R698" s="199"/>
      <c r="S698" s="199"/>
      <c r="T698" s="199"/>
      <c r="U698" s="199"/>
      <c r="V698" s="199"/>
      <c r="W698" s="199"/>
    </row>
    <row r="699" spans="3:23" ht="12.75" customHeight="1">
      <c r="C699" s="94"/>
      <c r="D699" s="94"/>
      <c r="E699" s="94"/>
      <c r="F699" s="94"/>
      <c r="G699" s="200"/>
      <c r="H699" s="94"/>
      <c r="K699" s="199"/>
      <c r="L699" s="199"/>
      <c r="M699" s="199"/>
      <c r="N699" s="199"/>
      <c r="O699" s="199"/>
      <c r="P699" s="199"/>
      <c r="Q699" s="199"/>
      <c r="R699" s="199"/>
      <c r="S699" s="199"/>
      <c r="T699" s="199"/>
      <c r="U699" s="199"/>
      <c r="V699" s="199"/>
      <c r="W699" s="199"/>
    </row>
    <row r="700" spans="3:23" ht="12.75" customHeight="1">
      <c r="C700" s="94"/>
      <c r="D700" s="94"/>
      <c r="E700" s="94"/>
      <c r="F700" s="94"/>
      <c r="G700" s="200"/>
      <c r="H700" s="94"/>
      <c r="K700" s="199"/>
      <c r="L700" s="199"/>
      <c r="M700" s="199"/>
      <c r="N700" s="199"/>
      <c r="O700" s="199"/>
      <c r="P700" s="199"/>
      <c r="Q700" s="199"/>
      <c r="R700" s="199"/>
      <c r="S700" s="199"/>
      <c r="T700" s="199"/>
      <c r="U700" s="199"/>
      <c r="V700" s="199"/>
      <c r="W700" s="199"/>
    </row>
    <row r="701" spans="3:23" ht="12.75" customHeight="1">
      <c r="C701" s="94"/>
      <c r="D701" s="94"/>
      <c r="E701" s="94"/>
      <c r="F701" s="94"/>
      <c r="G701" s="200"/>
      <c r="H701" s="94"/>
      <c r="K701" s="199"/>
      <c r="L701" s="199"/>
      <c r="M701" s="199"/>
      <c r="N701" s="199"/>
      <c r="O701" s="199"/>
      <c r="P701" s="199"/>
      <c r="Q701" s="199"/>
      <c r="R701" s="199"/>
      <c r="S701" s="199"/>
      <c r="T701" s="199"/>
      <c r="U701" s="199"/>
      <c r="V701" s="199"/>
      <c r="W701" s="199"/>
    </row>
    <row r="702" spans="3:23" ht="12.75" customHeight="1">
      <c r="C702" s="94"/>
      <c r="D702" s="94"/>
      <c r="E702" s="94"/>
      <c r="F702" s="94"/>
      <c r="G702" s="200"/>
      <c r="H702" s="94"/>
      <c r="K702" s="199"/>
      <c r="L702" s="199"/>
      <c r="M702" s="199"/>
      <c r="N702" s="199"/>
      <c r="O702" s="199"/>
      <c r="P702" s="199"/>
      <c r="Q702" s="199"/>
      <c r="R702" s="199"/>
      <c r="S702" s="199"/>
      <c r="T702" s="199"/>
      <c r="U702" s="199"/>
      <c r="V702" s="199"/>
      <c r="W702" s="199"/>
    </row>
    <row r="703" spans="3:23" ht="12.75" customHeight="1">
      <c r="C703" s="94"/>
      <c r="D703" s="94"/>
      <c r="E703" s="94"/>
      <c r="F703" s="94"/>
      <c r="G703" s="200"/>
      <c r="H703" s="94"/>
      <c r="K703" s="199"/>
      <c r="L703" s="199"/>
      <c r="M703" s="199"/>
      <c r="N703" s="199"/>
      <c r="O703" s="199"/>
      <c r="P703" s="199"/>
      <c r="Q703" s="199"/>
      <c r="R703" s="199"/>
      <c r="S703" s="199"/>
      <c r="T703" s="199"/>
      <c r="U703" s="199"/>
      <c r="V703" s="199"/>
      <c r="W703" s="199"/>
    </row>
    <row r="704" spans="3:23" ht="12.75" customHeight="1">
      <c r="C704" s="94"/>
      <c r="D704" s="94"/>
      <c r="E704" s="94"/>
      <c r="F704" s="94"/>
      <c r="G704" s="200"/>
      <c r="H704" s="94"/>
      <c r="K704" s="199"/>
      <c r="L704" s="199"/>
      <c r="M704" s="199"/>
      <c r="N704" s="199"/>
      <c r="O704" s="199"/>
      <c r="P704" s="199"/>
      <c r="Q704" s="199"/>
      <c r="R704" s="199"/>
      <c r="S704" s="199"/>
      <c r="T704" s="199"/>
      <c r="U704" s="199"/>
      <c r="V704" s="199"/>
      <c r="W704" s="199"/>
    </row>
    <row r="705" spans="3:23" ht="12.75" customHeight="1">
      <c r="C705" s="94"/>
      <c r="D705" s="94"/>
      <c r="E705" s="94"/>
      <c r="F705" s="94"/>
      <c r="G705" s="200"/>
      <c r="H705" s="94"/>
      <c r="K705" s="199"/>
      <c r="L705" s="199"/>
      <c r="M705" s="199"/>
      <c r="N705" s="199"/>
      <c r="O705" s="199"/>
      <c r="P705" s="199"/>
      <c r="Q705" s="199"/>
      <c r="R705" s="199"/>
      <c r="S705" s="199"/>
      <c r="T705" s="199"/>
      <c r="U705" s="199"/>
      <c r="V705" s="199"/>
      <c r="W705" s="199"/>
    </row>
    <row r="706" spans="3:23" ht="12.75" customHeight="1">
      <c r="C706" s="94"/>
      <c r="D706" s="94"/>
      <c r="E706" s="94"/>
      <c r="F706" s="94"/>
      <c r="G706" s="200"/>
      <c r="H706" s="94"/>
      <c r="K706" s="199"/>
      <c r="L706" s="199"/>
      <c r="M706" s="199"/>
      <c r="N706" s="199"/>
      <c r="O706" s="199"/>
      <c r="P706" s="199"/>
      <c r="Q706" s="199"/>
      <c r="R706" s="199"/>
      <c r="S706" s="199"/>
      <c r="T706" s="199"/>
      <c r="U706" s="199"/>
      <c r="V706" s="199"/>
      <c r="W706" s="199"/>
    </row>
    <row r="707" spans="3:23" ht="12.75" customHeight="1">
      <c r="C707" s="94"/>
      <c r="D707" s="94"/>
      <c r="E707" s="94"/>
      <c r="F707" s="94"/>
      <c r="G707" s="200"/>
      <c r="H707" s="94"/>
      <c r="K707" s="199"/>
      <c r="L707" s="199"/>
      <c r="M707" s="199"/>
      <c r="N707" s="199"/>
      <c r="O707" s="199"/>
      <c r="P707" s="199"/>
      <c r="Q707" s="199"/>
      <c r="R707" s="199"/>
      <c r="S707" s="199"/>
      <c r="T707" s="199"/>
      <c r="U707" s="199"/>
      <c r="V707" s="199"/>
      <c r="W707" s="199"/>
    </row>
    <row r="708" spans="3:23" ht="12.75" customHeight="1">
      <c r="C708" s="94"/>
      <c r="D708" s="94"/>
      <c r="E708" s="94"/>
      <c r="F708" s="94"/>
      <c r="G708" s="200"/>
      <c r="H708" s="94"/>
      <c r="K708" s="199"/>
      <c r="L708" s="199"/>
      <c r="M708" s="199"/>
      <c r="N708" s="199"/>
      <c r="O708" s="199"/>
      <c r="P708" s="199"/>
      <c r="Q708" s="199"/>
      <c r="R708" s="199"/>
      <c r="S708" s="199"/>
      <c r="T708" s="199"/>
      <c r="U708" s="199"/>
      <c r="V708" s="199"/>
      <c r="W708" s="199"/>
    </row>
    <row r="709" spans="3:23" ht="12.75" customHeight="1">
      <c r="C709" s="94"/>
      <c r="D709" s="94"/>
      <c r="E709" s="94"/>
      <c r="F709" s="94"/>
      <c r="G709" s="200"/>
      <c r="H709" s="94"/>
      <c r="K709" s="199"/>
      <c r="L709" s="199"/>
      <c r="M709" s="199"/>
      <c r="N709" s="199"/>
      <c r="O709" s="199"/>
      <c r="P709" s="199"/>
      <c r="Q709" s="199"/>
      <c r="R709" s="199"/>
      <c r="S709" s="199"/>
      <c r="T709" s="199"/>
      <c r="U709" s="199"/>
      <c r="V709" s="199"/>
      <c r="W709" s="199"/>
    </row>
    <row r="710" spans="3:23" ht="12.75" customHeight="1">
      <c r="C710" s="94"/>
      <c r="D710" s="94"/>
      <c r="E710" s="94"/>
      <c r="F710" s="94"/>
      <c r="G710" s="200"/>
      <c r="H710" s="94"/>
      <c r="K710" s="199"/>
      <c r="L710" s="199"/>
      <c r="M710" s="199"/>
      <c r="N710" s="199"/>
      <c r="O710" s="199"/>
      <c r="P710" s="199"/>
      <c r="Q710" s="199"/>
      <c r="R710" s="199"/>
      <c r="S710" s="199"/>
      <c r="T710" s="199"/>
      <c r="U710" s="199"/>
      <c r="V710" s="199"/>
      <c r="W710" s="199"/>
    </row>
    <row r="711" spans="3:23" ht="12.75" customHeight="1">
      <c r="C711" s="94"/>
      <c r="D711" s="94"/>
      <c r="E711" s="94"/>
      <c r="F711" s="94"/>
      <c r="G711" s="200"/>
      <c r="H711" s="94"/>
      <c r="K711" s="199"/>
      <c r="L711" s="199"/>
      <c r="M711" s="199"/>
      <c r="N711" s="199"/>
      <c r="O711" s="199"/>
      <c r="P711" s="199"/>
      <c r="Q711" s="199"/>
      <c r="R711" s="199"/>
      <c r="S711" s="199"/>
      <c r="T711" s="199"/>
      <c r="U711" s="199"/>
      <c r="V711" s="199"/>
      <c r="W711" s="199"/>
    </row>
    <row r="712" spans="3:23" ht="12.75" customHeight="1">
      <c r="C712" s="94"/>
      <c r="D712" s="94"/>
      <c r="E712" s="94"/>
      <c r="F712" s="94"/>
      <c r="G712" s="200"/>
      <c r="H712" s="94"/>
      <c r="K712" s="199"/>
      <c r="L712" s="199"/>
      <c r="M712" s="199"/>
      <c r="N712" s="199"/>
      <c r="O712" s="199"/>
      <c r="P712" s="199"/>
      <c r="Q712" s="199"/>
      <c r="R712" s="199"/>
      <c r="S712" s="199"/>
      <c r="T712" s="199"/>
      <c r="U712" s="199"/>
      <c r="V712" s="199"/>
      <c r="W712" s="199"/>
    </row>
    <row r="713" spans="3:23" ht="12.75" customHeight="1">
      <c r="C713" s="94"/>
      <c r="D713" s="94"/>
      <c r="E713" s="94"/>
      <c r="F713" s="94"/>
      <c r="G713" s="200"/>
      <c r="H713" s="94"/>
      <c r="K713" s="199"/>
      <c r="L713" s="199"/>
      <c r="M713" s="199"/>
      <c r="N713" s="199"/>
      <c r="O713" s="199"/>
      <c r="P713" s="199"/>
      <c r="Q713" s="199"/>
      <c r="R713" s="199"/>
      <c r="S713" s="199"/>
      <c r="T713" s="199"/>
      <c r="U713" s="199"/>
      <c r="V713" s="199"/>
      <c r="W713" s="199"/>
    </row>
    <row r="714" spans="3:23" ht="12.75" customHeight="1">
      <c r="C714" s="94"/>
      <c r="D714" s="94"/>
      <c r="E714" s="94"/>
      <c r="F714" s="94"/>
      <c r="G714" s="200"/>
      <c r="H714" s="94"/>
      <c r="K714" s="199"/>
      <c r="L714" s="199"/>
      <c r="M714" s="199"/>
      <c r="N714" s="199"/>
      <c r="O714" s="199"/>
      <c r="P714" s="199"/>
      <c r="Q714" s="199"/>
      <c r="R714" s="199"/>
      <c r="S714" s="199"/>
      <c r="T714" s="199"/>
      <c r="U714" s="199"/>
      <c r="V714" s="199"/>
      <c r="W714" s="199"/>
    </row>
    <row r="715" spans="3:23" ht="12.75" customHeight="1">
      <c r="C715" s="94"/>
      <c r="D715" s="94"/>
      <c r="E715" s="94"/>
      <c r="F715" s="94"/>
      <c r="G715" s="200"/>
      <c r="H715" s="94"/>
      <c r="K715" s="199"/>
      <c r="L715" s="199"/>
      <c r="M715" s="199"/>
      <c r="N715" s="199"/>
      <c r="O715" s="199"/>
      <c r="P715" s="199"/>
      <c r="Q715" s="199"/>
      <c r="R715" s="199"/>
      <c r="S715" s="199"/>
      <c r="T715" s="199"/>
      <c r="U715" s="199"/>
      <c r="V715" s="199"/>
      <c r="W715" s="199"/>
    </row>
    <row r="716" spans="3:23" ht="12.75" customHeight="1">
      <c r="C716" s="94"/>
      <c r="D716" s="94"/>
      <c r="E716" s="94"/>
      <c r="F716" s="94"/>
      <c r="G716" s="200"/>
      <c r="H716" s="94"/>
      <c r="K716" s="199"/>
      <c r="L716" s="199"/>
      <c r="M716" s="199"/>
      <c r="N716" s="199"/>
      <c r="O716" s="199"/>
      <c r="P716" s="199"/>
      <c r="Q716" s="199"/>
      <c r="R716" s="199"/>
      <c r="S716" s="199"/>
      <c r="T716" s="199"/>
      <c r="U716" s="199"/>
      <c r="V716" s="199"/>
      <c r="W716" s="199"/>
    </row>
    <row r="717" spans="3:23" ht="12.75" customHeight="1">
      <c r="C717" s="94"/>
      <c r="D717" s="94"/>
      <c r="E717" s="94"/>
      <c r="F717" s="94"/>
      <c r="G717" s="200"/>
      <c r="H717" s="94"/>
      <c r="K717" s="199"/>
      <c r="L717" s="199"/>
      <c r="M717" s="199"/>
      <c r="N717" s="199"/>
      <c r="O717" s="199"/>
      <c r="P717" s="199"/>
      <c r="Q717" s="199"/>
      <c r="R717" s="199"/>
      <c r="S717" s="199"/>
      <c r="T717" s="199"/>
      <c r="U717" s="199"/>
      <c r="V717" s="199"/>
      <c r="W717" s="199"/>
    </row>
    <row r="718" spans="3:23" ht="12.75" customHeight="1">
      <c r="C718" s="94"/>
      <c r="D718" s="94"/>
      <c r="E718" s="94"/>
      <c r="F718" s="94"/>
      <c r="G718" s="200"/>
      <c r="H718" s="94"/>
      <c r="K718" s="199"/>
      <c r="L718" s="199"/>
      <c r="M718" s="199"/>
      <c r="N718" s="199"/>
      <c r="O718" s="199"/>
      <c r="P718" s="199"/>
      <c r="Q718" s="199"/>
      <c r="R718" s="199"/>
      <c r="S718" s="199"/>
      <c r="T718" s="199"/>
      <c r="U718" s="199"/>
      <c r="V718" s="199"/>
      <c r="W718" s="199"/>
    </row>
    <row r="719" spans="3:23" ht="12.75" customHeight="1">
      <c r="C719" s="94"/>
      <c r="D719" s="94"/>
      <c r="E719" s="94"/>
      <c r="F719" s="94"/>
      <c r="G719" s="200"/>
      <c r="H719" s="94"/>
      <c r="K719" s="199"/>
      <c r="L719" s="199"/>
      <c r="M719" s="199"/>
      <c r="N719" s="199"/>
      <c r="O719" s="199"/>
      <c r="P719" s="199"/>
      <c r="Q719" s="199"/>
      <c r="R719" s="199"/>
      <c r="S719" s="199"/>
      <c r="T719" s="199"/>
      <c r="U719" s="199"/>
      <c r="V719" s="199"/>
      <c r="W719" s="199"/>
    </row>
    <row r="720" spans="3:23" ht="12.75" customHeight="1">
      <c r="C720" s="94"/>
      <c r="D720" s="94"/>
      <c r="E720" s="94"/>
      <c r="F720" s="94"/>
      <c r="G720" s="200"/>
      <c r="H720" s="94"/>
      <c r="K720" s="199"/>
      <c r="L720" s="199"/>
      <c r="M720" s="199"/>
      <c r="N720" s="199"/>
      <c r="O720" s="199"/>
      <c r="P720" s="199"/>
      <c r="Q720" s="199"/>
      <c r="R720" s="199"/>
      <c r="S720" s="199"/>
      <c r="T720" s="199"/>
      <c r="U720" s="199"/>
      <c r="V720" s="199"/>
      <c r="W720" s="199"/>
    </row>
    <row r="721" spans="3:23" ht="12.75" customHeight="1">
      <c r="C721" s="94"/>
      <c r="D721" s="94"/>
      <c r="E721" s="94"/>
      <c r="F721" s="94"/>
      <c r="G721" s="200"/>
      <c r="H721" s="94"/>
      <c r="K721" s="199"/>
      <c r="L721" s="199"/>
      <c r="M721" s="199"/>
      <c r="N721" s="199"/>
      <c r="O721" s="199"/>
      <c r="P721" s="199"/>
      <c r="Q721" s="199"/>
      <c r="R721" s="199"/>
      <c r="S721" s="199"/>
      <c r="T721" s="199"/>
      <c r="U721" s="199"/>
      <c r="V721" s="199"/>
      <c r="W721" s="199"/>
    </row>
    <row r="722" spans="3:23" ht="12.75" customHeight="1">
      <c r="C722" s="94"/>
      <c r="D722" s="94"/>
      <c r="E722" s="94"/>
      <c r="F722" s="94"/>
      <c r="G722" s="200"/>
      <c r="H722" s="94"/>
      <c r="K722" s="199"/>
      <c r="L722" s="199"/>
      <c r="M722" s="199"/>
      <c r="N722" s="199"/>
      <c r="O722" s="199"/>
      <c r="P722" s="199"/>
      <c r="Q722" s="199"/>
      <c r="R722" s="199"/>
      <c r="S722" s="199"/>
      <c r="T722" s="199"/>
      <c r="U722" s="199"/>
      <c r="V722" s="199"/>
      <c r="W722" s="199"/>
    </row>
    <row r="723" spans="3:23" ht="12.75" customHeight="1">
      <c r="C723" s="94"/>
      <c r="D723" s="94"/>
      <c r="E723" s="94"/>
      <c r="F723" s="94"/>
      <c r="G723" s="200"/>
      <c r="H723" s="94"/>
      <c r="K723" s="199"/>
      <c r="L723" s="199"/>
      <c r="M723" s="199"/>
      <c r="N723" s="199"/>
      <c r="O723" s="199"/>
      <c r="P723" s="199"/>
      <c r="Q723" s="199"/>
      <c r="R723" s="199"/>
      <c r="S723" s="199"/>
      <c r="T723" s="199"/>
      <c r="U723" s="199"/>
      <c r="V723" s="199"/>
      <c r="W723" s="199"/>
    </row>
    <row r="724" spans="3:23" ht="12.75" customHeight="1">
      <c r="C724" s="94"/>
      <c r="D724" s="94"/>
      <c r="E724" s="94"/>
      <c r="F724" s="94"/>
      <c r="G724" s="200"/>
      <c r="H724" s="94"/>
      <c r="K724" s="199"/>
      <c r="L724" s="199"/>
      <c r="M724" s="199"/>
      <c r="N724" s="199"/>
      <c r="O724" s="199"/>
      <c r="P724" s="199"/>
      <c r="Q724" s="199"/>
      <c r="R724" s="199"/>
      <c r="S724" s="199"/>
      <c r="T724" s="199"/>
      <c r="U724" s="199"/>
      <c r="V724" s="199"/>
      <c r="W724" s="199"/>
    </row>
    <row r="725" spans="3:23" ht="12.75" customHeight="1">
      <c r="C725" s="94"/>
      <c r="D725" s="94"/>
      <c r="E725" s="94"/>
      <c r="F725" s="94"/>
      <c r="G725" s="200"/>
      <c r="H725" s="94"/>
      <c r="K725" s="199"/>
      <c r="L725" s="199"/>
      <c r="M725" s="199"/>
      <c r="N725" s="199"/>
      <c r="O725" s="199"/>
      <c r="P725" s="199"/>
      <c r="Q725" s="199"/>
      <c r="R725" s="199"/>
      <c r="S725" s="199"/>
      <c r="T725" s="199"/>
      <c r="U725" s="199"/>
      <c r="V725" s="199"/>
      <c r="W725" s="199"/>
    </row>
    <row r="726" spans="3:23" ht="12.75" customHeight="1">
      <c r="C726" s="94"/>
      <c r="D726" s="94"/>
      <c r="E726" s="94"/>
      <c r="F726" s="94"/>
      <c r="G726" s="200"/>
      <c r="H726" s="94"/>
      <c r="K726" s="199"/>
      <c r="L726" s="199"/>
      <c r="M726" s="199"/>
      <c r="N726" s="199"/>
      <c r="O726" s="199"/>
      <c r="P726" s="199"/>
      <c r="Q726" s="199"/>
      <c r="R726" s="199"/>
      <c r="S726" s="199"/>
      <c r="T726" s="199"/>
      <c r="U726" s="199"/>
      <c r="V726" s="199"/>
      <c r="W726" s="199"/>
    </row>
    <row r="727" spans="3:23" ht="12.75" customHeight="1">
      <c r="C727" s="94"/>
      <c r="D727" s="94"/>
      <c r="E727" s="94"/>
      <c r="F727" s="94"/>
      <c r="G727" s="200"/>
      <c r="H727" s="94"/>
      <c r="K727" s="199"/>
      <c r="L727" s="199"/>
      <c r="M727" s="199"/>
      <c r="N727" s="199"/>
      <c r="O727" s="199"/>
      <c r="P727" s="199"/>
      <c r="Q727" s="199"/>
      <c r="R727" s="199"/>
      <c r="S727" s="199"/>
      <c r="T727" s="199"/>
      <c r="U727" s="199"/>
      <c r="V727" s="199"/>
      <c r="W727" s="199"/>
    </row>
    <row r="728" spans="3:23" ht="12.75" customHeight="1">
      <c r="C728" s="94"/>
      <c r="D728" s="94"/>
      <c r="E728" s="94"/>
      <c r="F728" s="94"/>
      <c r="G728" s="200"/>
      <c r="H728" s="94"/>
      <c r="K728" s="199"/>
      <c r="L728" s="199"/>
      <c r="M728" s="199"/>
      <c r="N728" s="199"/>
      <c r="O728" s="199"/>
      <c r="P728" s="199"/>
      <c r="Q728" s="199"/>
      <c r="R728" s="199"/>
      <c r="S728" s="199"/>
      <c r="T728" s="199"/>
      <c r="U728" s="199"/>
      <c r="V728" s="199"/>
      <c r="W728" s="199"/>
    </row>
    <row r="729" spans="3:23" ht="12.75" customHeight="1">
      <c r="C729" s="94"/>
      <c r="D729" s="94"/>
      <c r="E729" s="94"/>
      <c r="F729" s="94"/>
      <c r="G729" s="200"/>
      <c r="H729" s="94"/>
      <c r="K729" s="199"/>
      <c r="L729" s="199"/>
      <c r="M729" s="199"/>
      <c r="N729" s="199"/>
      <c r="O729" s="199"/>
      <c r="P729" s="199"/>
      <c r="Q729" s="199"/>
      <c r="R729" s="199"/>
      <c r="S729" s="199"/>
      <c r="T729" s="199"/>
      <c r="U729" s="199"/>
      <c r="V729" s="199"/>
      <c r="W729" s="199"/>
    </row>
    <row r="730" spans="3:23" ht="12.75" customHeight="1">
      <c r="C730" s="94"/>
      <c r="D730" s="94"/>
      <c r="E730" s="94"/>
      <c r="F730" s="94"/>
      <c r="G730" s="200"/>
      <c r="H730" s="94"/>
      <c r="K730" s="199"/>
      <c r="L730" s="199"/>
      <c r="M730" s="199"/>
      <c r="N730" s="199"/>
      <c r="O730" s="199"/>
      <c r="P730" s="199"/>
      <c r="Q730" s="199"/>
      <c r="R730" s="199"/>
      <c r="S730" s="199"/>
      <c r="T730" s="199"/>
      <c r="U730" s="199"/>
      <c r="V730" s="199"/>
      <c r="W730" s="199"/>
    </row>
    <row r="731" spans="3:23" ht="12.75" customHeight="1">
      <c r="C731" s="94"/>
      <c r="D731" s="94"/>
      <c r="E731" s="94"/>
      <c r="F731" s="94"/>
      <c r="G731" s="200"/>
      <c r="H731" s="94"/>
      <c r="K731" s="199"/>
      <c r="L731" s="199"/>
      <c r="M731" s="199"/>
      <c r="N731" s="199"/>
      <c r="O731" s="199"/>
      <c r="P731" s="199"/>
      <c r="Q731" s="199"/>
      <c r="R731" s="199"/>
      <c r="S731" s="199"/>
      <c r="T731" s="199"/>
      <c r="U731" s="199"/>
      <c r="V731" s="199"/>
      <c r="W731" s="199"/>
    </row>
    <row r="732" spans="3:23" ht="12.75" customHeight="1">
      <c r="C732" s="94"/>
      <c r="D732" s="94"/>
      <c r="E732" s="94"/>
      <c r="F732" s="94"/>
      <c r="G732" s="200"/>
      <c r="H732" s="94"/>
      <c r="K732" s="199"/>
      <c r="L732" s="199"/>
      <c r="M732" s="199"/>
      <c r="N732" s="199"/>
      <c r="O732" s="199"/>
      <c r="P732" s="199"/>
      <c r="Q732" s="199"/>
      <c r="R732" s="199"/>
      <c r="S732" s="199"/>
      <c r="T732" s="199"/>
      <c r="U732" s="199"/>
      <c r="V732" s="199"/>
      <c r="W732" s="199"/>
    </row>
    <row r="733" spans="3:23" ht="12.75" customHeight="1">
      <c r="C733" s="94"/>
      <c r="D733" s="94"/>
      <c r="E733" s="94"/>
      <c r="F733" s="94"/>
      <c r="G733" s="200"/>
      <c r="H733" s="94"/>
      <c r="K733" s="199"/>
      <c r="L733" s="199"/>
      <c r="M733" s="199"/>
      <c r="N733" s="199"/>
      <c r="O733" s="199"/>
      <c r="P733" s="199"/>
      <c r="Q733" s="199"/>
      <c r="R733" s="199"/>
      <c r="S733" s="199"/>
      <c r="T733" s="199"/>
      <c r="U733" s="199"/>
      <c r="V733" s="199"/>
      <c r="W733" s="199"/>
    </row>
    <row r="734" spans="3:23" ht="12.75" customHeight="1">
      <c r="C734" s="94"/>
      <c r="D734" s="94"/>
      <c r="E734" s="94"/>
      <c r="F734" s="94"/>
      <c r="G734" s="200"/>
      <c r="H734" s="94"/>
      <c r="K734" s="199"/>
      <c r="L734" s="199"/>
      <c r="M734" s="199"/>
      <c r="N734" s="199"/>
      <c r="O734" s="199"/>
      <c r="P734" s="199"/>
      <c r="Q734" s="199"/>
      <c r="R734" s="199"/>
      <c r="S734" s="199"/>
      <c r="T734" s="199"/>
      <c r="U734" s="199"/>
      <c r="V734" s="199"/>
      <c r="W734" s="199"/>
    </row>
    <row r="735" spans="3:23" ht="12.75" customHeight="1">
      <c r="C735" s="94"/>
      <c r="D735" s="94"/>
      <c r="E735" s="94"/>
      <c r="F735" s="94"/>
      <c r="G735" s="200"/>
      <c r="H735" s="94"/>
      <c r="K735" s="199"/>
      <c r="L735" s="199"/>
      <c r="M735" s="199"/>
      <c r="N735" s="199"/>
      <c r="O735" s="199"/>
      <c r="P735" s="199"/>
      <c r="Q735" s="199"/>
      <c r="R735" s="199"/>
      <c r="S735" s="199"/>
      <c r="T735" s="199"/>
      <c r="U735" s="199"/>
      <c r="V735" s="199"/>
      <c r="W735" s="199"/>
    </row>
    <row r="736" spans="3:23" ht="12.75" customHeight="1">
      <c r="C736" s="94"/>
      <c r="D736" s="94"/>
      <c r="E736" s="94"/>
      <c r="F736" s="94"/>
      <c r="G736" s="200"/>
      <c r="H736" s="94"/>
      <c r="K736" s="199"/>
      <c r="L736" s="199"/>
      <c r="M736" s="199"/>
      <c r="N736" s="199"/>
      <c r="O736" s="199"/>
      <c r="P736" s="199"/>
      <c r="Q736" s="199"/>
      <c r="R736" s="199"/>
      <c r="S736" s="199"/>
      <c r="T736" s="199"/>
      <c r="U736" s="199"/>
      <c r="V736" s="199"/>
      <c r="W736" s="199"/>
    </row>
    <row r="737" spans="3:23" ht="12.75" customHeight="1">
      <c r="C737" s="94"/>
      <c r="D737" s="94"/>
      <c r="E737" s="94"/>
      <c r="F737" s="94"/>
      <c r="G737" s="200"/>
      <c r="H737" s="94"/>
      <c r="K737" s="199"/>
      <c r="L737" s="199"/>
      <c r="M737" s="199"/>
      <c r="N737" s="199"/>
      <c r="O737" s="199"/>
      <c r="P737" s="199"/>
      <c r="Q737" s="199"/>
      <c r="R737" s="199"/>
      <c r="S737" s="199"/>
      <c r="T737" s="199"/>
      <c r="U737" s="199"/>
      <c r="V737" s="199"/>
      <c r="W737" s="199"/>
    </row>
    <row r="738" spans="3:23" ht="12.75" customHeight="1">
      <c r="C738" s="94"/>
      <c r="D738" s="94"/>
      <c r="E738" s="94"/>
      <c r="F738" s="94"/>
      <c r="G738" s="200"/>
      <c r="H738" s="94"/>
      <c r="K738" s="199"/>
      <c r="L738" s="199"/>
      <c r="M738" s="199"/>
      <c r="N738" s="199"/>
      <c r="O738" s="199"/>
      <c r="P738" s="199"/>
      <c r="Q738" s="199"/>
      <c r="R738" s="199"/>
      <c r="S738" s="199"/>
      <c r="T738" s="199"/>
      <c r="U738" s="199"/>
      <c r="V738" s="199"/>
      <c r="W738" s="199"/>
    </row>
    <row r="739" spans="3:23" ht="12.75" customHeight="1">
      <c r="C739" s="94"/>
      <c r="D739" s="94"/>
      <c r="E739" s="94"/>
      <c r="F739" s="94"/>
      <c r="G739" s="200"/>
      <c r="H739" s="94"/>
      <c r="K739" s="199"/>
      <c r="L739" s="199"/>
      <c r="M739" s="199"/>
      <c r="N739" s="199"/>
      <c r="O739" s="199"/>
      <c r="P739" s="199"/>
      <c r="Q739" s="199"/>
      <c r="R739" s="199"/>
      <c r="S739" s="199"/>
      <c r="T739" s="199"/>
      <c r="U739" s="199"/>
      <c r="V739" s="199"/>
      <c r="W739" s="199"/>
    </row>
    <row r="740" spans="3:23" ht="12.75" customHeight="1">
      <c r="C740" s="94"/>
      <c r="D740" s="94"/>
      <c r="E740" s="94"/>
      <c r="F740" s="94"/>
      <c r="G740" s="200"/>
      <c r="H740" s="94"/>
      <c r="K740" s="199"/>
      <c r="L740" s="199"/>
      <c r="M740" s="199"/>
      <c r="N740" s="199"/>
      <c r="O740" s="199"/>
      <c r="P740" s="199"/>
      <c r="Q740" s="199"/>
      <c r="R740" s="199"/>
      <c r="S740" s="199"/>
      <c r="T740" s="199"/>
      <c r="U740" s="199"/>
      <c r="V740" s="199"/>
      <c r="W740" s="199"/>
    </row>
    <row r="741" spans="3:23" ht="12.75" customHeight="1">
      <c r="C741" s="94"/>
      <c r="D741" s="94"/>
      <c r="E741" s="94"/>
      <c r="F741" s="94"/>
      <c r="G741" s="200"/>
      <c r="H741" s="94"/>
      <c r="K741" s="199"/>
      <c r="L741" s="199"/>
      <c r="M741" s="199"/>
      <c r="N741" s="199"/>
      <c r="O741" s="199"/>
      <c r="P741" s="199"/>
      <c r="Q741" s="199"/>
      <c r="R741" s="199"/>
      <c r="S741" s="199"/>
      <c r="T741" s="199"/>
      <c r="U741" s="199"/>
      <c r="V741" s="199"/>
      <c r="W741" s="199"/>
    </row>
    <row r="742" spans="3:23" ht="12.75" customHeight="1">
      <c r="C742" s="94"/>
      <c r="D742" s="94"/>
      <c r="E742" s="94"/>
      <c r="F742" s="94"/>
      <c r="G742" s="200"/>
      <c r="H742" s="94"/>
      <c r="K742" s="199"/>
      <c r="L742" s="199"/>
      <c r="M742" s="199"/>
      <c r="N742" s="199"/>
      <c r="O742" s="199"/>
      <c r="P742" s="199"/>
      <c r="Q742" s="199"/>
      <c r="R742" s="199"/>
      <c r="S742" s="199"/>
      <c r="T742" s="199"/>
      <c r="U742" s="199"/>
      <c r="V742" s="199"/>
      <c r="W742" s="199"/>
    </row>
    <row r="743" spans="3:23" ht="12.75" customHeight="1">
      <c r="C743" s="94"/>
      <c r="D743" s="94"/>
      <c r="E743" s="94"/>
      <c r="F743" s="94"/>
      <c r="G743" s="200"/>
      <c r="H743" s="94"/>
      <c r="K743" s="199"/>
      <c r="L743" s="199"/>
      <c r="M743" s="199"/>
      <c r="N743" s="199"/>
      <c r="O743" s="199"/>
      <c r="P743" s="199"/>
      <c r="Q743" s="199"/>
      <c r="R743" s="199"/>
      <c r="S743" s="199"/>
      <c r="T743" s="199"/>
      <c r="U743" s="199"/>
      <c r="V743" s="199"/>
      <c r="W743" s="199"/>
    </row>
    <row r="744" spans="3:23" ht="12.75" customHeight="1">
      <c r="C744" s="94"/>
      <c r="D744" s="94"/>
      <c r="E744" s="94"/>
      <c r="F744" s="94"/>
      <c r="G744" s="200"/>
      <c r="H744" s="94"/>
      <c r="K744" s="199"/>
      <c r="L744" s="199"/>
      <c r="M744" s="199"/>
      <c r="N744" s="199"/>
      <c r="O744" s="199"/>
      <c r="P744" s="199"/>
      <c r="Q744" s="199"/>
      <c r="R744" s="199"/>
      <c r="S744" s="199"/>
      <c r="T744" s="199"/>
      <c r="U744" s="199"/>
      <c r="V744" s="199"/>
      <c r="W744" s="199"/>
    </row>
    <row r="745" spans="3:23" ht="12.75" customHeight="1">
      <c r="C745" s="94"/>
      <c r="D745" s="94"/>
      <c r="E745" s="94"/>
      <c r="F745" s="94"/>
      <c r="G745" s="200"/>
      <c r="H745" s="94"/>
      <c r="K745" s="199"/>
      <c r="L745" s="199"/>
      <c r="M745" s="199"/>
      <c r="N745" s="199"/>
      <c r="O745" s="199"/>
      <c r="P745" s="199"/>
      <c r="Q745" s="199"/>
      <c r="R745" s="199"/>
      <c r="S745" s="199"/>
      <c r="T745" s="199"/>
      <c r="U745" s="199"/>
      <c r="V745" s="199"/>
      <c r="W745" s="199"/>
    </row>
    <row r="746" spans="3:23" ht="12.75" customHeight="1">
      <c r="C746" s="94"/>
      <c r="D746" s="94"/>
      <c r="E746" s="94"/>
      <c r="F746" s="94"/>
      <c r="G746" s="200"/>
      <c r="H746" s="94"/>
      <c r="K746" s="199"/>
      <c r="L746" s="199"/>
      <c r="M746" s="199"/>
      <c r="N746" s="199"/>
      <c r="O746" s="199"/>
      <c r="P746" s="199"/>
      <c r="Q746" s="199"/>
      <c r="R746" s="199"/>
      <c r="S746" s="199"/>
      <c r="T746" s="199"/>
      <c r="U746" s="199"/>
      <c r="V746" s="199"/>
      <c r="W746" s="199"/>
    </row>
    <row r="747" spans="3:23" ht="12.75" customHeight="1">
      <c r="C747" s="94"/>
      <c r="D747" s="94"/>
      <c r="E747" s="94"/>
      <c r="F747" s="94"/>
      <c r="G747" s="200"/>
      <c r="H747" s="94"/>
      <c r="K747" s="199"/>
      <c r="L747" s="199"/>
      <c r="M747" s="199"/>
      <c r="N747" s="199"/>
      <c r="O747" s="199"/>
      <c r="P747" s="199"/>
      <c r="Q747" s="199"/>
      <c r="R747" s="199"/>
      <c r="S747" s="199"/>
      <c r="T747" s="199"/>
      <c r="U747" s="199"/>
      <c r="V747" s="199"/>
      <c r="W747" s="199"/>
    </row>
    <row r="748" spans="3:23" ht="12.75" customHeight="1">
      <c r="C748" s="94"/>
      <c r="D748" s="94"/>
      <c r="E748" s="94"/>
      <c r="F748" s="94"/>
      <c r="G748" s="200"/>
      <c r="H748" s="94"/>
      <c r="K748" s="199"/>
      <c r="L748" s="199"/>
      <c r="M748" s="199"/>
      <c r="N748" s="199"/>
      <c r="O748" s="199"/>
      <c r="P748" s="199"/>
      <c r="Q748" s="199"/>
      <c r="R748" s="199"/>
      <c r="S748" s="199"/>
      <c r="T748" s="199"/>
      <c r="U748" s="199"/>
      <c r="V748" s="199"/>
      <c r="W748" s="199"/>
    </row>
    <row r="749" spans="3:23" ht="12.75" customHeight="1">
      <c r="C749" s="94"/>
      <c r="D749" s="94"/>
      <c r="E749" s="94"/>
      <c r="F749" s="94"/>
      <c r="G749" s="200"/>
      <c r="H749" s="94"/>
      <c r="K749" s="199"/>
      <c r="L749" s="199"/>
      <c r="M749" s="199"/>
      <c r="N749" s="199"/>
      <c r="O749" s="199"/>
      <c r="P749" s="199"/>
      <c r="Q749" s="199"/>
      <c r="R749" s="199"/>
      <c r="S749" s="199"/>
      <c r="T749" s="199"/>
      <c r="U749" s="199"/>
      <c r="V749" s="199"/>
      <c r="W749" s="199"/>
    </row>
    <row r="750" spans="3:23" ht="12.75" customHeight="1">
      <c r="C750" s="94"/>
      <c r="D750" s="94"/>
      <c r="E750" s="94"/>
      <c r="F750" s="94"/>
      <c r="G750" s="200"/>
      <c r="H750" s="94"/>
      <c r="K750" s="199"/>
      <c r="L750" s="199"/>
      <c r="M750" s="199"/>
      <c r="N750" s="199"/>
      <c r="O750" s="199"/>
      <c r="P750" s="199"/>
      <c r="Q750" s="199"/>
      <c r="R750" s="199"/>
      <c r="S750" s="199"/>
      <c r="T750" s="199"/>
      <c r="U750" s="199"/>
      <c r="V750" s="199"/>
      <c r="W750" s="199"/>
    </row>
    <row r="751" spans="3:23" ht="12.75" customHeight="1">
      <c r="C751" s="94"/>
      <c r="D751" s="94"/>
      <c r="E751" s="94"/>
      <c r="F751" s="94"/>
      <c r="G751" s="200"/>
      <c r="H751" s="94"/>
      <c r="K751" s="199"/>
      <c r="L751" s="199"/>
      <c r="M751" s="199"/>
      <c r="N751" s="199"/>
      <c r="O751" s="199"/>
      <c r="P751" s="199"/>
      <c r="Q751" s="199"/>
      <c r="R751" s="199"/>
      <c r="S751" s="199"/>
      <c r="T751" s="199"/>
      <c r="U751" s="199"/>
      <c r="V751" s="199"/>
      <c r="W751" s="199"/>
    </row>
    <row r="752" spans="3:23" ht="12.75" customHeight="1">
      <c r="C752" s="94"/>
      <c r="D752" s="94"/>
      <c r="E752" s="94"/>
      <c r="F752" s="94"/>
      <c r="G752" s="200"/>
      <c r="H752" s="94"/>
      <c r="K752" s="199"/>
      <c r="L752" s="199"/>
      <c r="M752" s="199"/>
      <c r="N752" s="199"/>
      <c r="O752" s="199"/>
      <c r="P752" s="199"/>
      <c r="Q752" s="199"/>
      <c r="R752" s="199"/>
      <c r="S752" s="199"/>
      <c r="T752" s="199"/>
      <c r="U752" s="199"/>
      <c r="V752" s="199"/>
      <c r="W752" s="199"/>
    </row>
    <row r="753" spans="3:23" ht="12.75" customHeight="1">
      <c r="C753" s="94"/>
      <c r="D753" s="94"/>
      <c r="E753" s="94"/>
      <c r="F753" s="94"/>
      <c r="G753" s="200"/>
      <c r="H753" s="94"/>
      <c r="K753" s="199"/>
      <c r="L753" s="199"/>
      <c r="M753" s="199"/>
      <c r="N753" s="199"/>
      <c r="O753" s="199"/>
      <c r="P753" s="199"/>
      <c r="Q753" s="199"/>
      <c r="R753" s="199"/>
      <c r="S753" s="199"/>
      <c r="T753" s="199"/>
      <c r="U753" s="199"/>
      <c r="V753" s="199"/>
      <c r="W753" s="199"/>
    </row>
    <row r="754" spans="3:23" ht="12.75" customHeight="1">
      <c r="C754" s="94"/>
      <c r="D754" s="94"/>
      <c r="E754" s="94"/>
      <c r="F754" s="94"/>
      <c r="G754" s="200"/>
      <c r="H754" s="94"/>
      <c r="K754" s="199"/>
      <c r="L754" s="199"/>
      <c r="M754" s="199"/>
      <c r="N754" s="199"/>
      <c r="O754" s="199"/>
      <c r="P754" s="199"/>
      <c r="Q754" s="199"/>
      <c r="R754" s="199"/>
      <c r="S754" s="199"/>
      <c r="T754" s="199"/>
      <c r="U754" s="199"/>
      <c r="V754" s="199"/>
      <c r="W754" s="199"/>
    </row>
    <row r="755" spans="3:23" ht="12.75" customHeight="1">
      <c r="C755" s="94"/>
      <c r="D755" s="94"/>
      <c r="E755" s="94"/>
      <c r="F755" s="94"/>
      <c r="G755" s="200"/>
      <c r="H755" s="94"/>
      <c r="K755" s="199"/>
      <c r="L755" s="199"/>
      <c r="M755" s="199"/>
      <c r="N755" s="199"/>
      <c r="O755" s="199"/>
      <c r="P755" s="199"/>
      <c r="Q755" s="199"/>
      <c r="R755" s="199"/>
      <c r="S755" s="199"/>
      <c r="T755" s="199"/>
      <c r="U755" s="199"/>
      <c r="V755" s="199"/>
      <c r="W755" s="199"/>
    </row>
    <row r="756" spans="3:23" ht="12.75" customHeight="1">
      <c r="C756" s="94"/>
      <c r="D756" s="94"/>
      <c r="E756" s="94"/>
      <c r="F756" s="94"/>
      <c r="G756" s="200"/>
      <c r="H756" s="94"/>
      <c r="K756" s="199"/>
      <c r="L756" s="199"/>
      <c r="M756" s="199"/>
      <c r="N756" s="199"/>
      <c r="O756" s="199"/>
      <c r="P756" s="199"/>
      <c r="Q756" s="199"/>
      <c r="R756" s="199"/>
      <c r="S756" s="199"/>
      <c r="T756" s="199"/>
      <c r="U756" s="199"/>
      <c r="V756" s="199"/>
      <c r="W756" s="199"/>
    </row>
    <row r="757" spans="3:23" ht="12.75" customHeight="1">
      <c r="C757" s="94"/>
      <c r="D757" s="94"/>
      <c r="E757" s="94"/>
      <c r="F757" s="94"/>
      <c r="G757" s="200"/>
      <c r="H757" s="94"/>
      <c r="K757" s="199"/>
      <c r="L757" s="199"/>
      <c r="M757" s="199"/>
      <c r="N757" s="199"/>
      <c r="O757" s="199"/>
      <c r="P757" s="199"/>
      <c r="Q757" s="199"/>
      <c r="R757" s="199"/>
      <c r="S757" s="199"/>
      <c r="T757" s="199"/>
      <c r="U757" s="199"/>
      <c r="V757" s="199"/>
      <c r="W757" s="199"/>
    </row>
    <row r="758" spans="3:23" ht="12.75" customHeight="1">
      <c r="C758" s="94"/>
      <c r="D758" s="94"/>
      <c r="E758" s="94"/>
      <c r="F758" s="94"/>
      <c r="G758" s="200"/>
      <c r="H758" s="94"/>
      <c r="K758" s="199"/>
      <c r="L758" s="199"/>
      <c r="M758" s="199"/>
      <c r="N758" s="199"/>
      <c r="O758" s="199"/>
      <c r="P758" s="199"/>
      <c r="Q758" s="199"/>
      <c r="R758" s="199"/>
      <c r="S758" s="199"/>
      <c r="T758" s="199"/>
      <c r="U758" s="199"/>
      <c r="V758" s="199"/>
      <c r="W758" s="199"/>
    </row>
    <row r="759" spans="3:23" ht="12.75" customHeight="1">
      <c r="C759" s="94"/>
      <c r="D759" s="94"/>
      <c r="E759" s="94"/>
      <c r="F759" s="94"/>
      <c r="G759" s="200"/>
      <c r="H759" s="94"/>
      <c r="K759" s="199"/>
      <c r="L759" s="199"/>
      <c r="M759" s="199"/>
      <c r="N759" s="199"/>
      <c r="O759" s="199"/>
      <c r="P759" s="199"/>
      <c r="Q759" s="199"/>
      <c r="R759" s="199"/>
      <c r="S759" s="199"/>
      <c r="T759" s="199"/>
      <c r="U759" s="199"/>
      <c r="V759" s="199"/>
      <c r="W759" s="199"/>
    </row>
    <row r="760" spans="3:23" ht="12.75" customHeight="1">
      <c r="C760" s="94"/>
      <c r="D760" s="94"/>
      <c r="E760" s="94"/>
      <c r="F760" s="94"/>
      <c r="G760" s="200"/>
      <c r="H760" s="94"/>
      <c r="K760" s="199"/>
      <c r="L760" s="199"/>
      <c r="M760" s="199"/>
      <c r="N760" s="199"/>
      <c r="O760" s="199"/>
      <c r="P760" s="199"/>
      <c r="Q760" s="199"/>
      <c r="R760" s="199"/>
      <c r="S760" s="199"/>
      <c r="T760" s="199"/>
      <c r="U760" s="199"/>
      <c r="V760" s="199"/>
      <c r="W760" s="199"/>
    </row>
    <row r="761" spans="3:23" ht="12.75" customHeight="1">
      <c r="C761" s="94"/>
      <c r="D761" s="94"/>
      <c r="E761" s="94"/>
      <c r="F761" s="94"/>
      <c r="G761" s="200"/>
      <c r="H761" s="94"/>
      <c r="K761" s="199"/>
      <c r="L761" s="199"/>
      <c r="M761" s="199"/>
      <c r="N761" s="199"/>
      <c r="O761" s="199"/>
      <c r="P761" s="199"/>
      <c r="Q761" s="199"/>
      <c r="R761" s="199"/>
      <c r="S761" s="199"/>
      <c r="T761" s="199"/>
      <c r="U761" s="199"/>
      <c r="V761" s="199"/>
      <c r="W761" s="199"/>
    </row>
    <row r="762" spans="3:23" ht="12.75" customHeight="1">
      <c r="C762" s="94"/>
      <c r="D762" s="94"/>
      <c r="E762" s="94"/>
      <c r="F762" s="94"/>
      <c r="G762" s="200"/>
      <c r="H762" s="94"/>
      <c r="K762" s="199"/>
      <c r="L762" s="199"/>
      <c r="M762" s="199"/>
      <c r="N762" s="199"/>
      <c r="O762" s="199"/>
      <c r="P762" s="199"/>
      <c r="Q762" s="199"/>
      <c r="R762" s="199"/>
      <c r="S762" s="199"/>
      <c r="T762" s="199"/>
      <c r="U762" s="199"/>
      <c r="V762" s="199"/>
      <c r="W762" s="199"/>
    </row>
    <row r="763" spans="3:23" ht="12.75" customHeight="1">
      <c r="C763" s="94"/>
      <c r="D763" s="94"/>
      <c r="E763" s="94"/>
      <c r="F763" s="94"/>
      <c r="G763" s="200"/>
      <c r="H763" s="94"/>
      <c r="K763" s="199"/>
      <c r="L763" s="199"/>
      <c r="M763" s="199"/>
      <c r="N763" s="199"/>
      <c r="O763" s="199"/>
      <c r="P763" s="199"/>
      <c r="Q763" s="199"/>
      <c r="R763" s="199"/>
      <c r="S763" s="199"/>
      <c r="T763" s="199"/>
      <c r="U763" s="199"/>
      <c r="V763" s="199"/>
      <c r="W763" s="199"/>
    </row>
    <row r="764" spans="3:23" ht="12.75" customHeight="1">
      <c r="C764" s="94"/>
      <c r="D764" s="94"/>
      <c r="E764" s="94"/>
      <c r="F764" s="94"/>
      <c r="G764" s="200"/>
      <c r="H764" s="94"/>
      <c r="K764" s="199"/>
      <c r="L764" s="199"/>
      <c r="M764" s="199"/>
      <c r="N764" s="199"/>
      <c r="O764" s="199"/>
      <c r="P764" s="199"/>
      <c r="Q764" s="199"/>
      <c r="R764" s="199"/>
      <c r="S764" s="199"/>
      <c r="T764" s="199"/>
      <c r="U764" s="199"/>
      <c r="V764" s="199"/>
      <c r="W764" s="199"/>
    </row>
    <row r="765" spans="3:23" ht="12.75" customHeight="1">
      <c r="C765" s="94"/>
      <c r="D765" s="94"/>
      <c r="E765" s="94"/>
      <c r="F765" s="94"/>
      <c r="G765" s="200"/>
      <c r="H765" s="94"/>
      <c r="K765" s="199"/>
      <c r="L765" s="199"/>
      <c r="M765" s="199"/>
      <c r="N765" s="199"/>
      <c r="O765" s="199"/>
      <c r="P765" s="199"/>
      <c r="Q765" s="199"/>
      <c r="R765" s="199"/>
      <c r="S765" s="199"/>
      <c r="T765" s="199"/>
      <c r="U765" s="199"/>
      <c r="V765" s="199"/>
      <c r="W765" s="199"/>
    </row>
    <row r="766" spans="3:23" ht="12.75" customHeight="1">
      <c r="C766" s="94"/>
      <c r="D766" s="94"/>
      <c r="E766" s="94"/>
      <c r="F766" s="94"/>
      <c r="G766" s="200"/>
      <c r="H766" s="94"/>
      <c r="K766" s="199"/>
      <c r="L766" s="199"/>
      <c r="M766" s="199"/>
      <c r="N766" s="199"/>
      <c r="O766" s="199"/>
      <c r="P766" s="199"/>
      <c r="Q766" s="199"/>
      <c r="R766" s="199"/>
      <c r="S766" s="199"/>
      <c r="T766" s="199"/>
      <c r="U766" s="199"/>
      <c r="V766" s="199"/>
      <c r="W766" s="199"/>
    </row>
    <row r="767" spans="3:23" ht="12.75" customHeight="1">
      <c r="C767" s="94"/>
      <c r="D767" s="94"/>
      <c r="E767" s="94"/>
      <c r="F767" s="94"/>
      <c r="G767" s="200"/>
      <c r="H767" s="94"/>
      <c r="K767" s="199"/>
      <c r="L767" s="199"/>
      <c r="M767" s="199"/>
      <c r="N767" s="199"/>
      <c r="O767" s="199"/>
      <c r="P767" s="199"/>
      <c r="Q767" s="199"/>
      <c r="R767" s="199"/>
      <c r="S767" s="199"/>
      <c r="T767" s="199"/>
      <c r="U767" s="199"/>
      <c r="V767" s="199"/>
      <c r="W767" s="199"/>
    </row>
    <row r="768" spans="3:23" ht="12.75" customHeight="1">
      <c r="C768" s="94"/>
      <c r="D768" s="94"/>
      <c r="E768" s="94"/>
      <c r="F768" s="94"/>
      <c r="G768" s="200"/>
      <c r="H768" s="94"/>
      <c r="K768" s="199"/>
      <c r="L768" s="199"/>
      <c r="M768" s="199"/>
      <c r="N768" s="199"/>
      <c r="O768" s="199"/>
      <c r="P768" s="199"/>
      <c r="Q768" s="199"/>
      <c r="R768" s="199"/>
      <c r="S768" s="199"/>
      <c r="T768" s="199"/>
      <c r="U768" s="199"/>
      <c r="V768" s="199"/>
      <c r="W768" s="199"/>
    </row>
    <row r="769" spans="3:23" ht="12.75" customHeight="1">
      <c r="C769" s="94"/>
      <c r="D769" s="94"/>
      <c r="E769" s="94"/>
      <c r="F769" s="94"/>
      <c r="G769" s="200"/>
      <c r="H769" s="94"/>
      <c r="K769" s="199"/>
      <c r="L769" s="199"/>
      <c r="M769" s="199"/>
      <c r="N769" s="199"/>
      <c r="O769" s="199"/>
      <c r="P769" s="199"/>
      <c r="Q769" s="199"/>
      <c r="R769" s="199"/>
      <c r="S769" s="199"/>
      <c r="T769" s="199"/>
      <c r="U769" s="199"/>
      <c r="V769" s="199"/>
      <c r="W769" s="199"/>
    </row>
    <row r="770" spans="3:23" ht="12.75" customHeight="1">
      <c r="C770" s="94"/>
      <c r="D770" s="94"/>
      <c r="E770" s="94"/>
      <c r="F770" s="94"/>
      <c r="G770" s="200"/>
      <c r="H770" s="94"/>
      <c r="K770" s="199"/>
      <c r="L770" s="199"/>
      <c r="M770" s="199"/>
      <c r="N770" s="199"/>
      <c r="O770" s="199"/>
      <c r="P770" s="199"/>
      <c r="Q770" s="199"/>
      <c r="R770" s="199"/>
      <c r="S770" s="199"/>
      <c r="T770" s="199"/>
      <c r="U770" s="199"/>
      <c r="V770" s="199"/>
      <c r="W770" s="199"/>
    </row>
    <row r="771" spans="3:23" ht="12.75" customHeight="1">
      <c r="C771" s="94"/>
      <c r="D771" s="94"/>
      <c r="E771" s="94"/>
      <c r="F771" s="94"/>
      <c r="G771" s="200"/>
      <c r="H771" s="94"/>
      <c r="K771" s="199"/>
      <c r="L771" s="199"/>
      <c r="M771" s="199"/>
      <c r="N771" s="199"/>
      <c r="O771" s="199"/>
      <c r="P771" s="199"/>
      <c r="Q771" s="199"/>
      <c r="R771" s="199"/>
      <c r="S771" s="199"/>
      <c r="T771" s="199"/>
      <c r="U771" s="199"/>
      <c r="V771" s="199"/>
      <c r="W771" s="199"/>
    </row>
    <row r="772" spans="3:23" ht="12.75" customHeight="1">
      <c r="C772" s="94"/>
      <c r="D772" s="94"/>
      <c r="E772" s="94"/>
      <c r="F772" s="94"/>
      <c r="G772" s="200"/>
      <c r="H772" s="94"/>
      <c r="K772" s="199"/>
      <c r="L772" s="199"/>
      <c r="M772" s="199"/>
      <c r="N772" s="199"/>
      <c r="O772" s="199"/>
      <c r="P772" s="199"/>
      <c r="Q772" s="199"/>
      <c r="R772" s="199"/>
      <c r="S772" s="199"/>
      <c r="T772" s="199"/>
      <c r="U772" s="199"/>
      <c r="V772" s="199"/>
      <c r="W772" s="199"/>
    </row>
    <row r="773" spans="3:23" ht="12.75" customHeight="1">
      <c r="C773" s="94"/>
      <c r="D773" s="94"/>
      <c r="E773" s="94"/>
      <c r="F773" s="94"/>
      <c r="G773" s="200"/>
      <c r="H773" s="94"/>
      <c r="K773" s="199"/>
      <c r="L773" s="199"/>
      <c r="M773" s="199"/>
      <c r="N773" s="199"/>
      <c r="O773" s="199"/>
      <c r="P773" s="199"/>
      <c r="Q773" s="199"/>
      <c r="R773" s="199"/>
      <c r="S773" s="199"/>
      <c r="T773" s="199"/>
      <c r="U773" s="199"/>
      <c r="V773" s="199"/>
      <c r="W773" s="199"/>
    </row>
    <row r="774" spans="3:23" ht="12.75" customHeight="1">
      <c r="C774" s="94"/>
      <c r="D774" s="94"/>
      <c r="E774" s="94"/>
      <c r="F774" s="94"/>
      <c r="G774" s="200"/>
      <c r="H774" s="94"/>
      <c r="K774" s="199"/>
      <c r="L774" s="199"/>
      <c r="M774" s="199"/>
      <c r="N774" s="199"/>
      <c r="O774" s="199"/>
      <c r="P774" s="199"/>
      <c r="Q774" s="199"/>
      <c r="R774" s="199"/>
      <c r="S774" s="199"/>
      <c r="T774" s="199"/>
      <c r="U774" s="199"/>
      <c r="V774" s="199"/>
      <c r="W774" s="199"/>
    </row>
    <row r="775" spans="3:23" ht="12.75" customHeight="1">
      <c r="C775" s="94"/>
      <c r="D775" s="94"/>
      <c r="E775" s="94"/>
      <c r="F775" s="94"/>
      <c r="G775" s="200"/>
      <c r="H775" s="94"/>
      <c r="K775" s="199"/>
      <c r="L775" s="199"/>
      <c r="M775" s="199"/>
      <c r="N775" s="199"/>
      <c r="O775" s="199"/>
      <c r="P775" s="199"/>
      <c r="Q775" s="199"/>
      <c r="R775" s="199"/>
      <c r="S775" s="199"/>
      <c r="T775" s="199"/>
      <c r="U775" s="199"/>
      <c r="V775" s="199"/>
      <c r="W775" s="199"/>
    </row>
    <row r="776" spans="3:23" ht="12.75" customHeight="1">
      <c r="C776" s="94"/>
      <c r="D776" s="94"/>
      <c r="E776" s="94"/>
      <c r="F776" s="94"/>
      <c r="G776" s="200"/>
      <c r="H776" s="94"/>
      <c r="K776" s="199"/>
      <c r="L776" s="199"/>
      <c r="M776" s="199"/>
      <c r="N776" s="199"/>
      <c r="O776" s="199"/>
      <c r="P776" s="199"/>
      <c r="Q776" s="199"/>
      <c r="R776" s="199"/>
      <c r="S776" s="199"/>
      <c r="T776" s="199"/>
      <c r="U776" s="199"/>
      <c r="V776" s="199"/>
      <c r="W776" s="199"/>
    </row>
    <row r="777" spans="3:23" ht="12.75" customHeight="1">
      <c r="C777" s="94"/>
      <c r="D777" s="94"/>
      <c r="E777" s="94"/>
      <c r="F777" s="94"/>
      <c r="G777" s="200"/>
      <c r="H777" s="94"/>
      <c r="K777" s="199"/>
      <c r="L777" s="199"/>
      <c r="M777" s="199"/>
      <c r="N777" s="199"/>
      <c r="O777" s="199"/>
      <c r="P777" s="199"/>
      <c r="Q777" s="199"/>
      <c r="R777" s="199"/>
      <c r="S777" s="199"/>
      <c r="T777" s="199"/>
      <c r="U777" s="199"/>
      <c r="V777" s="199"/>
      <c r="W777" s="199"/>
    </row>
    <row r="778" spans="3:23" ht="12.75" customHeight="1">
      <c r="C778" s="94"/>
      <c r="D778" s="94"/>
      <c r="E778" s="94"/>
      <c r="F778" s="94"/>
      <c r="G778" s="200"/>
      <c r="H778" s="94"/>
      <c r="K778" s="199"/>
      <c r="L778" s="199"/>
      <c r="M778" s="199"/>
      <c r="N778" s="199"/>
      <c r="O778" s="199"/>
      <c r="P778" s="199"/>
      <c r="Q778" s="199"/>
      <c r="R778" s="199"/>
      <c r="S778" s="199"/>
      <c r="T778" s="199"/>
      <c r="U778" s="199"/>
      <c r="V778" s="199"/>
      <c r="W778" s="199"/>
    </row>
    <row r="779" spans="3:23" ht="12.75" customHeight="1">
      <c r="C779" s="94"/>
      <c r="D779" s="94"/>
      <c r="E779" s="94"/>
      <c r="F779" s="94"/>
      <c r="G779" s="200"/>
      <c r="H779" s="94"/>
      <c r="K779" s="199"/>
      <c r="L779" s="199"/>
      <c r="M779" s="199"/>
      <c r="N779" s="199"/>
      <c r="O779" s="199"/>
      <c r="P779" s="199"/>
      <c r="Q779" s="199"/>
      <c r="R779" s="199"/>
      <c r="S779" s="199"/>
      <c r="T779" s="199"/>
      <c r="U779" s="199"/>
      <c r="V779" s="199"/>
      <c r="W779" s="199"/>
    </row>
    <row r="780" spans="3:23" ht="12.75" customHeight="1">
      <c r="C780" s="94"/>
      <c r="D780" s="94"/>
      <c r="E780" s="94"/>
      <c r="F780" s="94"/>
      <c r="G780" s="200"/>
      <c r="H780" s="94"/>
      <c r="K780" s="199"/>
      <c r="L780" s="199"/>
      <c r="M780" s="199"/>
      <c r="N780" s="199"/>
      <c r="O780" s="199"/>
      <c r="P780" s="199"/>
      <c r="Q780" s="199"/>
      <c r="R780" s="199"/>
      <c r="S780" s="199"/>
      <c r="T780" s="199"/>
      <c r="U780" s="199"/>
      <c r="V780" s="199"/>
      <c r="W780" s="199"/>
    </row>
    <row r="781" spans="3:23" ht="12.75" customHeight="1">
      <c r="C781" s="94"/>
      <c r="D781" s="94"/>
      <c r="E781" s="94"/>
      <c r="F781" s="94"/>
      <c r="G781" s="200"/>
      <c r="H781" s="94"/>
      <c r="K781" s="199"/>
      <c r="L781" s="199"/>
      <c r="M781" s="199"/>
      <c r="N781" s="199"/>
      <c r="O781" s="199"/>
      <c r="P781" s="199"/>
      <c r="Q781" s="199"/>
      <c r="R781" s="199"/>
      <c r="S781" s="199"/>
      <c r="T781" s="199"/>
      <c r="U781" s="199"/>
      <c r="V781" s="199"/>
      <c r="W781" s="199"/>
    </row>
    <row r="782" spans="3:23" ht="12.75" customHeight="1">
      <c r="C782" s="94"/>
      <c r="D782" s="94"/>
      <c r="E782" s="94"/>
      <c r="F782" s="94"/>
      <c r="G782" s="200"/>
      <c r="H782" s="94"/>
      <c r="K782" s="199"/>
      <c r="L782" s="199"/>
      <c r="M782" s="199"/>
      <c r="N782" s="199"/>
      <c r="O782" s="199"/>
      <c r="P782" s="199"/>
      <c r="Q782" s="199"/>
      <c r="R782" s="199"/>
      <c r="S782" s="199"/>
      <c r="T782" s="199"/>
      <c r="U782" s="199"/>
      <c r="V782" s="199"/>
      <c r="W782" s="199"/>
    </row>
    <row r="783" spans="3:23" ht="12.75" customHeight="1">
      <c r="C783" s="94"/>
      <c r="D783" s="94"/>
      <c r="E783" s="94"/>
      <c r="F783" s="94"/>
      <c r="G783" s="200"/>
      <c r="H783" s="94"/>
      <c r="K783" s="199"/>
      <c r="L783" s="199"/>
      <c r="M783" s="199"/>
      <c r="N783" s="199"/>
      <c r="O783" s="199"/>
      <c r="P783" s="199"/>
      <c r="Q783" s="199"/>
      <c r="R783" s="199"/>
      <c r="S783" s="199"/>
      <c r="T783" s="199"/>
      <c r="U783" s="199"/>
      <c r="V783" s="199"/>
      <c r="W783" s="199"/>
    </row>
    <row r="784" spans="3:23" ht="12.75" customHeight="1">
      <c r="C784" s="94"/>
      <c r="D784" s="94"/>
      <c r="E784" s="94"/>
      <c r="F784" s="94"/>
      <c r="G784" s="200"/>
      <c r="H784" s="94"/>
      <c r="K784" s="199"/>
      <c r="L784" s="199"/>
      <c r="M784" s="199"/>
      <c r="N784" s="199"/>
      <c r="O784" s="199"/>
      <c r="P784" s="199"/>
      <c r="Q784" s="199"/>
      <c r="R784" s="199"/>
      <c r="S784" s="199"/>
      <c r="T784" s="199"/>
      <c r="U784" s="199"/>
      <c r="V784" s="199"/>
      <c r="W784" s="199"/>
    </row>
    <row r="785" spans="3:23" ht="12.75" customHeight="1">
      <c r="C785" s="94"/>
      <c r="D785" s="94"/>
      <c r="E785" s="94"/>
      <c r="F785" s="94"/>
      <c r="G785" s="200"/>
      <c r="H785" s="94"/>
      <c r="K785" s="199"/>
      <c r="L785" s="199"/>
      <c r="M785" s="199"/>
      <c r="N785" s="199"/>
      <c r="O785" s="199"/>
      <c r="P785" s="199"/>
      <c r="Q785" s="199"/>
      <c r="R785" s="199"/>
      <c r="S785" s="199"/>
      <c r="T785" s="199"/>
      <c r="U785" s="199"/>
      <c r="V785" s="199"/>
      <c r="W785" s="199"/>
    </row>
    <row r="786" spans="3:23" ht="12.75" customHeight="1">
      <c r="C786" s="94"/>
      <c r="D786" s="94"/>
      <c r="E786" s="94"/>
      <c r="F786" s="94"/>
      <c r="G786" s="200"/>
      <c r="H786" s="94"/>
      <c r="K786" s="199"/>
      <c r="L786" s="199"/>
      <c r="M786" s="199"/>
      <c r="N786" s="199"/>
      <c r="O786" s="199"/>
      <c r="P786" s="199"/>
      <c r="Q786" s="199"/>
      <c r="R786" s="199"/>
      <c r="S786" s="199"/>
      <c r="T786" s="199"/>
      <c r="U786" s="199"/>
      <c r="V786" s="199"/>
      <c r="W786" s="199"/>
    </row>
    <row r="787" spans="3:23" ht="12.75" customHeight="1">
      <c r="C787" s="94"/>
      <c r="D787" s="94"/>
      <c r="E787" s="94"/>
      <c r="F787" s="94"/>
      <c r="G787" s="200"/>
      <c r="H787" s="94"/>
      <c r="K787" s="199"/>
      <c r="L787" s="199"/>
      <c r="M787" s="199"/>
      <c r="N787" s="199"/>
      <c r="O787" s="199"/>
      <c r="P787" s="199"/>
      <c r="Q787" s="199"/>
      <c r="R787" s="199"/>
      <c r="S787" s="199"/>
      <c r="T787" s="199"/>
      <c r="U787" s="199"/>
      <c r="V787" s="199"/>
      <c r="W787" s="199"/>
    </row>
    <row r="788" spans="3:23" ht="12.75" customHeight="1">
      <c r="C788" s="94"/>
      <c r="D788" s="94"/>
      <c r="E788" s="94"/>
      <c r="F788" s="94"/>
      <c r="G788" s="200"/>
      <c r="H788" s="94"/>
      <c r="K788" s="199"/>
      <c r="L788" s="199"/>
      <c r="M788" s="199"/>
      <c r="N788" s="199"/>
      <c r="O788" s="199"/>
      <c r="P788" s="199"/>
      <c r="Q788" s="199"/>
      <c r="R788" s="199"/>
      <c r="S788" s="199"/>
      <c r="T788" s="199"/>
      <c r="U788" s="199"/>
      <c r="V788" s="199"/>
      <c r="W788" s="199"/>
    </row>
    <row r="789" spans="3:23" ht="12.75" customHeight="1">
      <c r="C789" s="94"/>
      <c r="D789" s="94"/>
      <c r="E789" s="94"/>
      <c r="F789" s="94"/>
      <c r="G789" s="200"/>
      <c r="H789" s="94"/>
      <c r="K789" s="199"/>
      <c r="L789" s="199"/>
      <c r="M789" s="199"/>
      <c r="N789" s="199"/>
      <c r="O789" s="199"/>
      <c r="P789" s="199"/>
      <c r="Q789" s="199"/>
      <c r="R789" s="199"/>
      <c r="S789" s="199"/>
      <c r="T789" s="199"/>
      <c r="U789" s="199"/>
      <c r="V789" s="199"/>
      <c r="W789" s="199"/>
    </row>
    <row r="790" spans="3:23" ht="12.75" customHeight="1">
      <c r="C790" s="94"/>
      <c r="D790" s="94"/>
      <c r="E790" s="94"/>
      <c r="F790" s="94"/>
      <c r="G790" s="200"/>
      <c r="H790" s="94"/>
      <c r="K790" s="199"/>
      <c r="L790" s="199"/>
      <c r="M790" s="199"/>
      <c r="N790" s="199"/>
      <c r="O790" s="199"/>
      <c r="P790" s="199"/>
      <c r="Q790" s="199"/>
      <c r="R790" s="199"/>
      <c r="S790" s="199"/>
      <c r="T790" s="199"/>
      <c r="U790" s="199"/>
      <c r="V790" s="199"/>
      <c r="W790" s="199"/>
    </row>
    <row r="791" spans="3:23" ht="12.75" customHeight="1">
      <c r="C791" s="94"/>
      <c r="D791" s="94"/>
      <c r="E791" s="94"/>
      <c r="F791" s="94"/>
      <c r="G791" s="200"/>
      <c r="H791" s="94"/>
      <c r="K791" s="199"/>
      <c r="L791" s="199"/>
      <c r="M791" s="199"/>
      <c r="N791" s="199"/>
      <c r="O791" s="199"/>
      <c r="P791" s="199"/>
      <c r="Q791" s="199"/>
      <c r="R791" s="199"/>
      <c r="S791" s="199"/>
      <c r="T791" s="199"/>
      <c r="U791" s="199"/>
      <c r="V791" s="199"/>
      <c r="W791" s="199"/>
    </row>
    <row r="792" spans="3:23" ht="12.75" customHeight="1">
      <c r="C792" s="94"/>
      <c r="D792" s="94"/>
      <c r="E792" s="94"/>
      <c r="F792" s="94"/>
      <c r="G792" s="200"/>
      <c r="H792" s="94"/>
      <c r="K792" s="199"/>
      <c r="L792" s="199"/>
      <c r="M792" s="199"/>
      <c r="N792" s="199"/>
      <c r="O792" s="199"/>
      <c r="P792" s="199"/>
      <c r="Q792" s="199"/>
      <c r="R792" s="199"/>
      <c r="S792" s="199"/>
      <c r="T792" s="199"/>
      <c r="U792" s="199"/>
      <c r="V792" s="199"/>
      <c r="W792" s="199"/>
    </row>
    <row r="793" spans="3:23" ht="12.75" customHeight="1">
      <c r="C793" s="94"/>
      <c r="D793" s="94"/>
      <c r="E793" s="94"/>
      <c r="F793" s="94"/>
      <c r="G793" s="200"/>
      <c r="H793" s="94"/>
      <c r="K793" s="199"/>
      <c r="L793" s="199"/>
      <c r="M793" s="199"/>
      <c r="N793" s="199"/>
      <c r="O793" s="199"/>
      <c r="P793" s="199"/>
      <c r="Q793" s="199"/>
      <c r="R793" s="199"/>
      <c r="S793" s="199"/>
      <c r="T793" s="199"/>
      <c r="U793" s="199"/>
      <c r="V793" s="199"/>
      <c r="W793" s="199"/>
    </row>
    <row r="794" spans="3:23" ht="12.75" customHeight="1">
      <c r="C794" s="94"/>
      <c r="D794" s="94"/>
      <c r="E794" s="94"/>
      <c r="F794" s="94"/>
      <c r="G794" s="200"/>
      <c r="H794" s="94"/>
      <c r="K794" s="199"/>
      <c r="L794" s="199"/>
      <c r="M794" s="199"/>
      <c r="N794" s="199"/>
      <c r="O794" s="199"/>
      <c r="P794" s="199"/>
      <c r="Q794" s="199"/>
      <c r="R794" s="199"/>
      <c r="S794" s="199"/>
      <c r="T794" s="199"/>
      <c r="U794" s="199"/>
      <c r="V794" s="199"/>
      <c r="W794" s="199"/>
    </row>
    <row r="795" spans="3:23" ht="12.75" customHeight="1">
      <c r="C795" s="94"/>
      <c r="D795" s="94"/>
      <c r="E795" s="94"/>
      <c r="F795" s="94"/>
      <c r="G795" s="200"/>
      <c r="H795" s="94"/>
      <c r="K795" s="199"/>
      <c r="L795" s="199"/>
      <c r="M795" s="199"/>
      <c r="N795" s="199"/>
      <c r="O795" s="199"/>
      <c r="P795" s="199"/>
      <c r="Q795" s="199"/>
      <c r="R795" s="199"/>
      <c r="S795" s="199"/>
      <c r="T795" s="199"/>
      <c r="U795" s="199"/>
      <c r="V795" s="199"/>
      <c r="W795" s="199"/>
    </row>
    <row r="796" spans="3:23" ht="12.75" customHeight="1">
      <c r="C796" s="94"/>
      <c r="D796" s="94"/>
      <c r="E796" s="94"/>
      <c r="F796" s="94"/>
      <c r="G796" s="200"/>
      <c r="H796" s="94"/>
      <c r="K796" s="199"/>
      <c r="L796" s="199"/>
      <c r="M796" s="199"/>
      <c r="N796" s="199"/>
      <c r="O796" s="199"/>
      <c r="P796" s="199"/>
      <c r="Q796" s="199"/>
      <c r="R796" s="199"/>
      <c r="S796" s="199"/>
      <c r="T796" s="199"/>
      <c r="U796" s="199"/>
      <c r="V796" s="199"/>
      <c r="W796" s="199"/>
    </row>
    <row r="797" spans="3:23" ht="12.75" customHeight="1">
      <c r="C797" s="94"/>
      <c r="D797" s="94"/>
      <c r="E797" s="94"/>
      <c r="F797" s="94"/>
      <c r="G797" s="200"/>
      <c r="H797" s="94"/>
      <c r="K797" s="199"/>
      <c r="L797" s="199"/>
      <c r="M797" s="199"/>
      <c r="N797" s="199"/>
      <c r="O797" s="199"/>
      <c r="P797" s="199"/>
      <c r="Q797" s="199"/>
      <c r="R797" s="199"/>
      <c r="S797" s="199"/>
      <c r="T797" s="199"/>
      <c r="U797" s="199"/>
      <c r="V797" s="199"/>
      <c r="W797" s="199"/>
    </row>
    <row r="798" spans="3:23" ht="12.75" customHeight="1">
      <c r="C798" s="94"/>
      <c r="D798" s="94"/>
      <c r="E798" s="94"/>
      <c r="F798" s="94"/>
      <c r="G798" s="200"/>
      <c r="H798" s="94"/>
      <c r="K798" s="199"/>
      <c r="L798" s="199"/>
      <c r="M798" s="199"/>
      <c r="N798" s="199"/>
      <c r="O798" s="199"/>
      <c r="P798" s="199"/>
      <c r="Q798" s="199"/>
      <c r="R798" s="199"/>
      <c r="S798" s="199"/>
      <c r="T798" s="199"/>
      <c r="U798" s="199"/>
      <c r="V798" s="199"/>
      <c r="W798" s="199"/>
    </row>
    <row r="799" spans="3:23" ht="12.75" customHeight="1">
      <c r="C799" s="94"/>
      <c r="D799" s="94"/>
      <c r="E799" s="94"/>
      <c r="F799" s="94"/>
      <c r="G799" s="200"/>
      <c r="H799" s="94"/>
      <c r="K799" s="199"/>
      <c r="L799" s="199"/>
      <c r="M799" s="199"/>
      <c r="N799" s="199"/>
      <c r="O799" s="199"/>
      <c r="P799" s="199"/>
      <c r="Q799" s="199"/>
      <c r="R799" s="199"/>
      <c r="S799" s="199"/>
      <c r="T799" s="199"/>
      <c r="U799" s="199"/>
      <c r="V799" s="199"/>
      <c r="W799" s="199"/>
    </row>
    <row r="800" spans="3:23" ht="12.75" customHeight="1">
      <c r="C800" s="94"/>
      <c r="D800" s="94"/>
      <c r="E800" s="94"/>
      <c r="F800" s="94"/>
      <c r="G800" s="200"/>
      <c r="H800" s="94"/>
      <c r="K800" s="199"/>
      <c r="L800" s="199"/>
      <c r="M800" s="199"/>
      <c r="N800" s="199"/>
      <c r="O800" s="199"/>
      <c r="P800" s="199"/>
      <c r="Q800" s="199"/>
      <c r="R800" s="199"/>
      <c r="S800" s="199"/>
      <c r="T800" s="199"/>
      <c r="U800" s="199"/>
      <c r="V800" s="199"/>
      <c r="W800" s="199"/>
    </row>
    <row r="801" spans="3:23" ht="12.75" customHeight="1">
      <c r="C801" s="94"/>
      <c r="D801" s="94"/>
      <c r="E801" s="94"/>
      <c r="F801" s="94"/>
      <c r="G801" s="200"/>
      <c r="H801" s="94"/>
      <c r="K801" s="199"/>
      <c r="L801" s="199"/>
      <c r="M801" s="199"/>
      <c r="N801" s="199"/>
      <c r="O801" s="199"/>
      <c r="P801" s="199"/>
      <c r="Q801" s="199"/>
      <c r="R801" s="199"/>
      <c r="S801" s="199"/>
      <c r="T801" s="199"/>
      <c r="U801" s="199"/>
      <c r="V801" s="199"/>
      <c r="W801" s="199"/>
    </row>
    <row r="802" spans="3:23" ht="12.75" customHeight="1">
      <c r="C802" s="94"/>
      <c r="D802" s="94"/>
      <c r="E802" s="94"/>
      <c r="F802" s="94"/>
      <c r="G802" s="200"/>
      <c r="H802" s="94"/>
      <c r="K802" s="199"/>
      <c r="L802" s="199"/>
      <c r="M802" s="199"/>
      <c r="N802" s="199"/>
      <c r="O802" s="199"/>
      <c r="P802" s="199"/>
      <c r="Q802" s="199"/>
      <c r="R802" s="199"/>
      <c r="S802" s="199"/>
      <c r="T802" s="199"/>
      <c r="U802" s="199"/>
      <c r="V802" s="199"/>
      <c r="W802" s="199"/>
    </row>
    <row r="803" spans="3:23" ht="12.75" customHeight="1">
      <c r="C803" s="94"/>
      <c r="D803" s="94"/>
      <c r="E803" s="94"/>
      <c r="F803" s="94"/>
      <c r="G803" s="200"/>
      <c r="H803" s="94"/>
      <c r="K803" s="199"/>
      <c r="L803" s="199"/>
      <c r="M803" s="199"/>
      <c r="N803" s="199"/>
      <c r="O803" s="199"/>
      <c r="P803" s="199"/>
      <c r="Q803" s="199"/>
      <c r="R803" s="199"/>
      <c r="S803" s="199"/>
      <c r="T803" s="199"/>
      <c r="U803" s="199"/>
      <c r="V803" s="199"/>
      <c r="W803" s="199"/>
    </row>
    <row r="804" spans="3:23" ht="12.75" customHeight="1">
      <c r="C804" s="94"/>
      <c r="D804" s="94"/>
      <c r="E804" s="94"/>
      <c r="F804" s="94"/>
      <c r="G804" s="200"/>
      <c r="H804" s="94"/>
      <c r="K804" s="199"/>
      <c r="L804" s="199"/>
      <c r="M804" s="199"/>
      <c r="N804" s="199"/>
      <c r="O804" s="199"/>
      <c r="P804" s="199"/>
      <c r="Q804" s="199"/>
      <c r="R804" s="199"/>
      <c r="S804" s="199"/>
      <c r="T804" s="199"/>
      <c r="U804" s="199"/>
      <c r="V804" s="199"/>
      <c r="W804" s="199"/>
    </row>
    <row r="805" spans="3:23" ht="12.75" customHeight="1">
      <c r="C805" s="94"/>
      <c r="D805" s="94"/>
      <c r="E805" s="94"/>
      <c r="F805" s="94"/>
      <c r="G805" s="200"/>
      <c r="H805" s="94"/>
      <c r="K805" s="199"/>
      <c r="L805" s="199"/>
      <c r="M805" s="199"/>
      <c r="N805" s="199"/>
      <c r="O805" s="199"/>
      <c r="P805" s="199"/>
      <c r="Q805" s="199"/>
      <c r="R805" s="199"/>
      <c r="S805" s="199"/>
      <c r="T805" s="199"/>
      <c r="U805" s="199"/>
      <c r="V805" s="199"/>
      <c r="W805" s="199"/>
    </row>
    <row r="806" spans="3:23" ht="12.75" customHeight="1">
      <c r="C806" s="94"/>
      <c r="D806" s="94"/>
      <c r="E806" s="94"/>
      <c r="F806" s="94"/>
      <c r="G806" s="200"/>
      <c r="H806" s="94"/>
      <c r="K806" s="199"/>
      <c r="L806" s="199"/>
      <c r="M806" s="199"/>
      <c r="N806" s="199"/>
      <c r="O806" s="199"/>
      <c r="P806" s="199"/>
      <c r="Q806" s="199"/>
      <c r="R806" s="199"/>
      <c r="S806" s="199"/>
      <c r="T806" s="199"/>
      <c r="U806" s="199"/>
      <c r="V806" s="199"/>
      <c r="W806" s="199"/>
    </row>
    <row r="807" spans="3:23" ht="12.75" customHeight="1">
      <c r="C807" s="94"/>
      <c r="D807" s="94"/>
      <c r="E807" s="94"/>
      <c r="F807" s="94"/>
      <c r="G807" s="200"/>
      <c r="H807" s="94"/>
      <c r="K807" s="199"/>
      <c r="L807" s="199"/>
      <c r="M807" s="199"/>
      <c r="N807" s="199"/>
      <c r="O807" s="199"/>
      <c r="P807" s="199"/>
      <c r="Q807" s="199"/>
      <c r="R807" s="199"/>
      <c r="S807" s="199"/>
      <c r="T807" s="199"/>
      <c r="U807" s="199"/>
      <c r="V807" s="199"/>
      <c r="W807" s="199"/>
    </row>
    <row r="808" spans="3:23" ht="12.75" customHeight="1">
      <c r="C808" s="94"/>
      <c r="D808" s="94"/>
      <c r="E808" s="94"/>
      <c r="F808" s="94"/>
      <c r="G808" s="200"/>
      <c r="H808" s="94"/>
      <c r="K808" s="199"/>
      <c r="L808" s="199"/>
      <c r="M808" s="199"/>
      <c r="N808" s="199"/>
      <c r="O808" s="199"/>
      <c r="P808" s="199"/>
      <c r="Q808" s="199"/>
      <c r="R808" s="199"/>
      <c r="S808" s="199"/>
      <c r="T808" s="199"/>
      <c r="U808" s="199"/>
      <c r="V808" s="199"/>
      <c r="W808" s="199"/>
    </row>
    <row r="809" spans="3:23" ht="12.75" customHeight="1">
      <c r="C809" s="94"/>
      <c r="D809" s="94"/>
      <c r="E809" s="94"/>
      <c r="F809" s="94"/>
      <c r="G809" s="200"/>
      <c r="H809" s="94"/>
      <c r="K809" s="199"/>
      <c r="L809" s="199"/>
      <c r="M809" s="199"/>
      <c r="N809" s="199"/>
      <c r="O809" s="199"/>
      <c r="P809" s="199"/>
      <c r="Q809" s="199"/>
      <c r="R809" s="199"/>
      <c r="S809" s="199"/>
      <c r="T809" s="199"/>
      <c r="U809" s="199"/>
      <c r="V809" s="199"/>
      <c r="W809" s="199"/>
    </row>
    <row r="810" spans="3:23" ht="12.75" customHeight="1">
      <c r="C810" s="94"/>
      <c r="D810" s="94"/>
      <c r="E810" s="94"/>
      <c r="F810" s="94"/>
      <c r="G810" s="200"/>
      <c r="H810" s="94"/>
      <c r="K810" s="199"/>
      <c r="L810" s="199"/>
      <c r="M810" s="199"/>
      <c r="N810" s="199"/>
      <c r="O810" s="199"/>
      <c r="P810" s="199"/>
      <c r="Q810" s="199"/>
      <c r="R810" s="199"/>
      <c r="S810" s="199"/>
      <c r="T810" s="199"/>
      <c r="U810" s="199"/>
      <c r="V810" s="199"/>
      <c r="W810" s="199"/>
    </row>
    <row r="811" spans="3:23" ht="12.75" customHeight="1">
      <c r="C811" s="94"/>
      <c r="D811" s="94"/>
      <c r="E811" s="94"/>
      <c r="F811" s="94"/>
      <c r="G811" s="200"/>
      <c r="H811" s="94"/>
      <c r="K811" s="199"/>
      <c r="L811" s="199"/>
      <c r="M811" s="199"/>
      <c r="N811" s="199"/>
      <c r="O811" s="199"/>
      <c r="P811" s="199"/>
      <c r="Q811" s="199"/>
      <c r="R811" s="199"/>
      <c r="S811" s="199"/>
      <c r="T811" s="199"/>
      <c r="U811" s="199"/>
      <c r="V811" s="199"/>
      <c r="W811" s="199"/>
    </row>
    <row r="812" spans="3:23" ht="12.75" customHeight="1">
      <c r="C812" s="94"/>
      <c r="D812" s="94"/>
      <c r="E812" s="94"/>
      <c r="F812" s="94"/>
      <c r="G812" s="200"/>
      <c r="H812" s="94"/>
      <c r="K812" s="199"/>
      <c r="L812" s="199"/>
      <c r="M812" s="199"/>
      <c r="N812" s="199"/>
      <c r="O812" s="199"/>
      <c r="P812" s="199"/>
      <c r="Q812" s="199"/>
      <c r="R812" s="199"/>
      <c r="S812" s="199"/>
      <c r="T812" s="199"/>
      <c r="U812" s="199"/>
      <c r="V812" s="199"/>
      <c r="W812" s="199"/>
    </row>
    <row r="813" spans="3:23" ht="12.75" customHeight="1">
      <c r="C813" s="94"/>
      <c r="D813" s="94"/>
      <c r="E813" s="94"/>
      <c r="F813" s="94"/>
      <c r="G813" s="200"/>
      <c r="H813" s="94"/>
      <c r="K813" s="199"/>
      <c r="L813" s="199"/>
      <c r="M813" s="199"/>
      <c r="N813" s="199"/>
      <c r="O813" s="199"/>
      <c r="P813" s="199"/>
      <c r="Q813" s="199"/>
      <c r="R813" s="199"/>
      <c r="S813" s="199"/>
      <c r="T813" s="199"/>
      <c r="U813" s="199"/>
      <c r="V813" s="199"/>
      <c r="W813" s="199"/>
    </row>
    <row r="814" spans="3:23" ht="12.75" customHeight="1">
      <c r="C814" s="94"/>
      <c r="D814" s="94"/>
      <c r="E814" s="94"/>
      <c r="F814" s="94"/>
      <c r="G814" s="200"/>
      <c r="H814" s="94"/>
      <c r="K814" s="199"/>
      <c r="L814" s="199"/>
      <c r="M814" s="199"/>
      <c r="N814" s="199"/>
      <c r="O814" s="199"/>
      <c r="P814" s="199"/>
      <c r="Q814" s="199"/>
      <c r="R814" s="199"/>
      <c r="S814" s="199"/>
      <c r="T814" s="199"/>
      <c r="U814" s="199"/>
      <c r="V814" s="199"/>
      <c r="W814" s="199"/>
    </row>
    <row r="815" spans="3:23" ht="12.75" customHeight="1">
      <c r="C815" s="94"/>
      <c r="D815" s="94"/>
      <c r="E815" s="94"/>
      <c r="F815" s="94"/>
      <c r="G815" s="200"/>
      <c r="H815" s="94"/>
      <c r="K815" s="199"/>
      <c r="L815" s="199"/>
      <c r="M815" s="199"/>
      <c r="N815" s="199"/>
      <c r="O815" s="199"/>
      <c r="P815" s="199"/>
      <c r="Q815" s="199"/>
      <c r="R815" s="199"/>
      <c r="S815" s="199"/>
      <c r="T815" s="199"/>
      <c r="U815" s="199"/>
      <c r="V815" s="199"/>
      <c r="W815" s="199"/>
    </row>
    <row r="816" spans="3:23" ht="12.75" customHeight="1">
      <c r="C816" s="94"/>
      <c r="D816" s="94"/>
      <c r="E816" s="94"/>
      <c r="F816" s="94"/>
      <c r="G816" s="200"/>
      <c r="H816" s="94"/>
      <c r="K816" s="199"/>
      <c r="L816" s="199"/>
      <c r="M816" s="199"/>
      <c r="N816" s="199"/>
      <c r="O816" s="199"/>
      <c r="P816" s="199"/>
      <c r="Q816" s="199"/>
      <c r="R816" s="199"/>
      <c r="S816" s="199"/>
      <c r="T816" s="199"/>
      <c r="U816" s="199"/>
      <c r="V816" s="199"/>
      <c r="W816" s="199"/>
    </row>
    <row r="817" spans="3:23" ht="12.75" customHeight="1">
      <c r="C817" s="94"/>
      <c r="D817" s="94"/>
      <c r="E817" s="94"/>
      <c r="F817" s="94"/>
      <c r="G817" s="200"/>
      <c r="H817" s="94"/>
      <c r="K817" s="199"/>
      <c r="L817" s="199"/>
      <c r="M817" s="199"/>
      <c r="N817" s="199"/>
      <c r="O817" s="199"/>
      <c r="P817" s="199"/>
      <c r="Q817" s="199"/>
      <c r="R817" s="199"/>
      <c r="S817" s="199"/>
      <c r="T817" s="199"/>
      <c r="U817" s="199"/>
      <c r="V817" s="199"/>
      <c r="W817" s="199"/>
    </row>
    <row r="818" spans="3:23" ht="12.75" customHeight="1">
      <c r="C818" s="94"/>
      <c r="D818" s="94"/>
      <c r="E818" s="94"/>
      <c r="F818" s="94"/>
      <c r="G818" s="200"/>
      <c r="H818" s="94"/>
      <c r="K818" s="199"/>
      <c r="L818" s="199"/>
      <c r="M818" s="199"/>
      <c r="N818" s="199"/>
      <c r="O818" s="199"/>
      <c r="P818" s="199"/>
      <c r="Q818" s="199"/>
      <c r="R818" s="199"/>
      <c r="S818" s="199"/>
      <c r="T818" s="199"/>
      <c r="U818" s="199"/>
      <c r="V818" s="199"/>
      <c r="W818" s="199"/>
    </row>
    <row r="819" spans="3:23" ht="12.75" customHeight="1">
      <c r="C819" s="94"/>
      <c r="D819" s="94"/>
      <c r="E819" s="94"/>
      <c r="F819" s="94"/>
      <c r="G819" s="200"/>
      <c r="H819" s="94"/>
      <c r="K819" s="199"/>
      <c r="L819" s="199"/>
      <c r="M819" s="199"/>
      <c r="N819" s="199"/>
      <c r="O819" s="199"/>
      <c r="P819" s="199"/>
      <c r="Q819" s="199"/>
      <c r="R819" s="199"/>
      <c r="S819" s="199"/>
      <c r="T819" s="199"/>
      <c r="U819" s="199"/>
      <c r="V819" s="199"/>
      <c r="W819" s="199"/>
    </row>
    <row r="820" spans="3:23" ht="12.75" customHeight="1">
      <c r="C820" s="94"/>
      <c r="D820" s="94"/>
      <c r="E820" s="94"/>
      <c r="F820" s="94"/>
      <c r="G820" s="200"/>
      <c r="H820" s="94"/>
      <c r="K820" s="199"/>
      <c r="L820" s="199"/>
      <c r="M820" s="199"/>
      <c r="N820" s="199"/>
      <c r="O820" s="199"/>
      <c r="P820" s="199"/>
      <c r="Q820" s="199"/>
      <c r="R820" s="199"/>
      <c r="S820" s="199"/>
      <c r="T820" s="199"/>
      <c r="U820" s="199"/>
      <c r="V820" s="199"/>
      <c r="W820" s="199"/>
    </row>
    <row r="821" spans="3:23" ht="12.75" customHeight="1">
      <c r="C821" s="94"/>
      <c r="D821" s="94"/>
      <c r="E821" s="94"/>
      <c r="F821" s="94"/>
      <c r="G821" s="200"/>
      <c r="H821" s="94"/>
      <c r="K821" s="199"/>
      <c r="L821" s="199"/>
      <c r="M821" s="199"/>
      <c r="N821" s="199"/>
      <c r="O821" s="199"/>
      <c r="P821" s="199"/>
      <c r="Q821" s="199"/>
      <c r="R821" s="199"/>
      <c r="S821" s="199"/>
      <c r="T821" s="199"/>
      <c r="U821" s="199"/>
      <c r="V821" s="199"/>
      <c r="W821" s="199"/>
    </row>
    <row r="822" spans="3:23" ht="12.75" customHeight="1">
      <c r="C822" s="94"/>
      <c r="D822" s="94"/>
      <c r="E822" s="94"/>
      <c r="F822" s="94"/>
      <c r="G822" s="200"/>
      <c r="H822" s="94"/>
      <c r="K822" s="199"/>
      <c r="L822" s="199"/>
      <c r="M822" s="199"/>
      <c r="N822" s="199"/>
      <c r="O822" s="199"/>
      <c r="P822" s="199"/>
      <c r="Q822" s="199"/>
      <c r="R822" s="199"/>
      <c r="S822" s="199"/>
      <c r="T822" s="199"/>
      <c r="U822" s="199"/>
      <c r="V822" s="199"/>
      <c r="W822" s="199"/>
    </row>
    <row r="823" spans="3:23" ht="12.75" customHeight="1">
      <c r="C823" s="94"/>
      <c r="D823" s="94"/>
      <c r="E823" s="94"/>
      <c r="F823" s="94"/>
      <c r="G823" s="200"/>
      <c r="H823" s="94"/>
      <c r="K823" s="199"/>
      <c r="L823" s="199"/>
      <c r="M823" s="199"/>
      <c r="N823" s="199"/>
      <c r="O823" s="199"/>
      <c r="P823" s="199"/>
      <c r="Q823" s="199"/>
      <c r="R823" s="199"/>
      <c r="S823" s="199"/>
      <c r="T823" s="199"/>
      <c r="U823" s="199"/>
      <c r="V823" s="199"/>
      <c r="W823" s="199"/>
    </row>
    <row r="824" spans="3:23" ht="12.75" customHeight="1">
      <c r="C824" s="94"/>
      <c r="D824" s="94"/>
      <c r="E824" s="94"/>
      <c r="F824" s="94"/>
      <c r="G824" s="200"/>
      <c r="H824" s="94"/>
      <c r="K824" s="199"/>
      <c r="L824" s="199"/>
      <c r="M824" s="199"/>
      <c r="N824" s="199"/>
      <c r="O824" s="199"/>
      <c r="P824" s="199"/>
      <c r="Q824" s="199"/>
      <c r="R824" s="199"/>
      <c r="S824" s="199"/>
      <c r="T824" s="199"/>
      <c r="U824" s="199"/>
      <c r="V824" s="199"/>
      <c r="W824" s="199"/>
    </row>
    <row r="825" spans="3:23" ht="12.75" customHeight="1">
      <c r="C825" s="94"/>
      <c r="D825" s="94"/>
      <c r="E825" s="94"/>
      <c r="F825" s="94"/>
      <c r="G825" s="200"/>
      <c r="H825" s="94"/>
      <c r="K825" s="199"/>
      <c r="L825" s="199"/>
      <c r="M825" s="199"/>
      <c r="N825" s="199"/>
      <c r="O825" s="199"/>
      <c r="P825" s="199"/>
      <c r="Q825" s="199"/>
      <c r="R825" s="199"/>
      <c r="S825" s="199"/>
      <c r="T825" s="199"/>
      <c r="U825" s="199"/>
      <c r="V825" s="199"/>
      <c r="W825" s="199"/>
    </row>
    <row r="826" spans="3:23" ht="12.75" customHeight="1">
      <c r="C826" s="94"/>
      <c r="D826" s="94"/>
      <c r="E826" s="94"/>
      <c r="F826" s="94"/>
      <c r="G826" s="200"/>
      <c r="H826" s="94"/>
      <c r="K826" s="199"/>
      <c r="L826" s="199"/>
      <c r="M826" s="199"/>
      <c r="N826" s="199"/>
      <c r="O826" s="199"/>
      <c r="P826" s="199"/>
      <c r="Q826" s="199"/>
      <c r="R826" s="199"/>
      <c r="S826" s="199"/>
      <c r="T826" s="199"/>
      <c r="U826" s="199"/>
      <c r="V826" s="199"/>
      <c r="W826" s="199"/>
    </row>
    <row r="827" spans="3:23" ht="12.75" customHeight="1">
      <c r="C827" s="94"/>
      <c r="D827" s="94"/>
      <c r="E827" s="94"/>
      <c r="F827" s="94"/>
      <c r="G827" s="200"/>
      <c r="H827" s="94"/>
      <c r="K827" s="199"/>
      <c r="L827" s="199"/>
      <c r="M827" s="199"/>
      <c r="N827" s="199"/>
      <c r="O827" s="199"/>
      <c r="P827" s="199"/>
      <c r="Q827" s="199"/>
      <c r="R827" s="199"/>
      <c r="S827" s="199"/>
      <c r="T827" s="199"/>
      <c r="U827" s="199"/>
      <c r="V827" s="199"/>
      <c r="W827" s="199"/>
    </row>
    <row r="828" spans="3:23" ht="12.75" customHeight="1">
      <c r="C828" s="94"/>
      <c r="D828" s="94"/>
      <c r="E828" s="94"/>
      <c r="F828" s="94"/>
      <c r="G828" s="200"/>
      <c r="H828" s="94"/>
      <c r="K828" s="199"/>
      <c r="L828" s="199"/>
      <c r="M828" s="199"/>
      <c r="N828" s="199"/>
      <c r="O828" s="199"/>
      <c r="P828" s="199"/>
      <c r="Q828" s="199"/>
      <c r="R828" s="199"/>
      <c r="S828" s="199"/>
      <c r="T828" s="199"/>
      <c r="U828" s="199"/>
      <c r="V828" s="199"/>
      <c r="W828" s="199"/>
    </row>
    <row r="829" spans="3:23" ht="12.75" customHeight="1">
      <c r="C829" s="94"/>
      <c r="D829" s="94"/>
      <c r="E829" s="94"/>
      <c r="F829" s="94"/>
      <c r="G829" s="200"/>
      <c r="H829" s="94"/>
      <c r="K829" s="199"/>
      <c r="L829" s="199"/>
      <c r="M829" s="199"/>
      <c r="N829" s="199"/>
      <c r="O829" s="199"/>
      <c r="P829" s="199"/>
      <c r="Q829" s="199"/>
      <c r="R829" s="199"/>
      <c r="S829" s="199"/>
      <c r="T829" s="199"/>
      <c r="U829" s="199"/>
      <c r="V829" s="199"/>
      <c r="W829" s="199"/>
    </row>
    <row r="830" spans="3:23" ht="12.75" customHeight="1">
      <c r="C830" s="94"/>
      <c r="D830" s="94"/>
      <c r="E830" s="94"/>
      <c r="F830" s="94"/>
      <c r="G830" s="200"/>
      <c r="H830" s="94"/>
      <c r="K830" s="199"/>
      <c r="L830" s="199"/>
      <c r="M830" s="199"/>
      <c r="N830" s="199"/>
      <c r="O830" s="199"/>
      <c r="P830" s="199"/>
      <c r="Q830" s="199"/>
      <c r="R830" s="199"/>
      <c r="S830" s="199"/>
      <c r="T830" s="199"/>
      <c r="U830" s="199"/>
      <c r="V830" s="199"/>
      <c r="W830" s="199"/>
    </row>
    <row r="831" spans="3:23" ht="12.75" customHeight="1">
      <c r="C831" s="94"/>
      <c r="D831" s="94"/>
      <c r="E831" s="94"/>
      <c r="F831" s="94"/>
      <c r="G831" s="200"/>
      <c r="H831" s="94"/>
      <c r="K831" s="199"/>
      <c r="L831" s="199"/>
      <c r="M831" s="199"/>
      <c r="N831" s="199"/>
      <c r="O831" s="199"/>
      <c r="P831" s="199"/>
      <c r="Q831" s="199"/>
      <c r="R831" s="199"/>
      <c r="S831" s="199"/>
      <c r="T831" s="199"/>
      <c r="U831" s="199"/>
      <c r="V831" s="199"/>
      <c r="W831" s="199"/>
    </row>
    <row r="832" spans="3:23" ht="12.75" customHeight="1">
      <c r="C832" s="94"/>
      <c r="D832" s="94"/>
      <c r="E832" s="94"/>
      <c r="F832" s="94"/>
      <c r="G832" s="200"/>
      <c r="H832" s="94"/>
      <c r="K832" s="199"/>
      <c r="L832" s="199"/>
      <c r="M832" s="199"/>
      <c r="N832" s="199"/>
      <c r="O832" s="199"/>
      <c r="P832" s="199"/>
      <c r="Q832" s="199"/>
      <c r="R832" s="199"/>
      <c r="S832" s="199"/>
      <c r="T832" s="199"/>
      <c r="U832" s="199"/>
      <c r="V832" s="199"/>
      <c r="W832" s="199"/>
    </row>
    <row r="833" spans="3:23" ht="12.75" customHeight="1">
      <c r="C833" s="94"/>
      <c r="D833" s="94"/>
      <c r="E833" s="94"/>
      <c r="F833" s="94"/>
      <c r="G833" s="200"/>
      <c r="H833" s="94"/>
      <c r="K833" s="199"/>
      <c r="L833" s="199"/>
      <c r="M833" s="199"/>
      <c r="N833" s="199"/>
      <c r="O833" s="199"/>
      <c r="P833" s="199"/>
      <c r="Q833" s="199"/>
      <c r="R833" s="199"/>
      <c r="S833" s="199"/>
      <c r="T833" s="199"/>
      <c r="U833" s="199"/>
      <c r="V833" s="199"/>
      <c r="W833" s="199"/>
    </row>
    <row r="834" spans="3:23" ht="12.75" customHeight="1">
      <c r="C834" s="94"/>
      <c r="D834" s="94"/>
      <c r="E834" s="94"/>
      <c r="F834" s="94"/>
      <c r="G834" s="200"/>
      <c r="H834" s="94"/>
      <c r="K834" s="199"/>
      <c r="L834" s="199"/>
      <c r="M834" s="199"/>
      <c r="N834" s="199"/>
      <c r="O834" s="199"/>
      <c r="P834" s="199"/>
      <c r="Q834" s="199"/>
      <c r="R834" s="199"/>
      <c r="S834" s="199"/>
      <c r="T834" s="199"/>
      <c r="U834" s="199"/>
      <c r="V834" s="199"/>
      <c r="W834" s="199"/>
    </row>
    <row r="835" spans="3:23" ht="12.75" customHeight="1">
      <c r="C835" s="94"/>
      <c r="D835" s="94"/>
      <c r="E835" s="94"/>
      <c r="F835" s="94"/>
      <c r="G835" s="200"/>
      <c r="H835" s="94"/>
      <c r="K835" s="199"/>
      <c r="L835" s="199"/>
      <c r="M835" s="199"/>
      <c r="N835" s="199"/>
      <c r="O835" s="199"/>
      <c r="P835" s="199"/>
      <c r="Q835" s="199"/>
      <c r="R835" s="199"/>
      <c r="S835" s="199"/>
      <c r="T835" s="199"/>
      <c r="U835" s="199"/>
      <c r="V835" s="199"/>
      <c r="W835" s="199"/>
    </row>
    <row r="836" spans="3:23" ht="12.75" customHeight="1">
      <c r="C836" s="94"/>
      <c r="D836" s="94"/>
      <c r="E836" s="94"/>
      <c r="F836" s="94"/>
      <c r="G836" s="200"/>
      <c r="H836" s="94"/>
      <c r="K836" s="199"/>
      <c r="L836" s="199"/>
      <c r="M836" s="199"/>
      <c r="N836" s="199"/>
      <c r="O836" s="199"/>
      <c r="P836" s="199"/>
      <c r="Q836" s="199"/>
      <c r="R836" s="199"/>
      <c r="S836" s="199"/>
      <c r="T836" s="199"/>
      <c r="U836" s="199"/>
      <c r="V836" s="199"/>
      <c r="W836" s="199"/>
    </row>
    <row r="837" spans="3:23" ht="12.75" customHeight="1">
      <c r="C837" s="94"/>
      <c r="D837" s="94"/>
      <c r="E837" s="94"/>
      <c r="F837" s="94"/>
      <c r="G837" s="200"/>
      <c r="H837" s="94"/>
      <c r="K837" s="199"/>
      <c r="L837" s="199"/>
      <c r="M837" s="199"/>
      <c r="N837" s="199"/>
      <c r="O837" s="199"/>
      <c r="P837" s="199"/>
      <c r="Q837" s="199"/>
      <c r="R837" s="199"/>
      <c r="S837" s="199"/>
      <c r="T837" s="199"/>
      <c r="U837" s="199"/>
      <c r="V837" s="199"/>
      <c r="W837" s="199"/>
    </row>
    <row r="838" spans="3:23" ht="12.75" customHeight="1">
      <c r="C838" s="94"/>
      <c r="D838" s="94"/>
      <c r="E838" s="94"/>
      <c r="F838" s="94"/>
      <c r="G838" s="200"/>
      <c r="H838" s="94"/>
      <c r="K838" s="199"/>
      <c r="L838" s="199"/>
      <c r="M838" s="199"/>
      <c r="N838" s="199"/>
      <c r="O838" s="199"/>
      <c r="P838" s="199"/>
      <c r="Q838" s="199"/>
      <c r="R838" s="199"/>
      <c r="S838" s="199"/>
      <c r="T838" s="199"/>
      <c r="U838" s="199"/>
      <c r="V838" s="199"/>
      <c r="W838" s="199"/>
    </row>
    <row r="839" spans="3:23" ht="12.75" customHeight="1">
      <c r="C839" s="94"/>
      <c r="D839" s="94"/>
      <c r="E839" s="94"/>
      <c r="F839" s="94"/>
      <c r="G839" s="200"/>
      <c r="H839" s="94"/>
      <c r="K839" s="199"/>
      <c r="L839" s="199"/>
      <c r="M839" s="199"/>
      <c r="N839" s="199"/>
      <c r="O839" s="199"/>
      <c r="P839" s="199"/>
      <c r="Q839" s="199"/>
      <c r="R839" s="199"/>
      <c r="S839" s="199"/>
      <c r="T839" s="199"/>
      <c r="U839" s="199"/>
      <c r="V839" s="199"/>
      <c r="W839" s="199"/>
    </row>
    <row r="840" spans="3:23" ht="12.75" customHeight="1">
      <c r="C840" s="94"/>
      <c r="D840" s="94"/>
      <c r="E840" s="94"/>
      <c r="F840" s="94"/>
      <c r="G840" s="200"/>
      <c r="H840" s="94"/>
      <c r="K840" s="199"/>
      <c r="L840" s="199"/>
      <c r="M840" s="199"/>
      <c r="N840" s="199"/>
      <c r="O840" s="199"/>
      <c r="P840" s="199"/>
      <c r="Q840" s="199"/>
      <c r="R840" s="199"/>
      <c r="S840" s="199"/>
      <c r="T840" s="199"/>
      <c r="U840" s="199"/>
      <c r="V840" s="199"/>
      <c r="W840" s="199"/>
    </row>
    <row r="841" spans="3:23" ht="12.75" customHeight="1">
      <c r="C841" s="94"/>
      <c r="D841" s="94"/>
      <c r="E841" s="94"/>
      <c r="F841" s="94"/>
      <c r="G841" s="200"/>
      <c r="H841" s="94"/>
      <c r="K841" s="199"/>
      <c r="L841" s="199"/>
      <c r="M841" s="199"/>
      <c r="N841" s="199"/>
      <c r="O841" s="199"/>
      <c r="P841" s="199"/>
      <c r="Q841" s="199"/>
      <c r="R841" s="199"/>
      <c r="S841" s="199"/>
      <c r="T841" s="199"/>
      <c r="U841" s="199"/>
      <c r="V841" s="199"/>
      <c r="W841" s="199"/>
    </row>
    <row r="842" spans="3:23" ht="12.75" customHeight="1">
      <c r="C842" s="94"/>
      <c r="D842" s="94"/>
      <c r="E842" s="94"/>
      <c r="F842" s="94"/>
      <c r="G842" s="200"/>
      <c r="H842" s="94"/>
      <c r="K842" s="199"/>
      <c r="L842" s="199"/>
      <c r="M842" s="199"/>
      <c r="N842" s="199"/>
      <c r="O842" s="199"/>
      <c r="P842" s="199"/>
      <c r="Q842" s="199"/>
      <c r="R842" s="199"/>
      <c r="S842" s="199"/>
      <c r="T842" s="199"/>
      <c r="U842" s="199"/>
      <c r="V842" s="199"/>
      <c r="W842" s="199"/>
    </row>
    <row r="843" spans="3:23" ht="12.75" customHeight="1">
      <c r="C843" s="94"/>
      <c r="D843" s="94"/>
      <c r="E843" s="94"/>
      <c r="F843" s="94"/>
      <c r="G843" s="200"/>
      <c r="H843" s="94"/>
      <c r="K843" s="199"/>
      <c r="L843" s="199"/>
      <c r="M843" s="199"/>
      <c r="N843" s="199"/>
      <c r="O843" s="199"/>
      <c r="P843" s="199"/>
      <c r="Q843" s="199"/>
      <c r="R843" s="199"/>
      <c r="S843" s="199"/>
      <c r="T843" s="199"/>
      <c r="U843" s="199"/>
      <c r="V843" s="199"/>
      <c r="W843" s="199"/>
    </row>
    <row r="844" spans="3:23" ht="12.75" customHeight="1">
      <c r="C844" s="94"/>
      <c r="D844" s="94"/>
      <c r="E844" s="94"/>
      <c r="F844" s="94"/>
      <c r="G844" s="200"/>
      <c r="H844" s="94"/>
      <c r="K844" s="199"/>
      <c r="L844" s="199"/>
      <c r="M844" s="199"/>
      <c r="N844" s="199"/>
      <c r="O844" s="199"/>
      <c r="P844" s="199"/>
      <c r="Q844" s="199"/>
      <c r="R844" s="199"/>
      <c r="S844" s="199"/>
      <c r="T844" s="199"/>
      <c r="U844" s="199"/>
      <c r="V844" s="199"/>
      <c r="W844" s="199"/>
    </row>
    <row r="845" spans="3:23" ht="12.75" customHeight="1">
      <c r="C845" s="94"/>
      <c r="D845" s="94"/>
      <c r="E845" s="94"/>
      <c r="F845" s="94"/>
      <c r="G845" s="200"/>
      <c r="H845" s="94"/>
      <c r="K845" s="199"/>
      <c r="L845" s="199"/>
      <c r="M845" s="199"/>
      <c r="N845" s="199"/>
      <c r="O845" s="199"/>
      <c r="P845" s="199"/>
      <c r="Q845" s="199"/>
      <c r="R845" s="199"/>
      <c r="S845" s="199"/>
      <c r="T845" s="199"/>
      <c r="U845" s="199"/>
      <c r="V845" s="199"/>
      <c r="W845" s="199"/>
    </row>
    <row r="846" spans="3:23" ht="12.75" customHeight="1">
      <c r="C846" s="94"/>
      <c r="D846" s="94"/>
      <c r="E846" s="94"/>
      <c r="F846" s="94"/>
      <c r="G846" s="200"/>
      <c r="H846" s="94"/>
      <c r="K846" s="199"/>
      <c r="L846" s="199"/>
      <c r="M846" s="199"/>
      <c r="N846" s="199"/>
      <c r="O846" s="199"/>
      <c r="P846" s="199"/>
      <c r="Q846" s="199"/>
      <c r="R846" s="199"/>
      <c r="S846" s="199"/>
      <c r="T846" s="199"/>
      <c r="U846" s="199"/>
      <c r="V846" s="199"/>
      <c r="W846" s="199"/>
    </row>
    <row r="847" spans="3:23" ht="12.75" customHeight="1">
      <c r="C847" s="94"/>
      <c r="D847" s="94"/>
      <c r="E847" s="94"/>
      <c r="F847" s="94"/>
      <c r="G847" s="200"/>
      <c r="H847" s="94"/>
      <c r="K847" s="199"/>
      <c r="L847" s="199"/>
      <c r="M847" s="199"/>
      <c r="N847" s="199"/>
      <c r="O847" s="199"/>
      <c r="P847" s="199"/>
      <c r="Q847" s="199"/>
      <c r="R847" s="199"/>
      <c r="S847" s="199"/>
      <c r="T847" s="199"/>
      <c r="U847" s="199"/>
      <c r="V847" s="199"/>
      <c r="W847" s="199"/>
    </row>
    <row r="848" spans="3:23" ht="12.75" customHeight="1">
      <c r="C848" s="94"/>
      <c r="D848" s="94"/>
      <c r="E848" s="94"/>
      <c r="F848" s="94"/>
      <c r="G848" s="200"/>
      <c r="H848" s="94"/>
      <c r="K848" s="199"/>
      <c r="L848" s="199"/>
      <c r="M848" s="199"/>
      <c r="N848" s="199"/>
      <c r="O848" s="199"/>
      <c r="P848" s="199"/>
      <c r="Q848" s="199"/>
      <c r="R848" s="199"/>
      <c r="S848" s="199"/>
      <c r="T848" s="199"/>
      <c r="U848" s="199"/>
      <c r="V848" s="199"/>
      <c r="W848" s="199"/>
    </row>
    <row r="849" spans="3:23" ht="12.75" customHeight="1">
      <c r="C849" s="94"/>
      <c r="D849" s="94"/>
      <c r="E849" s="94"/>
      <c r="F849" s="94"/>
      <c r="G849" s="200"/>
      <c r="H849" s="94"/>
      <c r="K849" s="199"/>
      <c r="L849" s="199"/>
      <c r="M849" s="199"/>
      <c r="N849" s="199"/>
      <c r="O849" s="199"/>
      <c r="P849" s="199"/>
      <c r="Q849" s="199"/>
      <c r="R849" s="199"/>
      <c r="S849" s="199"/>
      <c r="T849" s="199"/>
      <c r="U849" s="199"/>
      <c r="V849" s="199"/>
      <c r="W849" s="199"/>
    </row>
    <row r="850" spans="3:23" ht="12.75" customHeight="1">
      <c r="C850" s="94"/>
      <c r="D850" s="94"/>
      <c r="E850" s="94"/>
      <c r="F850" s="94"/>
      <c r="G850" s="200"/>
      <c r="H850" s="94"/>
      <c r="K850" s="199"/>
      <c r="L850" s="199"/>
      <c r="M850" s="199"/>
      <c r="N850" s="199"/>
      <c r="O850" s="199"/>
      <c r="P850" s="199"/>
      <c r="Q850" s="199"/>
      <c r="R850" s="199"/>
      <c r="S850" s="199"/>
      <c r="T850" s="199"/>
      <c r="U850" s="199"/>
      <c r="V850" s="199"/>
      <c r="W850" s="199"/>
    </row>
    <row r="851" spans="3:23" ht="12.75" customHeight="1">
      <c r="C851" s="94"/>
      <c r="D851" s="94"/>
      <c r="E851" s="94"/>
      <c r="F851" s="94"/>
      <c r="G851" s="200"/>
      <c r="H851" s="94"/>
      <c r="K851" s="199"/>
      <c r="L851" s="199"/>
      <c r="M851" s="199"/>
      <c r="N851" s="199"/>
      <c r="O851" s="199"/>
      <c r="P851" s="199"/>
      <c r="Q851" s="199"/>
      <c r="R851" s="199"/>
      <c r="S851" s="199"/>
      <c r="T851" s="199"/>
      <c r="U851" s="199"/>
      <c r="V851" s="199"/>
      <c r="W851" s="199"/>
    </row>
    <row r="852" spans="3:23" ht="12.75" customHeight="1">
      <c r="C852" s="94"/>
      <c r="D852" s="94"/>
      <c r="E852" s="94"/>
      <c r="F852" s="94"/>
      <c r="G852" s="200"/>
      <c r="H852" s="94"/>
      <c r="K852" s="199"/>
      <c r="L852" s="199"/>
      <c r="M852" s="199"/>
      <c r="N852" s="199"/>
      <c r="O852" s="199"/>
      <c r="P852" s="199"/>
      <c r="Q852" s="199"/>
      <c r="R852" s="199"/>
      <c r="S852" s="199"/>
      <c r="T852" s="199"/>
      <c r="U852" s="199"/>
      <c r="V852" s="199"/>
      <c r="W852" s="199"/>
    </row>
    <row r="853" spans="3:23" ht="12.75" customHeight="1">
      <c r="C853" s="94"/>
      <c r="D853" s="94"/>
      <c r="E853" s="94"/>
      <c r="F853" s="94"/>
      <c r="G853" s="200"/>
      <c r="H853" s="94"/>
      <c r="K853" s="199"/>
      <c r="L853" s="199"/>
      <c r="M853" s="199"/>
      <c r="N853" s="199"/>
      <c r="O853" s="199"/>
      <c r="P853" s="199"/>
      <c r="Q853" s="199"/>
      <c r="R853" s="199"/>
      <c r="S853" s="199"/>
      <c r="T853" s="199"/>
      <c r="U853" s="199"/>
      <c r="V853" s="199"/>
      <c r="W853" s="199"/>
    </row>
    <row r="854" spans="3:23" ht="12.75" customHeight="1">
      <c r="C854" s="94"/>
      <c r="D854" s="94"/>
      <c r="E854" s="94"/>
      <c r="F854" s="94"/>
      <c r="G854" s="200"/>
      <c r="H854" s="94"/>
      <c r="K854" s="199"/>
      <c r="L854" s="199"/>
      <c r="M854" s="199"/>
      <c r="N854" s="199"/>
      <c r="O854" s="199"/>
      <c r="P854" s="199"/>
      <c r="Q854" s="199"/>
      <c r="R854" s="199"/>
      <c r="S854" s="199"/>
      <c r="T854" s="199"/>
      <c r="U854" s="199"/>
      <c r="V854" s="199"/>
      <c r="W854" s="199"/>
    </row>
    <row r="855" spans="3:23" ht="12.75" customHeight="1">
      <c r="C855" s="94"/>
      <c r="D855" s="94"/>
      <c r="E855" s="94"/>
      <c r="F855" s="94"/>
      <c r="G855" s="200"/>
      <c r="H855" s="94"/>
      <c r="K855" s="199"/>
      <c r="L855" s="199"/>
      <c r="M855" s="199"/>
      <c r="N855" s="199"/>
      <c r="O855" s="199"/>
      <c r="P855" s="199"/>
      <c r="Q855" s="199"/>
      <c r="R855" s="199"/>
      <c r="S855" s="199"/>
      <c r="T855" s="199"/>
      <c r="U855" s="199"/>
      <c r="V855" s="199"/>
      <c r="W855" s="199"/>
    </row>
    <row r="856" spans="3:23" ht="12.75" customHeight="1">
      <c r="C856" s="94"/>
      <c r="D856" s="94"/>
      <c r="E856" s="94"/>
      <c r="F856" s="94"/>
      <c r="G856" s="200"/>
      <c r="H856" s="94"/>
      <c r="K856" s="199"/>
      <c r="L856" s="199"/>
      <c r="M856" s="199"/>
      <c r="N856" s="199"/>
      <c r="O856" s="199"/>
      <c r="P856" s="199"/>
      <c r="Q856" s="199"/>
      <c r="R856" s="199"/>
      <c r="S856" s="199"/>
      <c r="T856" s="199"/>
      <c r="U856" s="199"/>
      <c r="V856" s="199"/>
      <c r="W856" s="199"/>
    </row>
    <row r="857" spans="3:23" ht="12.75" customHeight="1">
      <c r="C857" s="94"/>
      <c r="D857" s="94"/>
      <c r="E857" s="94"/>
      <c r="F857" s="94"/>
      <c r="G857" s="200"/>
      <c r="H857" s="94"/>
      <c r="K857" s="199"/>
      <c r="L857" s="199"/>
      <c r="M857" s="199"/>
      <c r="N857" s="199"/>
      <c r="O857" s="199"/>
      <c r="P857" s="199"/>
      <c r="Q857" s="199"/>
      <c r="R857" s="199"/>
      <c r="S857" s="199"/>
      <c r="T857" s="199"/>
      <c r="U857" s="199"/>
      <c r="V857" s="199"/>
      <c r="W857" s="199"/>
    </row>
    <row r="858" spans="3:23" ht="12.75" customHeight="1">
      <c r="C858" s="94"/>
      <c r="D858" s="94"/>
      <c r="E858" s="94"/>
      <c r="F858" s="94"/>
      <c r="G858" s="200"/>
      <c r="H858" s="94"/>
      <c r="K858" s="199"/>
      <c r="L858" s="199"/>
      <c r="M858" s="199"/>
      <c r="N858" s="199"/>
      <c r="O858" s="199"/>
      <c r="P858" s="199"/>
      <c r="Q858" s="199"/>
      <c r="R858" s="199"/>
      <c r="S858" s="199"/>
      <c r="T858" s="199"/>
      <c r="U858" s="199"/>
      <c r="V858" s="199"/>
      <c r="W858" s="199"/>
    </row>
    <row r="859" spans="3:23" ht="12.75" customHeight="1">
      <c r="C859" s="94"/>
      <c r="D859" s="94"/>
      <c r="E859" s="94"/>
      <c r="F859" s="94"/>
      <c r="G859" s="200"/>
      <c r="H859" s="94"/>
      <c r="K859" s="199"/>
      <c r="L859" s="199"/>
      <c r="M859" s="199"/>
      <c r="N859" s="199"/>
      <c r="O859" s="199"/>
      <c r="P859" s="199"/>
      <c r="Q859" s="199"/>
      <c r="R859" s="199"/>
      <c r="S859" s="199"/>
      <c r="T859" s="199"/>
      <c r="U859" s="199"/>
      <c r="V859" s="199"/>
      <c r="W859" s="199"/>
    </row>
    <row r="860" spans="3:23" ht="12.75" customHeight="1">
      <c r="C860" s="94"/>
      <c r="D860" s="94"/>
      <c r="E860" s="94"/>
      <c r="F860" s="94"/>
      <c r="G860" s="200"/>
      <c r="H860" s="94"/>
      <c r="K860" s="199"/>
      <c r="L860" s="199"/>
      <c r="M860" s="199"/>
      <c r="N860" s="199"/>
      <c r="O860" s="199"/>
      <c r="P860" s="199"/>
      <c r="Q860" s="199"/>
      <c r="R860" s="199"/>
      <c r="S860" s="199"/>
      <c r="T860" s="199"/>
      <c r="U860" s="199"/>
      <c r="V860" s="199"/>
      <c r="W860" s="199"/>
    </row>
    <row r="861" spans="3:23" ht="12.75" customHeight="1">
      <c r="C861" s="94"/>
      <c r="D861" s="94"/>
      <c r="E861" s="94"/>
      <c r="F861" s="94"/>
      <c r="G861" s="200"/>
      <c r="H861" s="94"/>
      <c r="K861" s="199"/>
      <c r="L861" s="199"/>
      <c r="M861" s="199"/>
      <c r="N861" s="199"/>
      <c r="O861" s="199"/>
      <c r="P861" s="199"/>
      <c r="Q861" s="199"/>
      <c r="R861" s="199"/>
      <c r="S861" s="199"/>
      <c r="T861" s="199"/>
      <c r="U861" s="199"/>
      <c r="V861" s="199"/>
      <c r="W861" s="199"/>
    </row>
    <row r="862" spans="3:23" ht="12.75" customHeight="1">
      <c r="C862" s="94"/>
      <c r="D862" s="94"/>
      <c r="E862" s="94"/>
      <c r="F862" s="94"/>
      <c r="G862" s="200"/>
      <c r="H862" s="94"/>
      <c r="K862" s="199"/>
      <c r="L862" s="199"/>
      <c r="M862" s="199"/>
      <c r="N862" s="199"/>
      <c r="O862" s="199"/>
      <c r="P862" s="199"/>
      <c r="Q862" s="199"/>
      <c r="R862" s="199"/>
      <c r="S862" s="199"/>
      <c r="T862" s="199"/>
      <c r="U862" s="199"/>
      <c r="V862" s="199"/>
      <c r="W862" s="199"/>
    </row>
    <row r="863" spans="3:23" ht="12.75" customHeight="1">
      <c r="C863" s="94"/>
      <c r="D863" s="94"/>
      <c r="E863" s="94"/>
      <c r="F863" s="94"/>
      <c r="G863" s="200"/>
      <c r="H863" s="94"/>
      <c r="K863" s="199"/>
      <c r="L863" s="199"/>
      <c r="M863" s="199"/>
      <c r="N863" s="199"/>
      <c r="O863" s="199"/>
      <c r="P863" s="199"/>
      <c r="Q863" s="199"/>
      <c r="R863" s="199"/>
      <c r="S863" s="199"/>
      <c r="T863" s="199"/>
      <c r="U863" s="199"/>
      <c r="V863" s="199"/>
      <c r="W863" s="199"/>
    </row>
    <row r="864" spans="3:23" ht="12.75" customHeight="1">
      <c r="C864" s="94"/>
      <c r="D864" s="94"/>
      <c r="E864" s="94"/>
      <c r="F864" s="94"/>
      <c r="G864" s="200"/>
      <c r="H864" s="94"/>
      <c r="K864" s="199"/>
      <c r="L864" s="199"/>
      <c r="M864" s="199"/>
      <c r="N864" s="199"/>
      <c r="O864" s="199"/>
      <c r="P864" s="199"/>
      <c r="Q864" s="199"/>
      <c r="R864" s="199"/>
      <c r="S864" s="199"/>
      <c r="T864" s="199"/>
      <c r="U864" s="199"/>
      <c r="V864" s="199"/>
      <c r="W864" s="199"/>
    </row>
    <row r="865" spans="3:23" ht="12.75" customHeight="1">
      <c r="C865" s="94"/>
      <c r="D865" s="94"/>
      <c r="E865" s="94"/>
      <c r="F865" s="94"/>
      <c r="G865" s="200"/>
      <c r="H865" s="94"/>
      <c r="K865" s="199"/>
      <c r="L865" s="199"/>
      <c r="M865" s="199"/>
      <c r="N865" s="199"/>
      <c r="O865" s="199"/>
      <c r="P865" s="199"/>
      <c r="Q865" s="199"/>
      <c r="R865" s="199"/>
      <c r="S865" s="199"/>
      <c r="T865" s="199"/>
      <c r="U865" s="199"/>
      <c r="V865" s="199"/>
      <c r="W865" s="199"/>
    </row>
    <row r="866" spans="3:23" ht="12.75" customHeight="1">
      <c r="C866" s="94"/>
      <c r="D866" s="94"/>
      <c r="E866" s="94"/>
      <c r="F866" s="94"/>
      <c r="G866" s="200"/>
      <c r="H866" s="94"/>
      <c r="K866" s="199"/>
      <c r="L866" s="199"/>
      <c r="M866" s="199"/>
      <c r="N866" s="199"/>
      <c r="O866" s="199"/>
      <c r="P866" s="199"/>
      <c r="Q866" s="199"/>
      <c r="R866" s="199"/>
      <c r="S866" s="199"/>
      <c r="T866" s="199"/>
      <c r="U866" s="199"/>
      <c r="V866" s="199"/>
      <c r="W866" s="199"/>
    </row>
    <row r="867" spans="3:23" ht="12.75" customHeight="1">
      <c r="C867" s="94"/>
      <c r="D867" s="94"/>
      <c r="E867" s="94"/>
      <c r="F867" s="94"/>
      <c r="G867" s="200"/>
      <c r="H867" s="94"/>
      <c r="K867" s="199"/>
      <c r="L867" s="199"/>
      <c r="M867" s="199"/>
      <c r="N867" s="199"/>
      <c r="O867" s="199"/>
      <c r="P867" s="199"/>
      <c r="Q867" s="199"/>
      <c r="R867" s="199"/>
      <c r="S867" s="199"/>
      <c r="T867" s="199"/>
      <c r="U867" s="199"/>
      <c r="V867" s="199"/>
      <c r="W867" s="199"/>
    </row>
    <row r="868" spans="3:23" ht="12.75" customHeight="1">
      <c r="C868" s="94"/>
      <c r="D868" s="94"/>
      <c r="E868" s="94"/>
      <c r="F868" s="94"/>
      <c r="G868" s="200"/>
      <c r="H868" s="94"/>
      <c r="K868" s="199"/>
      <c r="L868" s="199"/>
      <c r="M868" s="199"/>
      <c r="N868" s="199"/>
      <c r="O868" s="199"/>
      <c r="P868" s="199"/>
      <c r="Q868" s="199"/>
      <c r="R868" s="199"/>
      <c r="S868" s="199"/>
      <c r="T868" s="199"/>
      <c r="U868" s="199"/>
      <c r="V868" s="199"/>
      <c r="W868" s="199"/>
    </row>
    <row r="869" spans="3:23" ht="12.75" customHeight="1">
      <c r="C869" s="94"/>
      <c r="D869" s="94"/>
      <c r="E869" s="94"/>
      <c r="F869" s="94"/>
      <c r="G869" s="200"/>
      <c r="H869" s="94"/>
      <c r="K869" s="199"/>
      <c r="L869" s="199"/>
      <c r="M869" s="199"/>
      <c r="N869" s="199"/>
      <c r="O869" s="199"/>
      <c r="P869" s="199"/>
      <c r="Q869" s="199"/>
      <c r="R869" s="199"/>
      <c r="S869" s="199"/>
      <c r="T869" s="199"/>
      <c r="U869" s="199"/>
      <c r="V869" s="199"/>
      <c r="W869" s="199"/>
    </row>
    <row r="870" spans="3:23" ht="12.75" customHeight="1">
      <c r="C870" s="94"/>
      <c r="D870" s="94"/>
      <c r="E870" s="94"/>
      <c r="F870" s="94"/>
      <c r="G870" s="200"/>
      <c r="H870" s="94"/>
      <c r="K870" s="199"/>
      <c r="L870" s="199"/>
      <c r="M870" s="199"/>
      <c r="N870" s="199"/>
      <c r="O870" s="199"/>
      <c r="P870" s="199"/>
      <c r="Q870" s="199"/>
      <c r="R870" s="199"/>
      <c r="S870" s="199"/>
      <c r="T870" s="199"/>
      <c r="U870" s="199"/>
      <c r="V870" s="199"/>
      <c r="W870" s="199"/>
    </row>
    <row r="871" spans="3:23" ht="12.75" customHeight="1">
      <c r="C871" s="94"/>
      <c r="D871" s="94"/>
      <c r="E871" s="94"/>
      <c r="F871" s="94"/>
      <c r="G871" s="200"/>
      <c r="H871" s="94"/>
      <c r="K871" s="199"/>
      <c r="L871" s="199"/>
      <c r="M871" s="199"/>
      <c r="N871" s="199"/>
      <c r="O871" s="199"/>
      <c r="P871" s="199"/>
      <c r="Q871" s="199"/>
      <c r="R871" s="199"/>
      <c r="S871" s="199"/>
      <c r="T871" s="199"/>
      <c r="U871" s="199"/>
      <c r="V871" s="199"/>
      <c r="W871" s="199"/>
    </row>
    <row r="872" spans="3:23" ht="12.75" customHeight="1">
      <c r="C872" s="94"/>
      <c r="D872" s="94"/>
      <c r="E872" s="94"/>
      <c r="F872" s="94"/>
      <c r="G872" s="200"/>
      <c r="H872" s="94"/>
      <c r="K872" s="199"/>
      <c r="L872" s="199"/>
      <c r="M872" s="199"/>
      <c r="N872" s="199"/>
      <c r="O872" s="199"/>
      <c r="P872" s="199"/>
      <c r="Q872" s="199"/>
      <c r="R872" s="199"/>
      <c r="S872" s="199"/>
      <c r="T872" s="199"/>
      <c r="U872" s="199"/>
      <c r="V872" s="199"/>
      <c r="W872" s="199"/>
    </row>
    <row r="873" spans="3:23" ht="12.75" customHeight="1">
      <c r="C873" s="94"/>
      <c r="D873" s="94"/>
      <c r="E873" s="94"/>
      <c r="F873" s="94"/>
      <c r="G873" s="200"/>
      <c r="H873" s="94"/>
      <c r="K873" s="199"/>
      <c r="L873" s="199"/>
      <c r="M873" s="199"/>
      <c r="N873" s="199"/>
      <c r="O873" s="199"/>
      <c r="P873" s="199"/>
      <c r="Q873" s="199"/>
      <c r="R873" s="199"/>
      <c r="S873" s="199"/>
      <c r="T873" s="199"/>
      <c r="U873" s="199"/>
      <c r="V873" s="199"/>
      <c r="W873" s="199"/>
    </row>
    <row r="874" spans="3:23" ht="12.75" customHeight="1">
      <c r="C874" s="94"/>
      <c r="D874" s="94"/>
      <c r="E874" s="94"/>
      <c r="F874" s="94"/>
      <c r="G874" s="200"/>
      <c r="H874" s="94"/>
      <c r="K874" s="199"/>
      <c r="L874" s="199"/>
      <c r="M874" s="199"/>
      <c r="N874" s="199"/>
      <c r="O874" s="199"/>
      <c r="P874" s="199"/>
      <c r="Q874" s="199"/>
      <c r="R874" s="199"/>
      <c r="S874" s="199"/>
      <c r="T874" s="199"/>
      <c r="U874" s="199"/>
      <c r="V874" s="199"/>
      <c r="W874" s="199"/>
    </row>
    <row r="875" spans="3:23" ht="12.75" customHeight="1">
      <c r="C875" s="94"/>
      <c r="D875" s="94"/>
      <c r="E875" s="94"/>
      <c r="F875" s="94"/>
      <c r="G875" s="200"/>
      <c r="H875" s="94"/>
      <c r="K875" s="199"/>
      <c r="L875" s="199"/>
      <c r="M875" s="199"/>
      <c r="N875" s="199"/>
      <c r="O875" s="199"/>
      <c r="P875" s="199"/>
      <c r="Q875" s="199"/>
      <c r="R875" s="199"/>
      <c r="S875" s="199"/>
      <c r="T875" s="199"/>
      <c r="U875" s="199"/>
      <c r="V875" s="199"/>
      <c r="W875" s="199"/>
    </row>
    <row r="876" spans="3:23" ht="12.75" customHeight="1">
      <c r="C876" s="94"/>
      <c r="D876" s="94"/>
      <c r="E876" s="94"/>
      <c r="F876" s="94"/>
      <c r="G876" s="200"/>
      <c r="H876" s="94"/>
      <c r="K876" s="199"/>
      <c r="L876" s="199"/>
      <c r="M876" s="199"/>
      <c r="N876" s="199"/>
      <c r="O876" s="199"/>
      <c r="P876" s="199"/>
      <c r="Q876" s="199"/>
      <c r="R876" s="199"/>
      <c r="S876" s="199"/>
      <c r="T876" s="199"/>
      <c r="U876" s="199"/>
      <c r="V876" s="199"/>
      <c r="W876" s="199"/>
    </row>
    <row r="877" spans="3:23" ht="12.75" customHeight="1">
      <c r="C877" s="94"/>
      <c r="D877" s="94"/>
      <c r="E877" s="94"/>
      <c r="F877" s="94"/>
      <c r="G877" s="200"/>
      <c r="H877" s="94"/>
      <c r="K877" s="199"/>
      <c r="L877" s="199"/>
      <c r="M877" s="199"/>
      <c r="N877" s="199"/>
      <c r="O877" s="199"/>
      <c r="P877" s="199"/>
      <c r="Q877" s="199"/>
      <c r="R877" s="199"/>
      <c r="S877" s="199"/>
      <c r="T877" s="199"/>
      <c r="U877" s="199"/>
      <c r="V877" s="199"/>
      <c r="W877" s="199"/>
    </row>
    <row r="878" spans="3:23" ht="12.75" customHeight="1">
      <c r="C878" s="94"/>
      <c r="D878" s="94"/>
      <c r="E878" s="94"/>
      <c r="F878" s="94"/>
      <c r="G878" s="200"/>
      <c r="H878" s="94"/>
      <c r="K878" s="199"/>
      <c r="L878" s="199"/>
      <c r="M878" s="199"/>
      <c r="N878" s="199"/>
      <c r="O878" s="199"/>
      <c r="P878" s="199"/>
      <c r="Q878" s="199"/>
      <c r="R878" s="199"/>
      <c r="S878" s="199"/>
      <c r="T878" s="199"/>
      <c r="U878" s="199"/>
      <c r="V878" s="199"/>
      <c r="W878" s="199"/>
    </row>
    <row r="879" spans="3:23" ht="12.75" customHeight="1">
      <c r="C879" s="94"/>
      <c r="D879" s="94"/>
      <c r="E879" s="94"/>
      <c r="F879" s="94"/>
      <c r="G879" s="200"/>
      <c r="H879" s="94"/>
      <c r="K879" s="199"/>
      <c r="L879" s="199"/>
      <c r="M879" s="199"/>
      <c r="N879" s="199"/>
      <c r="O879" s="199"/>
      <c r="P879" s="199"/>
      <c r="Q879" s="199"/>
      <c r="R879" s="199"/>
      <c r="S879" s="199"/>
      <c r="T879" s="199"/>
      <c r="U879" s="199"/>
      <c r="V879" s="199"/>
      <c r="W879" s="199"/>
    </row>
    <row r="880" spans="3:23" ht="12.75" customHeight="1">
      <c r="C880" s="94"/>
      <c r="D880" s="94"/>
      <c r="E880" s="94"/>
      <c r="F880" s="94"/>
      <c r="G880" s="200"/>
      <c r="H880" s="94"/>
      <c r="K880" s="199"/>
      <c r="L880" s="199"/>
      <c r="M880" s="199"/>
      <c r="N880" s="199"/>
      <c r="O880" s="199"/>
      <c r="P880" s="199"/>
      <c r="Q880" s="199"/>
      <c r="R880" s="199"/>
      <c r="S880" s="199"/>
      <c r="T880" s="199"/>
      <c r="U880" s="199"/>
      <c r="V880" s="199"/>
      <c r="W880" s="199"/>
    </row>
    <row r="881" spans="3:23" ht="12.75" customHeight="1">
      <c r="C881" s="94"/>
      <c r="D881" s="94"/>
      <c r="E881" s="94"/>
      <c r="F881" s="94"/>
      <c r="G881" s="200"/>
      <c r="H881" s="94"/>
      <c r="K881" s="199"/>
      <c r="L881" s="199"/>
      <c r="M881" s="199"/>
      <c r="N881" s="199"/>
      <c r="O881" s="199"/>
      <c r="P881" s="199"/>
      <c r="Q881" s="199"/>
      <c r="R881" s="199"/>
      <c r="S881" s="199"/>
      <c r="T881" s="199"/>
      <c r="U881" s="199"/>
      <c r="V881" s="199"/>
      <c r="W881" s="199"/>
    </row>
    <row r="882" spans="3:23" ht="12.75" customHeight="1">
      <c r="C882" s="94"/>
      <c r="D882" s="94"/>
      <c r="E882" s="94"/>
      <c r="F882" s="94"/>
      <c r="G882" s="200"/>
      <c r="H882" s="94"/>
      <c r="K882" s="199"/>
      <c r="L882" s="199"/>
      <c r="M882" s="199"/>
      <c r="N882" s="199"/>
      <c r="O882" s="199"/>
      <c r="P882" s="199"/>
      <c r="Q882" s="199"/>
      <c r="R882" s="199"/>
      <c r="S882" s="199"/>
      <c r="T882" s="199"/>
      <c r="U882" s="199"/>
      <c r="V882" s="199"/>
      <c r="W882" s="199"/>
    </row>
    <row r="883" spans="3:23" ht="12.75" customHeight="1">
      <c r="C883" s="94"/>
      <c r="D883" s="94"/>
      <c r="E883" s="94"/>
      <c r="F883" s="94"/>
      <c r="G883" s="200"/>
      <c r="H883" s="94"/>
      <c r="K883" s="199"/>
      <c r="L883" s="199"/>
      <c r="M883" s="199"/>
      <c r="N883" s="199"/>
      <c r="O883" s="199"/>
      <c r="P883" s="199"/>
      <c r="Q883" s="199"/>
      <c r="R883" s="199"/>
      <c r="S883" s="199"/>
      <c r="T883" s="199"/>
      <c r="U883" s="199"/>
      <c r="V883" s="199"/>
      <c r="W883" s="199"/>
    </row>
    <row r="884" spans="3:23" ht="12.75" customHeight="1">
      <c r="C884" s="94"/>
      <c r="D884" s="94"/>
      <c r="E884" s="94"/>
      <c r="F884" s="94"/>
      <c r="G884" s="200"/>
      <c r="H884" s="94"/>
      <c r="K884" s="199"/>
      <c r="L884" s="199"/>
      <c r="M884" s="199"/>
      <c r="N884" s="199"/>
      <c r="O884" s="199"/>
      <c r="P884" s="199"/>
      <c r="Q884" s="199"/>
      <c r="R884" s="199"/>
      <c r="S884" s="199"/>
      <c r="T884" s="199"/>
      <c r="U884" s="199"/>
      <c r="V884" s="199"/>
      <c r="W884" s="199"/>
    </row>
    <row r="885" spans="3:23" ht="12.75" customHeight="1">
      <c r="C885" s="94"/>
      <c r="D885" s="94"/>
      <c r="E885" s="94"/>
      <c r="F885" s="94"/>
      <c r="G885" s="200"/>
      <c r="H885" s="94"/>
      <c r="K885" s="199"/>
      <c r="L885" s="199"/>
      <c r="M885" s="199"/>
      <c r="N885" s="199"/>
      <c r="O885" s="199"/>
      <c r="P885" s="199"/>
      <c r="Q885" s="199"/>
      <c r="R885" s="199"/>
      <c r="S885" s="199"/>
      <c r="T885" s="199"/>
      <c r="U885" s="199"/>
      <c r="V885" s="199"/>
      <c r="W885" s="199"/>
    </row>
    <row r="886" spans="3:23" ht="12.75" customHeight="1">
      <c r="C886" s="94"/>
      <c r="D886" s="94"/>
      <c r="E886" s="94"/>
      <c r="F886" s="94"/>
      <c r="G886" s="200"/>
      <c r="H886" s="94"/>
      <c r="K886" s="199"/>
      <c r="L886" s="199"/>
      <c r="M886" s="199"/>
      <c r="N886" s="199"/>
      <c r="O886" s="199"/>
      <c r="P886" s="199"/>
      <c r="Q886" s="199"/>
      <c r="R886" s="199"/>
      <c r="S886" s="199"/>
      <c r="T886" s="199"/>
      <c r="U886" s="199"/>
      <c r="V886" s="199"/>
      <c r="W886" s="199"/>
    </row>
    <row r="887" spans="3:23" ht="12.75" customHeight="1">
      <c r="C887" s="94"/>
      <c r="D887" s="94"/>
      <c r="E887" s="94"/>
      <c r="F887" s="94"/>
      <c r="G887" s="200"/>
      <c r="H887" s="94"/>
      <c r="K887" s="199"/>
      <c r="L887" s="199"/>
      <c r="M887" s="199"/>
      <c r="N887" s="199"/>
      <c r="O887" s="199"/>
      <c r="P887" s="199"/>
      <c r="Q887" s="199"/>
      <c r="R887" s="199"/>
      <c r="S887" s="199"/>
      <c r="T887" s="199"/>
      <c r="U887" s="199"/>
      <c r="V887" s="199"/>
      <c r="W887" s="199"/>
    </row>
    <row r="888" spans="3:23" ht="12.75" customHeight="1">
      <c r="C888" s="94"/>
      <c r="D888" s="94"/>
      <c r="E888" s="94"/>
      <c r="F888" s="94"/>
      <c r="G888" s="200"/>
      <c r="H888" s="94"/>
      <c r="K888" s="199"/>
      <c r="L888" s="199"/>
      <c r="M888" s="199"/>
      <c r="N888" s="199"/>
      <c r="O888" s="199"/>
      <c r="P888" s="199"/>
      <c r="Q888" s="199"/>
      <c r="R888" s="199"/>
      <c r="S888" s="199"/>
      <c r="T888" s="199"/>
      <c r="U888" s="199"/>
      <c r="V888" s="199"/>
      <c r="W888" s="199"/>
    </row>
    <row r="889" spans="3:23" ht="12.75" customHeight="1">
      <c r="C889" s="94"/>
      <c r="D889" s="94"/>
      <c r="E889" s="94"/>
      <c r="F889" s="94"/>
      <c r="G889" s="200"/>
      <c r="H889" s="94"/>
      <c r="K889" s="199"/>
      <c r="L889" s="199"/>
      <c r="M889" s="199"/>
      <c r="N889" s="199"/>
      <c r="O889" s="199"/>
      <c r="P889" s="199"/>
      <c r="Q889" s="199"/>
      <c r="R889" s="199"/>
      <c r="S889" s="199"/>
      <c r="T889" s="199"/>
      <c r="U889" s="199"/>
      <c r="V889" s="199"/>
      <c r="W889" s="199"/>
    </row>
    <row r="890" spans="3:23" ht="12.75" customHeight="1">
      <c r="C890" s="94"/>
      <c r="D890" s="94"/>
      <c r="E890" s="94"/>
      <c r="F890" s="94"/>
      <c r="G890" s="200"/>
      <c r="H890" s="94"/>
      <c r="K890" s="199"/>
      <c r="L890" s="199"/>
      <c r="M890" s="199"/>
      <c r="N890" s="199"/>
      <c r="O890" s="199"/>
      <c r="P890" s="199"/>
      <c r="Q890" s="199"/>
      <c r="R890" s="199"/>
      <c r="S890" s="199"/>
      <c r="T890" s="199"/>
      <c r="U890" s="199"/>
      <c r="V890" s="199"/>
      <c r="W890" s="199"/>
    </row>
    <row r="891" spans="3:23" ht="12.75" customHeight="1">
      <c r="C891" s="94"/>
      <c r="D891" s="94"/>
      <c r="E891" s="94"/>
      <c r="F891" s="94"/>
      <c r="G891" s="200"/>
      <c r="H891" s="94"/>
      <c r="K891" s="199"/>
      <c r="L891" s="199"/>
      <c r="M891" s="199"/>
      <c r="N891" s="199"/>
      <c r="O891" s="199"/>
      <c r="P891" s="199"/>
      <c r="Q891" s="199"/>
      <c r="R891" s="199"/>
      <c r="S891" s="199"/>
      <c r="T891" s="199"/>
      <c r="U891" s="199"/>
      <c r="V891" s="199"/>
      <c r="W891" s="199"/>
    </row>
    <row r="892" spans="3:23" ht="12.75" customHeight="1">
      <c r="C892" s="94"/>
      <c r="D892" s="94"/>
      <c r="E892" s="94"/>
      <c r="F892" s="94"/>
      <c r="G892" s="200"/>
      <c r="H892" s="94"/>
      <c r="K892" s="199"/>
      <c r="L892" s="199"/>
      <c r="M892" s="199"/>
      <c r="N892" s="199"/>
      <c r="O892" s="199"/>
      <c r="P892" s="199"/>
      <c r="Q892" s="199"/>
      <c r="R892" s="199"/>
      <c r="S892" s="199"/>
      <c r="T892" s="199"/>
      <c r="U892" s="199"/>
      <c r="V892" s="199"/>
      <c r="W892" s="199"/>
    </row>
    <row r="893" spans="3:23" ht="12.75" customHeight="1">
      <c r="C893" s="94"/>
      <c r="D893" s="94"/>
      <c r="E893" s="94"/>
      <c r="F893" s="94"/>
      <c r="G893" s="200"/>
      <c r="H893" s="94"/>
      <c r="K893" s="199"/>
      <c r="L893" s="199"/>
      <c r="M893" s="199"/>
      <c r="N893" s="199"/>
      <c r="O893" s="199"/>
      <c r="P893" s="199"/>
      <c r="Q893" s="199"/>
      <c r="R893" s="199"/>
      <c r="S893" s="199"/>
      <c r="T893" s="199"/>
      <c r="U893" s="199"/>
      <c r="V893" s="199"/>
      <c r="W893" s="199"/>
    </row>
    <row r="894" spans="3:23" ht="12.75" customHeight="1">
      <c r="C894" s="94"/>
      <c r="D894" s="94"/>
      <c r="E894" s="94"/>
      <c r="F894" s="94"/>
      <c r="G894" s="200"/>
      <c r="H894" s="94"/>
      <c r="K894" s="199"/>
      <c r="L894" s="199"/>
      <c r="M894" s="199"/>
      <c r="N894" s="199"/>
      <c r="O894" s="199"/>
      <c r="P894" s="199"/>
      <c r="Q894" s="199"/>
      <c r="R894" s="199"/>
      <c r="S894" s="199"/>
      <c r="T894" s="199"/>
      <c r="U894" s="199"/>
      <c r="V894" s="199"/>
      <c r="W894" s="199"/>
    </row>
    <row r="895" spans="3:23" ht="12.75" customHeight="1">
      <c r="C895" s="94"/>
      <c r="D895" s="94"/>
      <c r="E895" s="94"/>
      <c r="F895" s="94"/>
      <c r="G895" s="200"/>
      <c r="H895" s="94"/>
      <c r="K895" s="199"/>
      <c r="L895" s="199"/>
      <c r="M895" s="199"/>
      <c r="N895" s="199"/>
      <c r="O895" s="199"/>
      <c r="P895" s="199"/>
      <c r="Q895" s="199"/>
      <c r="R895" s="199"/>
      <c r="S895" s="199"/>
      <c r="T895" s="199"/>
      <c r="U895" s="199"/>
      <c r="V895" s="199"/>
      <c r="W895" s="199"/>
    </row>
    <row r="896" spans="3:23" ht="12.75" customHeight="1">
      <c r="C896" s="94"/>
      <c r="D896" s="94"/>
      <c r="E896" s="94"/>
      <c r="F896" s="94"/>
      <c r="G896" s="200"/>
      <c r="H896" s="94"/>
      <c r="K896" s="199"/>
      <c r="L896" s="199"/>
      <c r="M896" s="199"/>
      <c r="N896" s="199"/>
      <c r="O896" s="199"/>
      <c r="P896" s="199"/>
      <c r="Q896" s="199"/>
      <c r="R896" s="199"/>
      <c r="S896" s="199"/>
      <c r="T896" s="199"/>
      <c r="U896" s="199"/>
      <c r="V896" s="199"/>
      <c r="W896" s="199"/>
    </row>
    <row r="897" spans="3:23" ht="12.75" customHeight="1">
      <c r="C897" s="94"/>
      <c r="D897" s="94"/>
      <c r="E897" s="94"/>
      <c r="F897" s="94"/>
      <c r="G897" s="200"/>
      <c r="H897" s="94"/>
      <c r="K897" s="199"/>
      <c r="L897" s="199"/>
      <c r="M897" s="199"/>
      <c r="N897" s="199"/>
      <c r="O897" s="199"/>
      <c r="P897" s="199"/>
      <c r="Q897" s="199"/>
      <c r="R897" s="199"/>
      <c r="S897" s="199"/>
      <c r="T897" s="199"/>
      <c r="U897" s="199"/>
      <c r="V897" s="199"/>
      <c r="W897" s="199"/>
    </row>
    <row r="898" spans="3:23" ht="12.75" customHeight="1">
      <c r="C898" s="94"/>
      <c r="D898" s="94"/>
      <c r="E898" s="94"/>
      <c r="F898" s="94"/>
      <c r="G898" s="200"/>
      <c r="H898" s="94"/>
      <c r="K898" s="199"/>
      <c r="L898" s="199"/>
      <c r="M898" s="199"/>
      <c r="N898" s="199"/>
      <c r="O898" s="199"/>
      <c r="P898" s="199"/>
      <c r="Q898" s="199"/>
      <c r="R898" s="199"/>
      <c r="S898" s="199"/>
      <c r="T898" s="199"/>
      <c r="U898" s="199"/>
      <c r="V898" s="199"/>
      <c r="W898" s="199"/>
    </row>
    <row r="899" spans="3:23" ht="12.75" customHeight="1">
      <c r="C899" s="94"/>
      <c r="D899" s="94"/>
      <c r="E899" s="94"/>
      <c r="F899" s="94"/>
      <c r="G899" s="200"/>
      <c r="H899" s="94"/>
      <c r="K899" s="199"/>
      <c r="L899" s="199"/>
      <c r="M899" s="199"/>
      <c r="N899" s="199"/>
      <c r="O899" s="199"/>
      <c r="P899" s="199"/>
      <c r="Q899" s="199"/>
      <c r="R899" s="199"/>
      <c r="S899" s="199"/>
      <c r="T899" s="199"/>
      <c r="U899" s="199"/>
      <c r="V899" s="199"/>
      <c r="W899" s="199"/>
    </row>
    <row r="900" spans="3:23" ht="12.75" customHeight="1">
      <c r="C900" s="94"/>
      <c r="D900" s="94"/>
      <c r="E900" s="94"/>
      <c r="F900" s="94"/>
      <c r="G900" s="200"/>
      <c r="H900" s="94"/>
      <c r="K900" s="199"/>
      <c r="L900" s="199"/>
      <c r="M900" s="199"/>
      <c r="N900" s="199"/>
      <c r="O900" s="199"/>
      <c r="P900" s="199"/>
      <c r="Q900" s="199"/>
      <c r="R900" s="199"/>
      <c r="S900" s="199"/>
      <c r="T900" s="199"/>
      <c r="U900" s="199"/>
      <c r="V900" s="199"/>
      <c r="W900" s="199"/>
    </row>
    <row r="901" spans="3:23" ht="12.75" customHeight="1">
      <c r="C901" s="94"/>
      <c r="D901" s="94"/>
      <c r="E901" s="94"/>
      <c r="F901" s="94"/>
      <c r="G901" s="200"/>
      <c r="H901" s="94"/>
      <c r="K901" s="199"/>
      <c r="L901" s="199"/>
      <c r="M901" s="199"/>
      <c r="N901" s="199"/>
      <c r="O901" s="199"/>
      <c r="P901" s="199"/>
      <c r="Q901" s="199"/>
      <c r="R901" s="199"/>
      <c r="S901" s="199"/>
      <c r="T901" s="199"/>
      <c r="U901" s="199"/>
      <c r="V901" s="199"/>
      <c r="W901" s="199"/>
    </row>
    <row r="902" spans="3:23" ht="12.75" customHeight="1">
      <c r="C902" s="94"/>
      <c r="D902" s="94"/>
      <c r="E902" s="94"/>
      <c r="F902" s="94"/>
      <c r="G902" s="200"/>
      <c r="H902" s="94"/>
      <c r="K902" s="199"/>
      <c r="L902" s="199"/>
      <c r="M902" s="199"/>
      <c r="N902" s="199"/>
      <c r="O902" s="199"/>
      <c r="P902" s="199"/>
      <c r="Q902" s="199"/>
      <c r="R902" s="199"/>
      <c r="S902" s="199"/>
      <c r="T902" s="199"/>
      <c r="U902" s="199"/>
      <c r="V902" s="199"/>
      <c r="W902" s="199"/>
    </row>
    <row r="903" spans="3:23" ht="12.75" customHeight="1">
      <c r="C903" s="94"/>
      <c r="D903" s="94"/>
      <c r="E903" s="94"/>
      <c r="F903" s="94"/>
      <c r="G903" s="200"/>
      <c r="H903" s="94"/>
      <c r="K903" s="199"/>
      <c r="L903" s="199"/>
      <c r="M903" s="199"/>
      <c r="N903" s="199"/>
      <c r="O903" s="199"/>
      <c r="P903" s="199"/>
      <c r="Q903" s="199"/>
      <c r="R903" s="199"/>
      <c r="S903" s="199"/>
      <c r="T903" s="199"/>
      <c r="U903" s="199"/>
      <c r="V903" s="199"/>
      <c r="W903" s="199"/>
    </row>
    <row r="904" spans="3:23" ht="12.75" customHeight="1">
      <c r="C904" s="94"/>
      <c r="D904" s="94"/>
      <c r="E904" s="94"/>
      <c r="F904" s="94"/>
      <c r="G904" s="200"/>
      <c r="H904" s="94"/>
      <c r="K904" s="199"/>
      <c r="L904" s="199"/>
      <c r="M904" s="199"/>
      <c r="N904" s="199"/>
      <c r="O904" s="199"/>
      <c r="P904" s="199"/>
      <c r="Q904" s="199"/>
      <c r="R904" s="199"/>
      <c r="S904" s="199"/>
      <c r="T904" s="199"/>
      <c r="U904" s="199"/>
      <c r="V904" s="199"/>
      <c r="W904" s="199"/>
    </row>
    <row r="905" spans="3:23" ht="12.75" customHeight="1">
      <c r="C905" s="94"/>
      <c r="D905" s="94"/>
      <c r="E905" s="94"/>
      <c r="F905" s="94"/>
      <c r="G905" s="200"/>
      <c r="H905" s="94"/>
      <c r="K905" s="199"/>
      <c r="L905" s="199"/>
      <c r="M905" s="199"/>
      <c r="N905" s="199"/>
      <c r="O905" s="199"/>
      <c r="P905" s="199"/>
      <c r="Q905" s="199"/>
      <c r="R905" s="199"/>
      <c r="S905" s="199"/>
      <c r="T905" s="199"/>
      <c r="U905" s="199"/>
      <c r="V905" s="199"/>
      <c r="W905" s="199"/>
    </row>
    <row r="906" spans="3:23" ht="12.75" customHeight="1">
      <c r="C906" s="94"/>
      <c r="D906" s="94"/>
      <c r="E906" s="94"/>
      <c r="F906" s="94"/>
      <c r="G906" s="200"/>
      <c r="H906" s="94"/>
      <c r="K906" s="199"/>
      <c r="L906" s="199"/>
      <c r="M906" s="199"/>
      <c r="N906" s="199"/>
      <c r="O906" s="199"/>
      <c r="P906" s="199"/>
      <c r="Q906" s="199"/>
      <c r="R906" s="199"/>
      <c r="S906" s="199"/>
      <c r="T906" s="199"/>
      <c r="U906" s="199"/>
      <c r="V906" s="199"/>
      <c r="W906" s="199"/>
    </row>
    <row r="907" spans="3:23" ht="12.75" customHeight="1">
      <c r="C907" s="94"/>
      <c r="D907" s="94"/>
      <c r="E907" s="94"/>
      <c r="F907" s="94"/>
      <c r="G907" s="200"/>
      <c r="H907" s="94"/>
      <c r="K907" s="199"/>
      <c r="L907" s="199"/>
      <c r="M907" s="199"/>
      <c r="N907" s="199"/>
      <c r="O907" s="199"/>
      <c r="P907" s="199"/>
      <c r="Q907" s="199"/>
      <c r="R907" s="199"/>
      <c r="S907" s="199"/>
      <c r="T907" s="199"/>
      <c r="U907" s="199"/>
      <c r="V907" s="199"/>
      <c r="W907" s="199"/>
    </row>
    <row r="908" spans="3:23" ht="12.75" customHeight="1">
      <c r="C908" s="94"/>
      <c r="D908" s="94"/>
      <c r="E908" s="94"/>
      <c r="F908" s="94"/>
      <c r="G908" s="200"/>
      <c r="H908" s="94"/>
      <c r="K908" s="199"/>
      <c r="L908" s="199"/>
      <c r="M908" s="199"/>
      <c r="N908" s="199"/>
      <c r="O908" s="199"/>
      <c r="P908" s="199"/>
      <c r="Q908" s="199"/>
      <c r="R908" s="199"/>
      <c r="S908" s="199"/>
      <c r="T908" s="199"/>
      <c r="U908" s="199"/>
      <c r="V908" s="199"/>
      <c r="W908" s="199"/>
    </row>
    <row r="909" spans="3:23" ht="12.75" customHeight="1">
      <c r="C909" s="94"/>
      <c r="D909" s="94"/>
      <c r="E909" s="94"/>
      <c r="F909" s="94"/>
      <c r="G909" s="200"/>
      <c r="H909" s="94"/>
      <c r="K909" s="199"/>
      <c r="L909" s="199"/>
      <c r="M909" s="199"/>
      <c r="N909" s="199"/>
      <c r="O909" s="199"/>
      <c r="P909" s="199"/>
      <c r="Q909" s="199"/>
      <c r="R909" s="199"/>
      <c r="S909" s="199"/>
      <c r="T909" s="199"/>
      <c r="U909" s="199"/>
      <c r="V909" s="199"/>
      <c r="W909" s="199"/>
    </row>
    <row r="910" spans="3:23" ht="12.75" customHeight="1">
      <c r="C910" s="94"/>
      <c r="D910" s="94"/>
      <c r="E910" s="94"/>
      <c r="F910" s="94"/>
      <c r="G910" s="200"/>
      <c r="H910" s="94"/>
      <c r="K910" s="199"/>
      <c r="L910" s="199"/>
      <c r="M910" s="199"/>
      <c r="N910" s="199"/>
      <c r="O910" s="199"/>
      <c r="P910" s="199"/>
      <c r="Q910" s="199"/>
      <c r="R910" s="199"/>
      <c r="S910" s="199"/>
      <c r="T910" s="199"/>
      <c r="U910" s="199"/>
      <c r="V910" s="199"/>
      <c r="W910" s="199"/>
    </row>
    <row r="911" spans="3:23" ht="12.75" customHeight="1">
      <c r="C911" s="94"/>
      <c r="D911" s="94"/>
      <c r="E911" s="94"/>
      <c r="F911" s="94"/>
      <c r="G911" s="200"/>
      <c r="H911" s="94"/>
      <c r="K911" s="199"/>
      <c r="L911" s="199"/>
      <c r="M911" s="199"/>
      <c r="N911" s="199"/>
      <c r="O911" s="199"/>
      <c r="P911" s="199"/>
      <c r="Q911" s="199"/>
      <c r="R911" s="199"/>
      <c r="S911" s="199"/>
      <c r="T911" s="199"/>
      <c r="U911" s="199"/>
      <c r="V911" s="199"/>
      <c r="W911" s="199"/>
    </row>
    <row r="912" spans="3:23" ht="12.75" customHeight="1">
      <c r="C912" s="94"/>
      <c r="D912" s="94"/>
      <c r="E912" s="94"/>
      <c r="F912" s="94"/>
      <c r="G912" s="200"/>
      <c r="H912" s="94"/>
      <c r="K912" s="199"/>
      <c r="L912" s="199"/>
      <c r="M912" s="199"/>
      <c r="N912" s="199"/>
      <c r="O912" s="199"/>
      <c r="P912" s="199"/>
      <c r="Q912" s="199"/>
      <c r="R912" s="199"/>
      <c r="S912" s="199"/>
      <c r="T912" s="199"/>
      <c r="U912" s="199"/>
      <c r="V912" s="199"/>
      <c r="W912" s="199"/>
    </row>
    <row r="913" spans="3:23" ht="12.75" customHeight="1">
      <c r="C913" s="94"/>
      <c r="D913" s="94"/>
      <c r="E913" s="94"/>
      <c r="F913" s="94"/>
      <c r="G913" s="200"/>
      <c r="H913" s="94"/>
      <c r="K913" s="199"/>
      <c r="L913" s="199"/>
      <c r="M913" s="199"/>
      <c r="N913" s="199"/>
      <c r="O913" s="199"/>
      <c r="P913" s="199"/>
      <c r="Q913" s="199"/>
      <c r="R913" s="199"/>
      <c r="S913" s="199"/>
      <c r="T913" s="199"/>
      <c r="U913" s="199"/>
      <c r="V913" s="199"/>
      <c r="W913" s="199"/>
    </row>
    <row r="914" spans="3:23" ht="12.75" customHeight="1">
      <c r="C914" s="94"/>
      <c r="D914" s="94"/>
      <c r="E914" s="94"/>
      <c r="F914" s="94"/>
      <c r="G914" s="200"/>
      <c r="H914" s="94"/>
      <c r="K914" s="199"/>
      <c r="L914" s="199"/>
      <c r="M914" s="199"/>
      <c r="N914" s="199"/>
      <c r="O914" s="199"/>
      <c r="P914" s="199"/>
      <c r="Q914" s="199"/>
      <c r="R914" s="199"/>
      <c r="S914" s="199"/>
      <c r="T914" s="199"/>
      <c r="U914" s="199"/>
      <c r="V914" s="199"/>
      <c r="W914" s="199"/>
    </row>
    <row r="915" spans="3:23" ht="12.75" customHeight="1">
      <c r="C915" s="94"/>
      <c r="D915" s="94"/>
      <c r="E915" s="94"/>
      <c r="F915" s="94"/>
      <c r="G915" s="200"/>
      <c r="H915" s="94"/>
      <c r="K915" s="199"/>
      <c r="L915" s="199"/>
      <c r="M915" s="199"/>
      <c r="N915" s="199"/>
      <c r="O915" s="199"/>
      <c r="P915" s="199"/>
      <c r="Q915" s="199"/>
      <c r="R915" s="199"/>
      <c r="S915" s="199"/>
      <c r="T915" s="199"/>
      <c r="U915" s="199"/>
      <c r="V915" s="199"/>
      <c r="W915" s="199"/>
    </row>
    <row r="916" spans="3:23" ht="12.75" customHeight="1">
      <c r="C916" s="94"/>
      <c r="D916" s="94"/>
      <c r="E916" s="94"/>
      <c r="F916" s="94"/>
      <c r="G916" s="200"/>
      <c r="H916" s="94"/>
      <c r="K916" s="199"/>
      <c r="L916" s="199"/>
      <c r="M916" s="199"/>
      <c r="N916" s="199"/>
      <c r="O916" s="199"/>
      <c r="P916" s="199"/>
      <c r="Q916" s="199"/>
      <c r="R916" s="199"/>
      <c r="S916" s="199"/>
      <c r="T916" s="199"/>
      <c r="U916" s="199"/>
      <c r="V916" s="199"/>
      <c r="W916" s="199"/>
    </row>
    <row r="917" spans="3:23" ht="12.75" customHeight="1">
      <c r="C917" s="94"/>
      <c r="D917" s="94"/>
      <c r="E917" s="94"/>
      <c r="F917" s="94"/>
      <c r="G917" s="200"/>
      <c r="H917" s="94"/>
      <c r="K917" s="199"/>
      <c r="L917" s="199"/>
      <c r="M917" s="199"/>
      <c r="N917" s="199"/>
      <c r="O917" s="199"/>
      <c r="P917" s="199"/>
      <c r="Q917" s="199"/>
      <c r="R917" s="199"/>
      <c r="S917" s="199"/>
      <c r="T917" s="199"/>
      <c r="U917" s="199"/>
      <c r="V917" s="199"/>
      <c r="W917" s="199"/>
    </row>
    <row r="918" spans="3:23" ht="12.75" customHeight="1">
      <c r="C918" s="94"/>
      <c r="D918" s="94"/>
      <c r="E918" s="94"/>
      <c r="F918" s="94"/>
      <c r="G918" s="200"/>
      <c r="H918" s="94"/>
      <c r="K918" s="199"/>
      <c r="L918" s="199"/>
      <c r="M918" s="199"/>
      <c r="N918" s="199"/>
      <c r="O918" s="199"/>
      <c r="P918" s="199"/>
      <c r="Q918" s="199"/>
      <c r="R918" s="199"/>
      <c r="S918" s="199"/>
      <c r="T918" s="199"/>
      <c r="U918" s="199"/>
      <c r="V918" s="199"/>
      <c r="W918" s="199"/>
    </row>
    <row r="919" spans="3:23" ht="12.75" customHeight="1">
      <c r="C919" s="94"/>
      <c r="D919" s="94"/>
      <c r="E919" s="94"/>
      <c r="F919" s="94"/>
      <c r="G919" s="200"/>
      <c r="H919" s="94"/>
      <c r="K919" s="199"/>
      <c r="L919" s="199"/>
      <c r="M919" s="199"/>
      <c r="N919" s="199"/>
      <c r="O919" s="199"/>
      <c r="P919" s="199"/>
      <c r="Q919" s="199"/>
      <c r="R919" s="199"/>
      <c r="S919" s="199"/>
      <c r="T919" s="199"/>
      <c r="U919" s="199"/>
      <c r="V919" s="199"/>
      <c r="W919" s="199"/>
    </row>
    <row r="920" spans="3:23" ht="12.75" customHeight="1">
      <c r="C920" s="94"/>
      <c r="D920" s="94"/>
      <c r="E920" s="94"/>
      <c r="F920" s="94"/>
      <c r="G920" s="200"/>
      <c r="H920" s="94"/>
      <c r="K920" s="199"/>
      <c r="L920" s="199"/>
      <c r="M920" s="199"/>
      <c r="N920" s="199"/>
      <c r="O920" s="199"/>
      <c r="P920" s="199"/>
      <c r="Q920" s="199"/>
      <c r="R920" s="199"/>
      <c r="S920" s="199"/>
      <c r="T920" s="199"/>
      <c r="U920" s="199"/>
      <c r="V920" s="199"/>
      <c r="W920" s="199"/>
    </row>
    <row r="921" spans="3:23" ht="12.75" customHeight="1">
      <c r="C921" s="94"/>
      <c r="D921" s="94"/>
      <c r="E921" s="94"/>
      <c r="F921" s="94"/>
      <c r="G921" s="200"/>
      <c r="H921" s="94"/>
      <c r="K921" s="199"/>
      <c r="L921" s="199"/>
      <c r="M921" s="199"/>
      <c r="N921" s="199"/>
      <c r="O921" s="199"/>
      <c r="P921" s="199"/>
      <c r="Q921" s="199"/>
      <c r="R921" s="199"/>
      <c r="S921" s="199"/>
      <c r="T921" s="199"/>
      <c r="U921" s="199"/>
      <c r="V921" s="199"/>
      <c r="W921" s="199"/>
    </row>
    <row r="922" spans="3:23" ht="12.75" customHeight="1">
      <c r="C922" s="94"/>
      <c r="D922" s="94"/>
      <c r="E922" s="94"/>
      <c r="F922" s="94"/>
      <c r="G922" s="200"/>
      <c r="H922" s="94"/>
      <c r="K922" s="199"/>
      <c r="L922" s="199"/>
      <c r="M922" s="199"/>
      <c r="N922" s="199"/>
      <c r="O922" s="199"/>
      <c r="P922" s="199"/>
      <c r="Q922" s="199"/>
      <c r="R922" s="199"/>
      <c r="S922" s="199"/>
      <c r="T922" s="199"/>
      <c r="U922" s="199"/>
      <c r="V922" s="199"/>
      <c r="W922" s="199"/>
    </row>
    <row r="923" spans="3:23" ht="12.75" customHeight="1">
      <c r="C923" s="94"/>
      <c r="D923" s="94"/>
      <c r="E923" s="94"/>
      <c r="F923" s="94"/>
      <c r="G923" s="200"/>
      <c r="H923" s="94"/>
      <c r="K923" s="199"/>
      <c r="L923" s="199"/>
      <c r="M923" s="199"/>
      <c r="N923" s="199"/>
      <c r="O923" s="199"/>
      <c r="P923" s="199"/>
      <c r="Q923" s="199"/>
      <c r="R923" s="199"/>
      <c r="S923" s="199"/>
      <c r="T923" s="199"/>
      <c r="U923" s="199"/>
      <c r="V923" s="199"/>
      <c r="W923" s="199"/>
    </row>
    <row r="924" spans="3:23" ht="12.75" customHeight="1">
      <c r="C924" s="94"/>
      <c r="D924" s="94"/>
      <c r="E924" s="94"/>
      <c r="F924" s="94"/>
      <c r="G924" s="200"/>
      <c r="H924" s="94"/>
      <c r="K924" s="199"/>
      <c r="L924" s="199"/>
      <c r="M924" s="199"/>
      <c r="N924" s="199"/>
      <c r="O924" s="199"/>
      <c r="P924" s="199"/>
      <c r="Q924" s="199"/>
      <c r="R924" s="199"/>
      <c r="S924" s="199"/>
      <c r="T924" s="199"/>
      <c r="U924" s="199"/>
      <c r="V924" s="199"/>
      <c r="W924" s="199"/>
    </row>
    <row r="925" spans="3:23" ht="12.75" customHeight="1">
      <c r="C925" s="94"/>
      <c r="D925" s="94"/>
      <c r="E925" s="94"/>
      <c r="F925" s="94"/>
      <c r="G925" s="200"/>
      <c r="H925" s="94"/>
      <c r="K925" s="199"/>
      <c r="L925" s="199"/>
      <c r="M925" s="199"/>
      <c r="N925" s="199"/>
      <c r="O925" s="199"/>
      <c r="P925" s="199"/>
      <c r="Q925" s="199"/>
      <c r="R925" s="199"/>
      <c r="S925" s="199"/>
      <c r="T925" s="199"/>
      <c r="U925" s="199"/>
      <c r="V925" s="199"/>
      <c r="W925" s="199"/>
    </row>
    <row r="926" spans="3:23" ht="12.75" customHeight="1">
      <c r="C926" s="94"/>
      <c r="D926" s="94"/>
      <c r="E926" s="94"/>
      <c r="F926" s="94"/>
      <c r="G926" s="200"/>
      <c r="H926" s="94"/>
      <c r="K926" s="199"/>
      <c r="L926" s="199"/>
      <c r="M926" s="199"/>
      <c r="N926" s="199"/>
      <c r="O926" s="199"/>
      <c r="P926" s="199"/>
      <c r="Q926" s="199"/>
      <c r="R926" s="199"/>
      <c r="S926" s="199"/>
      <c r="T926" s="199"/>
      <c r="U926" s="199"/>
      <c r="V926" s="199"/>
      <c r="W926" s="199"/>
    </row>
    <row r="927" spans="3:23" ht="12.75" customHeight="1">
      <c r="C927" s="94"/>
      <c r="D927" s="94"/>
      <c r="E927" s="94"/>
      <c r="F927" s="94"/>
      <c r="G927" s="200"/>
      <c r="H927" s="94"/>
      <c r="K927" s="199"/>
      <c r="L927" s="199"/>
      <c r="M927" s="199"/>
      <c r="N927" s="199"/>
      <c r="O927" s="199"/>
      <c r="P927" s="199"/>
      <c r="Q927" s="199"/>
      <c r="R927" s="199"/>
      <c r="S927" s="199"/>
      <c r="T927" s="199"/>
      <c r="U927" s="199"/>
      <c r="V927" s="199"/>
      <c r="W927" s="199"/>
    </row>
    <row r="928" spans="3:23" ht="12.75" customHeight="1">
      <c r="C928" s="94"/>
      <c r="D928" s="94"/>
      <c r="E928" s="94"/>
      <c r="F928" s="94"/>
      <c r="G928" s="200"/>
      <c r="H928" s="94"/>
      <c r="K928" s="199"/>
      <c r="L928" s="199"/>
      <c r="M928" s="199"/>
      <c r="N928" s="199"/>
      <c r="O928" s="199"/>
      <c r="P928" s="199"/>
      <c r="Q928" s="199"/>
      <c r="R928" s="199"/>
      <c r="S928" s="199"/>
      <c r="T928" s="199"/>
      <c r="U928" s="199"/>
      <c r="V928" s="199"/>
      <c r="W928" s="199"/>
    </row>
    <row r="929" spans="3:23" ht="12.75" customHeight="1">
      <c r="C929" s="94"/>
      <c r="D929" s="94"/>
      <c r="E929" s="94"/>
      <c r="F929" s="94"/>
      <c r="G929" s="200"/>
      <c r="H929" s="94"/>
      <c r="K929" s="199"/>
      <c r="L929" s="199"/>
      <c r="M929" s="199"/>
      <c r="N929" s="199"/>
      <c r="O929" s="199"/>
      <c r="P929" s="199"/>
      <c r="Q929" s="199"/>
      <c r="R929" s="199"/>
      <c r="S929" s="199"/>
      <c r="T929" s="199"/>
      <c r="U929" s="199"/>
      <c r="V929" s="199"/>
      <c r="W929" s="199"/>
    </row>
    <row r="930" spans="3:23" ht="12.75" customHeight="1">
      <c r="C930" s="94"/>
      <c r="D930" s="94"/>
      <c r="E930" s="94"/>
      <c r="F930" s="94"/>
      <c r="G930" s="200"/>
      <c r="H930" s="94"/>
      <c r="K930" s="199"/>
      <c r="L930" s="199"/>
      <c r="M930" s="199"/>
      <c r="N930" s="199"/>
      <c r="O930" s="199"/>
      <c r="P930" s="199"/>
      <c r="Q930" s="199"/>
      <c r="R930" s="199"/>
      <c r="S930" s="199"/>
      <c r="T930" s="199"/>
      <c r="U930" s="199"/>
      <c r="V930" s="199"/>
      <c r="W930" s="199"/>
    </row>
    <row r="931" spans="3:23" ht="12.75" customHeight="1">
      <c r="C931" s="94"/>
      <c r="D931" s="94"/>
      <c r="E931" s="94"/>
      <c r="F931" s="94"/>
      <c r="G931" s="200"/>
      <c r="H931" s="94"/>
      <c r="K931" s="199"/>
      <c r="L931" s="199"/>
      <c r="M931" s="199"/>
      <c r="N931" s="199"/>
      <c r="O931" s="199"/>
      <c r="P931" s="199"/>
      <c r="Q931" s="199"/>
      <c r="R931" s="199"/>
      <c r="S931" s="199"/>
      <c r="T931" s="199"/>
      <c r="U931" s="199"/>
      <c r="V931" s="199"/>
      <c r="W931" s="199"/>
    </row>
    <row r="932" spans="3:23" ht="12.75" customHeight="1">
      <c r="C932" s="94"/>
      <c r="D932" s="94"/>
      <c r="E932" s="94"/>
      <c r="F932" s="94"/>
      <c r="G932" s="200"/>
      <c r="H932" s="94"/>
      <c r="K932" s="199"/>
      <c r="L932" s="199"/>
      <c r="M932" s="199"/>
      <c r="N932" s="199"/>
      <c r="O932" s="199"/>
      <c r="P932" s="199"/>
      <c r="Q932" s="199"/>
      <c r="R932" s="199"/>
      <c r="S932" s="199"/>
      <c r="T932" s="199"/>
      <c r="U932" s="199"/>
      <c r="V932" s="199"/>
      <c r="W932" s="199"/>
    </row>
    <row r="933" spans="3:23" ht="12.75" customHeight="1">
      <c r="C933" s="94"/>
      <c r="D933" s="94"/>
      <c r="E933" s="94"/>
      <c r="F933" s="94"/>
      <c r="G933" s="200"/>
      <c r="H933" s="94"/>
      <c r="K933" s="199"/>
      <c r="L933" s="199"/>
      <c r="M933" s="199"/>
      <c r="N933" s="199"/>
      <c r="O933" s="199"/>
      <c r="P933" s="199"/>
      <c r="Q933" s="199"/>
      <c r="R933" s="199"/>
      <c r="S933" s="199"/>
      <c r="T933" s="199"/>
      <c r="U933" s="199"/>
      <c r="V933" s="199"/>
      <c r="W933" s="199"/>
    </row>
    <row r="934" spans="3:23" ht="12.75" customHeight="1">
      <c r="C934" s="94"/>
      <c r="D934" s="94"/>
      <c r="E934" s="94"/>
      <c r="F934" s="94"/>
      <c r="G934" s="200"/>
      <c r="H934" s="94"/>
      <c r="K934" s="199"/>
      <c r="L934" s="199"/>
      <c r="M934" s="199"/>
      <c r="N934" s="199"/>
      <c r="O934" s="199"/>
      <c r="P934" s="199"/>
      <c r="Q934" s="199"/>
      <c r="R934" s="199"/>
      <c r="S934" s="199"/>
      <c r="T934" s="199"/>
      <c r="U934" s="199"/>
      <c r="V934" s="199"/>
      <c r="W934" s="199"/>
    </row>
    <row r="935" spans="3:23" ht="12.75" customHeight="1">
      <c r="C935" s="94"/>
      <c r="D935" s="94"/>
      <c r="E935" s="94"/>
      <c r="F935" s="94"/>
      <c r="G935" s="200"/>
      <c r="H935" s="94"/>
      <c r="K935" s="199"/>
      <c r="L935" s="199"/>
      <c r="M935" s="199"/>
      <c r="N935" s="199"/>
      <c r="O935" s="199"/>
      <c r="P935" s="199"/>
      <c r="Q935" s="199"/>
      <c r="R935" s="199"/>
      <c r="S935" s="199"/>
      <c r="T935" s="199"/>
      <c r="U935" s="199"/>
      <c r="V935" s="199"/>
      <c r="W935" s="199"/>
    </row>
    <row r="936" spans="3:23" ht="12.75" customHeight="1">
      <c r="C936" s="94"/>
      <c r="D936" s="94"/>
      <c r="E936" s="94"/>
      <c r="F936" s="94"/>
      <c r="G936" s="200"/>
      <c r="H936" s="94"/>
      <c r="K936" s="199"/>
      <c r="L936" s="199"/>
      <c r="M936" s="199"/>
      <c r="N936" s="199"/>
      <c r="O936" s="199"/>
      <c r="P936" s="199"/>
      <c r="Q936" s="199"/>
      <c r="R936" s="199"/>
      <c r="S936" s="199"/>
      <c r="T936" s="199"/>
      <c r="U936" s="199"/>
      <c r="V936" s="199"/>
      <c r="W936" s="199"/>
    </row>
    <row r="937" spans="3:23" ht="12.75" customHeight="1">
      <c r="C937" s="94"/>
      <c r="D937" s="94"/>
      <c r="E937" s="94"/>
      <c r="F937" s="94"/>
      <c r="G937" s="200"/>
      <c r="H937" s="94"/>
      <c r="K937" s="199"/>
      <c r="L937" s="199"/>
      <c r="M937" s="199"/>
      <c r="N937" s="199"/>
      <c r="O937" s="199"/>
      <c r="P937" s="199"/>
      <c r="Q937" s="199"/>
      <c r="R937" s="199"/>
      <c r="S937" s="199"/>
      <c r="T937" s="199"/>
      <c r="U937" s="199"/>
      <c r="V937" s="199"/>
      <c r="W937" s="199"/>
    </row>
    <row r="938" spans="3:23" ht="12.75" customHeight="1">
      <c r="C938" s="94"/>
      <c r="D938" s="94"/>
      <c r="E938" s="94"/>
      <c r="F938" s="94"/>
      <c r="G938" s="200"/>
      <c r="H938" s="94"/>
      <c r="K938" s="199"/>
      <c r="L938" s="199"/>
      <c r="M938" s="199"/>
      <c r="N938" s="199"/>
      <c r="O938" s="199"/>
      <c r="P938" s="199"/>
      <c r="Q938" s="199"/>
      <c r="R938" s="199"/>
      <c r="S938" s="199"/>
      <c r="T938" s="199"/>
      <c r="U938" s="199"/>
      <c r="V938" s="199"/>
      <c r="W938" s="199"/>
    </row>
    <row r="939" spans="3:23" ht="12.75" customHeight="1">
      <c r="C939" s="94"/>
      <c r="D939" s="94"/>
      <c r="E939" s="94"/>
      <c r="F939" s="94"/>
      <c r="G939" s="200"/>
      <c r="H939" s="94"/>
      <c r="K939" s="199"/>
      <c r="L939" s="199"/>
      <c r="M939" s="199"/>
      <c r="N939" s="199"/>
      <c r="O939" s="199"/>
      <c r="P939" s="199"/>
      <c r="Q939" s="199"/>
      <c r="R939" s="199"/>
      <c r="S939" s="199"/>
      <c r="T939" s="199"/>
      <c r="U939" s="199"/>
      <c r="V939" s="199"/>
      <c r="W939" s="199"/>
    </row>
    <row r="940" spans="3:23" ht="12.75" customHeight="1">
      <c r="C940" s="94"/>
      <c r="D940" s="94"/>
      <c r="E940" s="94"/>
      <c r="F940" s="94"/>
      <c r="G940" s="200"/>
      <c r="H940" s="94"/>
      <c r="K940" s="199"/>
      <c r="L940" s="199"/>
      <c r="M940" s="199"/>
      <c r="N940" s="199"/>
      <c r="O940" s="199"/>
      <c r="P940" s="199"/>
      <c r="Q940" s="199"/>
      <c r="R940" s="199"/>
      <c r="S940" s="199"/>
      <c r="T940" s="199"/>
      <c r="U940" s="199"/>
      <c r="V940" s="199"/>
      <c r="W940" s="199"/>
    </row>
    <row r="941" spans="3:23" ht="12.75" customHeight="1">
      <c r="C941" s="94"/>
      <c r="D941" s="94"/>
      <c r="E941" s="94"/>
      <c r="F941" s="94"/>
      <c r="G941" s="200"/>
      <c r="H941" s="94"/>
      <c r="K941" s="199"/>
      <c r="L941" s="199"/>
      <c r="M941" s="199"/>
      <c r="N941" s="199"/>
      <c r="O941" s="199"/>
      <c r="P941" s="199"/>
      <c r="Q941" s="199"/>
      <c r="R941" s="199"/>
      <c r="S941" s="199"/>
      <c r="T941" s="199"/>
      <c r="U941" s="199"/>
      <c r="V941" s="199"/>
      <c r="W941" s="199"/>
    </row>
    <row r="942" spans="3:23" ht="12.75" customHeight="1">
      <c r="C942" s="94"/>
      <c r="D942" s="94"/>
      <c r="E942" s="94"/>
      <c r="F942" s="94"/>
      <c r="G942" s="200"/>
      <c r="H942" s="94"/>
      <c r="K942" s="199"/>
      <c r="L942" s="199"/>
      <c r="M942" s="199"/>
      <c r="N942" s="199"/>
      <c r="O942" s="199"/>
      <c r="P942" s="199"/>
      <c r="Q942" s="199"/>
      <c r="R942" s="199"/>
      <c r="S942" s="199"/>
      <c r="T942" s="199"/>
      <c r="U942" s="199"/>
      <c r="V942" s="199"/>
      <c r="W942" s="199"/>
    </row>
    <row r="943" spans="3:23" ht="12.75" customHeight="1">
      <c r="C943" s="94"/>
      <c r="D943" s="94"/>
      <c r="E943" s="94"/>
      <c r="F943" s="94"/>
      <c r="G943" s="200"/>
      <c r="H943" s="94"/>
      <c r="K943" s="199"/>
      <c r="L943" s="199"/>
      <c r="M943" s="199"/>
      <c r="N943" s="199"/>
      <c r="O943" s="199"/>
      <c r="P943" s="199"/>
      <c r="Q943" s="199"/>
      <c r="R943" s="199"/>
      <c r="S943" s="199"/>
      <c r="T943" s="199"/>
      <c r="U943" s="199"/>
      <c r="V943" s="199"/>
      <c r="W943" s="199"/>
    </row>
    <row r="944" spans="3:23" ht="12.75" customHeight="1">
      <c r="C944" s="94"/>
      <c r="D944" s="94"/>
      <c r="E944" s="94"/>
      <c r="F944" s="94"/>
      <c r="G944" s="200"/>
      <c r="H944" s="94"/>
      <c r="K944" s="199"/>
      <c r="L944" s="199"/>
      <c r="M944" s="199"/>
      <c r="N944" s="199"/>
      <c r="O944" s="199"/>
      <c r="P944" s="199"/>
      <c r="Q944" s="199"/>
      <c r="R944" s="199"/>
      <c r="S944" s="199"/>
      <c r="T944" s="199"/>
      <c r="U944" s="199"/>
      <c r="V944" s="199"/>
      <c r="W944" s="199"/>
    </row>
    <row r="945" spans="3:23" ht="12.75" customHeight="1">
      <c r="C945" s="94"/>
      <c r="D945" s="94"/>
      <c r="E945" s="94"/>
      <c r="F945" s="94"/>
      <c r="G945" s="200"/>
      <c r="H945" s="94"/>
      <c r="K945" s="199"/>
      <c r="L945" s="199"/>
      <c r="M945" s="199"/>
      <c r="N945" s="199"/>
      <c r="O945" s="199"/>
      <c r="P945" s="199"/>
      <c r="Q945" s="199"/>
      <c r="R945" s="199"/>
      <c r="S945" s="199"/>
      <c r="T945" s="199"/>
      <c r="U945" s="199"/>
      <c r="V945" s="199"/>
      <c r="W945" s="199"/>
    </row>
    <row r="946" spans="3:23" ht="12.75" customHeight="1">
      <c r="C946" s="94"/>
      <c r="D946" s="94"/>
      <c r="E946" s="94"/>
      <c r="F946" s="94"/>
      <c r="G946" s="200"/>
      <c r="H946" s="94"/>
      <c r="K946" s="199"/>
      <c r="L946" s="199"/>
      <c r="M946" s="199"/>
      <c r="N946" s="199"/>
      <c r="O946" s="199"/>
      <c r="P946" s="199"/>
      <c r="Q946" s="199"/>
      <c r="R946" s="199"/>
      <c r="S946" s="199"/>
      <c r="T946" s="199"/>
      <c r="U946" s="199"/>
      <c r="V946" s="199"/>
      <c r="W946" s="199"/>
    </row>
    <row r="947" spans="3:23" ht="12.75" customHeight="1">
      <c r="C947" s="94"/>
      <c r="D947" s="94"/>
      <c r="E947" s="94"/>
      <c r="F947" s="94"/>
      <c r="G947" s="200"/>
      <c r="H947" s="94"/>
      <c r="K947" s="199"/>
      <c r="L947" s="199"/>
      <c r="M947" s="199"/>
      <c r="N947" s="199"/>
      <c r="O947" s="199"/>
      <c r="P947" s="199"/>
      <c r="Q947" s="199"/>
      <c r="R947" s="199"/>
      <c r="S947" s="199"/>
      <c r="T947" s="199"/>
      <c r="U947" s="199"/>
      <c r="V947" s="199"/>
      <c r="W947" s="199"/>
    </row>
    <row r="948" spans="3:23" ht="12.75" customHeight="1">
      <c r="C948" s="94"/>
      <c r="D948" s="94"/>
      <c r="E948" s="94"/>
      <c r="F948" s="94"/>
      <c r="G948" s="200"/>
      <c r="H948" s="94"/>
      <c r="K948" s="199"/>
      <c r="L948" s="199"/>
      <c r="M948" s="199"/>
      <c r="N948" s="199"/>
      <c r="O948" s="199"/>
      <c r="P948" s="199"/>
      <c r="Q948" s="199"/>
      <c r="R948" s="199"/>
      <c r="S948" s="199"/>
      <c r="T948" s="199"/>
      <c r="U948" s="199"/>
      <c r="V948" s="199"/>
      <c r="W948" s="199"/>
    </row>
    <row r="949" spans="3:23" ht="12.75" customHeight="1">
      <c r="C949" s="94"/>
      <c r="D949" s="94"/>
      <c r="E949" s="94"/>
      <c r="F949" s="94"/>
      <c r="G949" s="200"/>
      <c r="H949" s="94"/>
      <c r="K949" s="199"/>
      <c r="L949" s="199"/>
      <c r="M949" s="199"/>
      <c r="N949" s="199"/>
      <c r="O949" s="199"/>
      <c r="P949" s="199"/>
      <c r="Q949" s="199"/>
      <c r="R949" s="199"/>
      <c r="S949" s="199"/>
      <c r="T949" s="199"/>
      <c r="U949" s="199"/>
      <c r="V949" s="199"/>
      <c r="W949" s="199"/>
    </row>
    <row r="950" spans="3:23" ht="12.75" customHeight="1">
      <c r="C950" s="94"/>
      <c r="D950" s="94"/>
      <c r="E950" s="94"/>
      <c r="F950" s="94"/>
      <c r="G950" s="200"/>
      <c r="H950" s="94"/>
      <c r="K950" s="199"/>
      <c r="L950" s="199"/>
      <c r="M950" s="199"/>
      <c r="N950" s="199"/>
      <c r="O950" s="199"/>
      <c r="P950" s="199"/>
      <c r="Q950" s="199"/>
      <c r="R950" s="199"/>
      <c r="S950" s="199"/>
      <c r="T950" s="199"/>
      <c r="U950" s="199"/>
      <c r="V950" s="199"/>
      <c r="W950" s="199"/>
    </row>
    <row r="951" spans="3:23" ht="12.75" customHeight="1">
      <c r="C951" s="94"/>
      <c r="D951" s="94"/>
      <c r="E951" s="94"/>
      <c r="F951" s="94"/>
      <c r="G951" s="200"/>
      <c r="H951" s="94"/>
      <c r="K951" s="199"/>
      <c r="L951" s="199"/>
      <c r="M951" s="199"/>
      <c r="N951" s="199"/>
      <c r="O951" s="199"/>
      <c r="P951" s="199"/>
      <c r="Q951" s="199"/>
      <c r="R951" s="199"/>
      <c r="S951" s="199"/>
      <c r="T951" s="199"/>
      <c r="U951" s="199"/>
      <c r="V951" s="199"/>
      <c r="W951" s="199"/>
    </row>
    <row r="952" spans="3:23" ht="12.75" customHeight="1">
      <c r="C952" s="94"/>
      <c r="D952" s="94"/>
      <c r="E952" s="94"/>
      <c r="F952" s="94"/>
      <c r="G952" s="200"/>
      <c r="H952" s="94"/>
      <c r="K952" s="199"/>
      <c r="L952" s="199"/>
      <c r="M952" s="199"/>
      <c r="N952" s="199"/>
      <c r="O952" s="199"/>
      <c r="P952" s="199"/>
      <c r="Q952" s="199"/>
      <c r="R952" s="199"/>
      <c r="S952" s="199"/>
      <c r="T952" s="199"/>
      <c r="U952" s="199"/>
      <c r="V952" s="199"/>
      <c r="W952" s="199"/>
    </row>
    <row r="953" spans="3:23" ht="12.75" customHeight="1">
      <c r="C953" s="94"/>
      <c r="D953" s="94"/>
      <c r="E953" s="94"/>
      <c r="F953" s="94"/>
      <c r="G953" s="200"/>
      <c r="H953" s="94"/>
      <c r="K953" s="199"/>
      <c r="L953" s="199"/>
      <c r="M953" s="199"/>
      <c r="N953" s="199"/>
      <c r="O953" s="199"/>
      <c r="P953" s="199"/>
      <c r="Q953" s="199"/>
      <c r="R953" s="199"/>
      <c r="S953" s="199"/>
      <c r="T953" s="199"/>
      <c r="U953" s="199"/>
      <c r="V953" s="199"/>
      <c r="W953" s="199"/>
    </row>
    <row r="954" spans="3:23" ht="12.75" customHeight="1">
      <c r="C954" s="94"/>
      <c r="D954" s="94"/>
      <c r="E954" s="94"/>
      <c r="F954" s="94"/>
      <c r="G954" s="200"/>
      <c r="H954" s="94"/>
      <c r="K954" s="199"/>
      <c r="L954" s="199"/>
      <c r="M954" s="199"/>
      <c r="N954" s="199"/>
      <c r="O954" s="199"/>
      <c r="P954" s="199"/>
      <c r="Q954" s="199"/>
      <c r="R954" s="199"/>
      <c r="S954" s="199"/>
      <c r="T954" s="199"/>
      <c r="U954" s="199"/>
      <c r="V954" s="199"/>
      <c r="W954" s="199"/>
    </row>
    <row r="955" spans="3:23" ht="12.75" customHeight="1">
      <c r="C955" s="94"/>
      <c r="D955" s="94"/>
      <c r="E955" s="94"/>
      <c r="F955" s="94"/>
      <c r="G955" s="200"/>
      <c r="H955" s="94"/>
      <c r="K955" s="199"/>
      <c r="L955" s="199"/>
      <c r="M955" s="199"/>
      <c r="N955" s="199"/>
      <c r="O955" s="199"/>
      <c r="P955" s="199"/>
      <c r="Q955" s="199"/>
      <c r="R955" s="199"/>
      <c r="S955" s="199"/>
      <c r="T955" s="199"/>
      <c r="U955" s="199"/>
      <c r="V955" s="199"/>
      <c r="W955" s="199"/>
    </row>
    <row r="956" spans="3:23" ht="12.75" customHeight="1">
      <c r="C956" s="94"/>
      <c r="D956" s="94"/>
      <c r="E956" s="94"/>
      <c r="F956" s="94"/>
      <c r="G956" s="200"/>
      <c r="H956" s="94"/>
      <c r="K956" s="199"/>
      <c r="L956" s="199"/>
      <c r="M956" s="199"/>
      <c r="N956" s="199"/>
      <c r="O956" s="199"/>
      <c r="P956" s="199"/>
      <c r="Q956" s="199"/>
      <c r="R956" s="199"/>
      <c r="S956" s="199"/>
      <c r="T956" s="199"/>
      <c r="U956" s="199"/>
      <c r="V956" s="199"/>
      <c r="W956" s="199"/>
    </row>
    <row r="957" spans="3:23" ht="12.75" customHeight="1">
      <c r="C957" s="94"/>
      <c r="D957" s="94"/>
      <c r="E957" s="94"/>
      <c r="F957" s="94"/>
      <c r="G957" s="200"/>
      <c r="H957" s="94"/>
      <c r="K957" s="199"/>
      <c r="L957" s="199"/>
      <c r="M957" s="199"/>
      <c r="N957" s="199"/>
      <c r="O957" s="199"/>
      <c r="P957" s="199"/>
      <c r="Q957" s="199"/>
      <c r="R957" s="199"/>
      <c r="S957" s="199"/>
      <c r="T957" s="199"/>
      <c r="U957" s="199"/>
      <c r="V957" s="199"/>
      <c r="W957" s="199"/>
    </row>
    <row r="958" spans="3:23" ht="12.75" customHeight="1">
      <c r="C958" s="94"/>
      <c r="D958" s="94"/>
      <c r="E958" s="94"/>
      <c r="F958" s="94"/>
      <c r="G958" s="200"/>
      <c r="H958" s="94"/>
      <c r="K958" s="199"/>
      <c r="L958" s="199"/>
      <c r="M958" s="199"/>
      <c r="N958" s="199"/>
      <c r="O958" s="199"/>
      <c r="P958" s="199"/>
      <c r="Q958" s="199"/>
      <c r="R958" s="199"/>
      <c r="S958" s="199"/>
      <c r="T958" s="199"/>
      <c r="U958" s="199"/>
      <c r="V958" s="199"/>
      <c r="W958" s="199"/>
    </row>
    <row r="959" spans="3:23" ht="12.75" customHeight="1">
      <c r="C959" s="94"/>
      <c r="D959" s="94"/>
      <c r="E959" s="94"/>
      <c r="F959" s="94"/>
      <c r="G959" s="200"/>
      <c r="H959" s="94"/>
      <c r="K959" s="199"/>
      <c r="L959" s="199"/>
      <c r="M959" s="199"/>
      <c r="N959" s="199"/>
      <c r="O959" s="199"/>
      <c r="P959" s="199"/>
      <c r="Q959" s="199"/>
      <c r="R959" s="199"/>
      <c r="S959" s="199"/>
      <c r="T959" s="199"/>
      <c r="U959" s="199"/>
      <c r="V959" s="199"/>
      <c r="W959" s="199"/>
    </row>
    <row r="960" spans="3:23" ht="12.75" customHeight="1">
      <c r="C960" s="94"/>
      <c r="D960" s="94"/>
      <c r="E960" s="94"/>
      <c r="F960" s="94"/>
      <c r="G960" s="200"/>
      <c r="H960" s="94"/>
      <c r="K960" s="199"/>
      <c r="L960" s="199"/>
      <c r="M960" s="199"/>
      <c r="N960" s="199"/>
      <c r="O960" s="199"/>
      <c r="P960" s="199"/>
      <c r="Q960" s="199"/>
      <c r="R960" s="199"/>
      <c r="S960" s="199"/>
      <c r="T960" s="199"/>
      <c r="U960" s="199"/>
      <c r="V960" s="199"/>
      <c r="W960" s="199"/>
    </row>
    <row r="961" spans="3:23" ht="12.75" customHeight="1">
      <c r="C961" s="94"/>
      <c r="D961" s="94"/>
      <c r="E961" s="94"/>
      <c r="F961" s="94"/>
      <c r="G961" s="200"/>
      <c r="H961" s="94"/>
      <c r="K961" s="199"/>
      <c r="L961" s="199"/>
      <c r="M961" s="199"/>
      <c r="N961" s="199"/>
      <c r="O961" s="199"/>
      <c r="P961" s="199"/>
      <c r="Q961" s="199"/>
      <c r="R961" s="199"/>
      <c r="S961" s="199"/>
      <c r="T961" s="199"/>
      <c r="U961" s="199"/>
      <c r="V961" s="199"/>
      <c r="W961" s="199"/>
    </row>
    <row r="962" spans="3:23" ht="12.75" customHeight="1">
      <c r="C962" s="94"/>
      <c r="D962" s="94"/>
      <c r="E962" s="94"/>
      <c r="F962" s="94"/>
      <c r="G962" s="200"/>
      <c r="H962" s="94"/>
      <c r="K962" s="199"/>
      <c r="L962" s="199"/>
      <c r="M962" s="199"/>
      <c r="N962" s="199"/>
      <c r="O962" s="199"/>
      <c r="P962" s="199"/>
      <c r="Q962" s="199"/>
      <c r="R962" s="199"/>
      <c r="S962" s="199"/>
      <c r="T962" s="199"/>
      <c r="U962" s="199"/>
      <c r="V962" s="199"/>
      <c r="W962" s="199"/>
    </row>
    <row r="963" spans="3:23" ht="12.75" customHeight="1">
      <c r="C963" s="94"/>
      <c r="D963" s="94"/>
      <c r="E963" s="94"/>
      <c r="F963" s="94"/>
      <c r="G963" s="200"/>
      <c r="H963" s="94"/>
      <c r="K963" s="199"/>
      <c r="L963" s="199"/>
      <c r="M963" s="199"/>
      <c r="N963" s="199"/>
      <c r="O963" s="199"/>
      <c r="P963" s="199"/>
      <c r="Q963" s="199"/>
      <c r="R963" s="199"/>
      <c r="S963" s="199"/>
      <c r="T963" s="199"/>
      <c r="U963" s="199"/>
      <c r="V963" s="199"/>
      <c r="W963" s="199"/>
    </row>
    <row r="964" spans="3:23" ht="12.75" customHeight="1">
      <c r="C964" s="94"/>
      <c r="D964" s="94"/>
      <c r="E964" s="94"/>
      <c r="F964" s="94"/>
      <c r="G964" s="200"/>
      <c r="H964" s="94"/>
      <c r="K964" s="199"/>
      <c r="L964" s="199"/>
      <c r="M964" s="199"/>
      <c r="N964" s="199"/>
      <c r="O964" s="199"/>
      <c r="P964" s="199"/>
      <c r="Q964" s="199"/>
      <c r="R964" s="199"/>
      <c r="S964" s="199"/>
      <c r="T964" s="199"/>
      <c r="U964" s="199"/>
      <c r="V964" s="199"/>
      <c r="W964" s="199"/>
    </row>
    <row r="965" spans="3:23" ht="12.75" customHeight="1">
      <c r="C965" s="94"/>
      <c r="D965" s="94"/>
      <c r="E965" s="94"/>
      <c r="F965" s="94"/>
      <c r="G965" s="200"/>
      <c r="H965" s="94"/>
      <c r="K965" s="199"/>
      <c r="L965" s="199"/>
      <c r="M965" s="199"/>
      <c r="N965" s="199"/>
      <c r="O965" s="199"/>
      <c r="P965" s="199"/>
      <c r="Q965" s="199"/>
      <c r="R965" s="199"/>
      <c r="S965" s="199"/>
      <c r="T965" s="199"/>
      <c r="U965" s="199"/>
      <c r="V965" s="199"/>
      <c r="W965" s="199"/>
    </row>
    <row r="966" spans="3:23" ht="12.75" customHeight="1">
      <c r="C966" s="94"/>
      <c r="D966" s="94"/>
      <c r="E966" s="94"/>
      <c r="F966" s="94"/>
      <c r="G966" s="200"/>
      <c r="H966" s="94"/>
      <c r="K966" s="199"/>
      <c r="L966" s="199"/>
      <c r="M966" s="199"/>
      <c r="N966" s="199"/>
      <c r="O966" s="199"/>
      <c r="P966" s="199"/>
      <c r="Q966" s="199"/>
      <c r="R966" s="199"/>
      <c r="S966" s="199"/>
      <c r="T966" s="199"/>
      <c r="U966" s="199"/>
      <c r="V966" s="199"/>
      <c r="W966" s="199"/>
    </row>
    <row r="967" spans="3:23" ht="12.75" customHeight="1">
      <c r="C967" s="94"/>
      <c r="D967" s="94"/>
      <c r="E967" s="94"/>
      <c r="F967" s="94"/>
      <c r="G967" s="200"/>
      <c r="H967" s="94"/>
      <c r="K967" s="199"/>
      <c r="L967" s="199"/>
      <c r="M967" s="199"/>
      <c r="N967" s="199"/>
      <c r="O967" s="199"/>
      <c r="P967" s="199"/>
      <c r="Q967" s="199"/>
      <c r="R967" s="199"/>
      <c r="S967" s="199"/>
      <c r="T967" s="199"/>
      <c r="U967" s="199"/>
      <c r="V967" s="199"/>
      <c r="W967" s="199"/>
    </row>
    <row r="968" spans="3:23" ht="12.75" customHeight="1">
      <c r="C968" s="94"/>
      <c r="D968" s="94"/>
      <c r="E968" s="94"/>
      <c r="F968" s="94"/>
      <c r="G968" s="200"/>
      <c r="H968" s="94"/>
      <c r="K968" s="199"/>
      <c r="L968" s="199"/>
      <c r="M968" s="199"/>
      <c r="N968" s="199"/>
      <c r="O968" s="199"/>
      <c r="P968" s="199"/>
      <c r="Q968" s="199"/>
      <c r="R968" s="199"/>
      <c r="S968" s="199"/>
      <c r="T968" s="199"/>
      <c r="U968" s="199"/>
      <c r="V968" s="199"/>
      <c r="W968" s="199"/>
    </row>
    <row r="969" spans="3:23" ht="12.75" customHeight="1">
      <c r="C969" s="94"/>
      <c r="D969" s="94"/>
      <c r="E969" s="94"/>
      <c r="F969" s="94"/>
      <c r="G969" s="200"/>
      <c r="H969" s="94"/>
      <c r="K969" s="199"/>
      <c r="L969" s="199"/>
      <c r="M969" s="199"/>
      <c r="N969" s="199"/>
      <c r="O969" s="199"/>
      <c r="P969" s="199"/>
      <c r="Q969" s="199"/>
      <c r="R969" s="199"/>
      <c r="S969" s="199"/>
      <c r="T969" s="199"/>
      <c r="U969" s="199"/>
      <c r="V969" s="199"/>
      <c r="W969" s="199"/>
    </row>
    <row r="970" spans="3:23" ht="12.75" customHeight="1">
      <c r="C970" s="94"/>
      <c r="D970" s="94"/>
      <c r="E970" s="94"/>
      <c r="F970" s="94"/>
      <c r="G970" s="200"/>
      <c r="H970" s="94"/>
      <c r="K970" s="199"/>
      <c r="L970" s="199"/>
      <c r="M970" s="199"/>
      <c r="N970" s="199"/>
      <c r="O970" s="199"/>
      <c r="P970" s="199"/>
      <c r="Q970" s="199"/>
      <c r="R970" s="199"/>
      <c r="S970" s="199"/>
      <c r="T970" s="199"/>
      <c r="U970" s="199"/>
      <c r="V970" s="199"/>
      <c r="W970" s="199"/>
    </row>
    <row r="971" spans="3:23" ht="12.75" customHeight="1">
      <c r="C971" s="94"/>
      <c r="D971" s="94"/>
      <c r="E971" s="94"/>
      <c r="F971" s="94"/>
      <c r="G971" s="200"/>
      <c r="H971" s="94"/>
      <c r="K971" s="199"/>
      <c r="L971" s="199"/>
      <c r="M971" s="199"/>
      <c r="N971" s="199"/>
      <c r="O971" s="199"/>
      <c r="P971" s="199"/>
      <c r="Q971" s="199"/>
      <c r="R971" s="199"/>
      <c r="S971" s="199"/>
      <c r="T971" s="199"/>
      <c r="U971" s="199"/>
      <c r="V971" s="199"/>
      <c r="W971" s="199"/>
    </row>
    <row r="972" spans="3:23" ht="12.75" customHeight="1">
      <c r="C972" s="94"/>
      <c r="D972" s="94"/>
      <c r="E972" s="94"/>
      <c r="F972" s="94"/>
      <c r="G972" s="200"/>
      <c r="H972" s="94"/>
      <c r="K972" s="199"/>
      <c r="L972" s="199"/>
      <c r="M972" s="199"/>
      <c r="N972" s="199"/>
      <c r="O972" s="199"/>
      <c r="P972" s="199"/>
      <c r="Q972" s="199"/>
      <c r="R972" s="199"/>
      <c r="S972" s="199"/>
      <c r="T972" s="199"/>
      <c r="U972" s="199"/>
      <c r="V972" s="199"/>
      <c r="W972" s="199"/>
    </row>
    <row r="973" spans="3:23" ht="12.75" customHeight="1">
      <c r="C973" s="94"/>
      <c r="D973" s="94"/>
      <c r="E973" s="94"/>
      <c r="F973" s="94"/>
      <c r="G973" s="200"/>
      <c r="H973" s="94"/>
      <c r="K973" s="199"/>
      <c r="L973" s="199"/>
      <c r="M973" s="199"/>
      <c r="N973" s="199"/>
      <c r="O973" s="199"/>
      <c r="P973" s="199"/>
      <c r="Q973" s="199"/>
      <c r="R973" s="199"/>
      <c r="S973" s="199"/>
      <c r="T973" s="199"/>
      <c r="U973" s="199"/>
      <c r="V973" s="199"/>
      <c r="W973" s="199"/>
    </row>
    <row r="974" spans="3:23" ht="12.75" customHeight="1">
      <c r="C974" s="94"/>
      <c r="D974" s="94"/>
      <c r="E974" s="94"/>
      <c r="F974" s="94"/>
      <c r="G974" s="200"/>
      <c r="H974" s="94"/>
      <c r="K974" s="199"/>
      <c r="L974" s="199"/>
      <c r="M974" s="199"/>
      <c r="N974" s="199"/>
      <c r="O974" s="199"/>
      <c r="P974" s="199"/>
      <c r="Q974" s="199"/>
      <c r="R974" s="199"/>
      <c r="S974" s="199"/>
      <c r="T974" s="199"/>
      <c r="U974" s="199"/>
      <c r="V974" s="199"/>
      <c r="W974" s="199"/>
    </row>
    <row r="975" spans="3:23" ht="12.75" customHeight="1">
      <c r="C975" s="94"/>
      <c r="D975" s="94"/>
      <c r="E975" s="94"/>
      <c r="F975" s="94"/>
      <c r="G975" s="200"/>
      <c r="H975" s="94"/>
      <c r="K975" s="199"/>
      <c r="L975" s="199"/>
      <c r="M975" s="199"/>
      <c r="N975" s="199"/>
      <c r="O975" s="199"/>
      <c r="P975" s="199"/>
      <c r="Q975" s="199"/>
      <c r="R975" s="199"/>
      <c r="S975" s="199"/>
      <c r="T975" s="199"/>
      <c r="U975" s="199"/>
      <c r="V975" s="199"/>
      <c r="W975" s="199"/>
    </row>
    <row r="976" spans="3:23" ht="12.75" customHeight="1">
      <c r="C976" s="94"/>
      <c r="D976" s="94"/>
      <c r="E976" s="94"/>
      <c r="F976" s="94"/>
      <c r="G976" s="200"/>
      <c r="H976" s="94"/>
      <c r="K976" s="199"/>
      <c r="L976" s="199"/>
      <c r="M976" s="199"/>
      <c r="N976" s="199"/>
      <c r="O976" s="199"/>
      <c r="P976" s="199"/>
      <c r="Q976" s="199"/>
      <c r="R976" s="199"/>
      <c r="S976" s="199"/>
      <c r="T976" s="199"/>
      <c r="U976" s="199"/>
      <c r="V976" s="199"/>
      <c r="W976" s="199"/>
    </row>
    <row r="977" spans="3:23" ht="12.75" customHeight="1">
      <c r="C977" s="94"/>
      <c r="D977" s="94"/>
      <c r="E977" s="94"/>
      <c r="F977" s="94"/>
      <c r="G977" s="200"/>
      <c r="H977" s="94"/>
      <c r="K977" s="199"/>
      <c r="L977" s="199"/>
      <c r="M977" s="199"/>
      <c r="N977" s="199"/>
      <c r="O977" s="199"/>
      <c r="P977" s="199"/>
      <c r="Q977" s="199"/>
      <c r="R977" s="199"/>
      <c r="S977" s="199"/>
      <c r="T977" s="199"/>
      <c r="U977" s="199"/>
      <c r="V977" s="199"/>
      <c r="W977" s="199"/>
    </row>
    <row r="978" spans="3:23" ht="12.75" customHeight="1">
      <c r="C978" s="94"/>
      <c r="D978" s="94"/>
      <c r="E978" s="94"/>
      <c r="F978" s="94"/>
      <c r="G978" s="200"/>
      <c r="H978" s="94"/>
      <c r="K978" s="199"/>
      <c r="L978" s="199"/>
      <c r="M978" s="199"/>
      <c r="N978" s="199"/>
      <c r="O978" s="199"/>
      <c r="P978" s="199"/>
      <c r="Q978" s="199"/>
      <c r="R978" s="199"/>
      <c r="S978" s="199"/>
      <c r="T978" s="199"/>
      <c r="U978" s="199"/>
      <c r="V978" s="199"/>
      <c r="W978" s="199"/>
    </row>
    <row r="979" spans="3:23" ht="12.75" customHeight="1">
      <c r="C979" s="94"/>
      <c r="D979" s="94"/>
      <c r="E979" s="94"/>
      <c r="F979" s="94"/>
      <c r="G979" s="200"/>
      <c r="H979" s="94"/>
      <c r="K979" s="199"/>
      <c r="L979" s="199"/>
      <c r="M979" s="199"/>
      <c r="N979" s="199"/>
      <c r="O979" s="199"/>
      <c r="P979" s="199"/>
      <c r="Q979" s="199"/>
      <c r="R979" s="199"/>
      <c r="S979" s="199"/>
      <c r="T979" s="199"/>
      <c r="U979" s="199"/>
      <c r="V979" s="199"/>
      <c r="W979" s="199"/>
    </row>
    <row r="980" spans="3:23" ht="12.75" customHeight="1">
      <c r="C980" s="94"/>
      <c r="D980" s="94"/>
      <c r="E980" s="94"/>
      <c r="F980" s="94"/>
      <c r="G980" s="200"/>
      <c r="H980" s="94"/>
      <c r="K980" s="199"/>
      <c r="L980" s="199"/>
      <c r="M980" s="199"/>
      <c r="N980" s="199"/>
      <c r="O980" s="199"/>
      <c r="P980" s="199"/>
      <c r="Q980" s="199"/>
      <c r="R980" s="199"/>
      <c r="S980" s="199"/>
      <c r="T980" s="199"/>
      <c r="U980" s="199"/>
      <c r="V980" s="199"/>
      <c r="W980" s="199"/>
    </row>
    <row r="981" spans="3:23" ht="12.75" customHeight="1">
      <c r="C981" s="94"/>
      <c r="D981" s="94"/>
      <c r="E981" s="94"/>
      <c r="F981" s="94"/>
      <c r="G981" s="200"/>
      <c r="H981" s="94"/>
      <c r="K981" s="199"/>
      <c r="L981" s="199"/>
      <c r="M981" s="199"/>
      <c r="N981" s="199"/>
      <c r="O981" s="199"/>
      <c r="P981" s="199"/>
      <c r="Q981" s="199"/>
      <c r="R981" s="199"/>
      <c r="S981" s="199"/>
      <c r="T981" s="199"/>
      <c r="U981" s="199"/>
      <c r="V981" s="199"/>
      <c r="W981" s="199"/>
    </row>
    <row r="982" spans="3:23" ht="12.75" customHeight="1">
      <c r="C982" s="94"/>
      <c r="D982" s="94"/>
      <c r="E982" s="94"/>
      <c r="F982" s="94"/>
      <c r="G982" s="200"/>
      <c r="H982" s="94"/>
      <c r="K982" s="199"/>
      <c r="L982" s="199"/>
      <c r="M982" s="199"/>
      <c r="N982" s="199"/>
      <c r="O982" s="199"/>
      <c r="P982" s="199"/>
      <c r="Q982" s="199"/>
      <c r="R982" s="199"/>
      <c r="S982" s="199"/>
      <c r="T982" s="199"/>
      <c r="U982" s="199"/>
      <c r="V982" s="199"/>
      <c r="W982" s="199"/>
    </row>
    <row r="983" spans="3:23" ht="12.75" customHeight="1">
      <c r="C983" s="94"/>
      <c r="D983" s="94"/>
      <c r="E983" s="94"/>
      <c r="F983" s="94"/>
      <c r="G983" s="200"/>
      <c r="H983" s="94"/>
      <c r="K983" s="199"/>
      <c r="L983" s="199"/>
      <c r="M983" s="199"/>
      <c r="N983" s="199"/>
      <c r="O983" s="199"/>
      <c r="P983" s="199"/>
      <c r="Q983" s="199"/>
      <c r="R983" s="199"/>
      <c r="S983" s="199"/>
      <c r="T983" s="199"/>
      <c r="U983" s="199"/>
      <c r="V983" s="199"/>
      <c r="W983" s="199"/>
    </row>
    <row r="984" spans="3:23" ht="12.75" customHeight="1">
      <c r="C984" s="94"/>
      <c r="D984" s="94"/>
      <c r="E984" s="94"/>
      <c r="F984" s="94"/>
      <c r="G984" s="200"/>
      <c r="H984" s="94"/>
      <c r="K984" s="199"/>
      <c r="L984" s="199"/>
      <c r="M984" s="199"/>
      <c r="N984" s="199"/>
      <c r="O984" s="199"/>
      <c r="P984" s="199"/>
      <c r="Q984" s="199"/>
      <c r="R984" s="199"/>
      <c r="S984" s="199"/>
      <c r="T984" s="199"/>
      <c r="U984" s="199"/>
      <c r="V984" s="199"/>
      <c r="W984" s="199"/>
    </row>
    <row r="985" spans="3:23" ht="12.75" customHeight="1">
      <c r="C985" s="94"/>
      <c r="D985" s="94"/>
      <c r="E985" s="94"/>
      <c r="F985" s="94"/>
      <c r="G985" s="200"/>
      <c r="H985" s="94"/>
      <c r="K985" s="199"/>
      <c r="L985" s="199"/>
      <c r="M985" s="199"/>
      <c r="N985" s="199"/>
      <c r="O985" s="199"/>
      <c r="P985" s="199"/>
      <c r="Q985" s="199"/>
      <c r="R985" s="199"/>
      <c r="S985" s="199"/>
      <c r="T985" s="199"/>
      <c r="U985" s="199"/>
      <c r="V985" s="199"/>
      <c r="W985" s="199"/>
    </row>
    <row r="986" spans="3:23" ht="12.75" customHeight="1">
      <c r="C986" s="94"/>
      <c r="D986" s="94"/>
      <c r="E986" s="94"/>
      <c r="F986" s="94"/>
      <c r="G986" s="200"/>
      <c r="H986" s="94"/>
      <c r="K986" s="199"/>
      <c r="L986" s="199"/>
      <c r="M986" s="199"/>
      <c r="N986" s="199"/>
      <c r="O986" s="199"/>
      <c r="P986" s="199"/>
      <c r="Q986" s="199"/>
      <c r="R986" s="199"/>
      <c r="S986" s="199"/>
      <c r="T986" s="199"/>
      <c r="U986" s="199"/>
      <c r="V986" s="199"/>
      <c r="W986" s="199"/>
    </row>
    <row r="987" spans="3:23" ht="12.75" customHeight="1">
      <c r="C987" s="94"/>
      <c r="D987" s="94"/>
      <c r="E987" s="94"/>
      <c r="F987" s="94"/>
      <c r="G987" s="200"/>
      <c r="H987" s="94"/>
      <c r="K987" s="199"/>
      <c r="L987" s="199"/>
      <c r="M987" s="199"/>
      <c r="N987" s="199"/>
      <c r="O987" s="199"/>
      <c r="P987" s="199"/>
      <c r="Q987" s="199"/>
      <c r="R987" s="199"/>
      <c r="S987" s="199"/>
      <c r="T987" s="199"/>
      <c r="U987" s="199"/>
      <c r="V987" s="199"/>
      <c r="W987" s="199"/>
    </row>
    <row r="988" spans="3:23" ht="12.75" customHeight="1">
      <c r="C988" s="94"/>
      <c r="D988" s="94"/>
      <c r="E988" s="94"/>
      <c r="F988" s="94"/>
      <c r="G988" s="200"/>
      <c r="H988" s="94"/>
      <c r="K988" s="199"/>
      <c r="L988" s="199"/>
      <c r="M988" s="199"/>
      <c r="N988" s="199"/>
      <c r="O988" s="199"/>
      <c r="P988" s="199"/>
      <c r="Q988" s="199"/>
      <c r="R988" s="199"/>
      <c r="S988" s="199"/>
      <c r="T988" s="199"/>
      <c r="U988" s="199"/>
      <c r="V988" s="199"/>
      <c r="W988" s="199"/>
    </row>
    <row r="989" spans="3:23" ht="12.75" customHeight="1">
      <c r="C989" s="94"/>
      <c r="D989" s="94"/>
      <c r="E989" s="94"/>
      <c r="F989" s="94"/>
      <c r="G989" s="200"/>
      <c r="H989" s="94"/>
      <c r="K989" s="199"/>
      <c r="L989" s="199"/>
      <c r="M989" s="199"/>
      <c r="N989" s="199"/>
      <c r="O989" s="199"/>
      <c r="P989" s="199"/>
      <c r="Q989" s="199"/>
      <c r="R989" s="199"/>
      <c r="S989" s="199"/>
      <c r="T989" s="199"/>
      <c r="U989" s="199"/>
      <c r="V989" s="199"/>
      <c r="W989" s="199"/>
    </row>
    <row r="990" spans="3:23" ht="12.75" customHeight="1">
      <c r="C990" s="94"/>
      <c r="D990" s="94"/>
      <c r="E990" s="94"/>
      <c r="F990" s="94"/>
      <c r="G990" s="200"/>
      <c r="H990" s="94"/>
      <c r="K990" s="199"/>
      <c r="L990" s="199"/>
      <c r="M990" s="199"/>
      <c r="N990" s="199"/>
      <c r="O990" s="199"/>
      <c r="P990" s="199"/>
      <c r="Q990" s="199"/>
      <c r="R990" s="199"/>
      <c r="S990" s="199"/>
      <c r="T990" s="199"/>
      <c r="U990" s="199"/>
      <c r="V990" s="199"/>
      <c r="W990" s="199"/>
    </row>
    <row r="991" spans="3:23" ht="12.75" customHeight="1">
      <c r="C991" s="94"/>
      <c r="D991" s="94"/>
      <c r="E991" s="94"/>
      <c r="F991" s="94"/>
      <c r="G991" s="200"/>
      <c r="H991" s="94"/>
      <c r="K991" s="199"/>
      <c r="L991" s="199"/>
      <c r="M991" s="199"/>
      <c r="N991" s="199"/>
      <c r="O991" s="199"/>
      <c r="P991" s="199"/>
      <c r="Q991" s="199"/>
      <c r="R991" s="199"/>
      <c r="S991" s="199"/>
      <c r="T991" s="199"/>
      <c r="U991" s="199"/>
      <c r="V991" s="199"/>
      <c r="W991" s="199"/>
    </row>
    <row r="992" spans="3:23" ht="12.75" customHeight="1">
      <c r="C992" s="94"/>
      <c r="D992" s="94"/>
      <c r="E992" s="94"/>
      <c r="F992" s="94"/>
      <c r="G992" s="200"/>
      <c r="H992" s="94"/>
      <c r="K992" s="199"/>
      <c r="L992" s="199"/>
      <c r="M992" s="199"/>
      <c r="N992" s="199"/>
      <c r="O992" s="199"/>
      <c r="P992" s="199"/>
      <c r="Q992" s="199"/>
      <c r="R992" s="199"/>
      <c r="S992" s="199"/>
      <c r="T992" s="199"/>
      <c r="U992" s="199"/>
      <c r="V992" s="199"/>
      <c r="W992" s="199"/>
    </row>
    <row r="993" spans="3:23" ht="12.75" customHeight="1">
      <c r="C993" s="94"/>
      <c r="D993" s="94"/>
      <c r="E993" s="94"/>
      <c r="F993" s="94"/>
      <c r="G993" s="200"/>
      <c r="H993" s="94"/>
      <c r="K993" s="199"/>
      <c r="L993" s="199"/>
      <c r="M993" s="199"/>
      <c r="N993" s="199"/>
      <c r="O993" s="199"/>
      <c r="P993" s="199"/>
      <c r="Q993" s="199"/>
      <c r="R993" s="199"/>
      <c r="S993" s="199"/>
      <c r="T993" s="199"/>
      <c r="U993" s="199"/>
      <c r="V993" s="199"/>
      <c r="W993" s="199"/>
    </row>
    <row r="994" spans="3:23" ht="12.75" customHeight="1">
      <c r="C994" s="94"/>
      <c r="D994" s="94"/>
      <c r="E994" s="94"/>
      <c r="F994" s="94"/>
      <c r="G994" s="200"/>
      <c r="H994" s="94"/>
      <c r="K994" s="199"/>
      <c r="L994" s="199"/>
      <c r="M994" s="199"/>
      <c r="N994" s="199"/>
      <c r="O994" s="199"/>
      <c r="P994" s="199"/>
      <c r="Q994" s="199"/>
      <c r="R994" s="199"/>
      <c r="S994" s="199"/>
      <c r="T994" s="199"/>
      <c r="U994" s="199"/>
      <c r="V994" s="199"/>
      <c r="W994" s="199"/>
    </row>
    <row r="995" spans="3:23" ht="12.75" customHeight="1">
      <c r="C995" s="94"/>
      <c r="D995" s="94"/>
      <c r="E995" s="94"/>
      <c r="F995" s="94"/>
      <c r="G995" s="200"/>
      <c r="H995" s="94"/>
      <c r="K995" s="199"/>
      <c r="L995" s="199"/>
      <c r="M995" s="199"/>
      <c r="N995" s="199"/>
      <c r="O995" s="199"/>
      <c r="P995" s="199"/>
      <c r="Q995" s="199"/>
      <c r="R995" s="199"/>
      <c r="S995" s="199"/>
      <c r="T995" s="199"/>
      <c r="U995" s="199"/>
      <c r="V995" s="199"/>
      <c r="W995" s="199"/>
    </row>
    <row r="996" spans="3:23" ht="12.75" customHeight="1">
      <c r="C996" s="94"/>
      <c r="D996" s="94"/>
      <c r="E996" s="94"/>
      <c r="F996" s="94"/>
      <c r="G996" s="200"/>
      <c r="H996" s="94"/>
      <c r="K996" s="199"/>
      <c r="L996" s="199"/>
      <c r="M996" s="199"/>
      <c r="N996" s="199"/>
      <c r="O996" s="199"/>
      <c r="P996" s="199"/>
      <c r="Q996" s="199"/>
      <c r="R996" s="199"/>
      <c r="S996" s="199"/>
      <c r="T996" s="199"/>
      <c r="U996" s="199"/>
      <c r="V996" s="199"/>
      <c r="W996" s="199"/>
    </row>
    <row r="997" spans="3:23" ht="12.75" customHeight="1">
      <c r="C997" s="94"/>
      <c r="D997" s="94"/>
      <c r="E997" s="94"/>
      <c r="F997" s="94"/>
      <c r="G997" s="200"/>
      <c r="H997" s="94"/>
      <c r="K997" s="199"/>
      <c r="L997" s="199"/>
      <c r="M997" s="199"/>
      <c r="N997" s="199"/>
      <c r="O997" s="199"/>
      <c r="P997" s="199"/>
      <c r="Q997" s="199"/>
      <c r="R997" s="199"/>
      <c r="S997" s="199"/>
      <c r="T997" s="199"/>
      <c r="U997" s="199"/>
      <c r="V997" s="199"/>
      <c r="W997" s="199"/>
    </row>
    <row r="998" spans="3:23" ht="12.75" customHeight="1">
      <c r="C998" s="94"/>
      <c r="D998" s="94"/>
      <c r="E998" s="94"/>
      <c r="F998" s="94"/>
      <c r="G998" s="200"/>
      <c r="H998" s="94"/>
      <c r="K998" s="199"/>
      <c r="L998" s="199"/>
      <c r="M998" s="199"/>
      <c r="N998" s="199"/>
      <c r="O998" s="199"/>
      <c r="P998" s="199"/>
      <c r="Q998" s="199"/>
      <c r="R998" s="199"/>
      <c r="S998" s="199"/>
      <c r="T998" s="199"/>
      <c r="U998" s="199"/>
      <c r="V998" s="199"/>
      <c r="W998" s="199"/>
    </row>
    <row r="999" spans="3:23" ht="12.75" customHeight="1">
      <c r="C999" s="94"/>
      <c r="D999" s="94"/>
      <c r="E999" s="94"/>
      <c r="F999" s="94"/>
      <c r="G999" s="200"/>
      <c r="H999" s="94"/>
      <c r="K999" s="199"/>
      <c r="L999" s="199"/>
      <c r="M999" s="199"/>
      <c r="N999" s="199"/>
      <c r="O999" s="199"/>
      <c r="P999" s="199"/>
      <c r="Q999" s="199"/>
      <c r="R999" s="199"/>
      <c r="S999" s="199"/>
      <c r="T999" s="199"/>
      <c r="U999" s="199"/>
      <c r="V999" s="199"/>
      <c r="W999" s="199"/>
    </row>
    <row r="1000" spans="3:23" ht="12.75" customHeight="1">
      <c r="C1000" s="94"/>
      <c r="D1000" s="94"/>
      <c r="E1000" s="94"/>
      <c r="F1000" s="94"/>
      <c r="G1000" s="200"/>
      <c r="H1000" s="94"/>
      <c r="K1000" s="199"/>
      <c r="L1000" s="199"/>
      <c r="M1000" s="199"/>
      <c r="N1000" s="199"/>
      <c r="O1000" s="199"/>
      <c r="P1000" s="199"/>
      <c r="Q1000" s="199"/>
      <c r="R1000" s="199"/>
      <c r="S1000" s="199"/>
      <c r="T1000" s="199"/>
      <c r="U1000" s="199"/>
      <c r="V1000" s="199"/>
      <c r="W1000" s="199"/>
    </row>
    <row r="1001" spans="3:23" ht="12.75" customHeight="1">
      <c r="C1001" s="94"/>
      <c r="D1001" s="94"/>
      <c r="E1001" s="94"/>
      <c r="F1001" s="94"/>
      <c r="G1001" s="200"/>
      <c r="H1001" s="94"/>
      <c r="K1001" s="199"/>
      <c r="L1001" s="199"/>
      <c r="M1001" s="199"/>
      <c r="N1001" s="199"/>
      <c r="O1001" s="199"/>
      <c r="P1001" s="199"/>
      <c r="Q1001" s="199"/>
      <c r="R1001" s="199"/>
      <c r="S1001" s="199"/>
      <c r="T1001" s="199"/>
      <c r="U1001" s="199"/>
      <c r="V1001" s="199"/>
      <c r="W1001" s="199"/>
    </row>
    <row r="1002" spans="3:23" ht="12.75" customHeight="1">
      <c r="C1002" s="94"/>
      <c r="D1002" s="94"/>
      <c r="E1002" s="94"/>
      <c r="F1002" s="94"/>
      <c r="G1002" s="200"/>
      <c r="H1002" s="94"/>
      <c r="K1002" s="199"/>
      <c r="L1002" s="199"/>
      <c r="M1002" s="199"/>
      <c r="N1002" s="199"/>
      <c r="O1002" s="199"/>
      <c r="P1002" s="199"/>
      <c r="Q1002" s="199"/>
      <c r="R1002" s="199"/>
      <c r="S1002" s="199"/>
      <c r="T1002" s="199"/>
      <c r="U1002" s="199"/>
      <c r="V1002" s="199"/>
      <c r="W1002" s="199"/>
    </row>
    <row r="1003" spans="3:23" ht="12.75" customHeight="1">
      <c r="C1003" s="94"/>
      <c r="D1003" s="94"/>
      <c r="E1003" s="94"/>
      <c r="F1003" s="94"/>
      <c r="G1003" s="200"/>
      <c r="H1003" s="94"/>
      <c r="K1003" s="199"/>
      <c r="L1003" s="199"/>
      <c r="M1003" s="199"/>
      <c r="N1003" s="199"/>
      <c r="O1003" s="199"/>
      <c r="P1003" s="199"/>
      <c r="Q1003" s="199"/>
      <c r="R1003" s="199"/>
      <c r="S1003" s="199"/>
      <c r="T1003" s="199"/>
      <c r="U1003" s="199"/>
      <c r="V1003" s="199"/>
      <c r="W1003" s="199"/>
    </row>
    <row r="1004" spans="3:23" ht="12.75" customHeight="1">
      <c r="C1004" s="94"/>
      <c r="D1004" s="94"/>
      <c r="E1004" s="94"/>
      <c r="F1004" s="94"/>
      <c r="G1004" s="200"/>
      <c r="H1004" s="94"/>
      <c r="K1004" s="199"/>
      <c r="L1004" s="199"/>
      <c r="M1004" s="199"/>
      <c r="N1004" s="199"/>
      <c r="O1004" s="199"/>
      <c r="P1004" s="199"/>
      <c r="Q1004" s="199"/>
      <c r="R1004" s="199"/>
      <c r="S1004" s="199"/>
      <c r="T1004" s="199"/>
      <c r="U1004" s="199"/>
      <c r="V1004" s="199"/>
      <c r="W1004" s="199"/>
    </row>
    <row r="1005" spans="3:23" ht="12.75" customHeight="1">
      <c r="C1005" s="94"/>
      <c r="D1005" s="94"/>
      <c r="E1005" s="94"/>
      <c r="F1005" s="94"/>
      <c r="G1005" s="200"/>
      <c r="H1005" s="94"/>
      <c r="K1005" s="199"/>
      <c r="L1005" s="199"/>
      <c r="M1005" s="199"/>
      <c r="N1005" s="199"/>
      <c r="O1005" s="199"/>
      <c r="P1005" s="199"/>
      <c r="Q1005" s="199"/>
      <c r="R1005" s="199"/>
      <c r="S1005" s="199"/>
      <c r="T1005" s="199"/>
      <c r="U1005" s="199"/>
      <c r="V1005" s="199"/>
      <c r="W1005" s="199"/>
    </row>
    <row r="1006" spans="3:23" ht="12.75" customHeight="1">
      <c r="C1006" s="94"/>
      <c r="D1006" s="94"/>
      <c r="E1006" s="94"/>
      <c r="F1006" s="94"/>
      <c r="G1006" s="200"/>
      <c r="H1006" s="94"/>
      <c r="K1006" s="199"/>
      <c r="L1006" s="199"/>
      <c r="M1006" s="199"/>
      <c r="N1006" s="199"/>
      <c r="O1006" s="199"/>
      <c r="P1006" s="199"/>
      <c r="Q1006" s="199"/>
      <c r="R1006" s="199"/>
      <c r="S1006" s="199"/>
      <c r="T1006" s="199"/>
      <c r="U1006" s="199"/>
      <c r="V1006" s="199"/>
      <c r="W1006" s="199"/>
    </row>
    <row r="1007" spans="3:23" ht="12.75" customHeight="1">
      <c r="C1007" s="94"/>
      <c r="D1007" s="94"/>
      <c r="E1007" s="94"/>
      <c r="F1007" s="94"/>
      <c r="G1007" s="200"/>
      <c r="H1007" s="94"/>
      <c r="K1007" s="199"/>
      <c r="L1007" s="199"/>
      <c r="M1007" s="199"/>
      <c r="N1007" s="199"/>
      <c r="O1007" s="199"/>
      <c r="P1007" s="199"/>
      <c r="Q1007" s="199"/>
      <c r="R1007" s="199"/>
      <c r="S1007" s="199"/>
      <c r="T1007" s="199"/>
      <c r="U1007" s="199"/>
      <c r="V1007" s="199"/>
      <c r="W1007" s="199"/>
    </row>
    <row r="1008" spans="3:23" ht="12.75" customHeight="1">
      <c r="C1008" s="94"/>
      <c r="D1008" s="94"/>
      <c r="E1008" s="94"/>
      <c r="F1008" s="94"/>
      <c r="G1008" s="200"/>
      <c r="H1008" s="94"/>
      <c r="K1008" s="199"/>
      <c r="L1008" s="199"/>
      <c r="M1008" s="199"/>
      <c r="N1008" s="199"/>
      <c r="O1008" s="199"/>
      <c r="P1008" s="199"/>
      <c r="Q1008" s="199"/>
      <c r="R1008" s="199"/>
      <c r="S1008" s="199"/>
      <c r="T1008" s="199"/>
      <c r="U1008" s="199"/>
      <c r="V1008" s="199"/>
      <c r="W1008" s="199"/>
    </row>
    <row r="1009" spans="3:23" ht="12.75" customHeight="1">
      <c r="C1009" s="94"/>
      <c r="D1009" s="94"/>
      <c r="E1009" s="94"/>
      <c r="F1009" s="94"/>
      <c r="G1009" s="200"/>
      <c r="H1009" s="94"/>
      <c r="K1009" s="199"/>
      <c r="L1009" s="199"/>
      <c r="M1009" s="199"/>
      <c r="N1009" s="199"/>
      <c r="O1009" s="199"/>
      <c r="P1009" s="199"/>
      <c r="Q1009" s="199"/>
      <c r="R1009" s="199"/>
      <c r="S1009" s="199"/>
      <c r="T1009" s="199"/>
      <c r="U1009" s="199"/>
      <c r="V1009" s="199"/>
      <c r="W1009" s="199"/>
    </row>
    <row r="1010" spans="3:23" ht="12.75" customHeight="1">
      <c r="C1010" s="94"/>
      <c r="D1010" s="94"/>
      <c r="E1010" s="94"/>
      <c r="F1010" s="94"/>
      <c r="G1010" s="200"/>
      <c r="H1010" s="94"/>
      <c r="K1010" s="199"/>
      <c r="L1010" s="199"/>
      <c r="M1010" s="199"/>
      <c r="N1010" s="199"/>
      <c r="O1010" s="199"/>
      <c r="P1010" s="199"/>
      <c r="Q1010" s="199"/>
      <c r="R1010" s="199"/>
      <c r="S1010" s="199"/>
      <c r="T1010" s="199"/>
      <c r="U1010" s="199"/>
      <c r="V1010" s="199"/>
      <c r="W1010" s="199"/>
    </row>
    <row r="1011" spans="3:23" ht="12.75" customHeight="1">
      <c r="C1011" s="94"/>
      <c r="D1011" s="94"/>
      <c r="E1011" s="94"/>
      <c r="F1011" s="94"/>
      <c r="G1011" s="200"/>
      <c r="H1011" s="94"/>
      <c r="K1011" s="199"/>
      <c r="L1011" s="199"/>
      <c r="M1011" s="199"/>
      <c r="N1011" s="199"/>
      <c r="O1011" s="199"/>
      <c r="P1011" s="199"/>
      <c r="Q1011" s="199"/>
      <c r="R1011" s="199"/>
      <c r="S1011" s="199"/>
      <c r="T1011" s="199"/>
      <c r="U1011" s="199"/>
      <c r="V1011" s="199"/>
      <c r="W1011" s="199"/>
    </row>
    <row r="1012" spans="3:23" ht="12.75" customHeight="1">
      <c r="C1012" s="94"/>
      <c r="D1012" s="94"/>
      <c r="E1012" s="94"/>
      <c r="F1012" s="94"/>
      <c r="G1012" s="200"/>
      <c r="H1012" s="94"/>
      <c r="K1012" s="199"/>
      <c r="L1012" s="199"/>
      <c r="M1012" s="199"/>
      <c r="N1012" s="199"/>
      <c r="O1012" s="199"/>
      <c r="P1012" s="199"/>
      <c r="Q1012" s="199"/>
      <c r="R1012" s="199"/>
      <c r="S1012" s="199"/>
      <c r="T1012" s="199"/>
      <c r="U1012" s="199"/>
      <c r="V1012" s="199"/>
      <c r="W1012" s="199"/>
    </row>
    <row r="1013" spans="3:23" ht="12.75" customHeight="1">
      <c r="C1013" s="94"/>
      <c r="D1013" s="94"/>
      <c r="E1013" s="94"/>
      <c r="F1013" s="94"/>
      <c r="G1013" s="200"/>
      <c r="H1013" s="94"/>
      <c r="K1013" s="199"/>
      <c r="L1013" s="199"/>
      <c r="M1013" s="199"/>
      <c r="N1013" s="199"/>
      <c r="O1013" s="199"/>
      <c r="P1013" s="199"/>
      <c r="Q1013" s="199"/>
      <c r="R1013" s="199"/>
      <c r="S1013" s="199"/>
      <c r="T1013" s="199"/>
      <c r="U1013" s="199"/>
      <c r="V1013" s="199"/>
      <c r="W1013" s="199"/>
    </row>
    <row r="1014" spans="3:23" ht="12.75" customHeight="1">
      <c r="C1014" s="94"/>
      <c r="D1014" s="94"/>
      <c r="E1014" s="94"/>
      <c r="F1014" s="94"/>
      <c r="G1014" s="200"/>
      <c r="H1014" s="94"/>
      <c r="K1014" s="199"/>
      <c r="L1014" s="199"/>
      <c r="M1014" s="199"/>
      <c r="N1014" s="199"/>
      <c r="O1014" s="199"/>
      <c r="P1014" s="199"/>
      <c r="Q1014" s="199"/>
      <c r="R1014" s="199"/>
      <c r="S1014" s="199"/>
      <c r="T1014" s="199"/>
      <c r="U1014" s="199"/>
      <c r="V1014" s="199"/>
      <c r="W1014" s="199"/>
    </row>
    <row r="1015" spans="3:23" ht="12.75" customHeight="1">
      <c r="C1015" s="94"/>
      <c r="D1015" s="94"/>
      <c r="E1015" s="94"/>
      <c r="F1015" s="94"/>
      <c r="G1015" s="200"/>
      <c r="H1015" s="94"/>
      <c r="K1015" s="199"/>
      <c r="L1015" s="199"/>
      <c r="M1015" s="199"/>
      <c r="N1015" s="199"/>
      <c r="O1015" s="199"/>
      <c r="P1015" s="199"/>
      <c r="Q1015" s="199"/>
      <c r="R1015" s="199"/>
      <c r="S1015" s="199"/>
      <c r="T1015" s="199"/>
      <c r="U1015" s="199"/>
      <c r="V1015" s="199"/>
      <c r="W1015" s="199"/>
    </row>
    <row r="1016" spans="3:23" ht="12.75" customHeight="1">
      <c r="C1016" s="94"/>
      <c r="D1016" s="94"/>
      <c r="E1016" s="94"/>
      <c r="F1016" s="94"/>
      <c r="G1016" s="200"/>
      <c r="H1016" s="94"/>
      <c r="K1016" s="199"/>
      <c r="L1016" s="199"/>
      <c r="M1016" s="199"/>
      <c r="N1016" s="199"/>
      <c r="O1016" s="199"/>
      <c r="P1016" s="199"/>
      <c r="Q1016" s="199"/>
      <c r="R1016" s="199"/>
      <c r="S1016" s="199"/>
      <c r="T1016" s="199"/>
      <c r="U1016" s="199"/>
      <c r="V1016" s="199"/>
      <c r="W1016" s="199"/>
    </row>
    <row r="1017" spans="3:23" ht="12.75" customHeight="1">
      <c r="C1017" s="94"/>
      <c r="D1017" s="94"/>
      <c r="E1017" s="94"/>
      <c r="F1017" s="94"/>
      <c r="G1017" s="200"/>
      <c r="H1017" s="94"/>
      <c r="K1017" s="199"/>
      <c r="L1017" s="199"/>
      <c r="M1017" s="199"/>
      <c r="N1017" s="199"/>
      <c r="O1017" s="199"/>
      <c r="P1017" s="199"/>
      <c r="Q1017" s="199"/>
      <c r="R1017" s="199"/>
      <c r="S1017" s="199"/>
      <c r="T1017" s="199"/>
      <c r="U1017" s="199"/>
      <c r="V1017" s="199"/>
      <c r="W1017" s="199"/>
    </row>
    <row r="1018" spans="3:23" ht="12.75" customHeight="1">
      <c r="C1018" s="94"/>
      <c r="D1018" s="94"/>
      <c r="E1018" s="94"/>
      <c r="F1018" s="94"/>
      <c r="G1018" s="200"/>
      <c r="H1018" s="94"/>
      <c r="K1018" s="199"/>
      <c r="L1018" s="199"/>
      <c r="M1018" s="199"/>
      <c r="N1018" s="199"/>
      <c r="O1018" s="199"/>
      <c r="P1018" s="199"/>
      <c r="Q1018" s="199"/>
      <c r="R1018" s="199"/>
      <c r="S1018" s="199"/>
      <c r="T1018" s="199"/>
      <c r="U1018" s="199"/>
      <c r="V1018" s="199"/>
      <c r="W1018" s="199"/>
    </row>
    <row r="1019" spans="3:23" ht="12.75" customHeight="1">
      <c r="C1019" s="94"/>
      <c r="D1019" s="94"/>
      <c r="E1019" s="94"/>
      <c r="F1019" s="94"/>
      <c r="G1019" s="200"/>
      <c r="H1019" s="94"/>
      <c r="K1019" s="199"/>
      <c r="L1019" s="199"/>
      <c r="M1019" s="199"/>
      <c r="N1019" s="199"/>
      <c r="O1019" s="199"/>
      <c r="P1019" s="199"/>
      <c r="Q1019" s="199"/>
      <c r="R1019" s="199"/>
      <c r="S1019" s="199"/>
      <c r="T1019" s="199"/>
      <c r="U1019" s="199"/>
      <c r="V1019" s="199"/>
      <c r="W1019" s="199"/>
    </row>
    <row r="1020" spans="3:23" ht="12.75" customHeight="1">
      <c r="C1020" s="94"/>
      <c r="D1020" s="94"/>
      <c r="E1020" s="94"/>
      <c r="F1020" s="94"/>
      <c r="G1020" s="200"/>
      <c r="H1020" s="94"/>
      <c r="K1020" s="199"/>
      <c r="L1020" s="199"/>
      <c r="M1020" s="199"/>
      <c r="N1020" s="199"/>
      <c r="O1020" s="199"/>
      <c r="P1020" s="199"/>
      <c r="Q1020" s="199"/>
      <c r="R1020" s="199"/>
      <c r="S1020" s="199"/>
      <c r="T1020" s="199"/>
      <c r="U1020" s="199"/>
      <c r="V1020" s="199"/>
      <c r="W1020" s="199"/>
    </row>
    <row r="1021" spans="3:23" ht="12.75" customHeight="1">
      <c r="C1021" s="94"/>
      <c r="D1021" s="94"/>
      <c r="E1021" s="94"/>
      <c r="F1021" s="94"/>
      <c r="G1021" s="200"/>
      <c r="H1021" s="94"/>
      <c r="K1021" s="199"/>
      <c r="L1021" s="199"/>
      <c r="M1021" s="199"/>
      <c r="N1021" s="199"/>
      <c r="O1021" s="199"/>
      <c r="P1021" s="199"/>
      <c r="Q1021" s="199"/>
      <c r="R1021" s="199"/>
      <c r="S1021" s="199"/>
      <c r="T1021" s="199"/>
      <c r="U1021" s="199"/>
      <c r="V1021" s="199"/>
      <c r="W1021" s="199"/>
    </row>
    <row r="1022" spans="3:23" ht="12.75" customHeight="1">
      <c r="C1022" s="94"/>
      <c r="D1022" s="94"/>
      <c r="E1022" s="94"/>
      <c r="F1022" s="94"/>
      <c r="G1022" s="200"/>
      <c r="H1022" s="94"/>
      <c r="K1022" s="199"/>
      <c r="L1022" s="199"/>
      <c r="M1022" s="199"/>
      <c r="N1022" s="199"/>
      <c r="O1022" s="199"/>
      <c r="P1022" s="199"/>
      <c r="Q1022" s="199"/>
      <c r="R1022" s="199"/>
      <c r="S1022" s="199"/>
      <c r="T1022" s="199"/>
      <c r="U1022" s="199"/>
      <c r="V1022" s="199"/>
      <c r="W1022" s="199"/>
    </row>
    <row r="1023" spans="3:23" ht="12.75" customHeight="1">
      <c r="C1023" s="94"/>
      <c r="D1023" s="94"/>
      <c r="E1023" s="94"/>
      <c r="F1023" s="94"/>
      <c r="G1023" s="200"/>
      <c r="H1023" s="94"/>
      <c r="K1023" s="199"/>
      <c r="L1023" s="199"/>
      <c r="M1023" s="199"/>
      <c r="N1023" s="199"/>
      <c r="O1023" s="199"/>
      <c r="P1023" s="199"/>
      <c r="Q1023" s="199"/>
      <c r="R1023" s="199"/>
      <c r="S1023" s="199"/>
      <c r="T1023" s="199"/>
      <c r="U1023" s="199"/>
      <c r="V1023" s="199"/>
      <c r="W1023" s="199"/>
    </row>
    <row r="1024" spans="3:23" ht="12.75" customHeight="1">
      <c r="C1024" s="94"/>
      <c r="D1024" s="94"/>
      <c r="E1024" s="94"/>
      <c r="F1024" s="94"/>
      <c r="G1024" s="200"/>
      <c r="H1024" s="94"/>
      <c r="K1024" s="199"/>
      <c r="L1024" s="199"/>
      <c r="M1024" s="199"/>
      <c r="N1024" s="199"/>
      <c r="O1024" s="199"/>
      <c r="P1024" s="199"/>
      <c r="Q1024" s="199"/>
      <c r="R1024" s="199"/>
      <c r="S1024" s="199"/>
      <c r="T1024" s="199"/>
      <c r="U1024" s="199"/>
      <c r="V1024" s="199"/>
      <c r="W1024" s="199"/>
    </row>
    <row r="1025" spans="3:23" ht="12.75" customHeight="1">
      <c r="C1025" s="94"/>
      <c r="D1025" s="94"/>
      <c r="E1025" s="94"/>
      <c r="F1025" s="94"/>
      <c r="G1025" s="200"/>
      <c r="H1025" s="94"/>
      <c r="K1025" s="199"/>
      <c r="L1025" s="199"/>
      <c r="M1025" s="199"/>
      <c r="N1025" s="199"/>
      <c r="O1025" s="199"/>
      <c r="P1025" s="199"/>
      <c r="Q1025" s="199"/>
      <c r="R1025" s="199"/>
      <c r="S1025" s="199"/>
      <c r="T1025" s="199"/>
      <c r="U1025" s="199"/>
      <c r="V1025" s="199"/>
      <c r="W1025" s="199"/>
    </row>
    <row r="1026" spans="3:23" ht="12.75" customHeight="1">
      <c r="C1026" s="94"/>
      <c r="D1026" s="94"/>
      <c r="E1026" s="94"/>
      <c r="F1026" s="94"/>
      <c r="G1026" s="200"/>
      <c r="H1026" s="94"/>
      <c r="K1026" s="199"/>
      <c r="L1026" s="199"/>
      <c r="M1026" s="199"/>
      <c r="N1026" s="199"/>
      <c r="O1026" s="199"/>
      <c r="P1026" s="199"/>
      <c r="Q1026" s="199"/>
      <c r="R1026" s="199"/>
      <c r="S1026" s="199"/>
      <c r="T1026" s="199"/>
      <c r="U1026" s="199"/>
      <c r="V1026" s="199"/>
      <c r="W1026" s="199"/>
    </row>
    <row r="1027" spans="3:23" ht="12.75" customHeight="1">
      <c r="C1027" s="94"/>
      <c r="D1027" s="94"/>
      <c r="E1027" s="94"/>
      <c r="F1027" s="94"/>
      <c r="G1027" s="200"/>
      <c r="H1027" s="94"/>
      <c r="K1027" s="199"/>
      <c r="L1027" s="199"/>
      <c r="M1027" s="199"/>
      <c r="N1027" s="199"/>
      <c r="O1027" s="199"/>
      <c r="P1027" s="199"/>
      <c r="Q1027" s="199"/>
      <c r="R1027" s="199"/>
      <c r="S1027" s="199"/>
      <c r="T1027" s="199"/>
      <c r="U1027" s="199"/>
      <c r="V1027" s="199"/>
      <c r="W1027" s="199"/>
    </row>
    <row r="1028" spans="3:23" ht="12.75" customHeight="1">
      <c r="C1028" s="94"/>
      <c r="D1028" s="94"/>
      <c r="E1028" s="94"/>
      <c r="F1028" s="94"/>
      <c r="G1028" s="200"/>
      <c r="H1028" s="94"/>
      <c r="K1028" s="199"/>
      <c r="L1028" s="199"/>
      <c r="M1028" s="199"/>
      <c r="N1028" s="199"/>
      <c r="O1028" s="199"/>
      <c r="P1028" s="199"/>
      <c r="Q1028" s="199"/>
      <c r="R1028" s="199"/>
      <c r="S1028" s="199"/>
      <c r="T1028" s="199"/>
      <c r="U1028" s="199"/>
      <c r="V1028" s="199"/>
      <c r="W1028" s="199"/>
    </row>
    <row r="1029" spans="3:23" ht="12.75" customHeight="1">
      <c r="C1029" s="94"/>
      <c r="D1029" s="94"/>
      <c r="E1029" s="94"/>
      <c r="F1029" s="94"/>
      <c r="G1029" s="200"/>
      <c r="H1029" s="94"/>
      <c r="K1029" s="199"/>
      <c r="L1029" s="199"/>
      <c r="M1029" s="199"/>
      <c r="N1029" s="199"/>
      <c r="O1029" s="199"/>
      <c r="P1029" s="199"/>
      <c r="Q1029" s="199"/>
      <c r="R1029" s="199"/>
      <c r="S1029" s="199"/>
      <c r="T1029" s="199"/>
      <c r="U1029" s="199"/>
      <c r="V1029" s="199"/>
      <c r="W1029" s="199"/>
    </row>
    <row r="1030" spans="3:23" ht="12.75" customHeight="1">
      <c r="C1030" s="94"/>
      <c r="D1030" s="94"/>
      <c r="E1030" s="94"/>
      <c r="F1030" s="94"/>
      <c r="G1030" s="200"/>
      <c r="H1030" s="94"/>
      <c r="K1030" s="199"/>
      <c r="L1030" s="199"/>
      <c r="M1030" s="199"/>
      <c r="N1030" s="199"/>
      <c r="O1030" s="199"/>
      <c r="P1030" s="199"/>
      <c r="Q1030" s="199"/>
      <c r="R1030" s="199"/>
      <c r="S1030" s="199"/>
      <c r="T1030" s="199"/>
      <c r="U1030" s="199"/>
      <c r="V1030" s="199"/>
      <c r="W1030" s="199"/>
    </row>
    <row r="1031" spans="3:23" ht="12.75" customHeight="1">
      <c r="C1031" s="94"/>
      <c r="D1031" s="94"/>
      <c r="E1031" s="94"/>
      <c r="F1031" s="94"/>
      <c r="G1031" s="200"/>
      <c r="H1031" s="94"/>
      <c r="K1031" s="199"/>
      <c r="L1031" s="199"/>
      <c r="M1031" s="199"/>
      <c r="N1031" s="199"/>
      <c r="O1031" s="199"/>
      <c r="P1031" s="199"/>
      <c r="Q1031" s="199"/>
      <c r="R1031" s="199"/>
      <c r="S1031" s="199"/>
      <c r="T1031" s="199"/>
      <c r="U1031" s="199"/>
      <c r="V1031" s="199"/>
      <c r="W1031" s="199"/>
    </row>
    <row r="1032" spans="3:23" ht="12.75" customHeight="1">
      <c r="C1032" s="94"/>
      <c r="D1032" s="94"/>
      <c r="E1032" s="94"/>
      <c r="F1032" s="94"/>
      <c r="G1032" s="200"/>
      <c r="H1032" s="94"/>
      <c r="K1032" s="199"/>
      <c r="L1032" s="199"/>
      <c r="M1032" s="199"/>
      <c r="N1032" s="199"/>
      <c r="O1032" s="199"/>
      <c r="P1032" s="199"/>
      <c r="Q1032" s="199"/>
      <c r="R1032" s="199"/>
      <c r="S1032" s="199"/>
      <c r="T1032" s="199"/>
      <c r="U1032" s="199"/>
      <c r="V1032" s="199"/>
      <c r="W1032" s="199"/>
    </row>
    <row r="1033" spans="3:23" ht="12.75" customHeight="1">
      <c r="C1033" s="94"/>
      <c r="D1033" s="94"/>
      <c r="E1033" s="94"/>
      <c r="F1033" s="94"/>
      <c r="G1033" s="200"/>
      <c r="H1033" s="94"/>
      <c r="K1033" s="199"/>
      <c r="L1033" s="199"/>
      <c r="M1033" s="199"/>
      <c r="N1033" s="199"/>
      <c r="O1033" s="199"/>
      <c r="P1033" s="199"/>
      <c r="Q1033" s="199"/>
      <c r="R1033" s="199"/>
      <c r="S1033" s="199"/>
      <c r="T1033" s="199"/>
      <c r="U1033" s="199"/>
      <c r="V1033" s="199"/>
      <c r="W1033" s="199"/>
    </row>
    <row r="1034" spans="3:23" ht="12.75" customHeight="1">
      <c r="C1034" s="94"/>
      <c r="D1034" s="94"/>
      <c r="E1034" s="94"/>
      <c r="F1034" s="94"/>
      <c r="G1034" s="200"/>
      <c r="H1034" s="94"/>
      <c r="K1034" s="199"/>
      <c r="L1034" s="199"/>
      <c r="M1034" s="199"/>
      <c r="N1034" s="199"/>
      <c r="O1034" s="199"/>
      <c r="P1034" s="199"/>
      <c r="Q1034" s="199"/>
      <c r="R1034" s="199"/>
      <c r="S1034" s="199"/>
      <c r="T1034" s="199"/>
      <c r="U1034" s="199"/>
      <c r="V1034" s="199"/>
      <c r="W1034" s="199"/>
    </row>
    <row r="1035" spans="3:23" ht="12.75" customHeight="1">
      <c r="C1035" s="94"/>
      <c r="D1035" s="94"/>
      <c r="E1035" s="94"/>
      <c r="F1035" s="94"/>
      <c r="G1035" s="200"/>
      <c r="H1035" s="94"/>
      <c r="K1035" s="199"/>
      <c r="L1035" s="199"/>
      <c r="M1035" s="199"/>
      <c r="N1035" s="199"/>
      <c r="O1035" s="199"/>
      <c r="P1035" s="199"/>
      <c r="Q1035" s="199"/>
      <c r="R1035" s="199"/>
      <c r="S1035" s="199"/>
      <c r="T1035" s="199"/>
      <c r="U1035" s="199"/>
      <c r="V1035" s="199"/>
      <c r="W1035" s="199"/>
    </row>
    <row r="1036" spans="3:23" ht="12.75" customHeight="1">
      <c r="C1036" s="94"/>
      <c r="D1036" s="94"/>
      <c r="E1036" s="94"/>
      <c r="F1036" s="94"/>
      <c r="G1036" s="200"/>
      <c r="H1036" s="94"/>
      <c r="K1036" s="199"/>
      <c r="L1036" s="199"/>
      <c r="M1036" s="199"/>
      <c r="N1036" s="199"/>
      <c r="O1036" s="199"/>
      <c r="P1036" s="199"/>
      <c r="Q1036" s="199"/>
      <c r="R1036" s="199"/>
      <c r="S1036" s="199"/>
      <c r="T1036" s="199"/>
      <c r="U1036" s="199"/>
      <c r="V1036" s="199"/>
      <c r="W1036" s="199"/>
    </row>
    <row r="1037" spans="3:23" ht="12.75" customHeight="1">
      <c r="C1037" s="94"/>
      <c r="D1037" s="94"/>
      <c r="E1037" s="94"/>
      <c r="F1037" s="94"/>
      <c r="G1037" s="200"/>
      <c r="H1037" s="94"/>
      <c r="K1037" s="199"/>
      <c r="L1037" s="199"/>
      <c r="M1037" s="199"/>
      <c r="N1037" s="199"/>
      <c r="O1037" s="199"/>
      <c r="P1037" s="199"/>
      <c r="Q1037" s="199"/>
      <c r="R1037" s="199"/>
      <c r="S1037" s="199"/>
      <c r="T1037" s="199"/>
      <c r="U1037" s="199"/>
      <c r="V1037" s="199"/>
      <c r="W1037" s="199"/>
    </row>
    <row r="1038" spans="3:23" ht="12.75" customHeight="1">
      <c r="C1038" s="94"/>
      <c r="D1038" s="94"/>
      <c r="E1038" s="94"/>
      <c r="F1038" s="94"/>
      <c r="G1038" s="200"/>
      <c r="H1038" s="94"/>
      <c r="K1038" s="199"/>
      <c r="L1038" s="199"/>
      <c r="M1038" s="199"/>
      <c r="N1038" s="199"/>
      <c r="O1038" s="199"/>
      <c r="P1038" s="199"/>
      <c r="Q1038" s="199"/>
      <c r="R1038" s="199"/>
      <c r="S1038" s="199"/>
      <c r="T1038" s="199"/>
      <c r="U1038" s="199"/>
      <c r="V1038" s="199"/>
      <c r="W1038" s="199"/>
    </row>
    <row r="1039" spans="3:23" ht="12.75" customHeight="1">
      <c r="C1039" s="94"/>
      <c r="D1039" s="94"/>
      <c r="E1039" s="94"/>
      <c r="F1039" s="94"/>
      <c r="G1039" s="200"/>
      <c r="H1039" s="94"/>
      <c r="K1039" s="199"/>
      <c r="L1039" s="199"/>
      <c r="M1039" s="199"/>
      <c r="N1039" s="199"/>
      <c r="O1039" s="199"/>
      <c r="P1039" s="199"/>
      <c r="Q1039" s="199"/>
      <c r="R1039" s="199"/>
      <c r="S1039" s="199"/>
      <c r="T1039" s="199"/>
      <c r="U1039" s="199"/>
      <c r="V1039" s="199"/>
      <c r="W1039" s="199"/>
    </row>
    <row r="1040" spans="3:23" ht="12.75" customHeight="1">
      <c r="C1040" s="94"/>
      <c r="D1040" s="94"/>
      <c r="E1040" s="94"/>
      <c r="F1040" s="94"/>
      <c r="G1040" s="200"/>
      <c r="H1040" s="94"/>
      <c r="K1040" s="199"/>
      <c r="L1040" s="199"/>
      <c r="M1040" s="199"/>
      <c r="N1040" s="199"/>
      <c r="O1040" s="199"/>
      <c r="P1040" s="199"/>
      <c r="Q1040" s="199"/>
      <c r="R1040" s="199"/>
      <c r="S1040" s="199"/>
      <c r="T1040" s="199"/>
      <c r="U1040" s="199"/>
      <c r="V1040" s="199"/>
      <c r="W1040" s="199"/>
    </row>
    <row r="1041" spans="3:23" ht="12.75" customHeight="1">
      <c r="C1041" s="94"/>
      <c r="D1041" s="94"/>
      <c r="E1041" s="94"/>
      <c r="F1041" s="94"/>
      <c r="G1041" s="200"/>
      <c r="H1041" s="94"/>
      <c r="K1041" s="199"/>
      <c r="L1041" s="199"/>
      <c r="M1041" s="199"/>
      <c r="N1041" s="199"/>
      <c r="O1041" s="199"/>
      <c r="P1041" s="199"/>
      <c r="Q1041" s="199"/>
      <c r="R1041" s="199"/>
      <c r="S1041" s="199"/>
      <c r="T1041" s="199"/>
      <c r="U1041" s="199"/>
      <c r="V1041" s="199"/>
      <c r="W1041" s="199"/>
    </row>
    <row r="1042" spans="3:23" ht="12.75" customHeight="1">
      <c r="C1042" s="94"/>
      <c r="D1042" s="94"/>
      <c r="E1042" s="94"/>
      <c r="F1042" s="94"/>
      <c r="G1042" s="200"/>
      <c r="H1042" s="94"/>
      <c r="K1042" s="199"/>
      <c r="L1042" s="199"/>
      <c r="M1042" s="199"/>
      <c r="N1042" s="199"/>
      <c r="O1042" s="199"/>
      <c r="P1042" s="199"/>
      <c r="Q1042" s="199"/>
      <c r="R1042" s="199"/>
      <c r="S1042" s="199"/>
      <c r="T1042" s="199"/>
      <c r="U1042" s="199"/>
      <c r="V1042" s="199"/>
      <c r="W1042" s="199"/>
    </row>
    <row r="1043" spans="3:23" ht="12.75" customHeight="1">
      <c r="K1043" s="209"/>
      <c r="L1043" s="209"/>
      <c r="M1043" s="209"/>
      <c r="N1043" s="209"/>
      <c r="O1043" s="209"/>
      <c r="P1043" s="209"/>
      <c r="Q1043" s="209"/>
      <c r="R1043" s="209"/>
      <c r="S1043" s="209"/>
      <c r="T1043" s="209"/>
      <c r="U1043" s="209"/>
      <c r="V1043" s="209"/>
      <c r="W1043" s="209"/>
    </row>
  </sheetData>
  <autoFilter ref="B1:B1043"/>
  <mergeCells count="2">
    <mergeCell ref="D4:E4"/>
    <mergeCell ref="AG7:AJ7"/>
  </mergeCells>
  <phoneticPr fontId="71" type="noConversion"/>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078"/>
  <sheetViews>
    <sheetView workbookViewId="0">
      <pane xSplit="2" ySplit="5" topLeftCell="AD480" activePane="bottomRight" state="frozen"/>
      <selection pane="topRight" activeCell="C1" sqref="C1"/>
      <selection pane="bottomLeft" activeCell="A6" sqref="A6"/>
      <selection pane="bottomRight" activeCell="B2" sqref="B2"/>
    </sheetView>
  </sheetViews>
  <sheetFormatPr defaultColWidth="12.5546875" defaultRowHeight="15" customHeight="1"/>
  <cols>
    <col min="1" max="1" width="4.6640625" customWidth="1"/>
    <col min="2" max="2" width="46.5546875" customWidth="1"/>
    <col min="3" max="3" width="7" customWidth="1"/>
    <col min="4" max="4" width="7.5546875" bestFit="1" customWidth="1"/>
    <col min="5" max="5" width="7.44140625" customWidth="1"/>
    <col min="6" max="6" width="9.109375" customWidth="1"/>
    <col min="7" max="7" width="8.33203125" customWidth="1"/>
    <col min="8" max="8" width="8.88671875" customWidth="1"/>
    <col min="9" max="9" width="9.33203125" customWidth="1"/>
    <col min="10" max="11" width="8.44140625" customWidth="1"/>
    <col min="12" max="13" width="9.6640625" customWidth="1"/>
    <col min="14" max="14" width="9.33203125" customWidth="1"/>
    <col min="15" max="15" width="2.33203125" customWidth="1"/>
    <col min="16" max="16" width="6.44140625" customWidth="1"/>
    <col min="17" max="17" width="7.6640625" customWidth="1"/>
    <col min="18" max="18" width="10.5546875" customWidth="1"/>
    <col min="19" max="19" width="11" customWidth="1"/>
    <col min="20" max="21" width="9.33203125" customWidth="1"/>
    <col min="22" max="22" width="8.44140625" customWidth="1"/>
    <col min="23" max="27" width="9.33203125" customWidth="1"/>
    <col min="28" max="29" width="6.6640625" customWidth="1"/>
    <col min="30" max="30" width="9.33203125" customWidth="1"/>
    <col min="31" max="31" width="11.44140625" customWidth="1"/>
    <col min="32" max="33" width="9.33203125" customWidth="1"/>
    <col min="34" max="34" width="11.44140625" customWidth="1"/>
    <col min="35" max="36" width="9.33203125" customWidth="1"/>
    <col min="37" max="38" width="10.33203125" customWidth="1"/>
    <col min="39" max="40" width="9.33203125" customWidth="1"/>
    <col min="41" max="42" width="12.33203125" customWidth="1"/>
    <col min="43" max="44" width="9.33203125" customWidth="1"/>
  </cols>
  <sheetData>
    <row r="1" spans="1:44" ht="12.75" customHeight="1">
      <c r="A1" s="41" t="s">
        <v>138</v>
      </c>
      <c r="B1" s="42"/>
      <c r="C1" s="43"/>
      <c r="D1" s="43"/>
      <c r="E1" s="43"/>
      <c r="F1" s="44"/>
      <c r="G1" s="44"/>
      <c r="H1" s="44"/>
      <c r="I1" s="44"/>
      <c r="J1" s="44"/>
      <c r="K1" s="44"/>
      <c r="L1" s="44"/>
      <c r="M1" s="44"/>
      <c r="N1" s="43"/>
      <c r="O1" s="45"/>
      <c r="P1" s="46"/>
      <c r="Q1" s="46"/>
      <c r="R1" s="47"/>
      <c r="S1" s="47"/>
      <c r="T1" s="47"/>
      <c r="U1" s="47"/>
      <c r="V1" s="47"/>
      <c r="W1" s="47"/>
      <c r="X1" s="47"/>
      <c r="Y1" s="47"/>
      <c r="Z1" s="47"/>
      <c r="AA1" s="47"/>
      <c r="AB1" s="47"/>
      <c r="AC1" s="47"/>
      <c r="AD1" s="47"/>
      <c r="AE1" s="47"/>
      <c r="AF1" s="47"/>
      <c r="AG1" s="47"/>
      <c r="AH1" s="47"/>
      <c r="AI1" s="47"/>
      <c r="AJ1" s="47"/>
      <c r="AK1" s="46"/>
      <c r="AL1" s="46"/>
      <c r="AM1" s="46"/>
      <c r="AN1" s="46"/>
      <c r="AO1" s="46"/>
      <c r="AP1" s="46"/>
      <c r="AQ1" s="46"/>
      <c r="AR1" s="46"/>
    </row>
    <row r="2" spans="1:44" ht="12.75" customHeight="1">
      <c r="A2" s="48" t="s">
        <v>139</v>
      </c>
      <c r="B2" s="49"/>
      <c r="C2" s="46"/>
      <c r="D2" s="46"/>
      <c r="E2" s="46"/>
      <c r="F2" s="50"/>
      <c r="G2" s="50"/>
      <c r="H2" s="50"/>
      <c r="I2" s="50"/>
      <c r="J2" s="50"/>
      <c r="K2" s="50"/>
      <c r="L2" s="50"/>
      <c r="M2" s="50"/>
      <c r="N2" s="46"/>
      <c r="O2" s="51"/>
      <c r="P2" s="46"/>
      <c r="Q2" s="46"/>
      <c r="R2" s="47"/>
      <c r="S2" s="47"/>
      <c r="T2" s="47"/>
      <c r="U2" s="47"/>
      <c r="V2" s="47"/>
      <c r="W2" s="47"/>
      <c r="X2" s="47"/>
      <c r="Y2" s="47"/>
      <c r="Z2" s="47"/>
      <c r="AA2" s="47"/>
      <c r="AB2" s="47"/>
      <c r="AC2" s="47"/>
      <c r="AD2" s="47"/>
      <c r="AE2" s="47"/>
      <c r="AF2" s="47"/>
      <c r="AG2" s="47"/>
      <c r="AH2" s="47"/>
      <c r="AI2" s="47"/>
      <c r="AJ2" s="47"/>
      <c r="AK2" s="46"/>
      <c r="AL2" s="46"/>
      <c r="AM2" s="46"/>
      <c r="AN2" s="46"/>
      <c r="AO2" s="46"/>
      <c r="AP2" s="46"/>
      <c r="AQ2" s="46"/>
      <c r="AR2" s="46"/>
    </row>
    <row r="3" spans="1:44" ht="12.75" customHeight="1">
      <c r="A3" s="52"/>
      <c r="B3" s="53"/>
      <c r="C3" s="54"/>
      <c r="D3" s="54"/>
      <c r="E3" s="54"/>
      <c r="F3" s="55"/>
      <c r="G3" s="55"/>
      <c r="H3" s="55"/>
      <c r="I3" s="55"/>
      <c r="J3" s="55"/>
      <c r="K3" s="55"/>
      <c r="L3" s="55"/>
      <c r="M3" s="55"/>
      <c r="N3" s="54"/>
      <c r="O3" s="51"/>
      <c r="P3" s="46"/>
      <c r="Q3" s="46"/>
      <c r="R3" s="795" t="s">
        <v>140</v>
      </c>
      <c r="S3" s="794"/>
      <c r="T3" s="794"/>
      <c r="U3" s="792"/>
      <c r="V3" s="797" t="s">
        <v>141</v>
      </c>
      <c r="W3" s="794"/>
      <c r="X3" s="794"/>
      <c r="Y3" s="792"/>
      <c r="Z3" s="806" t="s">
        <v>142</v>
      </c>
      <c r="AA3" s="792"/>
      <c r="AB3" s="56"/>
      <c r="AC3" s="56"/>
      <c r="AD3" s="807" t="s">
        <v>143</v>
      </c>
      <c r="AE3" s="808"/>
      <c r="AF3" s="809"/>
      <c r="AG3" s="57"/>
      <c r="AH3" s="811" t="s">
        <v>144</v>
      </c>
      <c r="AI3" s="809"/>
      <c r="AJ3" s="54"/>
      <c r="AK3" s="810" t="s">
        <v>145</v>
      </c>
      <c r="AL3" s="809"/>
      <c r="AM3" s="58"/>
      <c r="AN3" s="58"/>
      <c r="AO3" s="59"/>
      <c r="AP3" s="59"/>
      <c r="AQ3" s="46"/>
      <c r="AR3" s="46"/>
    </row>
    <row r="4" spans="1:44" ht="36.75" customHeight="1">
      <c r="A4" s="60" t="s">
        <v>146</v>
      </c>
      <c r="B4" s="61" t="s">
        <v>147</v>
      </c>
      <c r="C4" s="60" t="s">
        <v>148</v>
      </c>
      <c r="D4" s="796" t="s">
        <v>149</v>
      </c>
      <c r="E4" s="792"/>
      <c r="F4" s="63" t="s">
        <v>57</v>
      </c>
      <c r="G4" s="63" t="s">
        <v>25</v>
      </c>
      <c r="H4" s="63" t="s">
        <v>31</v>
      </c>
      <c r="I4" s="64" t="s">
        <v>150</v>
      </c>
      <c r="J4" s="802" t="s">
        <v>151</v>
      </c>
      <c r="K4" s="792"/>
      <c r="L4" s="803" t="s">
        <v>152</v>
      </c>
      <c r="M4" s="792"/>
      <c r="N4" s="62" t="s">
        <v>153</v>
      </c>
      <c r="O4" s="51"/>
      <c r="P4" s="804" t="s">
        <v>154</v>
      </c>
      <c r="Q4" s="805"/>
      <c r="R4" s="795" t="s">
        <v>155</v>
      </c>
      <c r="S4" s="792"/>
      <c r="T4" s="795" t="s">
        <v>156</v>
      </c>
      <c r="U4" s="792"/>
      <c r="V4" s="797" t="s">
        <v>155</v>
      </c>
      <c r="W4" s="792"/>
      <c r="X4" s="797" t="s">
        <v>156</v>
      </c>
      <c r="Y4" s="792"/>
      <c r="Z4" s="65" t="s">
        <v>157</v>
      </c>
      <c r="AA4" s="65" t="s">
        <v>158</v>
      </c>
      <c r="AB4" s="66"/>
      <c r="AC4" s="66"/>
      <c r="AD4" s="67" t="s">
        <v>159</v>
      </c>
      <c r="AE4" s="67" t="s">
        <v>160</v>
      </c>
      <c r="AF4" s="67" t="s">
        <v>161</v>
      </c>
      <c r="AG4" s="68"/>
      <c r="AH4" s="799" t="s">
        <v>162</v>
      </c>
      <c r="AI4" s="792"/>
      <c r="AJ4" s="69"/>
      <c r="AK4" s="800" t="s">
        <v>163</v>
      </c>
      <c r="AL4" s="792"/>
      <c r="AM4" s="801" t="s">
        <v>164</v>
      </c>
      <c r="AN4" s="792"/>
      <c r="AO4" s="798" t="s">
        <v>165</v>
      </c>
      <c r="AP4" s="792"/>
      <c r="AQ4" s="46"/>
      <c r="AR4" s="46"/>
    </row>
    <row r="5" spans="1:44" ht="12.75" customHeight="1">
      <c r="A5" s="70"/>
      <c r="B5" s="71"/>
      <c r="C5" s="70"/>
      <c r="D5" s="70"/>
      <c r="E5" s="70"/>
      <c r="F5" s="72"/>
      <c r="G5" s="72"/>
      <c r="H5" s="72"/>
      <c r="I5" s="72"/>
      <c r="J5" s="73" t="s">
        <v>166</v>
      </c>
      <c r="K5" s="73" t="s">
        <v>167</v>
      </c>
      <c r="L5" s="74" t="s">
        <v>166</v>
      </c>
      <c r="M5" s="74" t="s">
        <v>167</v>
      </c>
      <c r="N5" s="75"/>
      <c r="O5" s="76"/>
      <c r="P5" s="77" t="s">
        <v>168</v>
      </c>
      <c r="Q5" s="77" t="s">
        <v>169</v>
      </c>
      <c r="R5" s="78" t="s">
        <v>170</v>
      </c>
      <c r="S5" s="78" t="s">
        <v>171</v>
      </c>
      <c r="T5" s="78" t="s">
        <v>172</v>
      </c>
      <c r="U5" s="78" t="s">
        <v>173</v>
      </c>
      <c r="V5" s="79" t="s">
        <v>174</v>
      </c>
      <c r="W5" s="79" t="s">
        <v>175</v>
      </c>
      <c r="X5" s="79" t="s">
        <v>176</v>
      </c>
      <c r="Y5" s="79" t="s">
        <v>177</v>
      </c>
      <c r="Z5" s="80" t="s">
        <v>178</v>
      </c>
      <c r="AA5" s="80" t="s">
        <v>179</v>
      </c>
      <c r="AB5" s="81"/>
      <c r="AC5" s="81"/>
      <c r="AD5" s="82" t="s">
        <v>180</v>
      </c>
      <c r="AE5" s="82" t="s">
        <v>181</v>
      </c>
      <c r="AF5" s="82" t="s">
        <v>182</v>
      </c>
      <c r="AG5" s="81"/>
      <c r="AH5" s="83" t="s">
        <v>183</v>
      </c>
      <c r="AI5" s="83" t="s">
        <v>184</v>
      </c>
      <c r="AJ5" s="81"/>
      <c r="AK5" s="84" t="s">
        <v>185</v>
      </c>
      <c r="AL5" s="84" t="s">
        <v>186</v>
      </c>
      <c r="AM5" s="85" t="s">
        <v>187</v>
      </c>
      <c r="AN5" s="85" t="s">
        <v>188</v>
      </c>
      <c r="AO5" s="86" t="s">
        <v>189</v>
      </c>
      <c r="AP5" s="86" t="s">
        <v>190</v>
      </c>
      <c r="AQ5" s="77"/>
      <c r="AR5" s="77"/>
    </row>
    <row r="6" spans="1:44" ht="12.75" customHeight="1">
      <c r="A6" s="87"/>
      <c r="B6" s="87"/>
      <c r="C6" s="88"/>
      <c r="D6" s="88"/>
      <c r="E6" s="88"/>
      <c r="F6" s="89"/>
      <c r="G6" s="89"/>
      <c r="H6" s="89"/>
      <c r="I6" s="89"/>
      <c r="J6" s="89"/>
      <c r="K6" s="88"/>
      <c r="L6" s="88"/>
      <c r="M6" s="88"/>
      <c r="N6" s="88"/>
      <c r="O6" s="90"/>
      <c r="P6" s="88"/>
      <c r="Q6" s="88"/>
      <c r="R6" s="91"/>
      <c r="S6" s="91"/>
      <c r="T6" s="91"/>
      <c r="U6" s="91"/>
      <c r="V6" s="91"/>
      <c r="W6" s="91"/>
      <c r="X6" s="91"/>
      <c r="Y6" s="91"/>
      <c r="Z6" s="91"/>
      <c r="AA6" s="91"/>
      <c r="AB6" s="91"/>
      <c r="AC6" s="91"/>
      <c r="AD6" s="91"/>
      <c r="AE6" s="91"/>
      <c r="AF6" s="91"/>
      <c r="AG6" s="91"/>
      <c r="AH6" s="91"/>
      <c r="AI6" s="91"/>
      <c r="AJ6" s="92"/>
      <c r="AK6" s="88"/>
      <c r="AL6" s="88"/>
      <c r="AM6" s="88"/>
      <c r="AN6" s="88"/>
      <c r="AO6" s="88"/>
      <c r="AP6" s="88"/>
      <c r="AQ6" s="88"/>
      <c r="AR6" s="88"/>
    </row>
    <row r="7" spans="1:44" ht="12.75" customHeight="1">
      <c r="A7" s="93"/>
      <c r="B7" s="93" t="s">
        <v>191</v>
      </c>
      <c r="C7" s="94"/>
      <c r="D7" s="94"/>
      <c r="E7" s="94"/>
      <c r="F7" s="95"/>
      <c r="G7" s="95"/>
      <c r="H7" s="95"/>
      <c r="I7" s="95"/>
      <c r="J7" s="95"/>
      <c r="K7" s="94"/>
      <c r="L7" s="94"/>
      <c r="M7" s="94"/>
      <c r="N7" s="94"/>
      <c r="O7" s="96"/>
      <c r="P7" s="94"/>
      <c r="Q7" s="94"/>
      <c r="R7" s="97"/>
      <c r="S7" s="97"/>
      <c r="T7" s="97"/>
      <c r="U7" s="97"/>
      <c r="V7" s="97"/>
      <c r="W7" s="97"/>
      <c r="X7" s="97"/>
      <c r="Y7" s="97"/>
      <c r="Z7" s="97"/>
      <c r="AA7" s="97"/>
      <c r="AB7" s="97"/>
      <c r="AC7" s="97"/>
      <c r="AD7" s="97"/>
      <c r="AE7" s="97"/>
      <c r="AF7" s="97"/>
      <c r="AG7" s="97"/>
      <c r="AH7" s="97"/>
      <c r="AI7" s="97"/>
      <c r="AJ7" s="98"/>
      <c r="AK7" s="94"/>
      <c r="AL7" s="94"/>
      <c r="AM7" s="94"/>
      <c r="AN7" s="94"/>
      <c r="AO7" s="94"/>
      <c r="AP7" s="94"/>
      <c r="AQ7" s="94"/>
      <c r="AR7" s="94"/>
    </row>
    <row r="8" spans="1:44" ht="12.75" customHeight="1">
      <c r="A8" s="93"/>
      <c r="B8" s="93" t="s">
        <v>192</v>
      </c>
      <c r="C8" s="94" t="s">
        <v>193</v>
      </c>
      <c r="D8" s="94">
        <v>1</v>
      </c>
      <c r="E8" s="94">
        <v>1</v>
      </c>
      <c r="F8" s="95">
        <v>32.1</v>
      </c>
      <c r="G8" s="95">
        <v>23.43</v>
      </c>
      <c r="H8" s="95">
        <v>6.95</v>
      </c>
      <c r="I8" s="95">
        <f>PRODUCT(D8:H8)</f>
        <v>5227.1158500000001</v>
      </c>
      <c r="J8" s="95"/>
      <c r="K8" s="94"/>
      <c r="L8" s="94"/>
      <c r="M8" s="94"/>
      <c r="N8" s="94"/>
      <c r="O8" s="96"/>
      <c r="P8" s="94"/>
      <c r="Q8" s="94"/>
      <c r="R8" s="97"/>
      <c r="S8" s="97"/>
      <c r="T8" s="97"/>
      <c r="U8" s="97"/>
      <c r="V8" s="97"/>
      <c r="W8" s="97"/>
      <c r="X8" s="97"/>
      <c r="Y8" s="97"/>
      <c r="Z8" s="97"/>
      <c r="AA8" s="97"/>
      <c r="AB8" s="97"/>
      <c r="AC8" s="97"/>
      <c r="AD8" s="97"/>
      <c r="AE8" s="97"/>
      <c r="AF8" s="97"/>
      <c r="AG8" s="97"/>
      <c r="AH8" s="97"/>
      <c r="AI8" s="97"/>
      <c r="AJ8" s="98"/>
      <c r="AK8" s="94"/>
      <c r="AL8" s="94"/>
      <c r="AM8" s="94"/>
      <c r="AN8" s="94"/>
      <c r="AO8" s="94"/>
      <c r="AP8" s="94"/>
      <c r="AQ8" s="94"/>
      <c r="AR8" s="94"/>
    </row>
    <row r="9" spans="1:44" ht="12.75" customHeight="1">
      <c r="A9" s="93"/>
      <c r="B9" s="93"/>
      <c r="C9" s="94"/>
      <c r="D9" s="94"/>
      <c r="E9" s="94"/>
      <c r="F9" s="95"/>
      <c r="G9" s="95"/>
      <c r="H9" s="95"/>
      <c r="I9" s="95"/>
      <c r="J9" s="95"/>
      <c r="K9" s="94"/>
      <c r="L9" s="94"/>
      <c r="M9" s="94"/>
      <c r="N9" s="94"/>
      <c r="O9" s="96"/>
      <c r="P9" s="94"/>
      <c r="Q9" s="94"/>
      <c r="R9" s="97"/>
      <c r="S9" s="97"/>
      <c r="T9" s="97"/>
      <c r="U9" s="97"/>
      <c r="V9" s="97"/>
      <c r="W9" s="97"/>
      <c r="X9" s="97"/>
      <c r="Y9" s="97"/>
      <c r="Z9" s="97"/>
      <c r="AA9" s="97"/>
      <c r="AB9" s="97"/>
      <c r="AC9" s="97"/>
      <c r="AD9" s="97"/>
      <c r="AE9" s="97"/>
      <c r="AF9" s="97"/>
      <c r="AG9" s="97"/>
      <c r="AH9" s="97"/>
      <c r="AI9" s="97"/>
      <c r="AJ9" s="98"/>
      <c r="AK9" s="94"/>
      <c r="AL9" s="94"/>
      <c r="AM9" s="94"/>
      <c r="AN9" s="94"/>
      <c r="AO9" s="94"/>
      <c r="AP9" s="94"/>
      <c r="AQ9" s="94"/>
      <c r="AR9" s="94"/>
    </row>
    <row r="10" spans="1:44" ht="12.75" customHeight="1">
      <c r="A10" s="99"/>
      <c r="B10" s="99" t="s">
        <v>194</v>
      </c>
      <c r="C10" s="100"/>
      <c r="D10" s="100"/>
      <c r="E10" s="100"/>
      <c r="F10" s="101"/>
      <c r="G10" s="101"/>
      <c r="H10" s="101"/>
      <c r="I10" s="101">
        <f>SUM(I8:I9)</f>
        <v>5227.1158500000001</v>
      </c>
      <c r="J10" s="95"/>
      <c r="K10" s="94"/>
      <c r="L10" s="94"/>
      <c r="M10" s="94"/>
      <c r="N10" s="94"/>
      <c r="O10" s="96"/>
      <c r="P10" s="94"/>
      <c r="Q10" s="94"/>
      <c r="R10" s="97"/>
      <c r="S10" s="97"/>
      <c r="T10" s="97"/>
      <c r="U10" s="97"/>
      <c r="V10" s="97"/>
      <c r="W10" s="97"/>
      <c r="X10" s="97"/>
      <c r="Y10" s="97"/>
      <c r="Z10" s="97"/>
      <c r="AA10" s="97"/>
      <c r="AB10" s="97"/>
      <c r="AC10" s="97"/>
      <c r="AD10" s="97"/>
      <c r="AE10" s="97"/>
      <c r="AF10" s="97"/>
      <c r="AG10" s="97"/>
      <c r="AH10" s="97"/>
      <c r="AI10" s="97"/>
      <c r="AJ10" s="98"/>
      <c r="AK10" s="94"/>
      <c r="AL10" s="94"/>
      <c r="AM10" s="94"/>
      <c r="AN10" s="94"/>
      <c r="AO10" s="94"/>
      <c r="AP10" s="94"/>
      <c r="AQ10" s="94"/>
      <c r="AR10" s="94"/>
    </row>
    <row r="11" spans="1:44" ht="12.75" customHeight="1">
      <c r="A11" s="87"/>
      <c r="B11" s="87"/>
      <c r="C11" s="88"/>
      <c r="D11" s="88"/>
      <c r="E11" s="88"/>
      <c r="F11" s="89"/>
      <c r="G11" s="89"/>
      <c r="H11" s="89"/>
      <c r="I11" s="89"/>
      <c r="J11" s="89"/>
      <c r="K11" s="88"/>
      <c r="L11" s="88"/>
      <c r="M11" s="88"/>
      <c r="N11" s="88"/>
      <c r="O11" s="90"/>
      <c r="P11" s="88"/>
      <c r="Q11" s="88"/>
      <c r="R11" s="102"/>
      <c r="S11" s="102"/>
      <c r="T11" s="102"/>
      <c r="U11" s="102"/>
      <c r="V11" s="102"/>
      <c r="W11" s="102"/>
      <c r="X11" s="102"/>
      <c r="Y11" s="102"/>
      <c r="Z11" s="102"/>
      <c r="AA11" s="102"/>
      <c r="AB11" s="102"/>
      <c r="AC11" s="102"/>
      <c r="AD11" s="102"/>
      <c r="AE11" s="102"/>
      <c r="AF11" s="102"/>
      <c r="AG11" s="102"/>
      <c r="AH11" s="102"/>
      <c r="AI11" s="102"/>
      <c r="AJ11" s="92"/>
      <c r="AK11" s="88"/>
      <c r="AL11" s="88"/>
      <c r="AM11" s="88"/>
      <c r="AN11" s="88"/>
      <c r="AO11" s="88"/>
      <c r="AP11" s="88"/>
      <c r="AQ11" s="88"/>
      <c r="AR11" s="88"/>
    </row>
    <row r="12" spans="1:44" ht="12.75" customHeight="1">
      <c r="A12" s="93"/>
      <c r="B12" s="93" t="s">
        <v>195</v>
      </c>
      <c r="C12" s="94"/>
      <c r="D12" s="94"/>
      <c r="E12" s="94"/>
      <c r="F12" s="95"/>
      <c r="G12" s="95"/>
      <c r="H12" s="95"/>
      <c r="I12" s="95"/>
      <c r="J12" s="95"/>
      <c r="K12" s="94"/>
      <c r="L12" s="94"/>
      <c r="M12" s="94"/>
      <c r="N12" s="94"/>
      <c r="O12" s="96"/>
      <c r="P12" s="94"/>
      <c r="Q12" s="94"/>
      <c r="R12" s="97"/>
      <c r="S12" s="97"/>
      <c r="T12" s="97"/>
      <c r="U12" s="97"/>
      <c r="V12" s="97"/>
      <c r="W12" s="97"/>
      <c r="X12" s="97"/>
      <c r="Y12" s="97"/>
      <c r="Z12" s="97"/>
      <c r="AA12" s="97"/>
      <c r="AB12" s="97"/>
      <c r="AC12" s="97"/>
      <c r="AD12" s="97"/>
      <c r="AE12" s="97"/>
      <c r="AF12" s="97"/>
      <c r="AG12" s="97"/>
      <c r="AH12" s="97"/>
      <c r="AI12" s="97"/>
      <c r="AJ12" s="98"/>
      <c r="AK12" s="94"/>
      <c r="AL12" s="94"/>
      <c r="AM12" s="94"/>
      <c r="AN12" s="94"/>
      <c r="AO12" s="94"/>
      <c r="AP12" s="94"/>
      <c r="AQ12" s="94"/>
      <c r="AR12" s="94"/>
    </row>
    <row r="13" spans="1:44" ht="12.75" customHeight="1">
      <c r="A13" s="93"/>
      <c r="B13" s="93" t="s">
        <v>196</v>
      </c>
      <c r="C13" s="94" t="s">
        <v>197</v>
      </c>
      <c r="D13" s="94">
        <v>1</v>
      </c>
      <c r="E13" s="94">
        <v>1</v>
      </c>
      <c r="F13" s="95">
        <f>I10</f>
        <v>5227.1158500000001</v>
      </c>
      <c r="G13" s="95"/>
      <c r="H13" s="95"/>
      <c r="I13" s="95">
        <f>PRODUCT(D13:H13)</f>
        <v>5227.1158500000001</v>
      </c>
      <c r="J13" s="95"/>
      <c r="K13" s="94"/>
      <c r="L13" s="94"/>
      <c r="M13" s="94"/>
      <c r="N13" s="94"/>
      <c r="O13" s="96"/>
      <c r="P13" s="94"/>
      <c r="Q13" s="94"/>
      <c r="R13" s="97"/>
      <c r="S13" s="97"/>
      <c r="T13" s="97"/>
      <c r="U13" s="97"/>
      <c r="V13" s="97"/>
      <c r="W13" s="97"/>
      <c r="X13" s="97"/>
      <c r="Y13" s="97"/>
      <c r="Z13" s="97"/>
      <c r="AA13" s="97"/>
      <c r="AB13" s="97"/>
      <c r="AC13" s="97"/>
      <c r="AD13" s="97"/>
      <c r="AE13" s="97"/>
      <c r="AF13" s="97"/>
      <c r="AG13" s="97"/>
      <c r="AH13" s="97"/>
      <c r="AI13" s="97"/>
      <c r="AJ13" s="98"/>
      <c r="AK13" s="94"/>
      <c r="AL13" s="94"/>
      <c r="AM13" s="94"/>
      <c r="AN13" s="94"/>
      <c r="AO13" s="94"/>
      <c r="AP13" s="94"/>
      <c r="AQ13" s="94"/>
      <c r="AR13" s="94"/>
    </row>
    <row r="14" spans="1:44" ht="12.75" customHeight="1">
      <c r="A14" s="93"/>
      <c r="B14" s="93" t="s">
        <v>198</v>
      </c>
      <c r="C14" s="94"/>
      <c r="D14" s="94"/>
      <c r="E14" s="94"/>
      <c r="F14" s="95"/>
      <c r="G14" s="95"/>
      <c r="H14" s="95"/>
      <c r="I14" s="95"/>
      <c r="J14" s="95"/>
      <c r="K14" s="94"/>
      <c r="L14" s="94"/>
      <c r="M14" s="94"/>
      <c r="N14" s="94"/>
      <c r="O14" s="96"/>
      <c r="P14" s="94"/>
      <c r="Q14" s="94"/>
      <c r="R14" s="97"/>
      <c r="S14" s="97"/>
      <c r="T14" s="97"/>
      <c r="U14" s="97"/>
      <c r="V14" s="97"/>
      <c r="W14" s="97"/>
      <c r="X14" s="97"/>
      <c r="Y14" s="97"/>
      <c r="Z14" s="97"/>
      <c r="AA14" s="97"/>
      <c r="AB14" s="97"/>
      <c r="AC14" s="97"/>
      <c r="AD14" s="97"/>
      <c r="AE14" s="97"/>
      <c r="AF14" s="97"/>
      <c r="AG14" s="97"/>
      <c r="AH14" s="97"/>
      <c r="AI14" s="97"/>
      <c r="AJ14" s="98"/>
      <c r="AK14" s="94"/>
      <c r="AL14" s="94"/>
      <c r="AM14" s="94"/>
      <c r="AN14" s="94"/>
      <c r="AO14" s="94"/>
      <c r="AP14" s="94"/>
      <c r="AQ14" s="94"/>
      <c r="AR14" s="94"/>
    </row>
    <row r="15" spans="1:44" ht="12.75" customHeight="1">
      <c r="A15" s="93"/>
      <c r="B15" s="93" t="s">
        <v>199</v>
      </c>
      <c r="C15" s="94" t="s">
        <v>200</v>
      </c>
      <c r="D15" s="94">
        <v>1</v>
      </c>
      <c r="E15" s="94">
        <v>1</v>
      </c>
      <c r="F15" s="95">
        <v>0</v>
      </c>
      <c r="G15" s="95"/>
      <c r="H15" s="95">
        <v>0</v>
      </c>
      <c r="I15" s="95">
        <f t="shared" ref="I15:I16" si="0">PRODUCT(D15:H15)</f>
        <v>0</v>
      </c>
      <c r="J15" s="95"/>
      <c r="K15" s="94"/>
      <c r="L15" s="94"/>
      <c r="M15" s="94"/>
      <c r="N15" s="94"/>
      <c r="O15" s="96"/>
      <c r="P15" s="94"/>
      <c r="Q15" s="94"/>
      <c r="R15" s="97"/>
      <c r="S15" s="97"/>
      <c r="T15" s="97"/>
      <c r="U15" s="97"/>
      <c r="V15" s="97"/>
      <c r="W15" s="97"/>
      <c r="X15" s="97"/>
      <c r="Y15" s="97"/>
      <c r="Z15" s="97"/>
      <c r="AA15" s="97"/>
      <c r="AB15" s="97"/>
      <c r="AC15" s="97"/>
      <c r="AD15" s="97"/>
      <c r="AE15" s="97"/>
      <c r="AF15" s="97"/>
      <c r="AG15" s="97"/>
      <c r="AH15" s="97"/>
      <c r="AI15" s="97"/>
      <c r="AJ15" s="98"/>
      <c r="AK15" s="94"/>
      <c r="AL15" s="94"/>
      <c r="AM15" s="94"/>
      <c r="AN15" s="94"/>
      <c r="AO15" s="94"/>
      <c r="AP15" s="94"/>
      <c r="AQ15" s="94"/>
      <c r="AR15" s="94"/>
    </row>
    <row r="16" spans="1:44" ht="12.75" customHeight="1">
      <c r="A16" s="93"/>
      <c r="B16" s="93" t="s">
        <v>201</v>
      </c>
      <c r="C16" s="94" t="s">
        <v>202</v>
      </c>
      <c r="D16" s="94">
        <v>1</v>
      </c>
      <c r="E16" s="94">
        <v>1</v>
      </c>
      <c r="F16" s="95">
        <v>0</v>
      </c>
      <c r="G16" s="95">
        <v>0</v>
      </c>
      <c r="H16" s="95">
        <f>H15</f>
        <v>0</v>
      </c>
      <c r="I16" s="95">
        <f t="shared" si="0"/>
        <v>0</v>
      </c>
      <c r="J16" s="95"/>
      <c r="K16" s="94"/>
      <c r="L16" s="94"/>
      <c r="M16" s="94"/>
      <c r="N16" s="94"/>
      <c r="O16" s="96"/>
      <c r="P16" s="94"/>
      <c r="Q16" s="94"/>
      <c r="R16" s="97"/>
      <c r="S16" s="97"/>
      <c r="T16" s="97"/>
      <c r="U16" s="97"/>
      <c r="V16" s="97"/>
      <c r="W16" s="97"/>
      <c r="X16" s="97"/>
      <c r="Y16" s="97"/>
      <c r="Z16" s="97"/>
      <c r="AA16" s="97"/>
      <c r="AB16" s="97"/>
      <c r="AC16" s="97"/>
      <c r="AD16" s="97"/>
      <c r="AE16" s="97"/>
      <c r="AF16" s="97"/>
      <c r="AG16" s="97"/>
      <c r="AH16" s="97"/>
      <c r="AI16" s="97"/>
      <c r="AJ16" s="98"/>
      <c r="AK16" s="94"/>
      <c r="AL16" s="94"/>
      <c r="AM16" s="94"/>
      <c r="AN16" s="94"/>
      <c r="AO16" s="94"/>
      <c r="AP16" s="94"/>
      <c r="AQ16" s="94"/>
      <c r="AR16" s="94"/>
    </row>
    <row r="17" spans="1:44" ht="12.75" customHeight="1">
      <c r="A17" s="93"/>
      <c r="B17" s="93" t="s">
        <v>203</v>
      </c>
      <c r="C17" s="94"/>
      <c r="D17" s="94"/>
      <c r="E17" s="94"/>
      <c r="F17" s="95"/>
      <c r="G17" s="95"/>
      <c r="H17" s="95"/>
      <c r="I17" s="95"/>
      <c r="J17" s="95"/>
      <c r="K17" s="94"/>
      <c r="L17" s="94"/>
      <c r="M17" s="94"/>
      <c r="N17" s="94"/>
      <c r="O17" s="96"/>
      <c r="P17" s="94"/>
      <c r="Q17" s="94"/>
      <c r="R17" s="97"/>
      <c r="S17" s="97"/>
      <c r="T17" s="97"/>
      <c r="U17" s="97"/>
      <c r="V17" s="97"/>
      <c r="W17" s="97"/>
      <c r="X17" s="97"/>
      <c r="Y17" s="97"/>
      <c r="Z17" s="97"/>
      <c r="AA17" s="97"/>
      <c r="AB17" s="97"/>
      <c r="AC17" s="97"/>
      <c r="AD17" s="97"/>
      <c r="AE17" s="97"/>
      <c r="AF17" s="97"/>
      <c r="AG17" s="97"/>
      <c r="AH17" s="97"/>
      <c r="AI17" s="97"/>
      <c r="AJ17" s="98"/>
      <c r="AK17" s="94"/>
      <c r="AL17" s="94"/>
      <c r="AM17" s="94"/>
      <c r="AN17" s="94"/>
      <c r="AO17" s="94"/>
      <c r="AP17" s="94"/>
      <c r="AQ17" s="94"/>
      <c r="AR17" s="94"/>
    </row>
    <row r="18" spans="1:44" ht="12.75" customHeight="1">
      <c r="A18" s="93"/>
      <c r="B18" s="93"/>
      <c r="C18" s="94"/>
      <c r="D18" s="94"/>
      <c r="E18" s="94"/>
      <c r="F18" s="95"/>
      <c r="G18" s="95"/>
      <c r="H18" s="95"/>
      <c r="I18" s="95"/>
      <c r="J18" s="95"/>
      <c r="K18" s="94"/>
      <c r="L18" s="94"/>
      <c r="M18" s="94"/>
      <c r="N18" s="94"/>
      <c r="O18" s="96"/>
      <c r="P18" s="94"/>
      <c r="Q18" s="94"/>
      <c r="R18" s="97"/>
      <c r="S18" s="97"/>
      <c r="T18" s="97"/>
      <c r="U18" s="97"/>
      <c r="V18" s="97"/>
      <c r="W18" s="97"/>
      <c r="X18" s="97"/>
      <c r="Y18" s="97"/>
      <c r="Z18" s="97"/>
      <c r="AA18" s="97"/>
      <c r="AB18" s="97"/>
      <c r="AC18" s="97"/>
      <c r="AD18" s="97"/>
      <c r="AE18" s="97"/>
      <c r="AF18" s="97"/>
      <c r="AG18" s="97"/>
      <c r="AH18" s="97"/>
      <c r="AI18" s="97"/>
      <c r="AJ18" s="98"/>
      <c r="AK18" s="94"/>
      <c r="AL18" s="94"/>
      <c r="AM18" s="94"/>
      <c r="AN18" s="94"/>
      <c r="AO18" s="94"/>
      <c r="AP18" s="94"/>
      <c r="AQ18" s="94"/>
      <c r="AR18" s="94"/>
    </row>
    <row r="19" spans="1:44" ht="12.75" customHeight="1">
      <c r="A19" s="99"/>
      <c r="B19" s="99" t="s">
        <v>194</v>
      </c>
      <c r="C19" s="100"/>
      <c r="D19" s="100"/>
      <c r="E19" s="100"/>
      <c r="F19" s="101"/>
      <c r="G19" s="101"/>
      <c r="H19" s="101"/>
      <c r="I19" s="101">
        <f>SUM(I13:I18)</f>
        <v>5227.1158500000001</v>
      </c>
      <c r="J19" s="95"/>
      <c r="K19" s="94"/>
      <c r="L19" s="94"/>
      <c r="M19" s="94"/>
      <c r="N19" s="94"/>
      <c r="O19" s="96"/>
      <c r="P19" s="94"/>
      <c r="Q19" s="94"/>
      <c r="R19" s="97"/>
      <c r="S19" s="97"/>
      <c r="T19" s="97"/>
      <c r="U19" s="97"/>
      <c r="V19" s="97"/>
      <c r="W19" s="97"/>
      <c r="X19" s="97"/>
      <c r="Y19" s="97"/>
      <c r="Z19" s="97"/>
      <c r="AA19" s="97"/>
      <c r="AB19" s="97"/>
      <c r="AC19" s="97"/>
      <c r="AD19" s="97"/>
      <c r="AE19" s="97"/>
      <c r="AF19" s="97"/>
      <c r="AG19" s="97"/>
      <c r="AH19" s="97"/>
      <c r="AI19" s="97"/>
      <c r="AJ19" s="98"/>
      <c r="AK19" s="94"/>
      <c r="AL19" s="94"/>
      <c r="AM19" s="94"/>
      <c r="AN19" s="94"/>
      <c r="AO19" s="94"/>
      <c r="AP19" s="94"/>
      <c r="AQ19" s="94"/>
      <c r="AR19" s="94"/>
    </row>
    <row r="20" spans="1:44" ht="12.75" customHeight="1">
      <c r="A20" s="87"/>
      <c r="B20" s="87"/>
      <c r="C20" s="88"/>
      <c r="D20" s="88"/>
      <c r="E20" s="88"/>
      <c r="F20" s="89"/>
      <c r="G20" s="89"/>
      <c r="H20" s="89"/>
      <c r="I20" s="89"/>
      <c r="J20" s="89"/>
      <c r="K20" s="88"/>
      <c r="L20" s="88"/>
      <c r="M20" s="88"/>
      <c r="N20" s="88"/>
      <c r="O20" s="90"/>
      <c r="P20" s="88"/>
      <c r="Q20" s="88"/>
      <c r="R20" s="102"/>
      <c r="S20" s="102"/>
      <c r="T20" s="102"/>
      <c r="U20" s="102"/>
      <c r="V20" s="102"/>
      <c r="W20" s="102"/>
      <c r="X20" s="102"/>
      <c r="Y20" s="102"/>
      <c r="Z20" s="102"/>
      <c r="AA20" s="102"/>
      <c r="AB20" s="102"/>
      <c r="AC20" s="102"/>
      <c r="AD20" s="102"/>
      <c r="AE20" s="102"/>
      <c r="AF20" s="102"/>
      <c r="AG20" s="102"/>
      <c r="AH20" s="102"/>
      <c r="AI20" s="102"/>
      <c r="AJ20" s="92"/>
      <c r="AK20" s="88"/>
      <c r="AL20" s="88"/>
      <c r="AM20" s="88"/>
      <c r="AN20" s="88"/>
      <c r="AO20" s="88"/>
      <c r="AP20" s="88"/>
      <c r="AQ20" s="88"/>
      <c r="AR20" s="88"/>
    </row>
    <row r="21" spans="1:44" ht="12.75" customHeight="1">
      <c r="A21" s="93"/>
      <c r="B21" s="93" t="s">
        <v>204</v>
      </c>
      <c r="C21" s="94" t="s">
        <v>205</v>
      </c>
      <c r="D21" s="94">
        <v>1</v>
      </c>
      <c r="E21" s="94">
        <v>1</v>
      </c>
      <c r="F21" s="95">
        <v>0</v>
      </c>
      <c r="G21" s="95">
        <v>0</v>
      </c>
      <c r="H21" s="95">
        <v>0</v>
      </c>
      <c r="I21" s="95">
        <f>PRODUCT(D21:H21)</f>
        <v>0</v>
      </c>
      <c r="J21" s="95"/>
      <c r="K21" s="94"/>
      <c r="L21" s="94"/>
      <c r="M21" s="94"/>
      <c r="N21" s="94"/>
      <c r="O21" s="96"/>
      <c r="P21" s="94"/>
      <c r="Q21" s="94"/>
      <c r="R21" s="97"/>
      <c r="S21" s="97"/>
      <c r="T21" s="97"/>
      <c r="U21" s="97"/>
      <c r="V21" s="97"/>
      <c r="W21" s="97"/>
      <c r="X21" s="97"/>
      <c r="Y21" s="97"/>
      <c r="Z21" s="97"/>
      <c r="AA21" s="97"/>
      <c r="AB21" s="97"/>
      <c r="AC21" s="97"/>
      <c r="AD21" s="97"/>
      <c r="AE21" s="97"/>
      <c r="AF21" s="97"/>
      <c r="AG21" s="97"/>
      <c r="AH21" s="97"/>
      <c r="AI21" s="97"/>
      <c r="AJ21" s="98"/>
      <c r="AK21" s="94"/>
      <c r="AL21" s="94"/>
      <c r="AM21" s="94"/>
      <c r="AN21" s="94"/>
      <c r="AO21" s="94"/>
      <c r="AP21" s="94"/>
      <c r="AQ21" s="94"/>
      <c r="AR21" s="94"/>
    </row>
    <row r="22" spans="1:44" ht="12.75" customHeight="1">
      <c r="A22" s="93"/>
      <c r="B22" s="93"/>
      <c r="C22" s="94"/>
      <c r="D22" s="94"/>
      <c r="E22" s="94"/>
      <c r="F22" s="95"/>
      <c r="G22" s="95"/>
      <c r="H22" s="95"/>
      <c r="I22" s="95"/>
      <c r="J22" s="95"/>
      <c r="K22" s="94"/>
      <c r="L22" s="94"/>
      <c r="M22" s="94"/>
      <c r="N22" s="94"/>
      <c r="O22" s="96"/>
      <c r="P22" s="94"/>
      <c r="Q22" s="94"/>
      <c r="R22" s="97"/>
      <c r="S22" s="97"/>
      <c r="T22" s="97"/>
      <c r="U22" s="97"/>
      <c r="V22" s="97"/>
      <c r="W22" s="97"/>
      <c r="X22" s="97"/>
      <c r="Y22" s="97"/>
      <c r="Z22" s="97"/>
      <c r="AA22" s="97"/>
      <c r="AB22" s="97"/>
      <c r="AC22" s="97"/>
      <c r="AD22" s="97"/>
      <c r="AE22" s="97"/>
      <c r="AF22" s="97"/>
      <c r="AG22" s="97"/>
      <c r="AH22" s="97"/>
      <c r="AI22" s="97"/>
      <c r="AJ22" s="98"/>
      <c r="AK22" s="94"/>
      <c r="AL22" s="94"/>
      <c r="AM22" s="94"/>
      <c r="AN22" s="94"/>
      <c r="AO22" s="94"/>
      <c r="AP22" s="94"/>
      <c r="AQ22" s="94"/>
      <c r="AR22" s="94"/>
    </row>
    <row r="23" spans="1:44" ht="12.75" customHeight="1">
      <c r="A23" s="99"/>
      <c r="B23" s="99" t="s">
        <v>194</v>
      </c>
      <c r="C23" s="100"/>
      <c r="D23" s="100"/>
      <c r="E23" s="100"/>
      <c r="F23" s="101"/>
      <c r="G23" s="101"/>
      <c r="H23" s="101"/>
      <c r="I23" s="101">
        <f>SUM(I21:I22)</f>
        <v>0</v>
      </c>
      <c r="J23" s="95"/>
      <c r="K23" s="94"/>
      <c r="L23" s="94"/>
      <c r="M23" s="94"/>
      <c r="N23" s="94"/>
      <c r="O23" s="96"/>
      <c r="P23" s="94"/>
      <c r="Q23" s="94"/>
      <c r="R23" s="97"/>
      <c r="S23" s="97"/>
      <c r="T23" s="97"/>
      <c r="U23" s="97"/>
      <c r="V23" s="97"/>
      <c r="W23" s="97"/>
      <c r="X23" s="97"/>
      <c r="Y23" s="97"/>
      <c r="Z23" s="97"/>
      <c r="AA23" s="97"/>
      <c r="AB23" s="97"/>
      <c r="AC23" s="97"/>
      <c r="AD23" s="97"/>
      <c r="AE23" s="97"/>
      <c r="AF23" s="97"/>
      <c r="AG23" s="97"/>
      <c r="AH23" s="97"/>
      <c r="AI23" s="97"/>
      <c r="AJ23" s="98"/>
      <c r="AK23" s="94"/>
      <c r="AL23" s="94"/>
      <c r="AM23" s="94"/>
      <c r="AN23" s="94"/>
      <c r="AO23" s="94"/>
      <c r="AP23" s="94"/>
      <c r="AQ23" s="94"/>
      <c r="AR23" s="94"/>
    </row>
    <row r="24" spans="1:44" ht="12.75" customHeight="1">
      <c r="A24" s="87"/>
      <c r="B24" s="87"/>
      <c r="C24" s="88"/>
      <c r="D24" s="88"/>
      <c r="E24" s="88"/>
      <c r="F24" s="89"/>
      <c r="G24" s="89"/>
      <c r="H24" s="89"/>
      <c r="I24" s="89"/>
      <c r="J24" s="89"/>
      <c r="K24" s="88"/>
      <c r="L24" s="88"/>
      <c r="M24" s="88"/>
      <c r="N24" s="88"/>
      <c r="O24" s="90"/>
      <c r="P24" s="88"/>
      <c r="Q24" s="88"/>
      <c r="R24" s="102"/>
      <c r="S24" s="102"/>
      <c r="T24" s="102"/>
      <c r="U24" s="102"/>
      <c r="V24" s="102"/>
      <c r="W24" s="102"/>
      <c r="X24" s="102"/>
      <c r="Y24" s="102"/>
      <c r="Z24" s="102"/>
      <c r="AA24" s="102"/>
      <c r="AB24" s="102"/>
      <c r="AC24" s="102"/>
      <c r="AD24" s="102"/>
      <c r="AE24" s="102"/>
      <c r="AF24" s="102"/>
      <c r="AG24" s="102"/>
      <c r="AH24" s="102"/>
      <c r="AI24" s="102"/>
      <c r="AJ24" s="92"/>
      <c r="AK24" s="88"/>
      <c r="AL24" s="88"/>
      <c r="AM24" s="88"/>
      <c r="AN24" s="88"/>
      <c r="AO24" s="88"/>
      <c r="AP24" s="88"/>
      <c r="AQ24" s="88"/>
      <c r="AR24" s="88"/>
    </row>
    <row r="25" spans="1:44" ht="12.75" customHeight="1">
      <c r="A25" s="93"/>
      <c r="B25" s="93" t="s">
        <v>206</v>
      </c>
      <c r="C25" s="94"/>
      <c r="D25" s="94"/>
      <c r="E25" s="94"/>
      <c r="F25" s="95"/>
      <c r="G25" s="95"/>
      <c r="H25" s="95"/>
      <c r="I25" s="95"/>
      <c r="J25" s="95"/>
      <c r="K25" s="94"/>
      <c r="L25" s="94"/>
      <c r="M25" s="94"/>
      <c r="N25" s="94"/>
      <c r="O25" s="96"/>
      <c r="P25" s="94"/>
      <c r="Q25" s="94"/>
      <c r="R25" s="103"/>
      <c r="S25" s="103"/>
      <c r="T25" s="103"/>
      <c r="U25" s="103"/>
      <c r="V25" s="103"/>
      <c r="W25" s="103"/>
      <c r="X25" s="103"/>
      <c r="Y25" s="103"/>
      <c r="Z25" s="103"/>
      <c r="AA25" s="103"/>
      <c r="AB25" s="103"/>
      <c r="AC25" s="103"/>
      <c r="AD25" s="103"/>
      <c r="AE25" s="103"/>
      <c r="AF25" s="103"/>
      <c r="AG25" s="103"/>
      <c r="AH25" s="103"/>
      <c r="AI25" s="103"/>
      <c r="AJ25" s="98"/>
      <c r="AK25" s="94"/>
      <c r="AL25" s="94"/>
      <c r="AM25" s="94"/>
      <c r="AN25" s="94"/>
      <c r="AO25" s="94"/>
      <c r="AP25" s="94"/>
      <c r="AQ25" s="94"/>
      <c r="AR25" s="94"/>
    </row>
    <row r="26" spans="1:44" ht="12.75" customHeight="1">
      <c r="A26" s="93"/>
      <c r="B26" s="104" t="s">
        <v>207</v>
      </c>
      <c r="C26" s="94"/>
      <c r="D26" s="94"/>
      <c r="E26" s="94"/>
      <c r="F26" s="95"/>
      <c r="G26" s="95"/>
      <c r="H26" s="95"/>
      <c r="I26" s="95"/>
      <c r="J26" s="95"/>
      <c r="K26" s="94"/>
      <c r="L26" s="94"/>
      <c r="M26" s="94"/>
      <c r="N26" s="94"/>
      <c r="O26" s="96"/>
      <c r="P26" s="94"/>
      <c r="Q26" s="94"/>
      <c r="R26" s="103"/>
      <c r="S26" s="103"/>
      <c r="T26" s="103"/>
      <c r="U26" s="103"/>
      <c r="V26" s="103"/>
      <c r="W26" s="103"/>
      <c r="X26" s="103"/>
      <c r="Y26" s="103"/>
      <c r="Z26" s="103"/>
      <c r="AA26" s="103"/>
      <c r="AB26" s="103"/>
      <c r="AC26" s="103"/>
      <c r="AD26" s="103"/>
      <c r="AE26" s="103"/>
      <c r="AF26" s="103"/>
      <c r="AG26" s="103"/>
      <c r="AH26" s="103"/>
      <c r="AI26" s="103"/>
      <c r="AJ26" s="98"/>
      <c r="AK26" s="94"/>
      <c r="AL26" s="94"/>
      <c r="AM26" s="94"/>
      <c r="AN26" s="94"/>
      <c r="AO26" s="94"/>
      <c r="AP26" s="94"/>
      <c r="AQ26" s="94"/>
      <c r="AR26" s="94"/>
    </row>
    <row r="27" spans="1:44" ht="12.75" customHeight="1">
      <c r="A27" s="93"/>
      <c r="B27" s="93" t="s">
        <v>208</v>
      </c>
      <c r="C27" s="94" t="s">
        <v>209</v>
      </c>
      <c r="D27" s="94">
        <v>1</v>
      </c>
      <c r="E27" s="94">
        <v>1</v>
      </c>
      <c r="F27" s="95">
        <v>32.1</v>
      </c>
      <c r="G27" s="95">
        <v>23.43</v>
      </c>
      <c r="H27" s="95">
        <v>0.8</v>
      </c>
      <c r="I27" s="95"/>
      <c r="J27" s="95">
        <f>875+(121*0.1)+(33*0.1)</f>
        <v>890.4</v>
      </c>
      <c r="K27" s="94">
        <v>875</v>
      </c>
      <c r="L27" s="94">
        <v>121</v>
      </c>
      <c r="M27" s="94">
        <v>120</v>
      </c>
      <c r="N27" s="94"/>
      <c r="O27" s="96"/>
      <c r="P27" s="105">
        <v>0.1</v>
      </c>
      <c r="Q27" s="105">
        <v>0.1</v>
      </c>
      <c r="R27" s="103">
        <f>(((F27+Q27*2)*(G27+Q27*2))*P27)*E27*D27</f>
        <v>76.3249</v>
      </c>
      <c r="S27" s="103">
        <f>((J27*P27)*E27*D27)</f>
        <v>89.04</v>
      </c>
      <c r="T27" s="103">
        <f>((((F27+Q27*2)+(G27+Q27*2))*2)*P27)*E27*D27</f>
        <v>11.186000000000002</v>
      </c>
      <c r="U27" s="103">
        <f>((L27*P27)*E27*D27)</f>
        <v>12.100000000000001</v>
      </c>
      <c r="V27" s="103">
        <f>(((F27*G27*H27)*E27*D27))</f>
        <v>601.68240000000003</v>
      </c>
      <c r="W27" s="103">
        <f>((K27*H27)*E27*D27)</f>
        <v>700</v>
      </c>
      <c r="X27" s="103">
        <f>((F27*2+G27*2)*H27)*E27*D27</f>
        <v>88.848000000000013</v>
      </c>
      <c r="Y27" s="103">
        <f>((M27*H27)*E27*D27)</f>
        <v>96</v>
      </c>
      <c r="Z27" s="103">
        <f>(R27/P27)+(S27/P27)</f>
        <v>1653.6489999999999</v>
      </c>
      <c r="AA27" s="103">
        <f>(T27*2+U27*2)</f>
        <v>46.572000000000003</v>
      </c>
      <c r="AB27" s="103"/>
      <c r="AC27" s="103"/>
      <c r="AD27" s="103">
        <f>(((F27*G27)*E27*D27))+K27</f>
        <v>1627.1030000000001</v>
      </c>
      <c r="AE27" s="103">
        <f>(X27+Y27)</f>
        <v>184.84800000000001</v>
      </c>
      <c r="AF27" s="103">
        <f>AD27</f>
        <v>1627.1030000000001</v>
      </c>
      <c r="AG27" s="103"/>
      <c r="AH27" s="103"/>
      <c r="AI27" s="103"/>
      <c r="AJ27" s="98"/>
      <c r="AK27" s="94"/>
      <c r="AL27" s="94"/>
      <c r="AM27" s="94"/>
      <c r="AN27" s="94"/>
      <c r="AO27" s="94"/>
      <c r="AP27" s="94"/>
      <c r="AQ27" s="94"/>
      <c r="AR27" s="94"/>
    </row>
    <row r="28" spans="1:44" ht="12.75" customHeight="1">
      <c r="A28" s="93"/>
      <c r="B28" s="93" t="s">
        <v>210</v>
      </c>
      <c r="C28" s="94" t="s">
        <v>211</v>
      </c>
      <c r="D28" s="94">
        <v>1</v>
      </c>
      <c r="E28" s="94">
        <v>1</v>
      </c>
      <c r="F28" s="95"/>
      <c r="G28" s="95"/>
      <c r="H28" s="95"/>
      <c r="I28" s="95"/>
      <c r="J28" s="95"/>
      <c r="K28" s="94"/>
      <c r="L28" s="94"/>
      <c r="M28" s="94"/>
      <c r="N28" s="94"/>
      <c r="O28" s="96"/>
      <c r="P28" s="105"/>
      <c r="Q28" s="105"/>
      <c r="R28" s="106"/>
      <c r="S28" s="106"/>
      <c r="T28" s="106"/>
      <c r="U28" s="106"/>
      <c r="V28" s="106"/>
      <c r="W28" s="106"/>
      <c r="X28" s="106"/>
      <c r="Y28" s="106"/>
      <c r="Z28" s="106"/>
      <c r="AA28" s="106"/>
      <c r="AB28" s="106"/>
      <c r="AC28" s="106"/>
      <c r="AD28" s="106"/>
      <c r="AE28" s="106"/>
      <c r="AF28" s="106"/>
      <c r="AG28" s="106"/>
      <c r="AH28" s="106"/>
      <c r="AI28" s="106"/>
      <c r="AJ28" s="98"/>
      <c r="AK28" s="94"/>
      <c r="AL28" s="94"/>
      <c r="AM28" s="94"/>
      <c r="AN28" s="94"/>
      <c r="AO28" s="94"/>
      <c r="AP28" s="94"/>
      <c r="AQ28" s="94"/>
      <c r="AR28" s="94"/>
    </row>
    <row r="29" spans="1:44" ht="12.75" customHeight="1">
      <c r="A29" s="93"/>
      <c r="B29" s="93" t="s">
        <v>212</v>
      </c>
      <c r="C29" s="94" t="s">
        <v>213</v>
      </c>
      <c r="D29" s="94">
        <v>1</v>
      </c>
      <c r="E29" s="94">
        <v>1</v>
      </c>
      <c r="F29" s="95"/>
      <c r="G29" s="95"/>
      <c r="H29" s="95"/>
      <c r="I29" s="95"/>
      <c r="J29" s="95"/>
      <c r="K29" s="94"/>
      <c r="L29" s="94"/>
      <c r="M29" s="94"/>
      <c r="N29" s="94"/>
      <c r="O29" s="96"/>
      <c r="P29" s="105"/>
      <c r="Q29" s="105"/>
      <c r="R29" s="106"/>
      <c r="S29" s="106"/>
      <c r="T29" s="106"/>
      <c r="U29" s="106"/>
      <c r="V29" s="106"/>
      <c r="W29" s="106"/>
      <c r="X29" s="106"/>
      <c r="Y29" s="106"/>
      <c r="Z29" s="106"/>
      <c r="AA29" s="106"/>
      <c r="AB29" s="106"/>
      <c r="AC29" s="106"/>
      <c r="AD29" s="106"/>
      <c r="AE29" s="106"/>
      <c r="AF29" s="106"/>
      <c r="AG29" s="106"/>
      <c r="AH29" s="106"/>
      <c r="AI29" s="106"/>
      <c r="AJ29" s="98"/>
      <c r="AK29" s="94"/>
      <c r="AL29" s="94"/>
      <c r="AM29" s="94"/>
      <c r="AN29" s="94"/>
      <c r="AO29" s="94"/>
      <c r="AP29" s="94"/>
      <c r="AQ29" s="94"/>
      <c r="AR29" s="94"/>
    </row>
    <row r="30" spans="1:44" ht="12.75" customHeight="1">
      <c r="A30" s="93"/>
      <c r="B30" s="93"/>
      <c r="C30" s="94"/>
      <c r="D30" s="94"/>
      <c r="E30" s="94"/>
      <c r="F30" s="95"/>
      <c r="G30" s="95"/>
      <c r="H30" s="95"/>
      <c r="I30" s="95"/>
      <c r="J30" s="95"/>
      <c r="K30" s="94"/>
      <c r="L30" s="94"/>
      <c r="M30" s="94"/>
      <c r="N30" s="94"/>
      <c r="O30" s="96"/>
      <c r="P30" s="105"/>
      <c r="Q30" s="105"/>
      <c r="R30" s="106"/>
      <c r="S30" s="106"/>
      <c r="T30" s="106"/>
      <c r="U30" s="106"/>
      <c r="V30" s="106"/>
      <c r="W30" s="106"/>
      <c r="X30" s="106"/>
      <c r="Y30" s="106"/>
      <c r="Z30" s="106"/>
      <c r="AA30" s="106"/>
      <c r="AB30" s="106"/>
      <c r="AC30" s="106"/>
      <c r="AD30" s="106"/>
      <c r="AE30" s="106"/>
      <c r="AF30" s="106"/>
      <c r="AG30" s="106"/>
      <c r="AH30" s="106"/>
      <c r="AI30" s="106"/>
      <c r="AJ30" s="98"/>
      <c r="AK30" s="94"/>
      <c r="AL30" s="94"/>
      <c r="AM30" s="94"/>
      <c r="AN30" s="94"/>
      <c r="AO30" s="94"/>
      <c r="AP30" s="94"/>
      <c r="AQ30" s="94"/>
      <c r="AR30" s="94"/>
    </row>
    <row r="31" spans="1:44" ht="12.75" customHeight="1">
      <c r="A31" s="107"/>
      <c r="B31" s="108" t="s">
        <v>194</v>
      </c>
      <c r="C31" s="109"/>
      <c r="D31" s="109"/>
      <c r="E31" s="109"/>
      <c r="F31" s="110"/>
      <c r="G31" s="110"/>
      <c r="H31" s="110"/>
      <c r="I31" s="110"/>
      <c r="J31" s="110"/>
      <c r="K31" s="109"/>
      <c r="L31" s="109"/>
      <c r="M31" s="109"/>
      <c r="N31" s="111"/>
      <c r="O31" s="112"/>
      <c r="P31" s="113"/>
      <c r="Q31" s="109"/>
      <c r="R31" s="114">
        <f t="shared" ref="R31:AA31" si="1">SUM(R27:R30)</f>
        <v>76.3249</v>
      </c>
      <c r="S31" s="114">
        <f t="shared" si="1"/>
        <v>89.04</v>
      </c>
      <c r="T31" s="114">
        <f t="shared" si="1"/>
        <v>11.186000000000002</v>
      </c>
      <c r="U31" s="114">
        <f t="shared" si="1"/>
        <v>12.100000000000001</v>
      </c>
      <c r="V31" s="114">
        <f t="shared" si="1"/>
        <v>601.68240000000003</v>
      </c>
      <c r="W31" s="114">
        <f t="shared" si="1"/>
        <v>700</v>
      </c>
      <c r="X31" s="114">
        <f t="shared" si="1"/>
        <v>88.848000000000013</v>
      </c>
      <c r="Y31" s="114">
        <f t="shared" si="1"/>
        <v>96</v>
      </c>
      <c r="Z31" s="114">
        <f t="shared" si="1"/>
        <v>1653.6489999999999</v>
      </c>
      <c r="AA31" s="114">
        <f t="shared" si="1"/>
        <v>46.572000000000003</v>
      </c>
      <c r="AB31" s="114"/>
      <c r="AC31" s="114"/>
      <c r="AD31" s="114">
        <f t="shared" ref="AD31:AF31" si="2">SUM(AD27:AD30)</f>
        <v>1627.1030000000001</v>
      </c>
      <c r="AE31" s="114">
        <f t="shared" si="2"/>
        <v>184.84800000000001</v>
      </c>
      <c r="AF31" s="114">
        <f t="shared" si="2"/>
        <v>1627.1030000000001</v>
      </c>
      <c r="AG31" s="114"/>
      <c r="AH31" s="114">
        <f t="shared" ref="AH31:AI31" si="3">SUM(AH27:AH30)</f>
        <v>0</v>
      </c>
      <c r="AI31" s="114">
        <f t="shared" si="3"/>
        <v>0</v>
      </c>
      <c r="AJ31" s="115"/>
      <c r="AK31" s="114">
        <f t="shared" ref="AK31:AL31" si="4">SUM(AK27:AK30)</f>
        <v>0</v>
      </c>
      <c r="AL31" s="114">
        <f t="shared" si="4"/>
        <v>0</v>
      </c>
      <c r="AM31" s="94"/>
      <c r="AN31" s="94"/>
      <c r="AO31" s="94"/>
      <c r="AP31" s="94"/>
      <c r="AQ31" s="94"/>
      <c r="AR31" s="94"/>
    </row>
    <row r="32" spans="1:44" ht="12.75" customHeight="1">
      <c r="A32" s="87"/>
      <c r="B32" s="87"/>
      <c r="C32" s="88"/>
      <c r="D32" s="88"/>
      <c r="E32" s="88"/>
      <c r="F32" s="89"/>
      <c r="G32" s="89"/>
      <c r="H32" s="89"/>
      <c r="I32" s="89"/>
      <c r="J32" s="92"/>
      <c r="K32" s="88"/>
      <c r="L32" s="88"/>
      <c r="M32" s="88"/>
      <c r="N32" s="88"/>
      <c r="O32" s="90"/>
      <c r="P32" s="88"/>
      <c r="Q32" s="88"/>
      <c r="R32" s="102"/>
      <c r="S32" s="102"/>
      <c r="T32" s="102"/>
      <c r="U32" s="102"/>
      <c r="V32" s="102"/>
      <c r="W32" s="102"/>
      <c r="X32" s="102"/>
      <c r="Y32" s="102"/>
      <c r="Z32" s="102"/>
      <c r="AA32" s="102"/>
      <c r="AB32" s="102"/>
      <c r="AC32" s="102"/>
      <c r="AD32" s="102"/>
      <c r="AE32" s="102"/>
      <c r="AF32" s="102"/>
      <c r="AG32" s="102"/>
      <c r="AH32" s="102"/>
      <c r="AI32" s="102"/>
      <c r="AJ32" s="92"/>
      <c r="AK32" s="88"/>
      <c r="AL32" s="88"/>
      <c r="AM32" s="88"/>
      <c r="AN32" s="88"/>
      <c r="AO32" s="88"/>
      <c r="AP32" s="88"/>
      <c r="AQ32" s="88"/>
      <c r="AR32" s="88"/>
    </row>
    <row r="33" spans="1:44" ht="12.75" customHeight="1">
      <c r="A33" s="93"/>
      <c r="B33" s="104" t="s">
        <v>214</v>
      </c>
      <c r="C33" s="94"/>
      <c r="D33" s="94"/>
      <c r="E33" s="94"/>
      <c r="F33" s="95"/>
      <c r="G33" s="95"/>
      <c r="H33" s="95"/>
      <c r="I33" s="95"/>
      <c r="J33" s="95"/>
      <c r="K33" s="94"/>
      <c r="L33" s="94"/>
      <c r="M33" s="94"/>
      <c r="N33" s="94"/>
      <c r="O33" s="96"/>
      <c r="P33" s="94"/>
      <c r="Q33" s="94"/>
      <c r="R33" s="103"/>
      <c r="S33" s="103"/>
      <c r="T33" s="103"/>
      <c r="U33" s="103"/>
      <c r="V33" s="103"/>
      <c r="W33" s="103"/>
      <c r="X33" s="103"/>
      <c r="Y33" s="103"/>
      <c r="Z33" s="103"/>
      <c r="AA33" s="103"/>
      <c r="AB33" s="103"/>
      <c r="AC33" s="103"/>
      <c r="AD33" s="103"/>
      <c r="AE33" s="103"/>
      <c r="AF33" s="103"/>
      <c r="AG33" s="103"/>
      <c r="AH33" s="103"/>
      <c r="AI33" s="103"/>
      <c r="AJ33" s="98"/>
      <c r="AK33" s="94"/>
      <c r="AL33" s="94"/>
      <c r="AM33" s="94"/>
      <c r="AN33" s="94"/>
      <c r="AO33" s="94"/>
      <c r="AP33" s="94"/>
      <c r="AQ33" s="94"/>
      <c r="AR33" s="94"/>
    </row>
    <row r="34" spans="1:44" ht="12.75" customHeight="1">
      <c r="A34" s="93"/>
      <c r="B34" s="93"/>
      <c r="C34" s="94"/>
      <c r="D34" s="94"/>
      <c r="E34" s="94"/>
      <c r="F34" s="95"/>
      <c r="G34" s="95"/>
      <c r="H34" s="95"/>
      <c r="I34" s="95"/>
      <c r="J34" s="95"/>
      <c r="K34" s="94"/>
      <c r="L34" s="94"/>
      <c r="M34" s="94"/>
      <c r="N34" s="94"/>
      <c r="O34" s="96"/>
      <c r="P34" s="94"/>
      <c r="Q34" s="94"/>
      <c r="R34" s="103"/>
      <c r="S34" s="103"/>
      <c r="T34" s="103"/>
      <c r="U34" s="103"/>
      <c r="V34" s="103"/>
      <c r="W34" s="103"/>
      <c r="X34" s="103"/>
      <c r="Y34" s="103"/>
      <c r="Z34" s="103"/>
      <c r="AA34" s="103"/>
      <c r="AB34" s="103"/>
      <c r="AC34" s="103"/>
      <c r="AD34" s="103"/>
      <c r="AE34" s="103"/>
      <c r="AF34" s="103"/>
      <c r="AG34" s="103"/>
      <c r="AH34" s="103"/>
      <c r="AI34" s="103"/>
      <c r="AJ34" s="98"/>
      <c r="AK34" s="94"/>
      <c r="AL34" s="94"/>
      <c r="AM34" s="94"/>
      <c r="AN34" s="94"/>
      <c r="AO34" s="94"/>
      <c r="AP34" s="94"/>
      <c r="AQ34" s="94"/>
      <c r="AR34" s="94"/>
    </row>
    <row r="35" spans="1:44" ht="12.75" customHeight="1">
      <c r="A35" s="93"/>
      <c r="B35" s="93" t="s">
        <v>215</v>
      </c>
      <c r="C35" s="94"/>
      <c r="D35" s="94"/>
      <c r="E35" s="94"/>
      <c r="F35" s="95"/>
      <c r="G35" s="95"/>
      <c r="H35" s="95"/>
      <c r="I35" s="95"/>
      <c r="J35" s="95"/>
      <c r="K35" s="94"/>
      <c r="L35" s="94"/>
      <c r="M35" s="94"/>
      <c r="N35" s="94"/>
      <c r="O35" s="96"/>
      <c r="P35" s="94"/>
      <c r="Q35" s="94"/>
      <c r="R35" s="103"/>
      <c r="S35" s="103"/>
      <c r="T35" s="103"/>
      <c r="U35" s="103"/>
      <c r="V35" s="103"/>
      <c r="W35" s="103"/>
      <c r="X35" s="103"/>
      <c r="Y35" s="103"/>
      <c r="Z35" s="103"/>
      <c r="AA35" s="103"/>
      <c r="AB35" s="103"/>
      <c r="AC35" s="103"/>
      <c r="AD35" s="103"/>
      <c r="AE35" s="103"/>
      <c r="AF35" s="103"/>
      <c r="AG35" s="103"/>
      <c r="AH35" s="103"/>
      <c r="AI35" s="103"/>
      <c r="AJ35" s="98"/>
      <c r="AK35" s="94"/>
      <c r="AL35" s="94"/>
      <c r="AM35" s="94"/>
      <c r="AN35" s="94"/>
      <c r="AO35" s="94"/>
      <c r="AP35" s="94"/>
      <c r="AQ35" s="94"/>
      <c r="AR35" s="94"/>
    </row>
    <row r="36" spans="1:44" ht="12.75" customHeight="1">
      <c r="A36" s="93"/>
      <c r="B36" s="93" t="s">
        <v>216</v>
      </c>
      <c r="C36" s="94" t="s">
        <v>217</v>
      </c>
      <c r="D36" s="94">
        <v>1</v>
      </c>
      <c r="E36" s="94">
        <v>11</v>
      </c>
      <c r="F36" s="95">
        <v>0.4</v>
      </c>
      <c r="G36" s="95">
        <v>0.8</v>
      </c>
      <c r="H36" s="95">
        <f t="shared" ref="H36:H41" si="5">$H$8-$H$27</f>
        <v>6.15</v>
      </c>
      <c r="I36" s="95">
        <f t="shared" ref="I36:I41" si="6">PRODUCT(D36:G36)</f>
        <v>3.5200000000000005</v>
      </c>
      <c r="J36" s="95"/>
      <c r="K36" s="94"/>
      <c r="L36" s="94"/>
      <c r="M36" s="94"/>
      <c r="N36" s="94"/>
      <c r="O36" s="96"/>
      <c r="P36" s="94"/>
      <c r="Q36" s="94"/>
      <c r="R36" s="103"/>
      <c r="S36" s="103"/>
      <c r="T36" s="103"/>
      <c r="U36" s="103"/>
      <c r="V36" s="103">
        <f t="shared" ref="V36:V41" si="7">PRODUCT(D36:H36)</f>
        <v>21.648000000000003</v>
      </c>
      <c r="W36" s="103">
        <f t="shared" ref="W36:W41" si="8">((K36*H36)*E36*D36)</f>
        <v>0</v>
      </c>
      <c r="X36" s="103">
        <f t="shared" ref="X36:X41" si="9">((F36*2+G36*2)*H36)*E36*D36</f>
        <v>162.36000000000004</v>
      </c>
      <c r="Y36" s="103">
        <f t="shared" ref="Y36:Y41" si="10">((M36*H36)*E36*D36)</f>
        <v>0</v>
      </c>
      <c r="Z36" s="103"/>
      <c r="AA36" s="103"/>
      <c r="AB36" s="103"/>
      <c r="AC36" s="103"/>
      <c r="AD36" s="103"/>
      <c r="AE36" s="103">
        <f t="shared" ref="AE36:AE37" si="11">(X36+Y36)</f>
        <v>162.36000000000004</v>
      </c>
      <c r="AF36" s="103">
        <f t="shared" ref="AF36:AF41" si="12">(V36/H36)+(W36/H36)</f>
        <v>3.5200000000000005</v>
      </c>
      <c r="AG36" s="103"/>
      <c r="AH36" s="103">
        <f t="shared" ref="AH36:AH37" si="13">(G36*2)*E36*D36</f>
        <v>17.600000000000001</v>
      </c>
      <c r="AI36" s="103">
        <f t="shared" ref="AI36:AI37" si="14">(M36*E36*D36)</f>
        <v>0</v>
      </c>
      <c r="AJ36" s="98"/>
      <c r="AK36" s="94"/>
      <c r="AL36" s="94"/>
      <c r="AM36" s="94"/>
      <c r="AN36" s="94"/>
      <c r="AO36" s="94"/>
      <c r="AP36" s="94"/>
      <c r="AQ36" s="94"/>
      <c r="AR36" s="94"/>
    </row>
    <row r="37" spans="1:44" ht="12.75" customHeight="1">
      <c r="A37" s="93"/>
      <c r="B37" s="93" t="s">
        <v>218</v>
      </c>
      <c r="C37" s="94" t="s">
        <v>219</v>
      </c>
      <c r="D37" s="94">
        <v>1</v>
      </c>
      <c r="E37" s="94">
        <v>7</v>
      </c>
      <c r="F37" s="95">
        <v>0.4</v>
      </c>
      <c r="G37" s="95">
        <v>0.8</v>
      </c>
      <c r="H37" s="95">
        <f t="shared" si="5"/>
        <v>6.15</v>
      </c>
      <c r="I37" s="95">
        <f t="shared" si="6"/>
        <v>2.2400000000000002</v>
      </c>
      <c r="J37" s="95"/>
      <c r="K37" s="94"/>
      <c r="L37" s="94"/>
      <c r="M37" s="94"/>
      <c r="N37" s="94"/>
      <c r="O37" s="96"/>
      <c r="P37" s="94"/>
      <c r="Q37" s="94"/>
      <c r="R37" s="103"/>
      <c r="S37" s="103"/>
      <c r="T37" s="103"/>
      <c r="U37" s="103"/>
      <c r="V37" s="103">
        <f t="shared" si="7"/>
        <v>13.776000000000002</v>
      </c>
      <c r="W37" s="103">
        <f t="shared" si="8"/>
        <v>0</v>
      </c>
      <c r="X37" s="103">
        <f t="shared" si="9"/>
        <v>103.32000000000002</v>
      </c>
      <c r="Y37" s="103">
        <f t="shared" si="10"/>
        <v>0</v>
      </c>
      <c r="Z37" s="103"/>
      <c r="AA37" s="103"/>
      <c r="AB37" s="103"/>
      <c r="AC37" s="103"/>
      <c r="AD37" s="103"/>
      <c r="AE37" s="103">
        <f t="shared" si="11"/>
        <v>103.32000000000002</v>
      </c>
      <c r="AF37" s="103">
        <f t="shared" si="12"/>
        <v>2.2400000000000002</v>
      </c>
      <c r="AG37" s="103"/>
      <c r="AH37" s="103">
        <f t="shared" si="13"/>
        <v>11.200000000000001</v>
      </c>
      <c r="AI37" s="103">
        <f t="shared" si="14"/>
        <v>0</v>
      </c>
      <c r="AJ37" s="98"/>
      <c r="AK37" s="94"/>
      <c r="AL37" s="94"/>
      <c r="AM37" s="94"/>
      <c r="AN37" s="94"/>
      <c r="AO37" s="94"/>
      <c r="AP37" s="94"/>
      <c r="AQ37" s="94"/>
      <c r="AR37" s="94"/>
    </row>
    <row r="38" spans="1:44" ht="12.75" customHeight="1">
      <c r="A38" s="93"/>
      <c r="B38" s="93" t="s">
        <v>220</v>
      </c>
      <c r="C38" s="94" t="s">
        <v>221</v>
      </c>
      <c r="D38" s="94">
        <v>1</v>
      </c>
      <c r="E38" s="94">
        <v>2</v>
      </c>
      <c r="F38" s="95">
        <v>0.4</v>
      </c>
      <c r="G38" s="95">
        <v>0.9</v>
      </c>
      <c r="H38" s="95">
        <f t="shared" si="5"/>
        <v>6.15</v>
      </c>
      <c r="I38" s="95">
        <f t="shared" si="6"/>
        <v>0.72000000000000008</v>
      </c>
      <c r="J38" s="95"/>
      <c r="K38" s="94"/>
      <c r="L38" s="94"/>
      <c r="M38" s="94"/>
      <c r="N38" s="94"/>
      <c r="O38" s="96"/>
      <c r="P38" s="94"/>
      <c r="Q38" s="94"/>
      <c r="R38" s="103"/>
      <c r="S38" s="103"/>
      <c r="T38" s="103"/>
      <c r="U38" s="103"/>
      <c r="V38" s="103">
        <f t="shared" si="7"/>
        <v>4.4280000000000008</v>
      </c>
      <c r="W38" s="103">
        <f t="shared" si="8"/>
        <v>0</v>
      </c>
      <c r="X38" s="103">
        <f t="shared" si="9"/>
        <v>31.980000000000004</v>
      </c>
      <c r="Y38" s="103">
        <f t="shared" si="10"/>
        <v>0</v>
      </c>
      <c r="Z38" s="106"/>
      <c r="AA38" s="106"/>
      <c r="AB38" s="106"/>
      <c r="AC38" s="106"/>
      <c r="AD38" s="106"/>
      <c r="AE38" s="106"/>
      <c r="AF38" s="103">
        <f t="shared" si="12"/>
        <v>0.72000000000000008</v>
      </c>
      <c r="AG38" s="106"/>
      <c r="AH38" s="106"/>
      <c r="AI38" s="106"/>
      <c r="AJ38" s="98"/>
      <c r="AK38" s="94"/>
      <c r="AL38" s="94"/>
      <c r="AM38" s="94"/>
      <c r="AN38" s="94"/>
      <c r="AO38" s="94"/>
      <c r="AP38" s="94"/>
      <c r="AQ38" s="94"/>
      <c r="AR38" s="94"/>
    </row>
    <row r="39" spans="1:44" ht="12.75" customHeight="1">
      <c r="A39" s="93"/>
      <c r="B39" s="93" t="s">
        <v>222</v>
      </c>
      <c r="C39" s="94" t="s">
        <v>223</v>
      </c>
      <c r="D39" s="94">
        <v>1</v>
      </c>
      <c r="E39" s="94">
        <v>2</v>
      </c>
      <c r="F39" s="95">
        <v>0.4</v>
      </c>
      <c r="G39" s="95">
        <v>0.75</v>
      </c>
      <c r="H39" s="95">
        <f t="shared" si="5"/>
        <v>6.15</v>
      </c>
      <c r="I39" s="95">
        <f t="shared" si="6"/>
        <v>0.60000000000000009</v>
      </c>
      <c r="J39" s="95"/>
      <c r="K39" s="94"/>
      <c r="L39" s="94"/>
      <c r="M39" s="94"/>
      <c r="N39" s="94"/>
      <c r="O39" s="96"/>
      <c r="P39" s="94"/>
      <c r="Q39" s="94"/>
      <c r="R39" s="103"/>
      <c r="S39" s="103"/>
      <c r="T39" s="103"/>
      <c r="U39" s="103"/>
      <c r="V39" s="103">
        <f t="shared" si="7"/>
        <v>3.6900000000000008</v>
      </c>
      <c r="W39" s="103">
        <f t="shared" si="8"/>
        <v>0</v>
      </c>
      <c r="X39" s="103">
        <f t="shared" si="9"/>
        <v>28.29</v>
      </c>
      <c r="Y39" s="103">
        <f t="shared" si="10"/>
        <v>0</v>
      </c>
      <c r="Z39" s="106"/>
      <c r="AA39" s="106"/>
      <c r="AB39" s="106"/>
      <c r="AC39" s="106"/>
      <c r="AD39" s="106"/>
      <c r="AE39" s="106"/>
      <c r="AF39" s="103">
        <f t="shared" si="12"/>
        <v>0.60000000000000009</v>
      </c>
      <c r="AG39" s="106"/>
      <c r="AH39" s="106"/>
      <c r="AI39" s="106"/>
      <c r="AJ39" s="98"/>
      <c r="AK39" s="94"/>
      <c r="AL39" s="94"/>
      <c r="AM39" s="94"/>
      <c r="AN39" s="94"/>
      <c r="AO39" s="94"/>
      <c r="AP39" s="94"/>
      <c r="AQ39" s="94"/>
      <c r="AR39" s="94"/>
    </row>
    <row r="40" spans="1:44" ht="12.75" customHeight="1">
      <c r="A40" s="93"/>
      <c r="B40" s="93" t="s">
        <v>224</v>
      </c>
      <c r="C40" s="94" t="s">
        <v>225</v>
      </c>
      <c r="D40" s="94">
        <v>1</v>
      </c>
      <c r="E40" s="94">
        <v>6</v>
      </c>
      <c r="F40" s="95">
        <v>0.5</v>
      </c>
      <c r="G40" s="95">
        <v>0.9</v>
      </c>
      <c r="H40" s="95">
        <f t="shared" si="5"/>
        <v>6.15</v>
      </c>
      <c r="I40" s="95">
        <f t="shared" si="6"/>
        <v>2.7</v>
      </c>
      <c r="J40" s="95"/>
      <c r="K40" s="94"/>
      <c r="L40" s="94"/>
      <c r="M40" s="94"/>
      <c r="N40" s="94"/>
      <c r="O40" s="96"/>
      <c r="P40" s="94"/>
      <c r="Q40" s="94"/>
      <c r="R40" s="103"/>
      <c r="S40" s="103"/>
      <c r="T40" s="103"/>
      <c r="U40" s="103"/>
      <c r="V40" s="103">
        <f t="shared" si="7"/>
        <v>16.605</v>
      </c>
      <c r="W40" s="103">
        <f t="shared" si="8"/>
        <v>0</v>
      </c>
      <c r="X40" s="103">
        <f t="shared" si="9"/>
        <v>103.32</v>
      </c>
      <c r="Y40" s="103">
        <f t="shared" si="10"/>
        <v>0</v>
      </c>
      <c r="Z40" s="106"/>
      <c r="AA40" s="106"/>
      <c r="AB40" s="106"/>
      <c r="AC40" s="106"/>
      <c r="AD40" s="106"/>
      <c r="AE40" s="106"/>
      <c r="AF40" s="103">
        <f t="shared" si="12"/>
        <v>2.6999999999999997</v>
      </c>
      <c r="AG40" s="106"/>
      <c r="AH40" s="106"/>
      <c r="AI40" s="106"/>
      <c r="AJ40" s="98"/>
      <c r="AK40" s="94"/>
      <c r="AL40" s="94"/>
      <c r="AM40" s="94"/>
      <c r="AN40" s="94"/>
      <c r="AO40" s="94"/>
      <c r="AP40" s="94"/>
      <c r="AQ40" s="94"/>
      <c r="AR40" s="94"/>
    </row>
    <row r="41" spans="1:44" ht="12.75" customHeight="1">
      <c r="A41" s="93"/>
      <c r="B41" s="93" t="s">
        <v>226</v>
      </c>
      <c r="C41" s="94" t="s">
        <v>227</v>
      </c>
      <c r="D41" s="94">
        <v>1</v>
      </c>
      <c r="E41" s="94">
        <v>2</v>
      </c>
      <c r="F41" s="95">
        <v>0.4</v>
      </c>
      <c r="G41" s="95">
        <v>0.4</v>
      </c>
      <c r="H41" s="95">
        <f t="shared" si="5"/>
        <v>6.15</v>
      </c>
      <c r="I41" s="95">
        <f t="shared" si="6"/>
        <v>0.32000000000000006</v>
      </c>
      <c r="J41" s="95"/>
      <c r="K41" s="94"/>
      <c r="L41" s="94"/>
      <c r="M41" s="94"/>
      <c r="N41" s="94"/>
      <c r="O41" s="96"/>
      <c r="P41" s="94"/>
      <c r="Q41" s="94"/>
      <c r="R41" s="103"/>
      <c r="S41" s="103"/>
      <c r="T41" s="103"/>
      <c r="U41" s="103"/>
      <c r="V41" s="103">
        <f t="shared" si="7"/>
        <v>1.9680000000000004</v>
      </c>
      <c r="W41" s="103">
        <f t="shared" si="8"/>
        <v>0</v>
      </c>
      <c r="X41" s="103">
        <f t="shared" si="9"/>
        <v>19.680000000000003</v>
      </c>
      <c r="Y41" s="103">
        <f t="shared" si="10"/>
        <v>0</v>
      </c>
      <c r="Z41" s="106"/>
      <c r="AA41" s="106"/>
      <c r="AB41" s="106"/>
      <c r="AC41" s="106"/>
      <c r="AD41" s="106"/>
      <c r="AE41" s="106"/>
      <c r="AF41" s="103">
        <f t="shared" si="12"/>
        <v>0.32000000000000006</v>
      </c>
      <c r="AG41" s="106"/>
      <c r="AH41" s="106"/>
      <c r="AI41" s="106"/>
      <c r="AJ41" s="98"/>
      <c r="AK41" s="94"/>
      <c r="AL41" s="94"/>
      <c r="AM41" s="94"/>
      <c r="AN41" s="94"/>
      <c r="AO41" s="94"/>
      <c r="AP41" s="94"/>
      <c r="AQ41" s="94"/>
      <c r="AR41" s="94"/>
    </row>
    <row r="42" spans="1:44" ht="12.75" customHeight="1">
      <c r="A42" s="93"/>
      <c r="B42" s="93"/>
      <c r="C42" s="94"/>
      <c r="D42" s="94"/>
      <c r="E42" s="94"/>
      <c r="F42" s="95"/>
      <c r="G42" s="95"/>
      <c r="H42" s="95"/>
      <c r="I42" s="95"/>
      <c r="J42" s="95"/>
      <c r="K42" s="94"/>
      <c r="L42" s="94"/>
      <c r="M42" s="94"/>
      <c r="N42" s="94"/>
      <c r="O42" s="96"/>
      <c r="P42" s="94"/>
      <c r="Q42" s="94"/>
      <c r="R42" s="106"/>
      <c r="S42" s="106"/>
      <c r="T42" s="106"/>
      <c r="U42" s="106"/>
      <c r="V42" s="106"/>
      <c r="W42" s="106"/>
      <c r="X42" s="106"/>
      <c r="Y42" s="106"/>
      <c r="Z42" s="106"/>
      <c r="AA42" s="106"/>
      <c r="AB42" s="106"/>
      <c r="AC42" s="106"/>
      <c r="AD42" s="106"/>
      <c r="AE42" s="106"/>
      <c r="AF42" s="106"/>
      <c r="AG42" s="106"/>
      <c r="AH42" s="106"/>
      <c r="AI42" s="106"/>
      <c r="AJ42" s="98"/>
      <c r="AK42" s="94"/>
      <c r="AL42" s="94"/>
      <c r="AM42" s="94"/>
      <c r="AN42" s="94"/>
      <c r="AO42" s="94"/>
      <c r="AP42" s="94"/>
      <c r="AQ42" s="94"/>
      <c r="AR42" s="94"/>
    </row>
    <row r="43" spans="1:44" ht="12.75" customHeight="1">
      <c r="A43" s="107"/>
      <c r="B43" s="108" t="s">
        <v>194</v>
      </c>
      <c r="C43" s="109"/>
      <c r="D43" s="109"/>
      <c r="E43" s="109">
        <f>SUM(E36:E42)</f>
        <v>30</v>
      </c>
      <c r="F43" s="110"/>
      <c r="G43" s="110"/>
      <c r="H43" s="110"/>
      <c r="I43" s="110"/>
      <c r="J43" s="110"/>
      <c r="K43" s="109"/>
      <c r="L43" s="109"/>
      <c r="M43" s="109"/>
      <c r="N43" s="111"/>
      <c r="O43" s="112"/>
      <c r="P43" s="113"/>
      <c r="Q43" s="109"/>
      <c r="R43" s="114">
        <f t="shared" ref="R43:AA43" si="15">SUM(R36:R42)</f>
        <v>0</v>
      </c>
      <c r="S43" s="114">
        <f t="shared" si="15"/>
        <v>0</v>
      </c>
      <c r="T43" s="114">
        <f t="shared" si="15"/>
        <v>0</v>
      </c>
      <c r="U43" s="114">
        <f t="shared" si="15"/>
        <v>0</v>
      </c>
      <c r="V43" s="114">
        <f t="shared" si="15"/>
        <v>62.115000000000009</v>
      </c>
      <c r="W43" s="114">
        <f t="shared" si="15"/>
        <v>0</v>
      </c>
      <c r="X43" s="114">
        <f t="shared" si="15"/>
        <v>448.9500000000001</v>
      </c>
      <c r="Y43" s="114">
        <f t="shared" si="15"/>
        <v>0</v>
      </c>
      <c r="Z43" s="114">
        <f t="shared" si="15"/>
        <v>0</v>
      </c>
      <c r="AA43" s="114">
        <f t="shared" si="15"/>
        <v>0</v>
      </c>
      <c r="AB43" s="114"/>
      <c r="AC43" s="114"/>
      <c r="AD43" s="114">
        <f t="shared" ref="AD43:AF43" si="16">SUM(AD36:AD42)</f>
        <v>0</v>
      </c>
      <c r="AE43" s="114">
        <f t="shared" si="16"/>
        <v>265.68000000000006</v>
      </c>
      <c r="AF43" s="114">
        <f t="shared" si="16"/>
        <v>10.1</v>
      </c>
      <c r="AG43" s="114"/>
      <c r="AH43" s="114">
        <f t="shared" ref="AH43:AI43" si="17">SUM(AH36:AH42)</f>
        <v>28.800000000000004</v>
      </c>
      <c r="AI43" s="114">
        <f t="shared" si="17"/>
        <v>0</v>
      </c>
      <c r="AJ43" s="115"/>
      <c r="AK43" s="114">
        <f t="shared" ref="AK43:AL43" si="18">SUM(AK36:AK42)</f>
        <v>0</v>
      </c>
      <c r="AL43" s="114">
        <f t="shared" si="18"/>
        <v>0</v>
      </c>
      <c r="AM43" s="94"/>
      <c r="AN43" s="94"/>
      <c r="AO43" s="94"/>
      <c r="AP43" s="94"/>
      <c r="AQ43" s="94"/>
      <c r="AR43" s="94"/>
    </row>
    <row r="44" spans="1:44" ht="12.75" customHeight="1">
      <c r="A44" s="87"/>
      <c r="B44" s="87"/>
      <c r="C44" s="88"/>
      <c r="D44" s="88"/>
      <c r="E44" s="88"/>
      <c r="F44" s="89"/>
      <c r="G44" s="89"/>
      <c r="H44" s="89"/>
      <c r="I44" s="89"/>
      <c r="J44" s="92"/>
      <c r="K44" s="88"/>
      <c r="L44" s="88"/>
      <c r="M44" s="88"/>
      <c r="N44" s="88"/>
      <c r="O44" s="90"/>
      <c r="P44" s="88"/>
      <c r="Q44" s="88"/>
      <c r="R44" s="102"/>
      <c r="S44" s="102"/>
      <c r="T44" s="102"/>
      <c r="U44" s="102"/>
      <c r="V44" s="102"/>
      <c r="W44" s="102"/>
      <c r="X44" s="102"/>
      <c r="Y44" s="102"/>
      <c r="Z44" s="102"/>
      <c r="AA44" s="102"/>
      <c r="AB44" s="102"/>
      <c r="AC44" s="102"/>
      <c r="AD44" s="102"/>
      <c r="AE44" s="102"/>
      <c r="AF44" s="102"/>
      <c r="AG44" s="102"/>
      <c r="AH44" s="102"/>
      <c r="AI44" s="102"/>
      <c r="AJ44" s="92"/>
      <c r="AK44" s="88"/>
      <c r="AL44" s="88"/>
      <c r="AM44" s="88"/>
      <c r="AN44" s="88"/>
      <c r="AO44" s="88"/>
      <c r="AP44" s="88"/>
      <c r="AQ44" s="88"/>
      <c r="AR44" s="88"/>
    </row>
    <row r="45" spans="1:44" ht="12.75" customHeight="1">
      <c r="A45" s="93"/>
      <c r="B45" s="104" t="s">
        <v>228</v>
      </c>
      <c r="C45" s="94"/>
      <c r="D45" s="94"/>
      <c r="E45" s="94"/>
      <c r="F45" s="95"/>
      <c r="G45" s="95"/>
      <c r="H45" s="95"/>
      <c r="I45" s="95"/>
      <c r="J45" s="95"/>
      <c r="K45" s="94"/>
      <c r="L45" s="94"/>
      <c r="M45" s="94"/>
      <c r="N45" s="94"/>
      <c r="O45" s="96"/>
      <c r="P45" s="94"/>
      <c r="Q45" s="94"/>
      <c r="R45" s="103"/>
      <c r="S45" s="103"/>
      <c r="T45" s="103"/>
      <c r="U45" s="103"/>
      <c r="V45" s="103"/>
      <c r="W45" s="103"/>
      <c r="X45" s="103"/>
      <c r="Y45" s="103"/>
      <c r="Z45" s="103"/>
      <c r="AA45" s="103"/>
      <c r="AB45" s="103"/>
      <c r="AC45" s="103"/>
      <c r="AD45" s="103"/>
      <c r="AE45" s="103"/>
      <c r="AF45" s="103"/>
      <c r="AG45" s="103"/>
      <c r="AH45" s="103"/>
      <c r="AI45" s="103"/>
      <c r="AJ45" s="98"/>
      <c r="AK45" s="94"/>
      <c r="AL45" s="94"/>
      <c r="AM45" s="94"/>
      <c r="AN45" s="94"/>
      <c r="AO45" s="94"/>
      <c r="AP45" s="94"/>
      <c r="AQ45" s="94"/>
      <c r="AR45" s="94"/>
    </row>
    <row r="46" spans="1:44" ht="12.75" customHeight="1">
      <c r="A46" s="93"/>
      <c r="B46" s="93"/>
      <c r="C46" s="94"/>
      <c r="D46" s="94"/>
      <c r="E46" s="94"/>
      <c r="F46" s="95"/>
      <c r="G46" s="95"/>
      <c r="H46" s="95"/>
      <c r="I46" s="95"/>
      <c r="J46" s="95"/>
      <c r="K46" s="94"/>
      <c r="L46" s="94"/>
      <c r="M46" s="94"/>
      <c r="N46" s="94"/>
      <c r="O46" s="96"/>
      <c r="P46" s="94"/>
      <c r="Q46" s="94"/>
      <c r="R46" s="103"/>
      <c r="S46" s="103"/>
      <c r="T46" s="103"/>
      <c r="U46" s="103"/>
      <c r="V46" s="103"/>
      <c r="W46" s="103"/>
      <c r="X46" s="103"/>
      <c r="Y46" s="103"/>
      <c r="Z46" s="103"/>
      <c r="AA46" s="103"/>
      <c r="AB46" s="103"/>
      <c r="AC46" s="103"/>
      <c r="AD46" s="103"/>
      <c r="AE46" s="103"/>
      <c r="AF46" s="103"/>
      <c r="AG46" s="103"/>
      <c r="AH46" s="103"/>
      <c r="AI46" s="103"/>
      <c r="AJ46" s="98"/>
      <c r="AK46" s="94"/>
      <c r="AL46" s="94"/>
      <c r="AM46" s="94"/>
      <c r="AN46" s="94"/>
      <c r="AO46" s="94"/>
      <c r="AP46" s="94"/>
      <c r="AQ46" s="94"/>
      <c r="AR46" s="94"/>
    </row>
    <row r="47" spans="1:44" ht="12.75" customHeight="1">
      <c r="A47" s="93"/>
      <c r="B47" s="93" t="s">
        <v>215</v>
      </c>
      <c r="C47" s="94"/>
      <c r="D47" s="94"/>
      <c r="E47" s="94"/>
      <c r="F47" s="95"/>
      <c r="G47" s="95"/>
      <c r="H47" s="95"/>
      <c r="I47" s="95"/>
      <c r="J47" s="95"/>
      <c r="K47" s="94"/>
      <c r="L47" s="94"/>
      <c r="M47" s="94"/>
      <c r="N47" s="94"/>
      <c r="O47" s="96"/>
      <c r="P47" s="94"/>
      <c r="Q47" s="94"/>
      <c r="R47" s="103"/>
      <c r="S47" s="103"/>
      <c r="T47" s="103"/>
      <c r="U47" s="103"/>
      <c r="V47" s="103"/>
      <c r="W47" s="103"/>
      <c r="X47" s="103"/>
      <c r="Y47" s="103"/>
      <c r="Z47" s="103"/>
      <c r="AA47" s="103"/>
      <c r="AB47" s="103"/>
      <c r="AC47" s="103"/>
      <c r="AD47" s="103"/>
      <c r="AE47" s="103"/>
      <c r="AF47" s="103"/>
      <c r="AG47" s="103"/>
      <c r="AH47" s="103"/>
      <c r="AI47" s="103"/>
      <c r="AJ47" s="98"/>
      <c r="AK47" s="94"/>
      <c r="AL47" s="94"/>
      <c r="AM47" s="94"/>
      <c r="AN47" s="94"/>
      <c r="AO47" s="94"/>
      <c r="AP47" s="94"/>
      <c r="AQ47" s="94"/>
      <c r="AR47" s="94"/>
    </row>
    <row r="48" spans="1:44" ht="12.75" customHeight="1">
      <c r="A48" s="93"/>
      <c r="B48" s="93" t="s">
        <v>216</v>
      </c>
      <c r="C48" s="94" t="s">
        <v>229</v>
      </c>
      <c r="D48" s="94">
        <v>1</v>
      </c>
      <c r="E48" s="94">
        <v>11</v>
      </c>
      <c r="F48" s="95">
        <v>0.4</v>
      </c>
      <c r="G48" s="95">
        <v>0.8</v>
      </c>
      <c r="H48" s="95">
        <f t="shared" ref="H48:H53" si="19">4.65-0.3</f>
        <v>4.3500000000000005</v>
      </c>
      <c r="I48" s="95">
        <f t="shared" ref="I48:I53" si="20">PRODUCT(D48:G48)</f>
        <v>3.5200000000000005</v>
      </c>
      <c r="J48" s="95"/>
      <c r="K48" s="94"/>
      <c r="L48" s="94"/>
      <c r="M48" s="94"/>
      <c r="N48" s="94"/>
      <c r="O48" s="96"/>
      <c r="P48" s="94"/>
      <c r="Q48" s="94"/>
      <c r="R48" s="103"/>
      <c r="S48" s="103"/>
      <c r="T48" s="103"/>
      <c r="U48" s="103"/>
      <c r="V48" s="103">
        <f t="shared" ref="V48:V53" si="21">PRODUCT(D48:H48)</f>
        <v>15.312000000000005</v>
      </c>
      <c r="W48" s="103">
        <f t="shared" ref="W48:W53" si="22">((K48*H48)*E48*D48)</f>
        <v>0</v>
      </c>
      <c r="X48" s="103">
        <f t="shared" ref="X48:X53" si="23">((F48*2+G48*2)*H48)*E48*D48</f>
        <v>114.84000000000003</v>
      </c>
      <c r="Y48" s="103">
        <f t="shared" ref="Y48:Y53" si="24">((M48*H48)*E48*D48)</f>
        <v>0</v>
      </c>
      <c r="Z48" s="103"/>
      <c r="AA48" s="103"/>
      <c r="AB48" s="103"/>
      <c r="AC48" s="103"/>
      <c r="AD48" s="103"/>
      <c r="AE48" s="103">
        <f t="shared" ref="AE48:AE49" si="25">(X48+Y48)</f>
        <v>114.84000000000003</v>
      </c>
      <c r="AF48" s="103">
        <f t="shared" ref="AF48:AF53" si="26">(V48/H48)+(W48/H48)</f>
        <v>3.5200000000000005</v>
      </c>
      <c r="AG48" s="103"/>
      <c r="AH48" s="103">
        <f t="shared" ref="AH48:AH49" si="27">(G48*2)*E48*D48</f>
        <v>17.600000000000001</v>
      </c>
      <c r="AI48" s="103">
        <f t="shared" ref="AI48:AI49" si="28">(M48*E48*D48)</f>
        <v>0</v>
      </c>
      <c r="AJ48" s="98"/>
      <c r="AK48" s="94"/>
      <c r="AL48" s="94"/>
      <c r="AM48" s="94"/>
      <c r="AN48" s="94"/>
      <c r="AO48" s="94"/>
      <c r="AP48" s="94"/>
      <c r="AQ48" s="94"/>
      <c r="AR48" s="94"/>
    </row>
    <row r="49" spans="1:44" ht="12.75" customHeight="1">
      <c r="A49" s="93"/>
      <c r="B49" s="93" t="s">
        <v>218</v>
      </c>
      <c r="C49" s="94" t="s">
        <v>230</v>
      </c>
      <c r="D49" s="94">
        <v>1</v>
      </c>
      <c r="E49" s="94">
        <v>7</v>
      </c>
      <c r="F49" s="95">
        <v>0.4</v>
      </c>
      <c r="G49" s="95">
        <v>0.8</v>
      </c>
      <c r="H49" s="95">
        <f t="shared" si="19"/>
        <v>4.3500000000000005</v>
      </c>
      <c r="I49" s="95">
        <f t="shared" si="20"/>
        <v>2.2400000000000002</v>
      </c>
      <c r="J49" s="95"/>
      <c r="K49" s="94"/>
      <c r="L49" s="94"/>
      <c r="M49" s="94"/>
      <c r="N49" s="94"/>
      <c r="O49" s="96"/>
      <c r="P49" s="94"/>
      <c r="Q49" s="94"/>
      <c r="R49" s="103"/>
      <c r="S49" s="103"/>
      <c r="T49" s="103"/>
      <c r="U49" s="103"/>
      <c r="V49" s="103">
        <f t="shared" si="21"/>
        <v>9.7440000000000015</v>
      </c>
      <c r="W49" s="103">
        <f t="shared" si="22"/>
        <v>0</v>
      </c>
      <c r="X49" s="103">
        <f t="shared" si="23"/>
        <v>73.080000000000027</v>
      </c>
      <c r="Y49" s="103">
        <f t="shared" si="24"/>
        <v>0</v>
      </c>
      <c r="Z49" s="103"/>
      <c r="AA49" s="103"/>
      <c r="AB49" s="103"/>
      <c r="AC49" s="103"/>
      <c r="AD49" s="103"/>
      <c r="AE49" s="103">
        <f t="shared" si="25"/>
        <v>73.080000000000027</v>
      </c>
      <c r="AF49" s="103">
        <f t="shared" si="26"/>
        <v>2.2400000000000002</v>
      </c>
      <c r="AG49" s="103"/>
      <c r="AH49" s="103">
        <f t="shared" si="27"/>
        <v>11.200000000000001</v>
      </c>
      <c r="AI49" s="103">
        <f t="shared" si="28"/>
        <v>0</v>
      </c>
      <c r="AJ49" s="98"/>
      <c r="AK49" s="94"/>
      <c r="AL49" s="94"/>
      <c r="AM49" s="94"/>
      <c r="AN49" s="94"/>
      <c r="AO49" s="94"/>
      <c r="AP49" s="94"/>
      <c r="AQ49" s="94"/>
      <c r="AR49" s="94"/>
    </row>
    <row r="50" spans="1:44" ht="12.75" customHeight="1">
      <c r="A50" s="93"/>
      <c r="B50" s="93" t="s">
        <v>220</v>
      </c>
      <c r="C50" s="94" t="s">
        <v>231</v>
      </c>
      <c r="D50" s="94">
        <v>1</v>
      </c>
      <c r="E50" s="94">
        <v>2</v>
      </c>
      <c r="F50" s="95">
        <v>0.4</v>
      </c>
      <c r="G50" s="95">
        <v>0.9</v>
      </c>
      <c r="H50" s="95">
        <f t="shared" si="19"/>
        <v>4.3500000000000005</v>
      </c>
      <c r="I50" s="95">
        <f t="shared" si="20"/>
        <v>0.72000000000000008</v>
      </c>
      <c r="J50" s="95"/>
      <c r="K50" s="94"/>
      <c r="L50" s="94"/>
      <c r="M50" s="94"/>
      <c r="N50" s="94"/>
      <c r="O50" s="96"/>
      <c r="P50" s="94"/>
      <c r="Q50" s="94"/>
      <c r="R50" s="103"/>
      <c r="S50" s="103"/>
      <c r="T50" s="103"/>
      <c r="U50" s="103"/>
      <c r="V50" s="103">
        <f t="shared" si="21"/>
        <v>3.1320000000000006</v>
      </c>
      <c r="W50" s="103">
        <f t="shared" si="22"/>
        <v>0</v>
      </c>
      <c r="X50" s="103">
        <f t="shared" si="23"/>
        <v>22.620000000000005</v>
      </c>
      <c r="Y50" s="103">
        <f t="shared" si="24"/>
        <v>0</v>
      </c>
      <c r="Z50" s="106"/>
      <c r="AA50" s="106"/>
      <c r="AB50" s="106"/>
      <c r="AC50" s="106"/>
      <c r="AD50" s="106"/>
      <c r="AE50" s="106"/>
      <c r="AF50" s="103">
        <f t="shared" si="26"/>
        <v>0.72000000000000008</v>
      </c>
      <c r="AG50" s="106"/>
      <c r="AH50" s="106"/>
      <c r="AI50" s="106"/>
      <c r="AJ50" s="98"/>
      <c r="AK50" s="94"/>
      <c r="AL50" s="94"/>
      <c r="AM50" s="94"/>
      <c r="AN50" s="94"/>
      <c r="AO50" s="94"/>
      <c r="AP50" s="94"/>
      <c r="AQ50" s="94"/>
      <c r="AR50" s="94"/>
    </row>
    <row r="51" spans="1:44" ht="12.75" customHeight="1">
      <c r="A51" s="93"/>
      <c r="B51" s="93" t="s">
        <v>222</v>
      </c>
      <c r="C51" s="94" t="s">
        <v>232</v>
      </c>
      <c r="D51" s="94">
        <v>1</v>
      </c>
      <c r="E51" s="94">
        <v>2</v>
      </c>
      <c r="F51" s="95">
        <v>0.4</v>
      </c>
      <c r="G51" s="95">
        <v>0.75</v>
      </c>
      <c r="H51" s="95">
        <f t="shared" si="19"/>
        <v>4.3500000000000005</v>
      </c>
      <c r="I51" s="95">
        <f t="shared" si="20"/>
        <v>0.60000000000000009</v>
      </c>
      <c r="J51" s="95"/>
      <c r="K51" s="94"/>
      <c r="L51" s="94"/>
      <c r="M51" s="94"/>
      <c r="N51" s="94"/>
      <c r="O51" s="96"/>
      <c r="P51" s="94"/>
      <c r="Q51" s="94"/>
      <c r="R51" s="103"/>
      <c r="S51" s="103"/>
      <c r="T51" s="103"/>
      <c r="U51" s="103"/>
      <c r="V51" s="103">
        <f t="shared" si="21"/>
        <v>2.6100000000000008</v>
      </c>
      <c r="W51" s="103">
        <f t="shared" si="22"/>
        <v>0</v>
      </c>
      <c r="X51" s="103">
        <f t="shared" si="23"/>
        <v>20.010000000000002</v>
      </c>
      <c r="Y51" s="103">
        <f t="shared" si="24"/>
        <v>0</v>
      </c>
      <c r="Z51" s="106"/>
      <c r="AA51" s="106"/>
      <c r="AB51" s="106"/>
      <c r="AC51" s="106"/>
      <c r="AD51" s="106"/>
      <c r="AE51" s="106"/>
      <c r="AF51" s="103">
        <f t="shared" si="26"/>
        <v>0.60000000000000009</v>
      </c>
      <c r="AG51" s="106"/>
      <c r="AH51" s="106"/>
      <c r="AI51" s="106"/>
      <c r="AJ51" s="98"/>
      <c r="AK51" s="94"/>
      <c r="AL51" s="94"/>
      <c r="AM51" s="94"/>
      <c r="AN51" s="94"/>
      <c r="AO51" s="94"/>
      <c r="AP51" s="94"/>
      <c r="AQ51" s="94"/>
      <c r="AR51" s="94"/>
    </row>
    <row r="52" spans="1:44" ht="12.75" customHeight="1">
      <c r="A52" s="93"/>
      <c r="B52" s="93" t="s">
        <v>224</v>
      </c>
      <c r="C52" s="94" t="s">
        <v>233</v>
      </c>
      <c r="D52" s="94">
        <v>1</v>
      </c>
      <c r="E52" s="94">
        <v>6</v>
      </c>
      <c r="F52" s="95">
        <v>0.5</v>
      </c>
      <c r="G52" s="95">
        <v>0.9</v>
      </c>
      <c r="H52" s="95">
        <f t="shared" si="19"/>
        <v>4.3500000000000005</v>
      </c>
      <c r="I52" s="95">
        <f t="shared" si="20"/>
        <v>2.7</v>
      </c>
      <c r="J52" s="95"/>
      <c r="K52" s="94"/>
      <c r="L52" s="94"/>
      <c r="M52" s="94"/>
      <c r="N52" s="94"/>
      <c r="O52" s="96"/>
      <c r="P52" s="94"/>
      <c r="Q52" s="94"/>
      <c r="R52" s="103"/>
      <c r="S52" s="103"/>
      <c r="T52" s="103"/>
      <c r="U52" s="103"/>
      <c r="V52" s="103">
        <f t="shared" si="21"/>
        <v>11.745000000000003</v>
      </c>
      <c r="W52" s="103">
        <f t="shared" si="22"/>
        <v>0</v>
      </c>
      <c r="X52" s="103">
        <f t="shared" si="23"/>
        <v>73.080000000000013</v>
      </c>
      <c r="Y52" s="103">
        <f t="shared" si="24"/>
        <v>0</v>
      </c>
      <c r="Z52" s="106"/>
      <c r="AA52" s="106"/>
      <c r="AB52" s="106"/>
      <c r="AC52" s="106"/>
      <c r="AD52" s="106"/>
      <c r="AE52" s="106"/>
      <c r="AF52" s="103">
        <f t="shared" si="26"/>
        <v>2.7</v>
      </c>
      <c r="AG52" s="106"/>
      <c r="AH52" s="106"/>
      <c r="AI52" s="106"/>
      <c r="AJ52" s="98"/>
      <c r="AK52" s="94"/>
      <c r="AL52" s="94"/>
      <c r="AM52" s="94"/>
      <c r="AN52" s="94"/>
      <c r="AO52" s="94"/>
      <c r="AP52" s="94"/>
      <c r="AQ52" s="94"/>
      <c r="AR52" s="94"/>
    </row>
    <row r="53" spans="1:44" ht="12.75" customHeight="1">
      <c r="A53" s="93"/>
      <c r="B53" s="93" t="s">
        <v>226</v>
      </c>
      <c r="C53" s="94" t="s">
        <v>234</v>
      </c>
      <c r="D53" s="94">
        <v>1</v>
      </c>
      <c r="E53" s="94">
        <v>2</v>
      </c>
      <c r="F53" s="95">
        <v>0.4</v>
      </c>
      <c r="G53" s="95">
        <v>0.4</v>
      </c>
      <c r="H53" s="95">
        <f t="shared" si="19"/>
        <v>4.3500000000000005</v>
      </c>
      <c r="I53" s="95">
        <f t="shared" si="20"/>
        <v>0.32000000000000006</v>
      </c>
      <c r="J53" s="95"/>
      <c r="K53" s="94"/>
      <c r="L53" s="94"/>
      <c r="M53" s="94"/>
      <c r="N53" s="94"/>
      <c r="O53" s="96"/>
      <c r="P53" s="94"/>
      <c r="Q53" s="94"/>
      <c r="R53" s="103"/>
      <c r="S53" s="103"/>
      <c r="T53" s="103"/>
      <c r="U53" s="103"/>
      <c r="V53" s="103">
        <f t="shared" si="21"/>
        <v>1.3920000000000003</v>
      </c>
      <c r="W53" s="103">
        <f t="shared" si="22"/>
        <v>0</v>
      </c>
      <c r="X53" s="103">
        <f t="shared" si="23"/>
        <v>13.920000000000002</v>
      </c>
      <c r="Y53" s="103">
        <f t="shared" si="24"/>
        <v>0</v>
      </c>
      <c r="Z53" s="106"/>
      <c r="AA53" s="106"/>
      <c r="AB53" s="106"/>
      <c r="AC53" s="106"/>
      <c r="AD53" s="106"/>
      <c r="AE53" s="106"/>
      <c r="AF53" s="103">
        <f t="shared" si="26"/>
        <v>0.32000000000000006</v>
      </c>
      <c r="AG53" s="106"/>
      <c r="AH53" s="106"/>
      <c r="AI53" s="106"/>
      <c r="AJ53" s="98"/>
      <c r="AK53" s="94"/>
      <c r="AL53" s="94"/>
      <c r="AM53" s="94"/>
      <c r="AN53" s="94"/>
      <c r="AO53" s="94"/>
      <c r="AP53" s="94"/>
      <c r="AQ53" s="94"/>
      <c r="AR53" s="94"/>
    </row>
    <row r="54" spans="1:44" ht="12.75" customHeight="1">
      <c r="A54" s="93"/>
      <c r="B54" s="93"/>
      <c r="C54" s="94"/>
      <c r="D54" s="94"/>
      <c r="E54" s="94"/>
      <c r="F54" s="95"/>
      <c r="G54" s="95"/>
      <c r="H54" s="95"/>
      <c r="I54" s="95"/>
      <c r="J54" s="95"/>
      <c r="K54" s="94"/>
      <c r="L54" s="94"/>
      <c r="M54" s="94"/>
      <c r="N54" s="94"/>
      <c r="O54" s="96"/>
      <c r="P54" s="94"/>
      <c r="Q54" s="94"/>
      <c r="R54" s="106"/>
      <c r="S54" s="106"/>
      <c r="T54" s="106"/>
      <c r="U54" s="106"/>
      <c r="V54" s="106"/>
      <c r="W54" s="106"/>
      <c r="X54" s="106"/>
      <c r="Y54" s="106"/>
      <c r="Z54" s="106"/>
      <c r="AA54" s="106"/>
      <c r="AB54" s="106"/>
      <c r="AC54" s="106"/>
      <c r="AD54" s="106"/>
      <c r="AE54" s="106"/>
      <c r="AF54" s="106"/>
      <c r="AG54" s="106"/>
      <c r="AH54" s="106"/>
      <c r="AI54" s="106"/>
      <c r="AJ54" s="98"/>
      <c r="AK54" s="94"/>
      <c r="AL54" s="94"/>
      <c r="AM54" s="94"/>
      <c r="AN54" s="94"/>
      <c r="AO54" s="94"/>
      <c r="AP54" s="94"/>
      <c r="AQ54" s="94"/>
      <c r="AR54" s="94"/>
    </row>
    <row r="55" spans="1:44" ht="12.75" customHeight="1">
      <c r="A55" s="107"/>
      <c r="B55" s="108" t="s">
        <v>194</v>
      </c>
      <c r="C55" s="109"/>
      <c r="D55" s="109"/>
      <c r="E55" s="109">
        <f>SUM(E48:E54)</f>
        <v>30</v>
      </c>
      <c r="F55" s="110"/>
      <c r="G55" s="110"/>
      <c r="H55" s="110"/>
      <c r="I55" s="110"/>
      <c r="J55" s="110"/>
      <c r="K55" s="109"/>
      <c r="L55" s="109"/>
      <c r="M55" s="109"/>
      <c r="N55" s="111"/>
      <c r="O55" s="112"/>
      <c r="P55" s="113"/>
      <c r="Q55" s="109"/>
      <c r="R55" s="114">
        <f t="shared" ref="R55:AA55" si="29">SUM(R48:R54)</f>
        <v>0</v>
      </c>
      <c r="S55" s="114">
        <f t="shared" si="29"/>
        <v>0</v>
      </c>
      <c r="T55" s="114">
        <f t="shared" si="29"/>
        <v>0</v>
      </c>
      <c r="U55" s="114">
        <f t="shared" si="29"/>
        <v>0</v>
      </c>
      <c r="V55" s="114">
        <f t="shared" si="29"/>
        <v>43.935000000000009</v>
      </c>
      <c r="W55" s="114">
        <f t="shared" si="29"/>
        <v>0</v>
      </c>
      <c r="X55" s="114">
        <f t="shared" si="29"/>
        <v>317.55000000000013</v>
      </c>
      <c r="Y55" s="114">
        <f t="shared" si="29"/>
        <v>0</v>
      </c>
      <c r="Z55" s="114">
        <f t="shared" si="29"/>
        <v>0</v>
      </c>
      <c r="AA55" s="114">
        <f t="shared" si="29"/>
        <v>0</v>
      </c>
      <c r="AB55" s="114"/>
      <c r="AC55" s="114"/>
      <c r="AD55" s="114">
        <f t="shared" ref="AD55:AF55" si="30">SUM(AD48:AD54)</f>
        <v>0</v>
      </c>
      <c r="AE55" s="114">
        <f t="shared" si="30"/>
        <v>187.92000000000007</v>
      </c>
      <c r="AF55" s="114">
        <f t="shared" si="30"/>
        <v>10.100000000000001</v>
      </c>
      <c r="AG55" s="114"/>
      <c r="AH55" s="114">
        <f t="shared" ref="AH55:AI55" si="31">SUM(AH48:AH54)</f>
        <v>28.800000000000004</v>
      </c>
      <c r="AI55" s="114">
        <f t="shared" si="31"/>
        <v>0</v>
      </c>
      <c r="AJ55" s="115"/>
      <c r="AK55" s="114">
        <f t="shared" ref="AK55:AL55" si="32">SUM(AK48:AK54)</f>
        <v>0</v>
      </c>
      <c r="AL55" s="114">
        <f t="shared" si="32"/>
        <v>0</v>
      </c>
      <c r="AM55" s="94"/>
      <c r="AN55" s="94"/>
      <c r="AO55" s="94"/>
      <c r="AP55" s="94"/>
      <c r="AQ55" s="94"/>
      <c r="AR55" s="94"/>
    </row>
    <row r="56" spans="1:44" ht="12.75" customHeight="1">
      <c r="A56" s="87"/>
      <c r="B56" s="87"/>
      <c r="C56" s="88"/>
      <c r="D56" s="88"/>
      <c r="E56" s="88"/>
      <c r="F56" s="89"/>
      <c r="G56" s="89"/>
      <c r="H56" s="89"/>
      <c r="I56" s="89"/>
      <c r="J56" s="92"/>
      <c r="K56" s="88"/>
      <c r="L56" s="88"/>
      <c r="M56" s="88"/>
      <c r="N56" s="88"/>
      <c r="O56" s="90"/>
      <c r="P56" s="88"/>
      <c r="Q56" s="88"/>
      <c r="R56" s="102"/>
      <c r="S56" s="102"/>
      <c r="T56" s="102"/>
      <c r="U56" s="102"/>
      <c r="V56" s="102"/>
      <c r="W56" s="102"/>
      <c r="X56" s="102"/>
      <c r="Y56" s="102"/>
      <c r="Z56" s="102"/>
      <c r="AA56" s="102"/>
      <c r="AB56" s="102"/>
      <c r="AC56" s="102"/>
      <c r="AD56" s="102"/>
      <c r="AE56" s="102"/>
      <c r="AF56" s="102"/>
      <c r="AG56" s="102"/>
      <c r="AH56" s="102"/>
      <c r="AI56" s="102"/>
      <c r="AJ56" s="92"/>
      <c r="AK56" s="88"/>
      <c r="AL56" s="88"/>
      <c r="AM56" s="88"/>
      <c r="AN56" s="88"/>
      <c r="AO56" s="88"/>
      <c r="AP56" s="88"/>
      <c r="AQ56" s="88"/>
      <c r="AR56" s="88"/>
    </row>
    <row r="57" spans="1:44" ht="12.75" customHeight="1">
      <c r="A57" s="93"/>
      <c r="B57" s="104" t="s">
        <v>235</v>
      </c>
      <c r="C57" s="94"/>
      <c r="D57" s="94"/>
      <c r="E57" s="94"/>
      <c r="F57" s="95"/>
      <c r="G57" s="95"/>
      <c r="H57" s="95"/>
      <c r="I57" s="95"/>
      <c r="J57" s="95"/>
      <c r="K57" s="94"/>
      <c r="L57" s="94"/>
      <c r="M57" s="94"/>
      <c r="N57" s="94"/>
      <c r="O57" s="96"/>
      <c r="P57" s="94"/>
      <c r="Q57" s="94"/>
      <c r="R57" s="103"/>
      <c r="S57" s="103"/>
      <c r="T57" s="103"/>
      <c r="U57" s="103"/>
      <c r="V57" s="103"/>
      <c r="W57" s="103"/>
      <c r="X57" s="103"/>
      <c r="Y57" s="103"/>
      <c r="Z57" s="103"/>
      <c r="AA57" s="103"/>
      <c r="AB57" s="103"/>
      <c r="AC57" s="103"/>
      <c r="AD57" s="103"/>
      <c r="AE57" s="103"/>
      <c r="AF57" s="103"/>
      <c r="AG57" s="103"/>
      <c r="AH57" s="103"/>
      <c r="AI57" s="103"/>
      <c r="AJ57" s="98"/>
      <c r="AK57" s="94"/>
      <c r="AL57" s="94"/>
      <c r="AM57" s="94"/>
      <c r="AN57" s="94"/>
      <c r="AO57" s="94"/>
      <c r="AP57" s="94"/>
      <c r="AQ57" s="94"/>
      <c r="AR57" s="94"/>
    </row>
    <row r="58" spans="1:44" ht="12.75" customHeight="1">
      <c r="A58" s="93"/>
      <c r="B58" s="93"/>
      <c r="C58" s="94"/>
      <c r="D58" s="94"/>
      <c r="E58" s="94"/>
      <c r="F58" s="95"/>
      <c r="G58" s="95"/>
      <c r="H58" s="95"/>
      <c r="I58" s="95"/>
      <c r="J58" s="95"/>
      <c r="K58" s="94"/>
      <c r="L58" s="94"/>
      <c r="M58" s="94"/>
      <c r="N58" s="94"/>
      <c r="O58" s="96"/>
      <c r="P58" s="94"/>
      <c r="Q58" s="94"/>
      <c r="R58" s="103"/>
      <c r="S58" s="103"/>
      <c r="T58" s="103"/>
      <c r="U58" s="103"/>
      <c r="V58" s="103"/>
      <c r="W58" s="103"/>
      <c r="X58" s="103"/>
      <c r="Y58" s="103"/>
      <c r="Z58" s="103"/>
      <c r="AA58" s="103"/>
      <c r="AB58" s="103"/>
      <c r="AC58" s="103"/>
      <c r="AD58" s="103"/>
      <c r="AE58" s="103"/>
      <c r="AF58" s="103"/>
      <c r="AG58" s="103"/>
      <c r="AH58" s="103"/>
      <c r="AI58" s="103"/>
      <c r="AJ58" s="98"/>
      <c r="AK58" s="94"/>
      <c r="AL58" s="94"/>
      <c r="AM58" s="94"/>
      <c r="AN58" s="94"/>
      <c r="AO58" s="94"/>
      <c r="AP58" s="94"/>
      <c r="AQ58" s="94"/>
      <c r="AR58" s="94"/>
    </row>
    <row r="59" spans="1:44" ht="12.75" customHeight="1">
      <c r="A59" s="93"/>
      <c r="B59" s="93" t="s">
        <v>215</v>
      </c>
      <c r="C59" s="94"/>
      <c r="D59" s="94"/>
      <c r="E59" s="94"/>
      <c r="F59" s="95"/>
      <c r="G59" s="95"/>
      <c r="H59" s="95"/>
      <c r="I59" s="95"/>
      <c r="J59" s="95"/>
      <c r="K59" s="94"/>
      <c r="L59" s="94"/>
      <c r="M59" s="94"/>
      <c r="N59" s="94"/>
      <c r="O59" s="96"/>
      <c r="P59" s="94"/>
      <c r="Q59" s="94"/>
      <c r="R59" s="103"/>
      <c r="S59" s="103"/>
      <c r="T59" s="103"/>
      <c r="U59" s="103"/>
      <c r="V59" s="103"/>
      <c r="W59" s="103"/>
      <c r="X59" s="103"/>
      <c r="Y59" s="103"/>
      <c r="Z59" s="103"/>
      <c r="AA59" s="103"/>
      <c r="AB59" s="103"/>
      <c r="AC59" s="103"/>
      <c r="AD59" s="103"/>
      <c r="AE59" s="103"/>
      <c r="AF59" s="103"/>
      <c r="AG59" s="103"/>
      <c r="AH59" s="103"/>
      <c r="AI59" s="103"/>
      <c r="AJ59" s="98"/>
      <c r="AK59" s="94"/>
      <c r="AL59" s="94"/>
      <c r="AM59" s="94"/>
      <c r="AN59" s="94"/>
      <c r="AO59" s="94"/>
      <c r="AP59" s="94"/>
      <c r="AQ59" s="94"/>
      <c r="AR59" s="94"/>
    </row>
    <row r="60" spans="1:44" ht="12.75" customHeight="1">
      <c r="A60" s="93"/>
      <c r="B60" s="93" t="s">
        <v>216</v>
      </c>
      <c r="C60" s="94" t="s">
        <v>236</v>
      </c>
      <c r="D60" s="94">
        <v>6</v>
      </c>
      <c r="E60" s="94">
        <v>11</v>
      </c>
      <c r="F60" s="95">
        <v>0.4</v>
      </c>
      <c r="G60" s="95">
        <v>0.8</v>
      </c>
      <c r="H60" s="95">
        <f t="shared" ref="H60:H65" si="33">3.6-0.3</f>
        <v>3.3000000000000003</v>
      </c>
      <c r="I60" s="95">
        <f t="shared" ref="I60:I65" si="34">PRODUCT(D60:G60)</f>
        <v>21.120000000000005</v>
      </c>
      <c r="J60" s="95"/>
      <c r="K60" s="94"/>
      <c r="L60" s="94"/>
      <c r="M60" s="94"/>
      <c r="N60" s="94"/>
      <c r="O60" s="96"/>
      <c r="P60" s="94"/>
      <c r="Q60" s="94"/>
      <c r="R60" s="103"/>
      <c r="S60" s="103"/>
      <c r="T60" s="103"/>
      <c r="U60" s="103"/>
      <c r="V60" s="103">
        <f t="shared" ref="V60:V65" si="35">PRODUCT(D60:H60)</f>
        <v>69.696000000000026</v>
      </c>
      <c r="W60" s="103">
        <f t="shared" ref="W60:W65" si="36">((K60*H60)*E60*D60)</f>
        <v>0</v>
      </c>
      <c r="X60" s="103">
        <f t="shared" ref="X60:X65" si="37">((F60*2+G60*2)*H60)*E60*D60</f>
        <v>522.72000000000014</v>
      </c>
      <c r="Y60" s="103">
        <f t="shared" ref="Y60:Y65" si="38">((M60*H60)*E60*D60)</f>
        <v>0</v>
      </c>
      <c r="Z60" s="103"/>
      <c r="AA60" s="103"/>
      <c r="AB60" s="103"/>
      <c r="AC60" s="103"/>
      <c r="AD60" s="103"/>
      <c r="AE60" s="103">
        <f t="shared" ref="AE60:AE61" si="39">(X60+Y60)</f>
        <v>522.72000000000014</v>
      </c>
      <c r="AF60" s="103">
        <f t="shared" ref="AF60:AF65" si="40">(V60/H60)+(W60/H60)</f>
        <v>21.120000000000005</v>
      </c>
      <c r="AG60" s="103"/>
      <c r="AH60" s="103">
        <f t="shared" ref="AH60:AH61" si="41">(G60*2)*E60*D60</f>
        <v>105.60000000000001</v>
      </c>
      <c r="AI60" s="103">
        <f t="shared" ref="AI60:AI61" si="42">(M60*E60*D60)</f>
        <v>0</v>
      </c>
      <c r="AJ60" s="98"/>
      <c r="AK60" s="94"/>
      <c r="AL60" s="94"/>
      <c r="AM60" s="94"/>
      <c r="AN60" s="94"/>
      <c r="AO60" s="94"/>
      <c r="AP60" s="94"/>
      <c r="AQ60" s="94"/>
      <c r="AR60" s="94"/>
    </row>
    <row r="61" spans="1:44" ht="12.75" customHeight="1">
      <c r="A61" s="93"/>
      <c r="B61" s="93" t="s">
        <v>218</v>
      </c>
      <c r="C61" s="94" t="s">
        <v>237</v>
      </c>
      <c r="D61" s="94">
        <v>6</v>
      </c>
      <c r="E61" s="94">
        <v>7</v>
      </c>
      <c r="F61" s="95">
        <v>0.4</v>
      </c>
      <c r="G61" s="95">
        <v>0.8</v>
      </c>
      <c r="H61" s="95">
        <f t="shared" si="33"/>
        <v>3.3000000000000003</v>
      </c>
      <c r="I61" s="95">
        <f t="shared" si="34"/>
        <v>13.440000000000001</v>
      </c>
      <c r="J61" s="95"/>
      <c r="K61" s="94"/>
      <c r="L61" s="94"/>
      <c r="M61" s="94"/>
      <c r="N61" s="94"/>
      <c r="O61" s="96"/>
      <c r="P61" s="94"/>
      <c r="Q61" s="94"/>
      <c r="R61" s="103"/>
      <c r="S61" s="103"/>
      <c r="T61" s="103"/>
      <c r="U61" s="103"/>
      <c r="V61" s="103">
        <f t="shared" si="35"/>
        <v>44.352000000000011</v>
      </c>
      <c r="W61" s="103">
        <f t="shared" si="36"/>
        <v>0</v>
      </c>
      <c r="X61" s="103">
        <f t="shared" si="37"/>
        <v>332.6400000000001</v>
      </c>
      <c r="Y61" s="103">
        <f t="shared" si="38"/>
        <v>0</v>
      </c>
      <c r="Z61" s="103"/>
      <c r="AA61" s="103"/>
      <c r="AB61" s="103"/>
      <c r="AC61" s="103"/>
      <c r="AD61" s="103"/>
      <c r="AE61" s="103">
        <f t="shared" si="39"/>
        <v>332.6400000000001</v>
      </c>
      <c r="AF61" s="103">
        <f t="shared" si="40"/>
        <v>13.440000000000003</v>
      </c>
      <c r="AG61" s="103"/>
      <c r="AH61" s="103">
        <f t="shared" si="41"/>
        <v>67.2</v>
      </c>
      <c r="AI61" s="103">
        <f t="shared" si="42"/>
        <v>0</v>
      </c>
      <c r="AJ61" s="98"/>
      <c r="AK61" s="94"/>
      <c r="AL61" s="94"/>
      <c r="AM61" s="94"/>
      <c r="AN61" s="94"/>
      <c r="AO61" s="94"/>
      <c r="AP61" s="94"/>
      <c r="AQ61" s="94"/>
      <c r="AR61" s="94"/>
    </row>
    <row r="62" spans="1:44" ht="12.75" customHeight="1">
      <c r="A62" s="93"/>
      <c r="B62" s="93" t="s">
        <v>220</v>
      </c>
      <c r="C62" s="94" t="s">
        <v>238</v>
      </c>
      <c r="D62" s="94">
        <v>6</v>
      </c>
      <c r="E62" s="94">
        <v>2</v>
      </c>
      <c r="F62" s="95">
        <v>0.4</v>
      </c>
      <c r="G62" s="95">
        <v>0.9</v>
      </c>
      <c r="H62" s="95">
        <f t="shared" si="33"/>
        <v>3.3000000000000003</v>
      </c>
      <c r="I62" s="95">
        <f t="shared" si="34"/>
        <v>4.3200000000000012</v>
      </c>
      <c r="J62" s="95"/>
      <c r="K62" s="94"/>
      <c r="L62" s="94"/>
      <c r="M62" s="94"/>
      <c r="N62" s="94"/>
      <c r="O62" s="96"/>
      <c r="P62" s="94"/>
      <c r="Q62" s="94"/>
      <c r="R62" s="103"/>
      <c r="S62" s="103"/>
      <c r="T62" s="103"/>
      <c r="U62" s="103"/>
      <c r="V62" s="103">
        <f t="shared" si="35"/>
        <v>14.256000000000006</v>
      </c>
      <c r="W62" s="103">
        <f t="shared" si="36"/>
        <v>0</v>
      </c>
      <c r="X62" s="103">
        <f t="shared" si="37"/>
        <v>102.96000000000002</v>
      </c>
      <c r="Y62" s="103">
        <f t="shared" si="38"/>
        <v>0</v>
      </c>
      <c r="Z62" s="106"/>
      <c r="AA62" s="106"/>
      <c r="AB62" s="106"/>
      <c r="AC62" s="106"/>
      <c r="AD62" s="106"/>
      <c r="AE62" s="106"/>
      <c r="AF62" s="103">
        <f t="shared" si="40"/>
        <v>4.3200000000000012</v>
      </c>
      <c r="AG62" s="106"/>
      <c r="AH62" s="106"/>
      <c r="AI62" s="106"/>
      <c r="AJ62" s="98"/>
      <c r="AK62" s="94"/>
      <c r="AL62" s="94"/>
      <c r="AM62" s="94"/>
      <c r="AN62" s="94"/>
      <c r="AO62" s="94"/>
      <c r="AP62" s="94"/>
      <c r="AQ62" s="94"/>
      <c r="AR62" s="94"/>
    </row>
    <row r="63" spans="1:44" ht="12.75" customHeight="1">
      <c r="A63" s="93"/>
      <c r="B63" s="93" t="s">
        <v>222</v>
      </c>
      <c r="C63" s="94" t="s">
        <v>239</v>
      </c>
      <c r="D63" s="94">
        <v>6</v>
      </c>
      <c r="E63" s="94">
        <v>2</v>
      </c>
      <c r="F63" s="95">
        <v>0.4</v>
      </c>
      <c r="G63" s="95">
        <v>0.75</v>
      </c>
      <c r="H63" s="95">
        <f t="shared" si="33"/>
        <v>3.3000000000000003</v>
      </c>
      <c r="I63" s="95">
        <f t="shared" si="34"/>
        <v>3.6000000000000005</v>
      </c>
      <c r="J63" s="95"/>
      <c r="K63" s="94"/>
      <c r="L63" s="94"/>
      <c r="M63" s="94"/>
      <c r="N63" s="94"/>
      <c r="O63" s="96"/>
      <c r="P63" s="94"/>
      <c r="Q63" s="94"/>
      <c r="R63" s="103"/>
      <c r="S63" s="103"/>
      <c r="T63" s="103"/>
      <c r="U63" s="103"/>
      <c r="V63" s="103">
        <f t="shared" si="35"/>
        <v>11.880000000000003</v>
      </c>
      <c r="W63" s="103">
        <f t="shared" si="36"/>
        <v>0</v>
      </c>
      <c r="X63" s="103">
        <f t="shared" si="37"/>
        <v>91.08</v>
      </c>
      <c r="Y63" s="103">
        <f t="shared" si="38"/>
        <v>0</v>
      </c>
      <c r="Z63" s="106"/>
      <c r="AA63" s="106"/>
      <c r="AB63" s="106"/>
      <c r="AC63" s="106"/>
      <c r="AD63" s="106"/>
      <c r="AE63" s="106"/>
      <c r="AF63" s="103">
        <f t="shared" si="40"/>
        <v>3.6000000000000005</v>
      </c>
      <c r="AG63" s="106"/>
      <c r="AH63" s="106"/>
      <c r="AI63" s="106"/>
      <c r="AJ63" s="98"/>
      <c r="AK63" s="94"/>
      <c r="AL63" s="94"/>
      <c r="AM63" s="94"/>
      <c r="AN63" s="94"/>
      <c r="AO63" s="94"/>
      <c r="AP63" s="94"/>
      <c r="AQ63" s="94"/>
      <c r="AR63" s="94"/>
    </row>
    <row r="64" spans="1:44" ht="12.75" customHeight="1">
      <c r="A64" s="93"/>
      <c r="B64" s="93" t="s">
        <v>224</v>
      </c>
      <c r="C64" s="94" t="s">
        <v>240</v>
      </c>
      <c r="D64" s="94">
        <v>6</v>
      </c>
      <c r="E64" s="94">
        <v>6</v>
      </c>
      <c r="F64" s="95">
        <v>0.5</v>
      </c>
      <c r="G64" s="95">
        <v>0.9</v>
      </c>
      <c r="H64" s="95">
        <f t="shared" si="33"/>
        <v>3.3000000000000003</v>
      </c>
      <c r="I64" s="95">
        <f t="shared" si="34"/>
        <v>16.2</v>
      </c>
      <c r="J64" s="95"/>
      <c r="K64" s="94"/>
      <c r="L64" s="94"/>
      <c r="M64" s="94"/>
      <c r="N64" s="94"/>
      <c r="O64" s="96"/>
      <c r="P64" s="94"/>
      <c r="Q64" s="94"/>
      <c r="R64" s="103"/>
      <c r="S64" s="103"/>
      <c r="T64" s="103"/>
      <c r="U64" s="103"/>
      <c r="V64" s="103">
        <f t="shared" si="35"/>
        <v>53.46</v>
      </c>
      <c r="W64" s="103">
        <f t="shared" si="36"/>
        <v>0</v>
      </c>
      <c r="X64" s="103">
        <f t="shared" si="37"/>
        <v>332.64</v>
      </c>
      <c r="Y64" s="103">
        <f t="shared" si="38"/>
        <v>0</v>
      </c>
      <c r="Z64" s="106"/>
      <c r="AA64" s="106"/>
      <c r="AB64" s="106"/>
      <c r="AC64" s="106"/>
      <c r="AD64" s="106"/>
      <c r="AE64" s="106"/>
      <c r="AF64" s="103">
        <f t="shared" si="40"/>
        <v>16.2</v>
      </c>
      <c r="AG64" s="106"/>
      <c r="AH64" s="106"/>
      <c r="AI64" s="106"/>
      <c r="AJ64" s="98"/>
      <c r="AK64" s="94"/>
      <c r="AL64" s="94"/>
      <c r="AM64" s="94"/>
      <c r="AN64" s="94"/>
      <c r="AO64" s="94"/>
      <c r="AP64" s="94"/>
      <c r="AQ64" s="94"/>
      <c r="AR64" s="94"/>
    </row>
    <row r="65" spans="1:44" ht="12.75" customHeight="1">
      <c r="A65" s="93"/>
      <c r="B65" s="93" t="s">
        <v>226</v>
      </c>
      <c r="C65" s="94" t="s">
        <v>241</v>
      </c>
      <c r="D65" s="94">
        <v>6</v>
      </c>
      <c r="E65" s="94">
        <v>2</v>
      </c>
      <c r="F65" s="95">
        <v>0.4</v>
      </c>
      <c r="G65" s="95">
        <v>0.4</v>
      </c>
      <c r="H65" s="95">
        <f t="shared" si="33"/>
        <v>3.3000000000000003</v>
      </c>
      <c r="I65" s="95">
        <f t="shared" si="34"/>
        <v>1.9200000000000004</v>
      </c>
      <c r="J65" s="95"/>
      <c r="K65" s="94"/>
      <c r="L65" s="94"/>
      <c r="M65" s="94"/>
      <c r="N65" s="94"/>
      <c r="O65" s="96"/>
      <c r="P65" s="94"/>
      <c r="Q65" s="94"/>
      <c r="R65" s="103"/>
      <c r="S65" s="103"/>
      <c r="T65" s="103"/>
      <c r="U65" s="103"/>
      <c r="V65" s="103">
        <f t="shared" si="35"/>
        <v>6.3360000000000021</v>
      </c>
      <c r="W65" s="103">
        <f t="shared" si="36"/>
        <v>0</v>
      </c>
      <c r="X65" s="103">
        <f t="shared" si="37"/>
        <v>63.360000000000014</v>
      </c>
      <c r="Y65" s="103">
        <f t="shared" si="38"/>
        <v>0</v>
      </c>
      <c r="Z65" s="106"/>
      <c r="AA65" s="106"/>
      <c r="AB65" s="106"/>
      <c r="AC65" s="106"/>
      <c r="AD65" s="106"/>
      <c r="AE65" s="106"/>
      <c r="AF65" s="103">
        <f t="shared" si="40"/>
        <v>1.9200000000000004</v>
      </c>
      <c r="AG65" s="106"/>
      <c r="AH65" s="106"/>
      <c r="AI65" s="106"/>
      <c r="AJ65" s="98"/>
      <c r="AK65" s="94"/>
      <c r="AL65" s="94"/>
      <c r="AM65" s="94"/>
      <c r="AN65" s="94"/>
      <c r="AO65" s="94"/>
      <c r="AP65" s="94"/>
      <c r="AQ65" s="94"/>
      <c r="AR65" s="94"/>
    </row>
    <row r="66" spans="1:44" ht="12.75" customHeight="1">
      <c r="A66" s="93"/>
      <c r="B66" s="93"/>
      <c r="C66" s="94"/>
      <c r="D66" s="94"/>
      <c r="E66" s="94"/>
      <c r="F66" s="95"/>
      <c r="G66" s="95"/>
      <c r="H66" s="95"/>
      <c r="I66" s="95"/>
      <c r="J66" s="95"/>
      <c r="K66" s="94"/>
      <c r="L66" s="94"/>
      <c r="M66" s="94"/>
      <c r="N66" s="94"/>
      <c r="O66" s="96"/>
      <c r="P66" s="94"/>
      <c r="Q66" s="94"/>
      <c r="R66" s="106"/>
      <c r="S66" s="106"/>
      <c r="T66" s="106"/>
      <c r="U66" s="106"/>
      <c r="V66" s="106"/>
      <c r="W66" s="106"/>
      <c r="X66" s="106"/>
      <c r="Y66" s="106"/>
      <c r="Z66" s="106"/>
      <c r="AA66" s="106"/>
      <c r="AB66" s="106"/>
      <c r="AC66" s="106"/>
      <c r="AD66" s="106"/>
      <c r="AE66" s="106"/>
      <c r="AF66" s="106"/>
      <c r="AG66" s="106"/>
      <c r="AH66" s="106"/>
      <c r="AI66" s="106"/>
      <c r="AJ66" s="98"/>
      <c r="AK66" s="94"/>
      <c r="AL66" s="94"/>
      <c r="AM66" s="94"/>
      <c r="AN66" s="94"/>
      <c r="AO66" s="94"/>
      <c r="AP66" s="94"/>
      <c r="AQ66" s="94"/>
      <c r="AR66" s="94"/>
    </row>
    <row r="67" spans="1:44" ht="12.75" customHeight="1">
      <c r="A67" s="107"/>
      <c r="B67" s="108" t="s">
        <v>194</v>
      </c>
      <c r="C67" s="109"/>
      <c r="D67" s="109"/>
      <c r="E67" s="109">
        <f>SUM(E60:E66)</f>
        <v>30</v>
      </c>
      <c r="F67" s="110"/>
      <c r="G67" s="110"/>
      <c r="H67" s="110"/>
      <c r="I67" s="110"/>
      <c r="J67" s="110"/>
      <c r="K67" s="109"/>
      <c r="L67" s="109"/>
      <c r="M67" s="109"/>
      <c r="N67" s="111"/>
      <c r="O67" s="112"/>
      <c r="P67" s="113"/>
      <c r="Q67" s="109"/>
      <c r="R67" s="114">
        <f t="shared" ref="R67:AA67" si="43">SUM(R60:R66)</f>
        <v>0</v>
      </c>
      <c r="S67" s="114">
        <f t="shared" si="43"/>
        <v>0</v>
      </c>
      <c r="T67" s="114">
        <f t="shared" si="43"/>
        <v>0</v>
      </c>
      <c r="U67" s="114">
        <f t="shared" si="43"/>
        <v>0</v>
      </c>
      <c r="V67" s="114">
        <f t="shared" si="43"/>
        <v>199.98000000000005</v>
      </c>
      <c r="W67" s="114">
        <f t="shared" si="43"/>
        <v>0</v>
      </c>
      <c r="X67" s="114">
        <f t="shared" si="43"/>
        <v>1445.4000000000005</v>
      </c>
      <c r="Y67" s="114">
        <f t="shared" si="43"/>
        <v>0</v>
      </c>
      <c r="Z67" s="114">
        <f t="shared" si="43"/>
        <v>0</v>
      </c>
      <c r="AA67" s="114">
        <f t="shared" si="43"/>
        <v>0</v>
      </c>
      <c r="AB67" s="114"/>
      <c r="AC67" s="114"/>
      <c r="AD67" s="114">
        <f t="shared" ref="AD67:AF67" si="44">SUM(AD60:AD66)</f>
        <v>0</v>
      </c>
      <c r="AE67" s="114">
        <f t="shared" si="44"/>
        <v>855.36000000000024</v>
      </c>
      <c r="AF67" s="114">
        <f t="shared" si="44"/>
        <v>60.600000000000009</v>
      </c>
      <c r="AG67" s="114"/>
      <c r="AH67" s="114">
        <f t="shared" ref="AH67:AI67" si="45">SUM(AH60:AH66)</f>
        <v>172.8</v>
      </c>
      <c r="AI67" s="114">
        <f t="shared" si="45"/>
        <v>0</v>
      </c>
      <c r="AJ67" s="115"/>
      <c r="AK67" s="114">
        <f t="shared" ref="AK67:AL67" si="46">SUM(AK60:AK66)</f>
        <v>0</v>
      </c>
      <c r="AL67" s="114">
        <f t="shared" si="46"/>
        <v>0</v>
      </c>
      <c r="AM67" s="94"/>
      <c r="AN67" s="94"/>
      <c r="AO67" s="94"/>
      <c r="AP67" s="94"/>
      <c r="AQ67" s="94"/>
      <c r="AR67" s="94"/>
    </row>
    <row r="68" spans="1:44" ht="12.75" customHeight="1">
      <c r="A68" s="87"/>
      <c r="B68" s="87"/>
      <c r="C68" s="88"/>
      <c r="D68" s="88"/>
      <c r="E68" s="88"/>
      <c r="F68" s="89"/>
      <c r="G68" s="89"/>
      <c r="H68" s="89"/>
      <c r="I68" s="89"/>
      <c r="J68" s="92"/>
      <c r="K68" s="88"/>
      <c r="L68" s="88"/>
      <c r="M68" s="88"/>
      <c r="N68" s="88"/>
      <c r="O68" s="90"/>
      <c r="P68" s="88"/>
      <c r="Q68" s="88"/>
      <c r="R68" s="102"/>
      <c r="S68" s="102"/>
      <c r="T68" s="102"/>
      <c r="U68" s="102"/>
      <c r="V68" s="102"/>
      <c r="W68" s="102"/>
      <c r="X68" s="102"/>
      <c r="Y68" s="102"/>
      <c r="Z68" s="102"/>
      <c r="AA68" s="102"/>
      <c r="AB68" s="102"/>
      <c r="AC68" s="102"/>
      <c r="AD68" s="102"/>
      <c r="AE68" s="102"/>
      <c r="AF68" s="102"/>
      <c r="AG68" s="102"/>
      <c r="AH68" s="102"/>
      <c r="AI68" s="102"/>
      <c r="AJ68" s="92"/>
      <c r="AK68" s="88"/>
      <c r="AL68" s="88"/>
      <c r="AM68" s="88"/>
      <c r="AN68" s="88"/>
      <c r="AO68" s="88"/>
      <c r="AP68" s="88"/>
      <c r="AQ68" s="88"/>
      <c r="AR68" s="88"/>
    </row>
    <row r="69" spans="1:44" ht="12.75" customHeight="1">
      <c r="A69" s="93"/>
      <c r="B69" s="104" t="s">
        <v>242</v>
      </c>
      <c r="C69" s="94"/>
      <c r="D69" s="94"/>
      <c r="E69" s="94"/>
      <c r="F69" s="95"/>
      <c r="G69" s="95"/>
      <c r="H69" s="95"/>
      <c r="I69" s="95"/>
      <c r="J69" s="95"/>
      <c r="K69" s="94"/>
      <c r="L69" s="94"/>
      <c r="M69" s="94"/>
      <c r="N69" s="94"/>
      <c r="O69" s="96"/>
      <c r="P69" s="94"/>
      <c r="Q69" s="94"/>
      <c r="R69" s="103"/>
      <c r="S69" s="103"/>
      <c r="T69" s="103"/>
      <c r="U69" s="103"/>
      <c r="V69" s="103"/>
      <c r="W69" s="103"/>
      <c r="X69" s="103"/>
      <c r="Y69" s="103"/>
      <c r="Z69" s="103"/>
      <c r="AA69" s="103"/>
      <c r="AB69" s="103"/>
      <c r="AC69" s="103"/>
      <c r="AD69" s="103"/>
      <c r="AE69" s="103"/>
      <c r="AF69" s="103"/>
      <c r="AG69" s="103"/>
      <c r="AH69" s="103"/>
      <c r="AI69" s="103"/>
      <c r="AJ69" s="98"/>
      <c r="AK69" s="94"/>
      <c r="AL69" s="94"/>
      <c r="AM69" s="94"/>
      <c r="AN69" s="94"/>
      <c r="AO69" s="94"/>
      <c r="AP69" s="94"/>
      <c r="AQ69" s="94"/>
      <c r="AR69" s="94"/>
    </row>
    <row r="70" spans="1:44" ht="12.75" customHeight="1">
      <c r="A70" s="93"/>
      <c r="B70" s="93"/>
      <c r="C70" s="94"/>
      <c r="D70" s="94"/>
      <c r="E70" s="94"/>
      <c r="F70" s="95"/>
      <c r="G70" s="95"/>
      <c r="H70" s="95"/>
      <c r="I70" s="95"/>
      <c r="J70" s="95"/>
      <c r="K70" s="94"/>
      <c r="L70" s="94"/>
      <c r="M70" s="94"/>
      <c r="N70" s="94"/>
      <c r="O70" s="96"/>
      <c r="P70" s="94"/>
      <c r="Q70" s="94"/>
      <c r="R70" s="103"/>
      <c r="S70" s="103"/>
      <c r="T70" s="103"/>
      <c r="U70" s="103"/>
      <c r="V70" s="103"/>
      <c r="W70" s="103"/>
      <c r="X70" s="103"/>
      <c r="Y70" s="103"/>
      <c r="Z70" s="103"/>
      <c r="AA70" s="103"/>
      <c r="AB70" s="103"/>
      <c r="AC70" s="103"/>
      <c r="AD70" s="103"/>
      <c r="AE70" s="103"/>
      <c r="AF70" s="103"/>
      <c r="AG70" s="103"/>
      <c r="AH70" s="103"/>
      <c r="AI70" s="103"/>
      <c r="AJ70" s="98"/>
      <c r="AK70" s="94"/>
      <c r="AL70" s="94"/>
      <c r="AM70" s="94"/>
      <c r="AN70" s="94"/>
      <c r="AO70" s="94"/>
      <c r="AP70" s="94"/>
      <c r="AQ70" s="94"/>
      <c r="AR70" s="94"/>
    </row>
    <row r="71" spans="1:44" ht="12.75" customHeight="1">
      <c r="A71" s="93"/>
      <c r="B71" s="93" t="s">
        <v>215</v>
      </c>
      <c r="C71" s="94"/>
      <c r="D71" s="94"/>
      <c r="E71" s="94"/>
      <c r="F71" s="95"/>
      <c r="G71" s="95"/>
      <c r="H71" s="95"/>
      <c r="I71" s="95"/>
      <c r="J71" s="95"/>
      <c r="K71" s="94"/>
      <c r="L71" s="94"/>
      <c r="M71" s="94"/>
      <c r="N71" s="94"/>
      <c r="O71" s="96"/>
      <c r="P71" s="94"/>
      <c r="Q71" s="94"/>
      <c r="R71" s="103"/>
      <c r="S71" s="103"/>
      <c r="T71" s="103"/>
      <c r="U71" s="103"/>
      <c r="V71" s="103"/>
      <c r="W71" s="103"/>
      <c r="X71" s="103"/>
      <c r="Y71" s="103"/>
      <c r="Z71" s="103"/>
      <c r="AA71" s="103"/>
      <c r="AB71" s="103"/>
      <c r="AC71" s="103"/>
      <c r="AD71" s="103"/>
      <c r="AE71" s="103"/>
      <c r="AF71" s="103"/>
      <c r="AG71" s="103"/>
      <c r="AH71" s="103"/>
      <c r="AI71" s="103"/>
      <c r="AJ71" s="98"/>
      <c r="AK71" s="94"/>
      <c r="AL71" s="94"/>
      <c r="AM71" s="94"/>
      <c r="AN71" s="94"/>
      <c r="AO71" s="94"/>
      <c r="AP71" s="94"/>
      <c r="AQ71" s="94"/>
      <c r="AR71" s="94"/>
    </row>
    <row r="72" spans="1:44" ht="12.75" customHeight="1">
      <c r="A72" s="93"/>
      <c r="B72" s="93" t="s">
        <v>216</v>
      </c>
      <c r="C72" s="94" t="s">
        <v>243</v>
      </c>
      <c r="D72" s="94">
        <v>6</v>
      </c>
      <c r="E72" s="94">
        <v>11</v>
      </c>
      <c r="F72" s="95">
        <v>0.4</v>
      </c>
      <c r="G72" s="95">
        <v>0.8</v>
      </c>
      <c r="H72" s="95">
        <v>1.5</v>
      </c>
      <c r="I72" s="95">
        <f t="shared" ref="I72:I77" si="47">PRODUCT(D72:G72)</f>
        <v>21.120000000000005</v>
      </c>
      <c r="J72" s="95"/>
      <c r="K72" s="94"/>
      <c r="L72" s="94"/>
      <c r="M72" s="94"/>
      <c r="N72" s="94"/>
      <c r="O72" s="96"/>
      <c r="P72" s="94"/>
      <c r="Q72" s="94"/>
      <c r="R72" s="103"/>
      <c r="S72" s="103"/>
      <c r="T72" s="103"/>
      <c r="U72" s="103"/>
      <c r="V72" s="103">
        <f t="shared" ref="V72:V77" si="48">PRODUCT(D72:H72)</f>
        <v>31.680000000000007</v>
      </c>
      <c r="W72" s="103">
        <f t="shared" ref="W72:W77" si="49">((K72*H72)*E72*D72)</f>
        <v>0</v>
      </c>
      <c r="X72" s="103">
        <f t="shared" ref="X72:X77" si="50">((F72*2+G72*2)*H72)*E72*D72</f>
        <v>237.60000000000005</v>
      </c>
      <c r="Y72" s="103">
        <f t="shared" ref="Y72:Y77" si="51">((M72*H72)*E72*D72)</f>
        <v>0</v>
      </c>
      <c r="Z72" s="103"/>
      <c r="AA72" s="103"/>
      <c r="AB72" s="103"/>
      <c r="AC72" s="103"/>
      <c r="AD72" s="103"/>
      <c r="AE72" s="103">
        <f t="shared" ref="AE72:AE73" si="52">(X72+Y72)</f>
        <v>237.60000000000005</v>
      </c>
      <c r="AF72" s="103">
        <f t="shared" ref="AF72:AF77" si="53">(V72/H72)+(W72/H72)</f>
        <v>21.120000000000005</v>
      </c>
      <c r="AG72" s="103"/>
      <c r="AH72" s="103">
        <f t="shared" ref="AH72:AH73" si="54">(G72*2)*E72*D72</f>
        <v>105.60000000000001</v>
      </c>
      <c r="AI72" s="103">
        <f t="shared" ref="AI72:AI73" si="55">(M72*E72*D72)</f>
        <v>0</v>
      </c>
      <c r="AJ72" s="98"/>
      <c r="AK72" s="94"/>
      <c r="AL72" s="94"/>
      <c r="AM72" s="94"/>
      <c r="AN72" s="94"/>
      <c r="AO72" s="94"/>
      <c r="AP72" s="94"/>
      <c r="AQ72" s="94"/>
      <c r="AR72" s="94"/>
    </row>
    <row r="73" spans="1:44" ht="12.75" customHeight="1">
      <c r="A73" s="93"/>
      <c r="B73" s="93" t="s">
        <v>218</v>
      </c>
      <c r="C73" s="94" t="s">
        <v>244</v>
      </c>
      <c r="D73" s="94">
        <v>6</v>
      </c>
      <c r="E73" s="94">
        <v>7</v>
      </c>
      <c r="F73" s="95">
        <v>0.4</v>
      </c>
      <c r="G73" s="95">
        <v>0.8</v>
      </c>
      <c r="H73" s="95">
        <v>1.5</v>
      </c>
      <c r="I73" s="95">
        <f t="shared" si="47"/>
        <v>13.440000000000001</v>
      </c>
      <c r="J73" s="95"/>
      <c r="K73" s="94"/>
      <c r="L73" s="94"/>
      <c r="M73" s="94"/>
      <c r="N73" s="94"/>
      <c r="O73" s="96"/>
      <c r="P73" s="94"/>
      <c r="Q73" s="94"/>
      <c r="R73" s="103"/>
      <c r="S73" s="103"/>
      <c r="T73" s="103"/>
      <c r="U73" s="103"/>
      <c r="V73" s="103">
        <f t="shared" si="48"/>
        <v>20.160000000000004</v>
      </c>
      <c r="W73" s="103">
        <f t="shared" si="49"/>
        <v>0</v>
      </c>
      <c r="X73" s="103">
        <f t="shared" si="50"/>
        <v>151.20000000000002</v>
      </c>
      <c r="Y73" s="103">
        <f t="shared" si="51"/>
        <v>0</v>
      </c>
      <c r="Z73" s="103"/>
      <c r="AA73" s="103"/>
      <c r="AB73" s="103"/>
      <c r="AC73" s="103"/>
      <c r="AD73" s="103"/>
      <c r="AE73" s="103">
        <f t="shared" si="52"/>
        <v>151.20000000000002</v>
      </c>
      <c r="AF73" s="103">
        <f t="shared" si="53"/>
        <v>13.440000000000003</v>
      </c>
      <c r="AG73" s="103"/>
      <c r="AH73" s="103">
        <f t="shared" si="54"/>
        <v>67.2</v>
      </c>
      <c r="AI73" s="103">
        <f t="shared" si="55"/>
        <v>0</v>
      </c>
      <c r="AJ73" s="98"/>
      <c r="AK73" s="94"/>
      <c r="AL73" s="94"/>
      <c r="AM73" s="94"/>
      <c r="AN73" s="94"/>
      <c r="AO73" s="94"/>
      <c r="AP73" s="94"/>
      <c r="AQ73" s="94"/>
      <c r="AR73" s="94"/>
    </row>
    <row r="74" spans="1:44" ht="12.75" customHeight="1">
      <c r="A74" s="93"/>
      <c r="B74" s="93" t="s">
        <v>220</v>
      </c>
      <c r="C74" s="94" t="s">
        <v>245</v>
      </c>
      <c r="D74" s="94">
        <v>6</v>
      </c>
      <c r="E74" s="94">
        <v>2</v>
      </c>
      <c r="F74" s="95">
        <v>0.4</v>
      </c>
      <c r="G74" s="95">
        <v>0.9</v>
      </c>
      <c r="H74" s="95">
        <v>1.5</v>
      </c>
      <c r="I74" s="95">
        <f t="shared" si="47"/>
        <v>4.3200000000000012</v>
      </c>
      <c r="J74" s="95"/>
      <c r="K74" s="94"/>
      <c r="L74" s="94"/>
      <c r="M74" s="94"/>
      <c r="N74" s="94"/>
      <c r="O74" s="96"/>
      <c r="P74" s="94"/>
      <c r="Q74" s="94"/>
      <c r="R74" s="103"/>
      <c r="S74" s="103"/>
      <c r="T74" s="103"/>
      <c r="U74" s="103"/>
      <c r="V74" s="103">
        <f t="shared" si="48"/>
        <v>6.4800000000000022</v>
      </c>
      <c r="W74" s="103">
        <f t="shared" si="49"/>
        <v>0</v>
      </c>
      <c r="X74" s="103">
        <f t="shared" si="50"/>
        <v>46.800000000000004</v>
      </c>
      <c r="Y74" s="103">
        <f t="shared" si="51"/>
        <v>0</v>
      </c>
      <c r="Z74" s="106"/>
      <c r="AA74" s="106"/>
      <c r="AB74" s="106"/>
      <c r="AC74" s="106"/>
      <c r="AD74" s="106"/>
      <c r="AE74" s="106"/>
      <c r="AF74" s="103">
        <f t="shared" si="53"/>
        <v>4.3200000000000012</v>
      </c>
      <c r="AG74" s="106"/>
      <c r="AH74" s="106"/>
      <c r="AI74" s="106"/>
      <c r="AJ74" s="98"/>
      <c r="AK74" s="94"/>
      <c r="AL74" s="94"/>
      <c r="AM74" s="94"/>
      <c r="AN74" s="94"/>
      <c r="AO74" s="94"/>
      <c r="AP74" s="94"/>
      <c r="AQ74" s="94"/>
      <c r="AR74" s="94"/>
    </row>
    <row r="75" spans="1:44" ht="12.75" customHeight="1">
      <c r="A75" s="93"/>
      <c r="B75" s="93" t="s">
        <v>222</v>
      </c>
      <c r="C75" s="94" t="s">
        <v>246</v>
      </c>
      <c r="D75" s="94">
        <v>6</v>
      </c>
      <c r="E75" s="94">
        <v>2</v>
      </c>
      <c r="F75" s="95">
        <v>0.4</v>
      </c>
      <c r="G75" s="95">
        <v>0.75</v>
      </c>
      <c r="H75" s="95">
        <v>1.5</v>
      </c>
      <c r="I75" s="95">
        <f t="shared" si="47"/>
        <v>3.6000000000000005</v>
      </c>
      <c r="J75" s="95"/>
      <c r="K75" s="94"/>
      <c r="L75" s="94"/>
      <c r="M75" s="94"/>
      <c r="N75" s="94"/>
      <c r="O75" s="96"/>
      <c r="P75" s="94"/>
      <c r="Q75" s="94"/>
      <c r="R75" s="103"/>
      <c r="S75" s="103"/>
      <c r="T75" s="103"/>
      <c r="U75" s="103"/>
      <c r="V75" s="103">
        <f t="shared" si="48"/>
        <v>5.4</v>
      </c>
      <c r="W75" s="103">
        <f t="shared" si="49"/>
        <v>0</v>
      </c>
      <c r="X75" s="103">
        <f t="shared" si="50"/>
        <v>41.4</v>
      </c>
      <c r="Y75" s="103">
        <f t="shared" si="51"/>
        <v>0</v>
      </c>
      <c r="Z75" s="106"/>
      <c r="AA75" s="106"/>
      <c r="AB75" s="106"/>
      <c r="AC75" s="106"/>
      <c r="AD75" s="106"/>
      <c r="AE75" s="106"/>
      <c r="AF75" s="103">
        <f t="shared" si="53"/>
        <v>3.6</v>
      </c>
      <c r="AG75" s="106"/>
      <c r="AH75" s="106"/>
      <c r="AI75" s="106"/>
      <c r="AJ75" s="98"/>
      <c r="AK75" s="94"/>
      <c r="AL75" s="94"/>
      <c r="AM75" s="94"/>
      <c r="AN75" s="94"/>
      <c r="AO75" s="94"/>
      <c r="AP75" s="94"/>
      <c r="AQ75" s="94"/>
      <c r="AR75" s="94"/>
    </row>
    <row r="76" spans="1:44" ht="12.75" customHeight="1">
      <c r="A76" s="93"/>
      <c r="B76" s="93" t="s">
        <v>224</v>
      </c>
      <c r="C76" s="94" t="s">
        <v>247</v>
      </c>
      <c r="D76" s="94">
        <v>6</v>
      </c>
      <c r="E76" s="94">
        <v>6</v>
      </c>
      <c r="F76" s="95">
        <v>0.5</v>
      </c>
      <c r="G76" s="95">
        <v>0.9</v>
      </c>
      <c r="H76" s="95">
        <v>1.5</v>
      </c>
      <c r="I76" s="95">
        <f t="shared" si="47"/>
        <v>16.2</v>
      </c>
      <c r="J76" s="95"/>
      <c r="K76" s="94"/>
      <c r="L76" s="94"/>
      <c r="M76" s="94"/>
      <c r="N76" s="94"/>
      <c r="O76" s="96"/>
      <c r="P76" s="94"/>
      <c r="Q76" s="94"/>
      <c r="R76" s="103"/>
      <c r="S76" s="103"/>
      <c r="T76" s="103"/>
      <c r="U76" s="103"/>
      <c r="V76" s="103">
        <f t="shared" si="48"/>
        <v>24.299999999999997</v>
      </c>
      <c r="W76" s="103">
        <f t="shared" si="49"/>
        <v>0</v>
      </c>
      <c r="X76" s="103">
        <f t="shared" si="50"/>
        <v>151.19999999999999</v>
      </c>
      <c r="Y76" s="103">
        <f t="shared" si="51"/>
        <v>0</v>
      </c>
      <c r="Z76" s="106"/>
      <c r="AA76" s="106"/>
      <c r="AB76" s="106"/>
      <c r="AC76" s="106"/>
      <c r="AD76" s="106"/>
      <c r="AE76" s="106"/>
      <c r="AF76" s="103">
        <f t="shared" si="53"/>
        <v>16.2</v>
      </c>
      <c r="AG76" s="106"/>
      <c r="AH76" s="106"/>
      <c r="AI76" s="106"/>
      <c r="AJ76" s="98"/>
      <c r="AK76" s="94"/>
      <c r="AL76" s="94"/>
      <c r="AM76" s="94"/>
      <c r="AN76" s="94"/>
      <c r="AO76" s="94"/>
      <c r="AP76" s="94"/>
      <c r="AQ76" s="94"/>
      <c r="AR76" s="94"/>
    </row>
    <row r="77" spans="1:44" ht="12.75" customHeight="1">
      <c r="A77" s="93"/>
      <c r="B77" s="93" t="s">
        <v>226</v>
      </c>
      <c r="C77" s="94" t="s">
        <v>248</v>
      </c>
      <c r="D77" s="94">
        <v>6</v>
      </c>
      <c r="E77" s="94">
        <v>2</v>
      </c>
      <c r="F77" s="95">
        <v>0.4</v>
      </c>
      <c r="G77" s="95">
        <v>0.4</v>
      </c>
      <c r="H77" s="95">
        <v>1.5</v>
      </c>
      <c r="I77" s="95">
        <f t="shared" si="47"/>
        <v>1.9200000000000004</v>
      </c>
      <c r="J77" s="95"/>
      <c r="K77" s="94"/>
      <c r="L77" s="94"/>
      <c r="M77" s="94"/>
      <c r="N77" s="94"/>
      <c r="O77" s="96"/>
      <c r="P77" s="94"/>
      <c r="Q77" s="94"/>
      <c r="R77" s="103"/>
      <c r="S77" s="103"/>
      <c r="T77" s="103"/>
      <c r="U77" s="103"/>
      <c r="V77" s="103">
        <f t="shared" si="48"/>
        <v>2.8800000000000008</v>
      </c>
      <c r="W77" s="103">
        <f t="shared" si="49"/>
        <v>0</v>
      </c>
      <c r="X77" s="103">
        <f t="shared" si="50"/>
        <v>28.800000000000004</v>
      </c>
      <c r="Y77" s="103">
        <f t="shared" si="51"/>
        <v>0</v>
      </c>
      <c r="Z77" s="106"/>
      <c r="AA77" s="106"/>
      <c r="AB77" s="106"/>
      <c r="AC77" s="106"/>
      <c r="AD77" s="106"/>
      <c r="AE77" s="106"/>
      <c r="AF77" s="103">
        <f t="shared" si="53"/>
        <v>1.9200000000000006</v>
      </c>
      <c r="AG77" s="106"/>
      <c r="AH77" s="106"/>
      <c r="AI77" s="106"/>
      <c r="AJ77" s="98"/>
      <c r="AK77" s="94"/>
      <c r="AL77" s="94"/>
      <c r="AM77" s="94"/>
      <c r="AN77" s="94"/>
      <c r="AO77" s="94"/>
      <c r="AP77" s="94"/>
      <c r="AQ77" s="94"/>
      <c r="AR77" s="94"/>
    </row>
    <row r="78" spans="1:44" ht="12.75" customHeight="1">
      <c r="A78" s="93"/>
      <c r="B78" s="93"/>
      <c r="C78" s="94"/>
      <c r="D78" s="94"/>
      <c r="E78" s="94"/>
      <c r="F78" s="95"/>
      <c r="G78" s="95"/>
      <c r="H78" s="95"/>
      <c r="I78" s="95"/>
      <c r="J78" s="95"/>
      <c r="K78" s="94"/>
      <c r="L78" s="94"/>
      <c r="M78" s="94"/>
      <c r="N78" s="94"/>
      <c r="O78" s="96"/>
      <c r="P78" s="94"/>
      <c r="Q78" s="94"/>
      <c r="R78" s="106"/>
      <c r="S78" s="106"/>
      <c r="T78" s="106"/>
      <c r="U78" s="106"/>
      <c r="V78" s="106"/>
      <c r="W78" s="106"/>
      <c r="X78" s="106"/>
      <c r="Y78" s="106"/>
      <c r="Z78" s="106"/>
      <c r="AA78" s="106"/>
      <c r="AB78" s="106"/>
      <c r="AC78" s="106"/>
      <c r="AD78" s="106"/>
      <c r="AE78" s="106"/>
      <c r="AF78" s="106"/>
      <c r="AG78" s="106"/>
      <c r="AH78" s="106"/>
      <c r="AI78" s="106"/>
      <c r="AJ78" s="98"/>
      <c r="AK78" s="94"/>
      <c r="AL78" s="94"/>
      <c r="AM78" s="94"/>
      <c r="AN78" s="94"/>
      <c r="AO78" s="94"/>
      <c r="AP78" s="94"/>
      <c r="AQ78" s="94"/>
      <c r="AR78" s="94"/>
    </row>
    <row r="79" spans="1:44" ht="12.75" customHeight="1">
      <c r="A79" s="107"/>
      <c r="B79" s="108" t="s">
        <v>194</v>
      </c>
      <c r="C79" s="109"/>
      <c r="D79" s="109"/>
      <c r="E79" s="109">
        <f>SUM(E72:E78)</f>
        <v>30</v>
      </c>
      <c r="F79" s="110"/>
      <c r="G79" s="110"/>
      <c r="H79" s="110"/>
      <c r="I79" s="110"/>
      <c r="J79" s="110"/>
      <c r="K79" s="109"/>
      <c r="L79" s="109"/>
      <c r="M79" s="109"/>
      <c r="N79" s="111"/>
      <c r="O79" s="112"/>
      <c r="P79" s="113"/>
      <c r="Q79" s="109"/>
      <c r="R79" s="114">
        <f t="shared" ref="R79:AA79" si="56">SUM(R72:R78)</f>
        <v>0</v>
      </c>
      <c r="S79" s="114">
        <f t="shared" si="56"/>
        <v>0</v>
      </c>
      <c r="T79" s="114">
        <f t="shared" si="56"/>
        <v>0</v>
      </c>
      <c r="U79" s="114">
        <f t="shared" si="56"/>
        <v>0</v>
      </c>
      <c r="V79" s="114">
        <f t="shared" si="56"/>
        <v>90.9</v>
      </c>
      <c r="W79" s="114">
        <f t="shared" si="56"/>
        <v>0</v>
      </c>
      <c r="X79" s="114">
        <f t="shared" si="56"/>
        <v>657</v>
      </c>
      <c r="Y79" s="114">
        <f t="shared" si="56"/>
        <v>0</v>
      </c>
      <c r="Z79" s="114">
        <f t="shared" si="56"/>
        <v>0</v>
      </c>
      <c r="AA79" s="114">
        <f t="shared" si="56"/>
        <v>0</v>
      </c>
      <c r="AB79" s="114"/>
      <c r="AC79" s="114"/>
      <c r="AD79" s="114">
        <f t="shared" ref="AD79:AF79" si="57">SUM(AD72:AD78)</f>
        <v>0</v>
      </c>
      <c r="AE79" s="114">
        <f t="shared" si="57"/>
        <v>388.80000000000007</v>
      </c>
      <c r="AF79" s="114">
        <f t="shared" si="57"/>
        <v>60.600000000000009</v>
      </c>
      <c r="AG79" s="114"/>
      <c r="AH79" s="114">
        <f t="shared" ref="AH79:AI79" si="58">SUM(AH72:AH78)</f>
        <v>172.8</v>
      </c>
      <c r="AI79" s="114">
        <f t="shared" si="58"/>
        <v>0</v>
      </c>
      <c r="AJ79" s="115"/>
      <c r="AK79" s="114">
        <f t="shared" ref="AK79:AL79" si="59">SUM(AK72:AK78)</f>
        <v>0</v>
      </c>
      <c r="AL79" s="114">
        <f t="shared" si="59"/>
        <v>0</v>
      </c>
      <c r="AM79" s="94"/>
      <c r="AN79" s="94"/>
      <c r="AO79" s="94"/>
      <c r="AP79" s="94"/>
      <c r="AQ79" s="94"/>
      <c r="AR79" s="94"/>
    </row>
    <row r="80" spans="1:44" ht="12.75" customHeight="1">
      <c r="A80" s="87"/>
      <c r="B80" s="87"/>
      <c r="C80" s="88"/>
      <c r="D80" s="88"/>
      <c r="E80" s="88"/>
      <c r="F80" s="89"/>
      <c r="G80" s="89"/>
      <c r="H80" s="89"/>
      <c r="I80" s="89"/>
      <c r="J80" s="89"/>
      <c r="K80" s="88"/>
      <c r="L80" s="88"/>
      <c r="M80" s="88"/>
      <c r="N80" s="88"/>
      <c r="O80" s="116"/>
      <c r="P80" s="88"/>
      <c r="Q80" s="88"/>
      <c r="R80" s="92"/>
      <c r="S80" s="92"/>
      <c r="T80" s="92"/>
      <c r="U80" s="92"/>
      <c r="V80" s="92"/>
      <c r="W80" s="92"/>
      <c r="X80" s="92"/>
      <c r="Y80" s="92"/>
      <c r="Z80" s="92"/>
      <c r="AA80" s="92"/>
      <c r="AB80" s="92"/>
      <c r="AC80" s="92"/>
      <c r="AD80" s="92"/>
      <c r="AE80" s="92"/>
      <c r="AF80" s="92"/>
      <c r="AG80" s="92"/>
      <c r="AH80" s="92"/>
      <c r="AI80" s="92"/>
      <c r="AJ80" s="92"/>
      <c r="AK80" s="88"/>
      <c r="AL80" s="88"/>
      <c r="AM80" s="88"/>
      <c r="AN80" s="88"/>
      <c r="AO80" s="88"/>
      <c r="AP80" s="88"/>
      <c r="AQ80" s="88"/>
      <c r="AR80" s="88"/>
    </row>
    <row r="81" spans="1:44" ht="12.75" customHeight="1">
      <c r="A81" s="87"/>
      <c r="B81" s="87"/>
      <c r="C81" s="88"/>
      <c r="D81" s="88"/>
      <c r="E81" s="88"/>
      <c r="F81" s="89"/>
      <c r="G81" s="89"/>
      <c r="H81" s="89"/>
      <c r="I81" s="89"/>
      <c r="J81" s="89"/>
      <c r="K81" s="88"/>
      <c r="L81" s="88"/>
      <c r="M81" s="88"/>
      <c r="N81" s="88"/>
      <c r="O81" s="90"/>
      <c r="P81" s="88"/>
      <c r="Q81" s="88"/>
      <c r="R81" s="92"/>
      <c r="S81" s="92"/>
      <c r="T81" s="92"/>
      <c r="U81" s="92"/>
      <c r="V81" s="92"/>
      <c r="W81" s="92"/>
      <c r="X81" s="92"/>
      <c r="Y81" s="92"/>
      <c r="Z81" s="92"/>
      <c r="AA81" s="92"/>
      <c r="AB81" s="92"/>
      <c r="AC81" s="92"/>
      <c r="AD81" s="92"/>
      <c r="AE81" s="92"/>
      <c r="AF81" s="92"/>
      <c r="AG81" s="92"/>
      <c r="AH81" s="92"/>
      <c r="AI81" s="92"/>
      <c r="AJ81" s="92"/>
      <c r="AK81" s="88"/>
      <c r="AL81" s="88"/>
      <c r="AM81" s="88"/>
      <c r="AN81" s="88"/>
      <c r="AO81" s="88"/>
      <c r="AP81" s="88"/>
      <c r="AQ81" s="88"/>
      <c r="AR81" s="88"/>
    </row>
    <row r="82" spans="1:44" ht="12.75" customHeight="1">
      <c r="A82" s="117"/>
      <c r="B82" s="117" t="s">
        <v>1160</v>
      </c>
      <c r="C82" s="46"/>
      <c r="D82" s="46"/>
      <c r="E82" s="46"/>
      <c r="F82" s="50"/>
      <c r="G82" s="50"/>
      <c r="H82" s="50"/>
      <c r="I82" s="50"/>
      <c r="J82" s="50"/>
      <c r="K82" s="46"/>
      <c r="L82" s="46"/>
      <c r="M82" s="46"/>
      <c r="N82" s="46"/>
      <c r="O82" s="51"/>
      <c r="P82" s="46"/>
      <c r="Q82" s="46"/>
      <c r="R82" s="47"/>
      <c r="S82" s="47"/>
      <c r="T82" s="47"/>
      <c r="U82" s="47"/>
      <c r="V82" s="47"/>
      <c r="W82" s="47"/>
      <c r="X82" s="47"/>
      <c r="Y82" s="47"/>
      <c r="Z82" s="47"/>
      <c r="AA82" s="47"/>
      <c r="AB82" s="47"/>
      <c r="AC82" s="47"/>
      <c r="AD82" s="47"/>
      <c r="AE82" s="47"/>
      <c r="AF82" s="47"/>
      <c r="AG82" s="47"/>
      <c r="AH82" s="47"/>
      <c r="AI82" s="47"/>
      <c r="AJ82" s="47"/>
      <c r="AK82" s="46"/>
      <c r="AL82" s="46"/>
      <c r="AM82" s="46"/>
      <c r="AN82" s="46"/>
      <c r="AO82" s="46"/>
      <c r="AP82" s="46"/>
      <c r="AQ82" s="46"/>
      <c r="AR82" s="46"/>
    </row>
    <row r="83" spans="1:44" ht="12.75" customHeight="1">
      <c r="A83" s="93"/>
      <c r="B83" s="93" t="s">
        <v>250</v>
      </c>
      <c r="C83" s="117"/>
      <c r="D83" s="46"/>
      <c r="E83" s="94"/>
      <c r="F83" s="50"/>
      <c r="G83" s="50"/>
      <c r="H83" s="50"/>
      <c r="I83" s="50"/>
      <c r="J83" s="50"/>
      <c r="K83" s="46"/>
      <c r="L83" s="46"/>
      <c r="M83" s="46"/>
      <c r="N83" s="46"/>
      <c r="O83" s="51"/>
      <c r="P83" s="46"/>
      <c r="Q83" s="46"/>
      <c r="R83" s="118"/>
      <c r="S83" s="118"/>
      <c r="T83" s="118"/>
      <c r="U83" s="118"/>
      <c r="V83" s="118"/>
      <c r="W83" s="118"/>
      <c r="X83" s="118"/>
      <c r="Y83" s="118"/>
      <c r="Z83" s="118"/>
      <c r="AA83" s="118"/>
      <c r="AB83" s="118"/>
      <c r="AC83" s="118"/>
      <c r="AD83" s="118"/>
      <c r="AE83" s="118"/>
      <c r="AF83" s="118"/>
      <c r="AG83" s="118"/>
      <c r="AH83" s="118"/>
      <c r="AI83" s="118"/>
      <c r="AJ83" s="47"/>
      <c r="AK83" s="46"/>
      <c r="AL83" s="46"/>
      <c r="AM83" s="46"/>
      <c r="AN83" s="46"/>
      <c r="AO83" s="46"/>
      <c r="AP83" s="46"/>
      <c r="AQ83" s="46"/>
      <c r="AR83" s="46"/>
    </row>
    <row r="84" spans="1:44" ht="12.75" customHeight="1">
      <c r="A84" s="93"/>
      <c r="B84" s="93" t="s">
        <v>251</v>
      </c>
      <c r="C84" s="46" t="s">
        <v>252</v>
      </c>
      <c r="D84" s="46">
        <v>1</v>
      </c>
      <c r="E84" s="94">
        <v>1</v>
      </c>
      <c r="F84" s="50">
        <f>12080/1000</f>
        <v>12.08</v>
      </c>
      <c r="G84" s="50">
        <v>0.2</v>
      </c>
      <c r="H84" s="95">
        <v>5.85</v>
      </c>
      <c r="I84" s="50"/>
      <c r="J84" s="50"/>
      <c r="K84" s="46"/>
      <c r="L84" s="46"/>
      <c r="M84" s="46"/>
      <c r="N84" s="46"/>
      <c r="O84" s="51"/>
      <c r="P84" s="46"/>
      <c r="Q84" s="46"/>
      <c r="R84" s="118"/>
      <c r="S84" s="118"/>
      <c r="T84" s="118"/>
      <c r="U84" s="118"/>
      <c r="V84" s="119">
        <f t="shared" ref="V84:V87" si="60">PRODUCT(D84:H84)</f>
        <v>14.133600000000001</v>
      </c>
      <c r="W84" s="119">
        <f t="shared" ref="W84:W87" si="61">((K84*H84)*E84*D84)</f>
        <v>0</v>
      </c>
      <c r="X84" s="119">
        <f t="shared" ref="X84:X87" si="62">((F84*2+G84*2)*H84)*E84*D84</f>
        <v>143.67599999999999</v>
      </c>
      <c r="Y84" s="119">
        <f t="shared" ref="Y84:Y87" si="63">((M84*H84)*E84*D84)</f>
        <v>0</v>
      </c>
      <c r="Z84" s="119"/>
      <c r="AA84" s="119"/>
      <c r="AB84" s="119"/>
      <c r="AC84" s="119"/>
      <c r="AD84" s="119"/>
      <c r="AE84" s="119">
        <f t="shared" ref="AE84:AE87" si="64">(X84+Y84)</f>
        <v>143.67599999999999</v>
      </c>
      <c r="AF84" s="119">
        <f t="shared" ref="AF84:AF87" si="65">(V84/H84)+(W84/H84)</f>
        <v>2.4160000000000004</v>
      </c>
      <c r="AG84" s="118"/>
      <c r="AH84" s="118"/>
      <c r="AI84" s="118"/>
      <c r="AJ84" s="47"/>
      <c r="AK84" s="46"/>
      <c r="AL84" s="46"/>
      <c r="AM84" s="46"/>
      <c r="AN84" s="46"/>
      <c r="AO84" s="46"/>
      <c r="AP84" s="46"/>
      <c r="AQ84" s="46"/>
      <c r="AR84" s="46"/>
    </row>
    <row r="85" spans="1:44" ht="12.75" customHeight="1">
      <c r="A85" s="93"/>
      <c r="B85" s="93" t="s">
        <v>253</v>
      </c>
      <c r="C85" s="46" t="s">
        <v>252</v>
      </c>
      <c r="D85" s="46">
        <v>1</v>
      </c>
      <c r="E85" s="94">
        <v>2</v>
      </c>
      <c r="F85" s="50">
        <v>2.25</v>
      </c>
      <c r="G85" s="50">
        <v>0.2</v>
      </c>
      <c r="H85" s="95">
        <v>5.85</v>
      </c>
      <c r="I85" s="50"/>
      <c r="J85" s="50"/>
      <c r="K85" s="46"/>
      <c r="L85" s="46"/>
      <c r="M85" s="46"/>
      <c r="N85" s="46"/>
      <c r="O85" s="51"/>
      <c r="P85" s="46"/>
      <c r="Q85" s="46"/>
      <c r="R85" s="118"/>
      <c r="S85" s="118"/>
      <c r="T85" s="118"/>
      <c r="U85" s="118"/>
      <c r="V85" s="119">
        <f t="shared" si="60"/>
        <v>5.2649999999999997</v>
      </c>
      <c r="W85" s="119">
        <f t="shared" si="61"/>
        <v>0</v>
      </c>
      <c r="X85" s="119">
        <f t="shared" si="62"/>
        <v>57.33</v>
      </c>
      <c r="Y85" s="119">
        <f t="shared" si="63"/>
        <v>0</v>
      </c>
      <c r="Z85" s="119"/>
      <c r="AA85" s="119"/>
      <c r="AB85" s="119"/>
      <c r="AC85" s="119"/>
      <c r="AD85" s="119"/>
      <c r="AE85" s="119">
        <f t="shared" si="64"/>
        <v>57.33</v>
      </c>
      <c r="AF85" s="119">
        <f t="shared" si="65"/>
        <v>0.9</v>
      </c>
      <c r="AG85" s="118"/>
      <c r="AH85" s="118"/>
      <c r="AI85" s="118"/>
      <c r="AJ85" s="47"/>
      <c r="AK85" s="46"/>
      <c r="AL85" s="46"/>
      <c r="AM85" s="46"/>
      <c r="AN85" s="46"/>
      <c r="AO85" s="46"/>
      <c r="AP85" s="46"/>
      <c r="AQ85" s="46"/>
      <c r="AR85" s="46"/>
    </row>
    <row r="86" spans="1:44" ht="12.75" customHeight="1">
      <c r="A86" s="93"/>
      <c r="B86" s="93" t="s">
        <v>255</v>
      </c>
      <c r="C86" s="46" t="s">
        <v>252</v>
      </c>
      <c r="D86" s="46">
        <v>1</v>
      </c>
      <c r="E86" s="94">
        <v>1</v>
      </c>
      <c r="F86" s="50">
        <v>13.8</v>
      </c>
      <c r="G86" s="50">
        <v>0.2</v>
      </c>
      <c r="H86" s="95">
        <v>5.85</v>
      </c>
      <c r="I86" s="50"/>
      <c r="J86" s="50"/>
      <c r="K86" s="46"/>
      <c r="L86" s="46"/>
      <c r="M86" s="46"/>
      <c r="N86" s="46"/>
      <c r="O86" s="51"/>
      <c r="P86" s="46"/>
      <c r="Q86" s="46"/>
      <c r="R86" s="118"/>
      <c r="S86" s="118"/>
      <c r="T86" s="118"/>
      <c r="U86" s="118"/>
      <c r="V86" s="119">
        <f t="shared" si="60"/>
        <v>16.146000000000001</v>
      </c>
      <c r="W86" s="119">
        <f t="shared" si="61"/>
        <v>0</v>
      </c>
      <c r="X86" s="119">
        <f t="shared" si="62"/>
        <v>163.79999999999998</v>
      </c>
      <c r="Y86" s="119">
        <f t="shared" si="63"/>
        <v>0</v>
      </c>
      <c r="Z86" s="119"/>
      <c r="AA86" s="119"/>
      <c r="AB86" s="119"/>
      <c r="AC86" s="119"/>
      <c r="AD86" s="119"/>
      <c r="AE86" s="119">
        <f t="shared" si="64"/>
        <v>163.79999999999998</v>
      </c>
      <c r="AF86" s="119">
        <f t="shared" si="65"/>
        <v>2.7600000000000002</v>
      </c>
      <c r="AG86" s="118"/>
      <c r="AH86" s="118"/>
      <c r="AI86" s="118"/>
      <c r="AJ86" s="47"/>
      <c r="AK86" s="46"/>
      <c r="AL86" s="46"/>
      <c r="AM86" s="46"/>
      <c r="AN86" s="46"/>
      <c r="AO86" s="46"/>
      <c r="AP86" s="46"/>
      <c r="AQ86" s="46"/>
      <c r="AR86" s="46"/>
    </row>
    <row r="87" spans="1:44" ht="12.75" customHeight="1">
      <c r="A87" s="93"/>
      <c r="B87" s="93" t="s">
        <v>198</v>
      </c>
      <c r="C87" s="46" t="s">
        <v>252</v>
      </c>
      <c r="D87" s="94">
        <v>1</v>
      </c>
      <c r="E87" s="94"/>
      <c r="F87" s="95">
        <v>2.6</v>
      </c>
      <c r="G87" s="95">
        <v>0.2</v>
      </c>
      <c r="H87" s="95">
        <v>0.6</v>
      </c>
      <c r="I87" s="50"/>
      <c r="J87" s="50"/>
      <c r="K87" s="46"/>
      <c r="L87" s="46"/>
      <c r="M87" s="46"/>
      <c r="N87" s="46"/>
      <c r="O87" s="51"/>
      <c r="P87" s="46"/>
      <c r="Q87" s="46"/>
      <c r="R87" s="118"/>
      <c r="S87" s="118"/>
      <c r="T87" s="118"/>
      <c r="U87" s="118"/>
      <c r="V87" s="119">
        <f t="shared" si="60"/>
        <v>0.312</v>
      </c>
      <c r="W87" s="119">
        <f t="shared" si="61"/>
        <v>0</v>
      </c>
      <c r="X87" s="119">
        <f t="shared" si="62"/>
        <v>0</v>
      </c>
      <c r="Y87" s="119">
        <f t="shared" si="63"/>
        <v>0</v>
      </c>
      <c r="Z87" s="119"/>
      <c r="AA87" s="119"/>
      <c r="AB87" s="119"/>
      <c r="AC87" s="119"/>
      <c r="AD87" s="119"/>
      <c r="AE87" s="119">
        <f t="shared" si="64"/>
        <v>0</v>
      </c>
      <c r="AF87" s="119">
        <f t="shared" si="65"/>
        <v>0.52</v>
      </c>
      <c r="AG87" s="118"/>
      <c r="AH87" s="118"/>
      <c r="AI87" s="118"/>
      <c r="AJ87" s="47"/>
      <c r="AK87" s="46"/>
      <c r="AL87" s="46"/>
      <c r="AM87" s="46"/>
      <c r="AN87" s="46"/>
      <c r="AO87" s="46"/>
      <c r="AP87" s="46"/>
      <c r="AQ87" s="46"/>
      <c r="AR87" s="46"/>
    </row>
    <row r="88" spans="1:44" ht="12.75" customHeight="1">
      <c r="A88" s="117"/>
      <c r="B88" s="117"/>
      <c r="C88" s="46"/>
      <c r="D88" s="46"/>
      <c r="E88" s="46"/>
      <c r="F88" s="50"/>
      <c r="G88" s="50"/>
      <c r="H88" s="50"/>
      <c r="I88" s="50"/>
      <c r="J88" s="50"/>
      <c r="K88" s="46"/>
      <c r="L88" s="46"/>
      <c r="M88" s="46"/>
      <c r="N88" s="46"/>
      <c r="O88" s="51"/>
      <c r="P88" s="46"/>
      <c r="Q88" s="46"/>
      <c r="R88" s="47"/>
      <c r="S88" s="47"/>
      <c r="T88" s="47"/>
      <c r="U88" s="47"/>
      <c r="V88" s="47"/>
      <c r="W88" s="47"/>
      <c r="X88" s="47"/>
      <c r="Y88" s="47"/>
      <c r="Z88" s="47"/>
      <c r="AA88" s="47"/>
      <c r="AB88" s="47"/>
      <c r="AC88" s="47"/>
      <c r="AD88" s="47"/>
      <c r="AE88" s="47"/>
      <c r="AF88" s="47"/>
      <c r="AG88" s="47"/>
      <c r="AH88" s="47"/>
      <c r="AI88" s="47"/>
      <c r="AJ88" s="47"/>
      <c r="AK88" s="46"/>
      <c r="AL88" s="46"/>
      <c r="AM88" s="46"/>
      <c r="AN88" s="46"/>
      <c r="AO88" s="46"/>
      <c r="AP88" s="46"/>
      <c r="AQ88" s="46"/>
      <c r="AR88" s="46"/>
    </row>
    <row r="89" spans="1:44" ht="12.75" customHeight="1">
      <c r="A89" s="120"/>
      <c r="B89" s="108" t="s">
        <v>194</v>
      </c>
      <c r="C89" s="60"/>
      <c r="D89" s="60"/>
      <c r="E89" s="60"/>
      <c r="F89" s="63"/>
      <c r="G89" s="63"/>
      <c r="H89" s="63"/>
      <c r="I89" s="63"/>
      <c r="J89" s="63"/>
      <c r="K89" s="60"/>
      <c r="L89" s="60"/>
      <c r="M89" s="60"/>
      <c r="N89" s="62"/>
      <c r="O89" s="121"/>
      <c r="P89" s="122"/>
      <c r="Q89" s="60"/>
      <c r="R89" s="114">
        <f t="shared" ref="R89:AA89" si="66">SUM(R83:R88)</f>
        <v>0</v>
      </c>
      <c r="S89" s="114">
        <f t="shared" si="66"/>
        <v>0</v>
      </c>
      <c r="T89" s="114">
        <f t="shared" si="66"/>
        <v>0</v>
      </c>
      <c r="U89" s="114">
        <f t="shared" si="66"/>
        <v>0</v>
      </c>
      <c r="V89" s="114">
        <f t="shared" si="66"/>
        <v>35.8566</v>
      </c>
      <c r="W89" s="114">
        <f t="shared" si="66"/>
        <v>0</v>
      </c>
      <c r="X89" s="114">
        <f t="shared" si="66"/>
        <v>364.80599999999993</v>
      </c>
      <c r="Y89" s="114">
        <f t="shared" si="66"/>
        <v>0</v>
      </c>
      <c r="Z89" s="114">
        <f t="shared" si="66"/>
        <v>0</v>
      </c>
      <c r="AA89" s="114">
        <f t="shared" si="66"/>
        <v>0</v>
      </c>
      <c r="AB89" s="114"/>
      <c r="AC89" s="114"/>
      <c r="AD89" s="114">
        <f t="shared" ref="AD89:AF89" si="67">SUM(AD83:AD88)</f>
        <v>0</v>
      </c>
      <c r="AE89" s="114">
        <f t="shared" si="67"/>
        <v>364.80599999999993</v>
      </c>
      <c r="AF89" s="114">
        <f t="shared" si="67"/>
        <v>6.5960000000000001</v>
      </c>
      <c r="AG89" s="114"/>
      <c r="AH89" s="114"/>
      <c r="AI89" s="114"/>
      <c r="AJ89" s="115"/>
      <c r="AK89" s="114">
        <f t="shared" ref="AK89:AL89" si="68">SUM(AK83:AK88)</f>
        <v>0</v>
      </c>
      <c r="AL89" s="114">
        <f t="shared" si="68"/>
        <v>0</v>
      </c>
      <c r="AM89" s="46"/>
      <c r="AN89" s="46"/>
      <c r="AO89" s="46"/>
      <c r="AP89" s="46"/>
      <c r="AQ89" s="46"/>
      <c r="AR89" s="46"/>
    </row>
    <row r="90" spans="1:44" ht="12.75" customHeight="1">
      <c r="A90" s="87"/>
      <c r="B90" s="87"/>
      <c r="C90" s="88"/>
      <c r="D90" s="88"/>
      <c r="E90" s="88"/>
      <c r="F90" s="89"/>
      <c r="G90" s="89"/>
      <c r="H90" s="89"/>
      <c r="I90" s="89"/>
      <c r="J90" s="89"/>
      <c r="K90" s="88"/>
      <c r="L90" s="88"/>
      <c r="M90" s="88"/>
      <c r="N90" s="88"/>
      <c r="O90" s="116"/>
      <c r="P90" s="88"/>
      <c r="Q90" s="88"/>
      <c r="R90" s="92"/>
      <c r="S90" s="92"/>
      <c r="T90" s="92"/>
      <c r="U90" s="92"/>
      <c r="V90" s="92"/>
      <c r="W90" s="92"/>
      <c r="X90" s="92"/>
      <c r="Y90" s="92"/>
      <c r="Z90" s="92"/>
      <c r="AA90" s="92"/>
      <c r="AB90" s="92"/>
      <c r="AC90" s="92"/>
      <c r="AD90" s="92"/>
      <c r="AE90" s="92"/>
      <c r="AF90" s="92"/>
      <c r="AG90" s="92"/>
      <c r="AH90" s="92"/>
      <c r="AI90" s="92"/>
      <c r="AJ90" s="92"/>
      <c r="AK90" s="88"/>
      <c r="AL90" s="88"/>
      <c r="AM90" s="88"/>
      <c r="AN90" s="88"/>
      <c r="AO90" s="88"/>
      <c r="AP90" s="88"/>
      <c r="AQ90" s="88"/>
      <c r="AR90" s="88"/>
    </row>
    <row r="91" spans="1:44" ht="12.75" customHeight="1">
      <c r="A91" s="87"/>
      <c r="B91" s="87"/>
      <c r="C91" s="88"/>
      <c r="D91" s="88"/>
      <c r="E91" s="88"/>
      <c r="F91" s="89"/>
      <c r="G91" s="89"/>
      <c r="H91" s="89"/>
      <c r="I91" s="89"/>
      <c r="J91" s="89"/>
      <c r="K91" s="88"/>
      <c r="L91" s="88"/>
      <c r="M91" s="88"/>
      <c r="N91" s="88"/>
      <c r="O91" s="116"/>
      <c r="P91" s="88"/>
      <c r="Q91" s="88"/>
      <c r="R91" s="92"/>
      <c r="S91" s="92"/>
      <c r="T91" s="92"/>
      <c r="U91" s="92"/>
      <c r="V91" s="92"/>
      <c r="W91" s="92"/>
      <c r="X91" s="92"/>
      <c r="Y91" s="92"/>
      <c r="Z91" s="92"/>
      <c r="AA91" s="92"/>
      <c r="AB91" s="92"/>
      <c r="AC91" s="92"/>
      <c r="AD91" s="92"/>
      <c r="AE91" s="92"/>
      <c r="AF91" s="92"/>
      <c r="AG91" s="92"/>
      <c r="AH91" s="92"/>
      <c r="AI91" s="92"/>
      <c r="AJ91" s="92"/>
      <c r="AK91" s="88"/>
      <c r="AL91" s="88"/>
      <c r="AM91" s="88"/>
      <c r="AN91" s="88"/>
      <c r="AO91" s="88"/>
      <c r="AP91" s="88"/>
      <c r="AQ91" s="88"/>
      <c r="AR91" s="88"/>
    </row>
    <row r="92" spans="1:44" ht="12.75" customHeight="1">
      <c r="A92" s="87"/>
      <c r="B92" s="87"/>
      <c r="C92" s="88"/>
      <c r="D92" s="88"/>
      <c r="E92" s="88"/>
      <c r="F92" s="89"/>
      <c r="G92" s="89"/>
      <c r="H92" s="89"/>
      <c r="I92" s="89"/>
      <c r="J92" s="89"/>
      <c r="K92" s="88"/>
      <c r="L92" s="88"/>
      <c r="M92" s="88"/>
      <c r="N92" s="88"/>
      <c r="O92" s="90"/>
      <c r="P92" s="88"/>
      <c r="Q92" s="88"/>
      <c r="R92" s="92"/>
      <c r="S92" s="92"/>
      <c r="T92" s="92"/>
      <c r="U92" s="92"/>
      <c r="V92" s="92"/>
      <c r="W92" s="92"/>
      <c r="X92" s="92"/>
      <c r="Y92" s="92"/>
      <c r="Z92" s="92"/>
      <c r="AA92" s="92"/>
      <c r="AB92" s="92"/>
      <c r="AC92" s="92"/>
      <c r="AD92" s="92"/>
      <c r="AE92" s="92"/>
      <c r="AF92" s="92"/>
      <c r="AG92" s="92"/>
      <c r="AH92" s="92"/>
      <c r="AI92" s="92"/>
      <c r="AJ92" s="92"/>
      <c r="AK92" s="88"/>
      <c r="AL92" s="88"/>
      <c r="AM92" s="88"/>
      <c r="AN92" s="88"/>
      <c r="AO92" s="88"/>
      <c r="AP92" s="88"/>
      <c r="AQ92" s="88"/>
      <c r="AR92" s="88"/>
    </row>
    <row r="93" spans="1:44" ht="12.75" customHeight="1">
      <c r="A93" s="117"/>
      <c r="B93" s="117" t="s">
        <v>249</v>
      </c>
      <c r="C93" s="46"/>
      <c r="D93" s="46"/>
      <c r="E93" s="46"/>
      <c r="F93" s="50"/>
      <c r="G93" s="50"/>
      <c r="H93" s="50"/>
      <c r="I93" s="50"/>
      <c r="J93" s="50"/>
      <c r="K93" s="46"/>
      <c r="L93" s="46"/>
      <c r="M93" s="46"/>
      <c r="N93" s="46"/>
      <c r="O93" s="51"/>
      <c r="P93" s="46"/>
      <c r="Q93" s="46"/>
      <c r="R93" s="47"/>
      <c r="S93" s="47"/>
      <c r="T93" s="47"/>
      <c r="U93" s="47"/>
      <c r="V93" s="47"/>
      <c r="W93" s="47"/>
      <c r="X93" s="47"/>
      <c r="Y93" s="47"/>
      <c r="Z93" s="47"/>
      <c r="AA93" s="47"/>
      <c r="AB93" s="47"/>
      <c r="AC93" s="47"/>
      <c r="AD93" s="47"/>
      <c r="AE93" s="47"/>
      <c r="AF93" s="47"/>
      <c r="AG93" s="47"/>
      <c r="AH93" s="47"/>
      <c r="AI93" s="47"/>
      <c r="AJ93" s="47"/>
      <c r="AK93" s="46"/>
      <c r="AL93" s="46"/>
      <c r="AM93" s="46"/>
      <c r="AN93" s="46"/>
      <c r="AO93" s="46"/>
      <c r="AP93" s="46"/>
      <c r="AQ93" s="46"/>
      <c r="AR93" s="46"/>
    </row>
    <row r="94" spans="1:44" ht="12.75" customHeight="1">
      <c r="A94" s="93"/>
      <c r="B94" s="93" t="s">
        <v>250</v>
      </c>
      <c r="C94" s="117"/>
      <c r="D94" s="46"/>
      <c r="E94" s="94"/>
      <c r="F94" s="50"/>
      <c r="G94" s="50"/>
      <c r="H94" s="50"/>
      <c r="I94" s="50"/>
      <c r="J94" s="50"/>
      <c r="K94" s="46"/>
      <c r="L94" s="46"/>
      <c r="M94" s="46"/>
      <c r="N94" s="46"/>
      <c r="O94" s="51"/>
      <c r="P94" s="46"/>
      <c r="Q94" s="46"/>
      <c r="R94" s="118"/>
      <c r="S94" s="118"/>
      <c r="T94" s="118"/>
      <c r="U94" s="118"/>
      <c r="V94" s="118"/>
      <c r="W94" s="118"/>
      <c r="X94" s="118"/>
      <c r="Y94" s="118"/>
      <c r="Z94" s="118"/>
      <c r="AA94" s="118"/>
      <c r="AB94" s="118"/>
      <c r="AC94" s="118"/>
      <c r="AD94" s="118"/>
      <c r="AE94" s="118"/>
      <c r="AF94" s="118"/>
      <c r="AG94" s="118"/>
      <c r="AH94" s="118"/>
      <c r="AI94" s="118"/>
      <c r="AJ94" s="47"/>
      <c r="AK94" s="46"/>
      <c r="AL94" s="46"/>
      <c r="AM94" s="46"/>
      <c r="AN94" s="46"/>
      <c r="AO94" s="46"/>
      <c r="AP94" s="46"/>
      <c r="AQ94" s="46"/>
      <c r="AR94" s="46"/>
    </row>
    <row r="95" spans="1:44" ht="12.75" customHeight="1">
      <c r="A95" s="93"/>
      <c r="B95" s="93" t="s">
        <v>251</v>
      </c>
      <c r="C95" s="46" t="s">
        <v>252</v>
      </c>
      <c r="D95" s="46">
        <v>1</v>
      </c>
      <c r="E95" s="94">
        <v>1</v>
      </c>
      <c r="F95" s="50">
        <f>12080/1000</f>
        <v>12.08</v>
      </c>
      <c r="G95" s="50">
        <v>0.2</v>
      </c>
      <c r="H95" s="95">
        <f>36.1-5.85</f>
        <v>30.25</v>
      </c>
      <c r="I95" s="50"/>
      <c r="J95" s="50"/>
      <c r="K95" s="46"/>
      <c r="L95" s="46"/>
      <c r="M95" s="46"/>
      <c r="N95" s="46"/>
      <c r="O95" s="51"/>
      <c r="P95" s="46"/>
      <c r="Q95" s="46"/>
      <c r="R95" s="118"/>
      <c r="S95" s="118"/>
      <c r="T95" s="118"/>
      <c r="U95" s="118"/>
      <c r="V95" s="119">
        <f t="shared" ref="V95:V98" si="69">PRODUCT(D95:H95)</f>
        <v>73.084000000000017</v>
      </c>
      <c r="W95" s="119">
        <f t="shared" ref="W95:W98" si="70">((K95*H95)*E95*D95)</f>
        <v>0</v>
      </c>
      <c r="X95" s="119">
        <f t="shared" ref="X95:X98" si="71">((F95*2+G95*2)*H95)*E95*D95</f>
        <v>742.93999999999994</v>
      </c>
      <c r="Y95" s="119">
        <f t="shared" ref="Y95:Y98" si="72">((M95*H95)*E95*D95)</f>
        <v>0</v>
      </c>
      <c r="Z95" s="119"/>
      <c r="AA95" s="119"/>
      <c r="AB95" s="119"/>
      <c r="AC95" s="119"/>
      <c r="AD95" s="119"/>
      <c r="AE95" s="119">
        <f t="shared" ref="AE95:AE98" si="73">(X95+Y95)</f>
        <v>742.93999999999994</v>
      </c>
      <c r="AF95" s="119">
        <f t="shared" ref="AF95:AF98" si="74">(V95/H95)+(W95/H95)</f>
        <v>2.4160000000000004</v>
      </c>
      <c r="AG95" s="118"/>
      <c r="AH95" s="118"/>
      <c r="AI95" s="118"/>
      <c r="AJ95" s="47"/>
      <c r="AK95" s="46"/>
      <c r="AL95" s="46"/>
      <c r="AM95" s="46"/>
      <c r="AN95" s="46"/>
      <c r="AO95" s="46"/>
      <c r="AP95" s="46"/>
      <c r="AQ95" s="46"/>
      <c r="AR95" s="46"/>
    </row>
    <row r="96" spans="1:44" ht="12.75" customHeight="1">
      <c r="A96" s="93"/>
      <c r="B96" s="93" t="s">
        <v>253</v>
      </c>
      <c r="C96" s="46" t="s">
        <v>254</v>
      </c>
      <c r="D96" s="46">
        <v>1</v>
      </c>
      <c r="E96" s="94">
        <v>2</v>
      </c>
      <c r="F96" s="50">
        <v>2.25</v>
      </c>
      <c r="G96" s="50">
        <v>0.2</v>
      </c>
      <c r="H96" s="95">
        <f>33.3-0.2-5.85</f>
        <v>27.249999999999993</v>
      </c>
      <c r="I96" s="50"/>
      <c r="J96" s="50"/>
      <c r="K96" s="46"/>
      <c r="L96" s="46"/>
      <c r="M96" s="46"/>
      <c r="N96" s="46"/>
      <c r="O96" s="51"/>
      <c r="P96" s="46"/>
      <c r="Q96" s="46"/>
      <c r="R96" s="118"/>
      <c r="S96" s="118"/>
      <c r="T96" s="118"/>
      <c r="U96" s="118"/>
      <c r="V96" s="119">
        <f t="shared" si="69"/>
        <v>24.524999999999995</v>
      </c>
      <c r="W96" s="119">
        <f t="shared" si="70"/>
        <v>0</v>
      </c>
      <c r="X96" s="119">
        <f t="shared" si="71"/>
        <v>267.04999999999995</v>
      </c>
      <c r="Y96" s="119">
        <f t="shared" si="72"/>
        <v>0</v>
      </c>
      <c r="Z96" s="119"/>
      <c r="AA96" s="119"/>
      <c r="AB96" s="119"/>
      <c r="AC96" s="119"/>
      <c r="AD96" s="119"/>
      <c r="AE96" s="119">
        <f t="shared" si="73"/>
        <v>267.04999999999995</v>
      </c>
      <c r="AF96" s="119">
        <f t="shared" si="74"/>
        <v>0.9</v>
      </c>
      <c r="AG96" s="118"/>
      <c r="AH96" s="118"/>
      <c r="AI96" s="118"/>
      <c r="AJ96" s="47"/>
      <c r="AK96" s="46"/>
      <c r="AL96" s="46"/>
      <c r="AM96" s="46"/>
      <c r="AN96" s="46"/>
      <c r="AO96" s="46"/>
      <c r="AP96" s="46"/>
      <c r="AQ96" s="46"/>
      <c r="AR96" s="46"/>
    </row>
    <row r="97" spans="1:44" ht="12.75" customHeight="1">
      <c r="A97" s="93"/>
      <c r="B97" s="93" t="s">
        <v>255</v>
      </c>
      <c r="C97" s="46" t="s">
        <v>256</v>
      </c>
      <c r="D97" s="46">
        <v>1</v>
      </c>
      <c r="E97" s="94">
        <v>1</v>
      </c>
      <c r="F97" s="50">
        <v>13.8</v>
      </c>
      <c r="G97" s="50">
        <v>0.2</v>
      </c>
      <c r="H97" s="95">
        <f>36.1-5.85</f>
        <v>30.25</v>
      </c>
      <c r="I97" s="50"/>
      <c r="J97" s="50"/>
      <c r="K97" s="46"/>
      <c r="L97" s="46"/>
      <c r="M97" s="46"/>
      <c r="N97" s="46"/>
      <c r="O97" s="51"/>
      <c r="P97" s="46"/>
      <c r="Q97" s="46"/>
      <c r="R97" s="118"/>
      <c r="S97" s="118"/>
      <c r="T97" s="118"/>
      <c r="U97" s="118"/>
      <c r="V97" s="119">
        <f t="shared" si="69"/>
        <v>83.490000000000009</v>
      </c>
      <c r="W97" s="119">
        <f t="shared" si="70"/>
        <v>0</v>
      </c>
      <c r="X97" s="119">
        <f t="shared" si="71"/>
        <v>847</v>
      </c>
      <c r="Y97" s="119">
        <f t="shared" si="72"/>
        <v>0</v>
      </c>
      <c r="Z97" s="119"/>
      <c r="AA97" s="119"/>
      <c r="AB97" s="119"/>
      <c r="AC97" s="119"/>
      <c r="AD97" s="119"/>
      <c r="AE97" s="119">
        <f t="shared" si="73"/>
        <v>847</v>
      </c>
      <c r="AF97" s="119">
        <f t="shared" si="74"/>
        <v>2.7600000000000002</v>
      </c>
      <c r="AG97" s="118"/>
      <c r="AH97" s="118"/>
      <c r="AI97" s="118"/>
      <c r="AJ97" s="47"/>
      <c r="AK97" s="46"/>
      <c r="AL97" s="46"/>
      <c r="AM97" s="46"/>
      <c r="AN97" s="46"/>
      <c r="AO97" s="46"/>
      <c r="AP97" s="46"/>
      <c r="AQ97" s="46"/>
      <c r="AR97" s="46"/>
    </row>
    <row r="98" spans="1:44" ht="12.75" customHeight="1">
      <c r="A98" s="93"/>
      <c r="B98" s="93" t="s">
        <v>198</v>
      </c>
      <c r="C98" s="46" t="s">
        <v>257</v>
      </c>
      <c r="D98" s="94">
        <v>1</v>
      </c>
      <c r="E98" s="94"/>
      <c r="F98" s="95">
        <v>2.6</v>
      </c>
      <c r="G98" s="95">
        <v>0.2</v>
      </c>
      <c r="H98" s="95">
        <v>0.6</v>
      </c>
      <c r="I98" s="50"/>
      <c r="J98" s="50"/>
      <c r="K98" s="46"/>
      <c r="L98" s="46"/>
      <c r="M98" s="46"/>
      <c r="N98" s="46"/>
      <c r="O98" s="51"/>
      <c r="P98" s="46"/>
      <c r="Q98" s="46"/>
      <c r="R98" s="118"/>
      <c r="S98" s="118"/>
      <c r="T98" s="118"/>
      <c r="U98" s="118"/>
      <c r="V98" s="119">
        <f t="shared" si="69"/>
        <v>0.312</v>
      </c>
      <c r="W98" s="119">
        <f t="shared" si="70"/>
        <v>0</v>
      </c>
      <c r="X98" s="119">
        <f t="shared" si="71"/>
        <v>0</v>
      </c>
      <c r="Y98" s="119">
        <f t="shared" si="72"/>
        <v>0</v>
      </c>
      <c r="Z98" s="119"/>
      <c r="AA98" s="119"/>
      <c r="AB98" s="119"/>
      <c r="AC98" s="119"/>
      <c r="AD98" s="119"/>
      <c r="AE98" s="119">
        <f t="shared" si="73"/>
        <v>0</v>
      </c>
      <c r="AF98" s="119">
        <f t="shared" si="74"/>
        <v>0.52</v>
      </c>
      <c r="AG98" s="118"/>
      <c r="AH98" s="118"/>
      <c r="AI98" s="118"/>
      <c r="AJ98" s="47"/>
      <c r="AK98" s="46"/>
      <c r="AL98" s="46"/>
      <c r="AM98" s="46"/>
      <c r="AN98" s="46"/>
      <c r="AO98" s="46"/>
      <c r="AP98" s="46"/>
      <c r="AQ98" s="46"/>
      <c r="AR98" s="46"/>
    </row>
    <row r="99" spans="1:44" ht="12.75" customHeight="1">
      <c r="A99" s="117"/>
      <c r="B99" s="117"/>
      <c r="C99" s="46"/>
      <c r="D99" s="46"/>
      <c r="E99" s="46"/>
      <c r="F99" s="50"/>
      <c r="G99" s="50"/>
      <c r="H99" s="50"/>
      <c r="I99" s="50"/>
      <c r="J99" s="50"/>
      <c r="K99" s="46"/>
      <c r="L99" s="46"/>
      <c r="M99" s="46"/>
      <c r="N99" s="46"/>
      <c r="O99" s="51"/>
      <c r="P99" s="46"/>
      <c r="Q99" s="46"/>
      <c r="R99" s="47"/>
      <c r="S99" s="47"/>
      <c r="T99" s="47"/>
      <c r="U99" s="47"/>
      <c r="V99" s="47"/>
      <c r="W99" s="47"/>
      <c r="X99" s="47"/>
      <c r="Y99" s="47"/>
      <c r="Z99" s="47"/>
      <c r="AA99" s="47"/>
      <c r="AB99" s="47"/>
      <c r="AC99" s="47"/>
      <c r="AD99" s="47"/>
      <c r="AE99" s="47"/>
      <c r="AF99" s="47"/>
      <c r="AG99" s="47"/>
      <c r="AH99" s="47"/>
      <c r="AI99" s="47"/>
      <c r="AJ99" s="47"/>
      <c r="AK99" s="46"/>
      <c r="AL99" s="46"/>
      <c r="AM99" s="46"/>
      <c r="AN99" s="46"/>
      <c r="AO99" s="46"/>
      <c r="AP99" s="46"/>
      <c r="AQ99" s="46"/>
      <c r="AR99" s="46"/>
    </row>
    <row r="100" spans="1:44" ht="12.75" customHeight="1">
      <c r="A100" s="120"/>
      <c r="B100" s="108" t="s">
        <v>194</v>
      </c>
      <c r="C100" s="60"/>
      <c r="D100" s="60"/>
      <c r="E100" s="60"/>
      <c r="F100" s="63"/>
      <c r="G100" s="63"/>
      <c r="H100" s="63"/>
      <c r="I100" s="63"/>
      <c r="J100" s="63"/>
      <c r="K100" s="60"/>
      <c r="L100" s="60"/>
      <c r="M100" s="60"/>
      <c r="N100" s="62"/>
      <c r="O100" s="121"/>
      <c r="P100" s="122"/>
      <c r="Q100" s="60"/>
      <c r="R100" s="114">
        <f t="shared" ref="R100:AA100" si="75">SUM(R94:R99)</f>
        <v>0</v>
      </c>
      <c r="S100" s="114">
        <f t="shared" si="75"/>
        <v>0</v>
      </c>
      <c r="T100" s="114">
        <f t="shared" si="75"/>
        <v>0</v>
      </c>
      <c r="U100" s="114">
        <f t="shared" si="75"/>
        <v>0</v>
      </c>
      <c r="V100" s="114">
        <f t="shared" si="75"/>
        <v>181.41100000000003</v>
      </c>
      <c r="W100" s="114">
        <f t="shared" si="75"/>
        <v>0</v>
      </c>
      <c r="X100" s="114">
        <f t="shared" si="75"/>
        <v>1856.9899999999998</v>
      </c>
      <c r="Y100" s="114">
        <f t="shared" si="75"/>
        <v>0</v>
      </c>
      <c r="Z100" s="114">
        <f t="shared" si="75"/>
        <v>0</v>
      </c>
      <c r="AA100" s="114">
        <f t="shared" si="75"/>
        <v>0</v>
      </c>
      <c r="AB100" s="114"/>
      <c r="AC100" s="114"/>
      <c r="AD100" s="114">
        <f t="shared" ref="AD100:AF100" si="76">SUM(AD94:AD99)</f>
        <v>0</v>
      </c>
      <c r="AE100" s="114">
        <f t="shared" si="76"/>
        <v>1856.9899999999998</v>
      </c>
      <c r="AF100" s="114">
        <f t="shared" si="76"/>
        <v>6.5960000000000001</v>
      </c>
      <c r="AG100" s="114"/>
      <c r="AH100" s="114"/>
      <c r="AI100" s="114"/>
      <c r="AJ100" s="115"/>
      <c r="AK100" s="114">
        <f t="shared" ref="AK100:AL100" si="77">SUM(AK94:AK99)</f>
        <v>0</v>
      </c>
      <c r="AL100" s="114">
        <f t="shared" si="77"/>
        <v>0</v>
      </c>
      <c r="AM100" s="46"/>
      <c r="AN100" s="46"/>
      <c r="AO100" s="46"/>
      <c r="AP100" s="46"/>
      <c r="AQ100" s="46"/>
      <c r="AR100" s="46"/>
    </row>
    <row r="101" spans="1:44" ht="12.75" customHeight="1">
      <c r="A101" s="93"/>
      <c r="B101" s="93"/>
      <c r="C101" s="94"/>
      <c r="D101" s="94"/>
      <c r="E101" s="94"/>
      <c r="F101" s="95"/>
      <c r="G101" s="95"/>
      <c r="H101" s="95"/>
      <c r="I101" s="95"/>
      <c r="J101" s="95"/>
      <c r="K101" s="94"/>
      <c r="L101" s="94"/>
      <c r="M101" s="94"/>
      <c r="N101" s="94"/>
      <c r="O101" s="123"/>
      <c r="P101" s="94"/>
      <c r="Q101" s="94"/>
      <c r="R101" s="98"/>
      <c r="S101" s="98"/>
      <c r="T101" s="98"/>
      <c r="U101" s="98"/>
      <c r="V101" s="98"/>
      <c r="W101" s="98"/>
      <c r="X101" s="98"/>
      <c r="Y101" s="98"/>
      <c r="Z101" s="98"/>
      <c r="AA101" s="98"/>
      <c r="AB101" s="98"/>
      <c r="AC101" s="98"/>
      <c r="AD101" s="98"/>
      <c r="AE101" s="98"/>
      <c r="AF101" s="98"/>
      <c r="AG101" s="98"/>
      <c r="AH101" s="98"/>
      <c r="AI101" s="98"/>
      <c r="AJ101" s="98"/>
      <c r="AK101" s="94"/>
      <c r="AL101" s="94"/>
      <c r="AM101" s="94"/>
      <c r="AN101" s="94"/>
      <c r="AO101" s="94"/>
      <c r="AP101" s="94"/>
      <c r="AQ101" s="94"/>
      <c r="AR101" s="94"/>
    </row>
    <row r="102" spans="1:44" ht="12.75" customHeight="1">
      <c r="A102" s="87"/>
      <c r="B102" s="87"/>
      <c r="C102" s="88"/>
      <c r="D102" s="88"/>
      <c r="E102" s="88"/>
      <c r="F102" s="89"/>
      <c r="G102" s="89"/>
      <c r="H102" s="89"/>
      <c r="I102" s="89"/>
      <c r="J102" s="89"/>
      <c r="K102" s="88"/>
      <c r="L102" s="88"/>
      <c r="M102" s="88"/>
      <c r="N102" s="88"/>
      <c r="O102" s="90"/>
      <c r="P102" s="88"/>
      <c r="Q102" s="88"/>
      <c r="R102" s="92"/>
      <c r="S102" s="92"/>
      <c r="T102" s="92"/>
      <c r="U102" s="92"/>
      <c r="V102" s="92"/>
      <c r="W102" s="92"/>
      <c r="X102" s="92"/>
      <c r="Y102" s="92"/>
      <c r="Z102" s="92"/>
      <c r="AA102" s="92"/>
      <c r="AB102" s="92"/>
      <c r="AC102" s="92"/>
      <c r="AD102" s="92"/>
      <c r="AE102" s="92"/>
      <c r="AF102" s="92"/>
      <c r="AG102" s="92"/>
      <c r="AH102" s="92"/>
      <c r="AI102" s="92"/>
      <c r="AJ102" s="92"/>
      <c r="AK102" s="88"/>
      <c r="AL102" s="88"/>
      <c r="AM102" s="88"/>
      <c r="AN102" s="88"/>
      <c r="AO102" s="88"/>
      <c r="AP102" s="88"/>
      <c r="AQ102" s="88"/>
      <c r="AR102" s="88"/>
    </row>
    <row r="103" spans="1:44" ht="12.75" customHeight="1">
      <c r="A103" s="117"/>
      <c r="B103" s="117" t="s">
        <v>258</v>
      </c>
      <c r="C103" s="46"/>
      <c r="D103" s="46"/>
      <c r="E103" s="46"/>
      <c r="F103" s="50"/>
      <c r="G103" s="50"/>
      <c r="H103" s="50"/>
      <c r="I103" s="50"/>
      <c r="J103" s="50"/>
      <c r="K103" s="46"/>
      <c r="L103" s="46"/>
      <c r="M103" s="46"/>
      <c r="N103" s="46"/>
      <c r="O103" s="51"/>
      <c r="P103" s="46"/>
      <c r="Q103" s="46"/>
      <c r="R103" s="47"/>
      <c r="S103" s="47"/>
      <c r="T103" s="47"/>
      <c r="U103" s="47"/>
      <c r="V103" s="47"/>
      <c r="W103" s="47"/>
      <c r="X103" s="47"/>
      <c r="Y103" s="47"/>
      <c r="Z103" s="47"/>
      <c r="AA103" s="47"/>
      <c r="AB103" s="47"/>
      <c r="AC103" s="47"/>
      <c r="AD103" s="47"/>
      <c r="AE103" s="47"/>
      <c r="AF103" s="47"/>
      <c r="AG103" s="47"/>
      <c r="AH103" s="47"/>
      <c r="AI103" s="47"/>
      <c r="AJ103" s="47"/>
      <c r="AK103" s="46"/>
      <c r="AL103" s="46"/>
      <c r="AM103" s="46"/>
      <c r="AN103" s="46"/>
      <c r="AO103" s="46"/>
      <c r="AP103" s="46"/>
      <c r="AQ103" s="46"/>
      <c r="AR103" s="46"/>
    </row>
    <row r="104" spans="1:44" ht="12.75" customHeight="1">
      <c r="A104" s="93"/>
      <c r="B104" s="93" t="s">
        <v>259</v>
      </c>
      <c r="C104" s="117"/>
      <c r="D104" s="46"/>
      <c r="E104" s="94"/>
      <c r="F104" s="50"/>
      <c r="G104" s="50"/>
      <c r="H104" s="50"/>
      <c r="I104" s="50"/>
      <c r="J104" s="50"/>
      <c r="K104" s="46"/>
      <c r="L104" s="46"/>
      <c r="M104" s="46"/>
      <c r="N104" s="46"/>
      <c r="O104" s="51"/>
      <c r="P104" s="46"/>
      <c r="Q104" s="46"/>
      <c r="R104" s="118"/>
      <c r="S104" s="118"/>
      <c r="T104" s="118"/>
      <c r="U104" s="118"/>
      <c r="V104" s="118"/>
      <c r="W104" s="118"/>
      <c r="X104" s="118"/>
      <c r="Y104" s="118"/>
      <c r="Z104" s="118"/>
      <c r="AA104" s="118"/>
      <c r="AB104" s="118"/>
      <c r="AC104" s="118"/>
      <c r="AD104" s="118"/>
      <c r="AE104" s="118"/>
      <c r="AF104" s="118"/>
      <c r="AG104" s="118"/>
      <c r="AH104" s="118"/>
      <c r="AI104" s="118"/>
      <c r="AJ104" s="47"/>
      <c r="AK104" s="46"/>
      <c r="AL104" s="46"/>
      <c r="AM104" s="46"/>
      <c r="AN104" s="46"/>
      <c r="AO104" s="46"/>
      <c r="AP104" s="46"/>
      <c r="AQ104" s="46"/>
      <c r="AR104" s="46"/>
    </row>
    <row r="105" spans="1:44" ht="12.75" customHeight="1">
      <c r="A105" s="93"/>
      <c r="B105" s="93" t="s">
        <v>260</v>
      </c>
      <c r="C105" s="46" t="s">
        <v>261</v>
      </c>
      <c r="D105" s="46">
        <v>1</v>
      </c>
      <c r="E105" s="94">
        <v>2</v>
      </c>
      <c r="F105" s="50">
        <v>31.5</v>
      </c>
      <c r="G105" s="50">
        <v>0.3</v>
      </c>
      <c r="H105" s="95">
        <f t="shared" ref="H105:H106" si="78">6.95-0.8-0.3</f>
        <v>5.8500000000000005</v>
      </c>
      <c r="I105" s="50"/>
      <c r="J105" s="50"/>
      <c r="K105" s="46"/>
      <c r="L105" s="46"/>
      <c r="M105" s="46"/>
      <c r="N105" s="46"/>
      <c r="O105" s="51"/>
      <c r="P105" s="46"/>
      <c r="Q105" s="46"/>
      <c r="R105" s="118"/>
      <c r="S105" s="118"/>
      <c r="T105" s="118"/>
      <c r="U105" s="118"/>
      <c r="V105" s="119">
        <f t="shared" ref="V105:V107" si="79">PRODUCT(D105:H105)</f>
        <v>110.565</v>
      </c>
      <c r="W105" s="119">
        <f t="shared" ref="W105:W107" si="80">((K105*H105)*E105*D105)</f>
        <v>0</v>
      </c>
      <c r="X105" s="119">
        <f t="shared" ref="X105:X107" si="81">((F105*2+G105*2)*H105)*E105*D105</f>
        <v>744.12000000000012</v>
      </c>
      <c r="Y105" s="119">
        <f t="shared" ref="Y105:Y107" si="82">((M105*H105)*E105*D105)</f>
        <v>0</v>
      </c>
      <c r="Z105" s="119"/>
      <c r="AA105" s="119"/>
      <c r="AB105" s="119"/>
      <c r="AC105" s="119"/>
      <c r="AD105" s="119"/>
      <c r="AE105" s="119">
        <f t="shared" ref="AE105:AE107" si="83">(X105+Y105)</f>
        <v>744.12000000000012</v>
      </c>
      <c r="AF105" s="119">
        <f t="shared" ref="AF105:AF107" si="84">(V105/H105)+(W105/H105)</f>
        <v>18.899999999999999</v>
      </c>
      <c r="AG105" s="118"/>
      <c r="AH105" s="118"/>
      <c r="AI105" s="118"/>
      <c r="AJ105" s="47"/>
      <c r="AK105" s="46"/>
      <c r="AL105" s="46"/>
      <c r="AM105" s="46"/>
      <c r="AN105" s="46"/>
      <c r="AO105" s="46"/>
      <c r="AP105" s="46"/>
      <c r="AQ105" s="46"/>
      <c r="AR105" s="46"/>
    </row>
    <row r="106" spans="1:44" ht="12.75" customHeight="1">
      <c r="A106" s="93"/>
      <c r="B106" s="93" t="s">
        <v>260</v>
      </c>
      <c r="C106" s="46" t="s">
        <v>262</v>
      </c>
      <c r="D106" s="46">
        <v>1</v>
      </c>
      <c r="E106" s="94">
        <v>2</v>
      </c>
      <c r="F106" s="50">
        <v>23.43</v>
      </c>
      <c r="G106" s="50">
        <v>0.3</v>
      </c>
      <c r="H106" s="95">
        <f t="shared" si="78"/>
        <v>5.8500000000000005</v>
      </c>
      <c r="I106" s="50"/>
      <c r="J106" s="50"/>
      <c r="K106" s="46"/>
      <c r="L106" s="46"/>
      <c r="M106" s="46"/>
      <c r="N106" s="46"/>
      <c r="O106" s="51"/>
      <c r="P106" s="46"/>
      <c r="Q106" s="46"/>
      <c r="R106" s="118"/>
      <c r="S106" s="118"/>
      <c r="T106" s="118"/>
      <c r="U106" s="118"/>
      <c r="V106" s="119">
        <f t="shared" si="79"/>
        <v>82.2393</v>
      </c>
      <c r="W106" s="119">
        <f t="shared" si="80"/>
        <v>0</v>
      </c>
      <c r="X106" s="119">
        <f t="shared" si="81"/>
        <v>555.28200000000004</v>
      </c>
      <c r="Y106" s="119">
        <f t="shared" si="82"/>
        <v>0</v>
      </c>
      <c r="Z106" s="119"/>
      <c r="AA106" s="119"/>
      <c r="AB106" s="119"/>
      <c r="AC106" s="119"/>
      <c r="AD106" s="119"/>
      <c r="AE106" s="119">
        <f t="shared" si="83"/>
        <v>555.28200000000004</v>
      </c>
      <c r="AF106" s="119">
        <f t="shared" si="84"/>
        <v>14.057999999999998</v>
      </c>
      <c r="AG106" s="118"/>
      <c r="AH106" s="118"/>
      <c r="AI106" s="118"/>
      <c r="AJ106" s="47"/>
      <c r="AK106" s="46"/>
      <c r="AL106" s="46"/>
      <c r="AM106" s="46"/>
      <c r="AN106" s="46"/>
      <c r="AO106" s="46"/>
      <c r="AP106" s="46"/>
      <c r="AQ106" s="46"/>
      <c r="AR106" s="46"/>
    </row>
    <row r="107" spans="1:44" ht="12.75" customHeight="1">
      <c r="A107" s="93"/>
      <c r="B107" s="93" t="s">
        <v>198</v>
      </c>
      <c r="C107" s="46" t="s">
        <v>263</v>
      </c>
      <c r="D107" s="94">
        <v>0</v>
      </c>
      <c r="E107" s="94">
        <v>0</v>
      </c>
      <c r="F107" s="95">
        <v>2.6</v>
      </c>
      <c r="G107" s="95">
        <v>0.2</v>
      </c>
      <c r="H107" s="95">
        <v>0.6</v>
      </c>
      <c r="I107" s="50"/>
      <c r="J107" s="50"/>
      <c r="K107" s="46"/>
      <c r="L107" s="46"/>
      <c r="M107" s="46"/>
      <c r="N107" s="46"/>
      <c r="O107" s="51"/>
      <c r="P107" s="46"/>
      <c r="Q107" s="46"/>
      <c r="R107" s="118"/>
      <c r="S107" s="118"/>
      <c r="T107" s="118"/>
      <c r="U107" s="118"/>
      <c r="V107" s="119">
        <f t="shared" si="79"/>
        <v>0</v>
      </c>
      <c r="W107" s="119">
        <f t="shared" si="80"/>
        <v>0</v>
      </c>
      <c r="X107" s="119">
        <f t="shared" si="81"/>
        <v>0</v>
      </c>
      <c r="Y107" s="119">
        <f t="shared" si="82"/>
        <v>0</v>
      </c>
      <c r="Z107" s="119"/>
      <c r="AA107" s="119"/>
      <c r="AB107" s="119"/>
      <c r="AC107" s="119"/>
      <c r="AD107" s="119"/>
      <c r="AE107" s="119">
        <f t="shared" si="83"/>
        <v>0</v>
      </c>
      <c r="AF107" s="119">
        <f t="shared" si="84"/>
        <v>0</v>
      </c>
      <c r="AG107" s="118"/>
      <c r="AH107" s="118"/>
      <c r="AI107" s="118"/>
      <c r="AJ107" s="47"/>
      <c r="AK107" s="46"/>
      <c r="AL107" s="46"/>
      <c r="AM107" s="46"/>
      <c r="AN107" s="46"/>
      <c r="AO107" s="46"/>
      <c r="AP107" s="46"/>
      <c r="AQ107" s="46"/>
      <c r="AR107" s="46"/>
    </row>
    <row r="108" spans="1:44" ht="12.75" customHeight="1">
      <c r="A108" s="117"/>
      <c r="B108" s="117"/>
      <c r="C108" s="46"/>
      <c r="D108" s="46"/>
      <c r="E108" s="46"/>
      <c r="F108" s="50"/>
      <c r="G108" s="50"/>
      <c r="H108" s="50"/>
      <c r="I108" s="50"/>
      <c r="J108" s="50"/>
      <c r="K108" s="46"/>
      <c r="L108" s="46"/>
      <c r="M108" s="46"/>
      <c r="N108" s="46"/>
      <c r="O108" s="51"/>
      <c r="P108" s="46"/>
      <c r="Q108" s="46"/>
      <c r="R108" s="47"/>
      <c r="S108" s="47"/>
      <c r="T108" s="47"/>
      <c r="U108" s="47"/>
      <c r="V108" s="47"/>
      <c r="W108" s="47"/>
      <c r="X108" s="47"/>
      <c r="Y108" s="47"/>
      <c r="Z108" s="47"/>
      <c r="AA108" s="47"/>
      <c r="AB108" s="47"/>
      <c r="AC108" s="47"/>
      <c r="AD108" s="47"/>
      <c r="AE108" s="47"/>
      <c r="AF108" s="47"/>
      <c r="AG108" s="47"/>
      <c r="AH108" s="47"/>
      <c r="AI108" s="47"/>
      <c r="AJ108" s="47"/>
      <c r="AK108" s="46"/>
      <c r="AL108" s="46"/>
      <c r="AM108" s="46"/>
      <c r="AN108" s="46"/>
      <c r="AO108" s="46"/>
      <c r="AP108" s="46"/>
      <c r="AQ108" s="46"/>
      <c r="AR108" s="46"/>
    </row>
    <row r="109" spans="1:44" ht="12.75" customHeight="1">
      <c r="A109" s="120"/>
      <c r="B109" s="108" t="s">
        <v>194</v>
      </c>
      <c r="C109" s="60"/>
      <c r="D109" s="60"/>
      <c r="E109" s="60"/>
      <c r="F109" s="63"/>
      <c r="G109" s="63"/>
      <c r="H109" s="63"/>
      <c r="I109" s="63"/>
      <c r="J109" s="63"/>
      <c r="K109" s="60"/>
      <c r="L109" s="60"/>
      <c r="M109" s="60"/>
      <c r="N109" s="62"/>
      <c r="O109" s="121"/>
      <c r="P109" s="122"/>
      <c r="Q109" s="60"/>
      <c r="R109" s="114">
        <f t="shared" ref="R109:AA109" si="85">SUM(R104:R108)</f>
        <v>0</v>
      </c>
      <c r="S109" s="114">
        <f t="shared" si="85"/>
        <v>0</v>
      </c>
      <c r="T109" s="114">
        <f t="shared" si="85"/>
        <v>0</v>
      </c>
      <c r="U109" s="114">
        <f t="shared" si="85"/>
        <v>0</v>
      </c>
      <c r="V109" s="114">
        <f t="shared" si="85"/>
        <v>192.80430000000001</v>
      </c>
      <c r="W109" s="114">
        <f t="shared" si="85"/>
        <v>0</v>
      </c>
      <c r="X109" s="114">
        <f t="shared" si="85"/>
        <v>1299.402</v>
      </c>
      <c r="Y109" s="114">
        <f t="shared" si="85"/>
        <v>0</v>
      </c>
      <c r="Z109" s="114">
        <f t="shared" si="85"/>
        <v>0</v>
      </c>
      <c r="AA109" s="114">
        <f t="shared" si="85"/>
        <v>0</v>
      </c>
      <c r="AB109" s="114"/>
      <c r="AC109" s="114"/>
      <c r="AD109" s="114">
        <f t="shared" ref="AD109:AF109" si="86">SUM(AD104:AD108)</f>
        <v>0</v>
      </c>
      <c r="AE109" s="114">
        <f t="shared" si="86"/>
        <v>1299.402</v>
      </c>
      <c r="AF109" s="114">
        <f t="shared" si="86"/>
        <v>32.957999999999998</v>
      </c>
      <c r="AG109" s="114"/>
      <c r="AH109" s="114"/>
      <c r="AI109" s="114"/>
      <c r="AJ109" s="115"/>
      <c r="AK109" s="114">
        <f t="shared" ref="AK109:AL109" si="87">SUM(AK104:AK108)</f>
        <v>0</v>
      </c>
      <c r="AL109" s="114">
        <f t="shared" si="87"/>
        <v>0</v>
      </c>
      <c r="AM109" s="46"/>
      <c r="AN109" s="46"/>
      <c r="AO109" s="46"/>
      <c r="AP109" s="46"/>
      <c r="AQ109" s="46"/>
      <c r="AR109" s="46"/>
    </row>
    <row r="110" spans="1:44" ht="12.75" customHeight="1">
      <c r="A110" s="93"/>
      <c r="B110" s="93"/>
      <c r="C110" s="94"/>
      <c r="D110" s="94"/>
      <c r="E110" s="94"/>
      <c r="F110" s="95"/>
      <c r="G110" s="95"/>
      <c r="H110" s="95"/>
      <c r="I110" s="95"/>
      <c r="J110" s="95"/>
      <c r="K110" s="94"/>
      <c r="L110" s="94"/>
      <c r="M110" s="94"/>
      <c r="N110" s="94"/>
      <c r="O110" s="96"/>
      <c r="P110" s="94"/>
      <c r="Q110" s="94"/>
      <c r="R110" s="98"/>
      <c r="S110" s="98"/>
      <c r="T110" s="98"/>
      <c r="U110" s="98"/>
      <c r="V110" s="98"/>
      <c r="W110" s="98"/>
      <c r="X110" s="98"/>
      <c r="Y110" s="98"/>
      <c r="Z110" s="98"/>
      <c r="AA110" s="98"/>
      <c r="AB110" s="98"/>
      <c r="AC110" s="98"/>
      <c r="AD110" s="98"/>
      <c r="AE110" s="98"/>
      <c r="AF110" s="98"/>
      <c r="AG110" s="98"/>
      <c r="AH110" s="98"/>
      <c r="AI110" s="98"/>
      <c r="AJ110" s="98"/>
      <c r="AK110" s="94"/>
      <c r="AL110" s="94"/>
      <c r="AM110" s="94"/>
      <c r="AN110" s="94"/>
      <c r="AO110" s="94"/>
      <c r="AP110" s="94"/>
      <c r="AQ110" s="94"/>
      <c r="AR110" s="94"/>
    </row>
    <row r="111" spans="1:44" ht="12.75" customHeight="1">
      <c r="A111" s="93"/>
      <c r="B111" s="93"/>
      <c r="C111" s="94"/>
      <c r="D111" s="94"/>
      <c r="E111" s="94"/>
      <c r="F111" s="95"/>
      <c r="G111" s="95"/>
      <c r="H111" s="95"/>
      <c r="I111" s="95"/>
      <c r="J111" s="95"/>
      <c r="K111" s="94"/>
      <c r="L111" s="94"/>
      <c r="M111" s="94"/>
      <c r="N111" s="94"/>
      <c r="O111" s="96"/>
      <c r="P111" s="94"/>
      <c r="Q111" s="94"/>
      <c r="R111" s="98"/>
      <c r="S111" s="98"/>
      <c r="T111" s="98"/>
      <c r="U111" s="98"/>
      <c r="V111" s="98"/>
      <c r="W111" s="98"/>
      <c r="X111" s="98"/>
      <c r="Y111" s="98"/>
      <c r="Z111" s="98"/>
      <c r="AA111" s="98"/>
      <c r="AB111" s="98"/>
      <c r="AC111" s="98"/>
      <c r="AD111" s="98"/>
      <c r="AE111" s="98"/>
      <c r="AF111" s="98"/>
      <c r="AG111" s="98"/>
      <c r="AH111" s="98"/>
      <c r="AI111" s="98"/>
      <c r="AJ111" s="98"/>
      <c r="AK111" s="94"/>
      <c r="AL111" s="94"/>
      <c r="AM111" s="94"/>
      <c r="AN111" s="94"/>
      <c r="AO111" s="94"/>
      <c r="AP111" s="94"/>
      <c r="AQ111" s="94"/>
      <c r="AR111" s="94"/>
    </row>
    <row r="112" spans="1:44" ht="12.75" customHeight="1">
      <c r="A112" s="93"/>
      <c r="B112" s="93" t="s">
        <v>264</v>
      </c>
      <c r="C112" s="94"/>
      <c r="D112" s="94"/>
      <c r="E112" s="94"/>
      <c r="F112" s="95"/>
      <c r="G112" s="95"/>
      <c r="H112" s="95"/>
      <c r="I112" s="95"/>
      <c r="J112" s="95"/>
      <c r="K112" s="94"/>
      <c r="L112" s="94"/>
      <c r="M112" s="94"/>
      <c r="N112" s="94"/>
      <c r="O112" s="96"/>
      <c r="P112" s="94"/>
      <c r="Q112" s="94"/>
      <c r="R112" s="98"/>
      <c r="S112" s="98"/>
      <c r="T112" s="98"/>
      <c r="U112" s="98"/>
      <c r="V112" s="98"/>
      <c r="W112" s="98"/>
      <c r="X112" s="98"/>
      <c r="Y112" s="98"/>
      <c r="Z112" s="98"/>
      <c r="AA112" s="98"/>
      <c r="AB112" s="98"/>
      <c r="AC112" s="98"/>
      <c r="AD112" s="98"/>
      <c r="AE112" s="98"/>
      <c r="AF112" s="98"/>
      <c r="AG112" s="98"/>
      <c r="AH112" s="98"/>
      <c r="AI112" s="98"/>
      <c r="AJ112" s="98"/>
      <c r="AK112" s="94"/>
      <c r="AL112" s="94"/>
      <c r="AM112" s="94"/>
      <c r="AN112" s="94"/>
      <c r="AO112" s="94"/>
      <c r="AP112" s="94"/>
      <c r="AQ112" s="94"/>
      <c r="AR112" s="94"/>
    </row>
    <row r="113" spans="1:44" ht="12.75" customHeight="1">
      <c r="A113" s="93"/>
      <c r="B113" s="104" t="s">
        <v>265</v>
      </c>
      <c r="C113" s="94"/>
      <c r="D113" s="94"/>
      <c r="E113" s="94"/>
      <c r="F113" s="95"/>
      <c r="G113" s="95"/>
      <c r="H113" s="95"/>
      <c r="I113" s="95"/>
      <c r="J113" s="95"/>
      <c r="K113" s="94"/>
      <c r="L113" s="94"/>
      <c r="M113" s="94"/>
      <c r="N113" s="94"/>
      <c r="O113" s="96"/>
      <c r="P113" s="94"/>
      <c r="Q113" s="94"/>
      <c r="R113" s="98"/>
      <c r="S113" s="98"/>
      <c r="T113" s="98"/>
      <c r="U113" s="98"/>
      <c r="V113" s="98"/>
      <c r="W113" s="98"/>
      <c r="X113" s="98"/>
      <c r="Y113" s="98"/>
      <c r="Z113" s="98"/>
      <c r="AA113" s="98"/>
      <c r="AB113" s="124" t="s">
        <v>266</v>
      </c>
      <c r="AC113" s="98" t="s">
        <v>267</v>
      </c>
      <c r="AD113" s="98"/>
      <c r="AE113" s="98"/>
      <c r="AF113" s="98"/>
      <c r="AG113" s="98"/>
      <c r="AH113" s="98"/>
      <c r="AI113" s="98"/>
      <c r="AJ113" s="98" t="s">
        <v>268</v>
      </c>
      <c r="AK113" s="94"/>
      <c r="AL113" s="94"/>
      <c r="AM113" s="94"/>
      <c r="AN113" s="94"/>
      <c r="AO113" s="94"/>
      <c r="AP113" s="94"/>
      <c r="AQ113" s="94"/>
      <c r="AR113" s="94"/>
    </row>
    <row r="114" spans="1:44" ht="12.75" customHeight="1">
      <c r="A114" s="93"/>
      <c r="B114" s="93" t="s">
        <v>269</v>
      </c>
      <c r="C114" s="94" t="s">
        <v>270</v>
      </c>
      <c r="D114" s="94">
        <v>1</v>
      </c>
      <c r="E114" s="94">
        <v>1</v>
      </c>
      <c r="F114" s="95">
        <v>4.2</v>
      </c>
      <c r="G114" s="95">
        <v>0.25</v>
      </c>
      <c r="H114" s="95">
        <f t="shared" ref="H114:H122" si="88">0.7-0.1</f>
        <v>0.6</v>
      </c>
      <c r="I114" s="95">
        <f t="shared" ref="I114:I122" si="89">PRODUCT(D114:G114)</f>
        <v>1.05</v>
      </c>
      <c r="J114" s="95"/>
      <c r="K114" s="94"/>
      <c r="L114" s="94"/>
      <c r="M114" s="94"/>
      <c r="N114" s="94"/>
      <c r="O114" s="96"/>
      <c r="P114" s="105">
        <v>0</v>
      </c>
      <c r="Q114" s="105">
        <v>0</v>
      </c>
      <c r="R114" s="103">
        <f t="shared" ref="R114:R122" si="90">(((F114)*(G114+Q114*2))*P114)*E114*D114</f>
        <v>0</v>
      </c>
      <c r="S114" s="103">
        <f t="shared" ref="S114:S122" si="91">((J114*P114)*E114*D114)</f>
        <v>0</v>
      </c>
      <c r="T114" s="103">
        <f t="shared" ref="T114:T122" si="92">((F114*P114)*2)*D114*E114</f>
        <v>0</v>
      </c>
      <c r="U114" s="98">
        <f t="shared" ref="U114:U122" si="93">((L114*P114)*E114*D114)</f>
        <v>0</v>
      </c>
      <c r="V114" s="98">
        <f t="shared" ref="V114:V122" si="94">PRODUCT(D114:H114)</f>
        <v>0.63</v>
      </c>
      <c r="W114" s="98">
        <f t="shared" ref="W114:W122" si="95">(K114*H114)*E114*D114</f>
        <v>0</v>
      </c>
      <c r="X114" s="98">
        <f t="shared" ref="X114:X122" si="96">((F114)*(H114*2))*E114*D114</f>
        <v>5.04</v>
      </c>
      <c r="Y114" s="98">
        <f t="shared" ref="Y114:Y122" si="97">((M114)*H114)*E114*D114</f>
        <v>0</v>
      </c>
      <c r="Z114" s="103" t="e">
        <f t="shared" ref="Z114:Z122" si="98">(R114/P114)+(S114/P114)</f>
        <v>#DIV/0!</v>
      </c>
      <c r="AA114" s="103">
        <f t="shared" ref="AA114:AA122" si="99">(T114+U114)</f>
        <v>0</v>
      </c>
      <c r="AB114" s="125">
        <v>0.15</v>
      </c>
      <c r="AC114" s="125">
        <v>0.15</v>
      </c>
      <c r="AD114" s="103">
        <f t="shared" ref="AD114:AD122" si="100">(((F114*G114)*E114*D114))+K114</f>
        <v>1.05</v>
      </c>
      <c r="AE114" s="103">
        <f t="shared" ref="AE114:AE122" si="101">(((F114*(H114-AB114))+(F114*(H114-AC114)))*E114*D114)+Y114</f>
        <v>3.78</v>
      </c>
      <c r="AF114" s="98">
        <f t="shared" ref="AF114:AF122" si="102">AD114</f>
        <v>1.05</v>
      </c>
      <c r="AG114" s="98"/>
      <c r="AH114" s="103">
        <f t="shared" ref="AH114:AH122" si="103">F114*E114*D114</f>
        <v>4.2</v>
      </c>
      <c r="AI114" s="98"/>
      <c r="AJ114" s="125">
        <f t="shared" ref="AJ114:AJ122" si="104">$H$8-0.1-H114+0.3</f>
        <v>6.5500000000000007</v>
      </c>
      <c r="AK114" s="105">
        <f t="shared" ref="AK114:AK122" si="105">((F114*AJ114)*E114*D114)</f>
        <v>27.510000000000005</v>
      </c>
      <c r="AL114" s="94"/>
      <c r="AM114" s="94"/>
      <c r="AN114" s="94"/>
      <c r="AO114" s="94"/>
      <c r="AP114" s="94"/>
      <c r="AQ114" s="94"/>
      <c r="AR114" s="94"/>
    </row>
    <row r="115" spans="1:44" ht="12.75" customHeight="1">
      <c r="A115" s="93"/>
      <c r="B115" s="93" t="s">
        <v>269</v>
      </c>
      <c r="C115" s="94" t="s">
        <v>271</v>
      </c>
      <c r="D115" s="94">
        <v>1</v>
      </c>
      <c r="E115" s="94">
        <v>2</v>
      </c>
      <c r="F115" s="95">
        <v>6.8</v>
      </c>
      <c r="G115" s="95">
        <v>0.25</v>
      </c>
      <c r="H115" s="95">
        <f t="shared" si="88"/>
        <v>0.6</v>
      </c>
      <c r="I115" s="95">
        <f t="shared" si="89"/>
        <v>3.4</v>
      </c>
      <c r="J115" s="95"/>
      <c r="K115" s="94"/>
      <c r="L115" s="94"/>
      <c r="M115" s="94"/>
      <c r="N115" s="94"/>
      <c r="O115" s="96"/>
      <c r="P115" s="105">
        <v>0</v>
      </c>
      <c r="Q115" s="105">
        <v>0</v>
      </c>
      <c r="R115" s="103">
        <f t="shared" si="90"/>
        <v>0</v>
      </c>
      <c r="S115" s="103">
        <f t="shared" si="91"/>
        <v>0</v>
      </c>
      <c r="T115" s="103">
        <f t="shared" si="92"/>
        <v>0</v>
      </c>
      <c r="U115" s="98">
        <f t="shared" si="93"/>
        <v>0</v>
      </c>
      <c r="V115" s="98">
        <f t="shared" si="94"/>
        <v>2.04</v>
      </c>
      <c r="W115" s="98">
        <f t="shared" si="95"/>
        <v>0</v>
      </c>
      <c r="X115" s="98">
        <f t="shared" si="96"/>
        <v>16.32</v>
      </c>
      <c r="Y115" s="98">
        <f t="shared" si="97"/>
        <v>0</v>
      </c>
      <c r="Z115" s="103" t="e">
        <f t="shared" si="98"/>
        <v>#DIV/0!</v>
      </c>
      <c r="AA115" s="103">
        <f t="shared" si="99"/>
        <v>0</v>
      </c>
      <c r="AB115" s="125">
        <v>0.15</v>
      </c>
      <c r="AC115" s="125">
        <v>0.15</v>
      </c>
      <c r="AD115" s="103">
        <f t="shared" si="100"/>
        <v>3.4</v>
      </c>
      <c r="AE115" s="103">
        <f t="shared" si="101"/>
        <v>12.239999999999998</v>
      </c>
      <c r="AF115" s="98">
        <f t="shared" si="102"/>
        <v>3.4</v>
      </c>
      <c r="AG115" s="98"/>
      <c r="AH115" s="103">
        <f t="shared" si="103"/>
        <v>13.6</v>
      </c>
      <c r="AI115" s="98"/>
      <c r="AJ115" s="125">
        <f t="shared" si="104"/>
        <v>6.5500000000000007</v>
      </c>
      <c r="AK115" s="105">
        <f t="shared" si="105"/>
        <v>89.080000000000013</v>
      </c>
      <c r="AL115" s="94"/>
      <c r="AM115" s="94"/>
      <c r="AN115" s="94"/>
      <c r="AO115" s="94"/>
      <c r="AP115" s="94"/>
      <c r="AQ115" s="94"/>
      <c r="AR115" s="94"/>
    </row>
    <row r="116" spans="1:44" ht="12.75" customHeight="1">
      <c r="A116" s="93"/>
      <c r="B116" s="93" t="s">
        <v>269</v>
      </c>
      <c r="C116" s="94" t="s">
        <v>272</v>
      </c>
      <c r="D116" s="94">
        <v>1</v>
      </c>
      <c r="E116" s="94">
        <v>2</v>
      </c>
      <c r="F116" s="95">
        <v>0.95</v>
      </c>
      <c r="G116" s="95">
        <v>0.25</v>
      </c>
      <c r="H116" s="95">
        <f t="shared" si="88"/>
        <v>0.6</v>
      </c>
      <c r="I116" s="95">
        <f t="shared" si="89"/>
        <v>0.47499999999999998</v>
      </c>
      <c r="J116" s="95"/>
      <c r="K116" s="94"/>
      <c r="L116" s="94"/>
      <c r="M116" s="94"/>
      <c r="N116" s="94"/>
      <c r="O116" s="96"/>
      <c r="P116" s="105">
        <v>0</v>
      </c>
      <c r="Q116" s="105">
        <v>0</v>
      </c>
      <c r="R116" s="103">
        <f t="shared" si="90"/>
        <v>0</v>
      </c>
      <c r="S116" s="103">
        <f t="shared" si="91"/>
        <v>0</v>
      </c>
      <c r="T116" s="103">
        <f t="shared" si="92"/>
        <v>0</v>
      </c>
      <c r="U116" s="98">
        <f t="shared" si="93"/>
        <v>0</v>
      </c>
      <c r="V116" s="98">
        <f t="shared" si="94"/>
        <v>0.28499999999999998</v>
      </c>
      <c r="W116" s="98">
        <f t="shared" si="95"/>
        <v>0</v>
      </c>
      <c r="X116" s="98">
        <f t="shared" si="96"/>
        <v>2.2799999999999998</v>
      </c>
      <c r="Y116" s="98">
        <f t="shared" si="97"/>
        <v>0</v>
      </c>
      <c r="Z116" s="103" t="e">
        <f t="shared" si="98"/>
        <v>#DIV/0!</v>
      </c>
      <c r="AA116" s="103">
        <f t="shared" si="99"/>
        <v>0</v>
      </c>
      <c r="AB116" s="125">
        <v>0.15</v>
      </c>
      <c r="AC116" s="125">
        <v>0.15</v>
      </c>
      <c r="AD116" s="103">
        <f t="shared" si="100"/>
        <v>0.47499999999999998</v>
      </c>
      <c r="AE116" s="103">
        <f t="shared" si="101"/>
        <v>1.7099999999999997</v>
      </c>
      <c r="AF116" s="98">
        <f t="shared" si="102"/>
        <v>0.47499999999999998</v>
      </c>
      <c r="AG116" s="98"/>
      <c r="AH116" s="103">
        <f t="shared" si="103"/>
        <v>1.9</v>
      </c>
      <c r="AI116" s="98"/>
      <c r="AJ116" s="125">
        <f t="shared" si="104"/>
        <v>6.5500000000000007</v>
      </c>
      <c r="AK116" s="105">
        <f t="shared" si="105"/>
        <v>12.445</v>
      </c>
      <c r="AL116" s="94"/>
      <c r="AM116" s="94"/>
      <c r="AN116" s="94"/>
      <c r="AO116" s="94"/>
      <c r="AP116" s="94"/>
      <c r="AQ116" s="94"/>
      <c r="AR116" s="94"/>
    </row>
    <row r="117" spans="1:44" ht="12.75" customHeight="1">
      <c r="A117" s="93"/>
      <c r="B117" s="93" t="s">
        <v>269</v>
      </c>
      <c r="C117" s="94" t="s">
        <v>273</v>
      </c>
      <c r="D117" s="94">
        <v>1</v>
      </c>
      <c r="E117" s="94">
        <v>2</v>
      </c>
      <c r="F117" s="95">
        <v>1</v>
      </c>
      <c r="G117" s="95">
        <v>0.25</v>
      </c>
      <c r="H117" s="95">
        <f t="shared" si="88"/>
        <v>0.6</v>
      </c>
      <c r="I117" s="95">
        <f t="shared" si="89"/>
        <v>0.5</v>
      </c>
      <c r="J117" s="95"/>
      <c r="K117" s="94"/>
      <c r="L117" s="94"/>
      <c r="M117" s="94"/>
      <c r="N117" s="94"/>
      <c r="O117" s="96"/>
      <c r="P117" s="105">
        <v>0</v>
      </c>
      <c r="Q117" s="105">
        <v>0</v>
      </c>
      <c r="R117" s="103">
        <f t="shared" si="90"/>
        <v>0</v>
      </c>
      <c r="S117" s="103">
        <f t="shared" si="91"/>
        <v>0</v>
      </c>
      <c r="T117" s="103">
        <f t="shared" si="92"/>
        <v>0</v>
      </c>
      <c r="U117" s="98">
        <f t="shared" si="93"/>
        <v>0</v>
      </c>
      <c r="V117" s="98">
        <f t="shared" si="94"/>
        <v>0.3</v>
      </c>
      <c r="W117" s="98">
        <f t="shared" si="95"/>
        <v>0</v>
      </c>
      <c r="X117" s="98">
        <f t="shared" si="96"/>
        <v>2.4</v>
      </c>
      <c r="Y117" s="98">
        <f t="shared" si="97"/>
        <v>0</v>
      </c>
      <c r="Z117" s="103" t="e">
        <f t="shared" si="98"/>
        <v>#DIV/0!</v>
      </c>
      <c r="AA117" s="103">
        <f t="shared" si="99"/>
        <v>0</v>
      </c>
      <c r="AB117" s="125">
        <v>0.15</v>
      </c>
      <c r="AC117" s="125">
        <v>0.15</v>
      </c>
      <c r="AD117" s="103">
        <f t="shared" si="100"/>
        <v>0.5</v>
      </c>
      <c r="AE117" s="103">
        <f t="shared" si="101"/>
        <v>1.7999999999999998</v>
      </c>
      <c r="AF117" s="98">
        <f t="shared" si="102"/>
        <v>0.5</v>
      </c>
      <c r="AG117" s="98"/>
      <c r="AH117" s="103">
        <f t="shared" si="103"/>
        <v>2</v>
      </c>
      <c r="AI117" s="98"/>
      <c r="AJ117" s="125">
        <f t="shared" si="104"/>
        <v>6.5500000000000007</v>
      </c>
      <c r="AK117" s="105">
        <f t="shared" si="105"/>
        <v>13.100000000000001</v>
      </c>
      <c r="AL117" s="94"/>
      <c r="AM117" s="94"/>
      <c r="AN117" s="94"/>
      <c r="AO117" s="94"/>
      <c r="AP117" s="94"/>
      <c r="AQ117" s="94"/>
      <c r="AR117" s="94"/>
    </row>
    <row r="118" spans="1:44" ht="12.75" customHeight="1">
      <c r="A118" s="93"/>
      <c r="B118" s="93" t="s">
        <v>269</v>
      </c>
      <c r="C118" s="94" t="s">
        <v>274</v>
      </c>
      <c r="D118" s="94">
        <v>1</v>
      </c>
      <c r="E118" s="94">
        <v>2</v>
      </c>
      <c r="F118" s="95">
        <v>1.1000000000000001</v>
      </c>
      <c r="G118" s="95">
        <v>0.25</v>
      </c>
      <c r="H118" s="95">
        <f t="shared" si="88"/>
        <v>0.6</v>
      </c>
      <c r="I118" s="95">
        <f t="shared" si="89"/>
        <v>0.55000000000000004</v>
      </c>
      <c r="J118" s="95"/>
      <c r="K118" s="94"/>
      <c r="L118" s="94"/>
      <c r="M118" s="94"/>
      <c r="N118" s="94"/>
      <c r="O118" s="96"/>
      <c r="P118" s="105">
        <v>0</v>
      </c>
      <c r="Q118" s="105">
        <v>0</v>
      </c>
      <c r="R118" s="103">
        <f t="shared" si="90"/>
        <v>0</v>
      </c>
      <c r="S118" s="103">
        <f t="shared" si="91"/>
        <v>0</v>
      </c>
      <c r="T118" s="103">
        <f t="shared" si="92"/>
        <v>0</v>
      </c>
      <c r="U118" s="98">
        <f t="shared" si="93"/>
        <v>0</v>
      </c>
      <c r="V118" s="98">
        <f t="shared" si="94"/>
        <v>0.33</v>
      </c>
      <c r="W118" s="98">
        <f t="shared" si="95"/>
        <v>0</v>
      </c>
      <c r="X118" s="98">
        <f t="shared" si="96"/>
        <v>2.64</v>
      </c>
      <c r="Y118" s="98">
        <f t="shared" si="97"/>
        <v>0</v>
      </c>
      <c r="Z118" s="103" t="e">
        <f t="shared" si="98"/>
        <v>#DIV/0!</v>
      </c>
      <c r="AA118" s="103">
        <f t="shared" si="99"/>
        <v>0</v>
      </c>
      <c r="AB118" s="125">
        <v>0.15</v>
      </c>
      <c r="AC118" s="125">
        <v>0.15</v>
      </c>
      <c r="AD118" s="103">
        <f t="shared" si="100"/>
        <v>0.55000000000000004</v>
      </c>
      <c r="AE118" s="103">
        <f t="shared" si="101"/>
        <v>1.98</v>
      </c>
      <c r="AF118" s="98">
        <f t="shared" si="102"/>
        <v>0.55000000000000004</v>
      </c>
      <c r="AG118" s="98"/>
      <c r="AH118" s="103">
        <f t="shared" si="103"/>
        <v>2.2000000000000002</v>
      </c>
      <c r="AI118" s="98"/>
      <c r="AJ118" s="125">
        <f t="shared" si="104"/>
        <v>6.5500000000000007</v>
      </c>
      <c r="AK118" s="105">
        <f t="shared" si="105"/>
        <v>14.410000000000002</v>
      </c>
      <c r="AL118" s="94"/>
      <c r="AM118" s="94"/>
      <c r="AN118" s="94"/>
      <c r="AO118" s="94"/>
      <c r="AP118" s="94"/>
      <c r="AQ118" s="94"/>
      <c r="AR118" s="94"/>
    </row>
    <row r="119" spans="1:44" ht="12.75" customHeight="1">
      <c r="A119" s="93"/>
      <c r="B119" s="93" t="s">
        <v>275</v>
      </c>
      <c r="C119" s="94" t="s">
        <v>276</v>
      </c>
      <c r="D119" s="94">
        <v>1</v>
      </c>
      <c r="E119" s="94">
        <v>4</v>
      </c>
      <c r="F119" s="95">
        <v>2.2000000000000002</v>
      </c>
      <c r="G119" s="95">
        <v>0.4</v>
      </c>
      <c r="H119" s="95">
        <f t="shared" si="88"/>
        <v>0.6</v>
      </c>
      <c r="I119" s="95">
        <f t="shared" si="89"/>
        <v>3.5200000000000005</v>
      </c>
      <c r="J119" s="95"/>
      <c r="K119" s="94"/>
      <c r="L119" s="94"/>
      <c r="M119" s="94"/>
      <c r="N119" s="94"/>
      <c r="O119" s="96"/>
      <c r="P119" s="105">
        <v>0</v>
      </c>
      <c r="Q119" s="105">
        <v>0</v>
      </c>
      <c r="R119" s="103">
        <f t="shared" si="90"/>
        <v>0</v>
      </c>
      <c r="S119" s="103">
        <f t="shared" si="91"/>
        <v>0</v>
      </c>
      <c r="T119" s="103">
        <f t="shared" si="92"/>
        <v>0</v>
      </c>
      <c r="U119" s="98">
        <f t="shared" si="93"/>
        <v>0</v>
      </c>
      <c r="V119" s="98">
        <f t="shared" si="94"/>
        <v>2.1120000000000001</v>
      </c>
      <c r="W119" s="98">
        <f t="shared" si="95"/>
        <v>0</v>
      </c>
      <c r="X119" s="98">
        <f t="shared" si="96"/>
        <v>10.56</v>
      </c>
      <c r="Y119" s="98">
        <f t="shared" si="97"/>
        <v>0</v>
      </c>
      <c r="Z119" s="103" t="e">
        <f t="shared" si="98"/>
        <v>#DIV/0!</v>
      </c>
      <c r="AA119" s="103">
        <f t="shared" si="99"/>
        <v>0</v>
      </c>
      <c r="AB119" s="125">
        <v>0.15</v>
      </c>
      <c r="AC119" s="125">
        <v>0.15</v>
      </c>
      <c r="AD119" s="103">
        <f t="shared" si="100"/>
        <v>3.5200000000000005</v>
      </c>
      <c r="AE119" s="103">
        <f t="shared" si="101"/>
        <v>7.92</v>
      </c>
      <c r="AF119" s="98">
        <f t="shared" si="102"/>
        <v>3.5200000000000005</v>
      </c>
      <c r="AG119" s="98"/>
      <c r="AH119" s="103">
        <f t="shared" si="103"/>
        <v>8.8000000000000007</v>
      </c>
      <c r="AI119" s="98"/>
      <c r="AJ119" s="125">
        <f t="shared" si="104"/>
        <v>6.5500000000000007</v>
      </c>
      <c r="AK119" s="105">
        <f t="shared" si="105"/>
        <v>57.640000000000008</v>
      </c>
      <c r="AL119" s="94"/>
      <c r="AM119" s="94"/>
      <c r="AN119" s="94"/>
      <c r="AO119" s="94"/>
      <c r="AP119" s="94"/>
      <c r="AQ119" s="94"/>
      <c r="AR119" s="94"/>
    </row>
    <row r="120" spans="1:44" ht="12.75" customHeight="1">
      <c r="A120" s="93"/>
      <c r="B120" s="93" t="s">
        <v>275</v>
      </c>
      <c r="C120" s="94" t="s">
        <v>277</v>
      </c>
      <c r="D120" s="94">
        <v>1</v>
      </c>
      <c r="E120" s="94">
        <v>1</v>
      </c>
      <c r="F120" s="95">
        <v>6.79</v>
      </c>
      <c r="G120" s="95">
        <v>0.4</v>
      </c>
      <c r="H120" s="95">
        <f t="shared" si="88"/>
        <v>0.6</v>
      </c>
      <c r="I120" s="95">
        <f t="shared" si="89"/>
        <v>2.7160000000000002</v>
      </c>
      <c r="J120" s="95"/>
      <c r="K120" s="94"/>
      <c r="L120" s="94"/>
      <c r="M120" s="94"/>
      <c r="N120" s="94"/>
      <c r="O120" s="96"/>
      <c r="P120" s="105">
        <v>0</v>
      </c>
      <c r="Q120" s="105">
        <v>0</v>
      </c>
      <c r="R120" s="103">
        <f t="shared" si="90"/>
        <v>0</v>
      </c>
      <c r="S120" s="103">
        <f t="shared" si="91"/>
        <v>0</v>
      </c>
      <c r="T120" s="103">
        <f t="shared" si="92"/>
        <v>0</v>
      </c>
      <c r="U120" s="98">
        <f t="shared" si="93"/>
        <v>0</v>
      </c>
      <c r="V120" s="98">
        <f t="shared" si="94"/>
        <v>1.6296000000000002</v>
      </c>
      <c r="W120" s="98">
        <f t="shared" si="95"/>
        <v>0</v>
      </c>
      <c r="X120" s="98">
        <f t="shared" si="96"/>
        <v>8.1479999999999997</v>
      </c>
      <c r="Y120" s="98">
        <f t="shared" si="97"/>
        <v>0</v>
      </c>
      <c r="Z120" s="103" t="e">
        <f t="shared" si="98"/>
        <v>#DIV/0!</v>
      </c>
      <c r="AA120" s="103">
        <f t="shared" si="99"/>
        <v>0</v>
      </c>
      <c r="AB120" s="125">
        <v>0.15</v>
      </c>
      <c r="AC120" s="125">
        <v>0.15</v>
      </c>
      <c r="AD120" s="103">
        <f t="shared" si="100"/>
        <v>2.7160000000000002</v>
      </c>
      <c r="AE120" s="103">
        <f t="shared" si="101"/>
        <v>6.1109999999999998</v>
      </c>
      <c r="AF120" s="98">
        <f t="shared" si="102"/>
        <v>2.7160000000000002</v>
      </c>
      <c r="AG120" s="98"/>
      <c r="AH120" s="103">
        <f t="shared" si="103"/>
        <v>6.79</v>
      </c>
      <c r="AI120" s="98"/>
      <c r="AJ120" s="125">
        <f t="shared" si="104"/>
        <v>6.5500000000000007</v>
      </c>
      <c r="AK120" s="105">
        <f t="shared" si="105"/>
        <v>44.474500000000006</v>
      </c>
      <c r="AL120" s="94"/>
      <c r="AM120" s="94"/>
      <c r="AN120" s="94"/>
      <c r="AO120" s="94"/>
      <c r="AP120" s="94"/>
      <c r="AQ120" s="94"/>
      <c r="AR120" s="94"/>
    </row>
    <row r="121" spans="1:44" ht="12.75" customHeight="1">
      <c r="A121" s="93"/>
      <c r="B121" s="93" t="s">
        <v>275</v>
      </c>
      <c r="C121" s="94" t="s">
        <v>278</v>
      </c>
      <c r="D121" s="94">
        <v>1</v>
      </c>
      <c r="E121" s="94">
        <v>1</v>
      </c>
      <c r="F121" s="95">
        <v>6.64</v>
      </c>
      <c r="G121" s="95">
        <v>0.4</v>
      </c>
      <c r="H121" s="95">
        <f t="shared" si="88"/>
        <v>0.6</v>
      </c>
      <c r="I121" s="95">
        <f t="shared" si="89"/>
        <v>2.6560000000000001</v>
      </c>
      <c r="J121" s="95"/>
      <c r="K121" s="94"/>
      <c r="L121" s="94"/>
      <c r="M121" s="94"/>
      <c r="N121" s="94"/>
      <c r="O121" s="96"/>
      <c r="P121" s="105">
        <v>0</v>
      </c>
      <c r="Q121" s="105">
        <v>0</v>
      </c>
      <c r="R121" s="103">
        <f t="shared" si="90"/>
        <v>0</v>
      </c>
      <c r="S121" s="103">
        <f t="shared" si="91"/>
        <v>0</v>
      </c>
      <c r="T121" s="103">
        <f t="shared" si="92"/>
        <v>0</v>
      </c>
      <c r="U121" s="98">
        <f t="shared" si="93"/>
        <v>0</v>
      </c>
      <c r="V121" s="98">
        <f t="shared" si="94"/>
        <v>1.5936000000000001</v>
      </c>
      <c r="W121" s="98">
        <f t="shared" si="95"/>
        <v>0</v>
      </c>
      <c r="X121" s="98">
        <f t="shared" si="96"/>
        <v>7.9679999999999991</v>
      </c>
      <c r="Y121" s="98">
        <f t="shared" si="97"/>
        <v>0</v>
      </c>
      <c r="Z121" s="103" t="e">
        <f t="shared" si="98"/>
        <v>#DIV/0!</v>
      </c>
      <c r="AA121" s="103">
        <f t="shared" si="99"/>
        <v>0</v>
      </c>
      <c r="AB121" s="125">
        <v>0.15</v>
      </c>
      <c r="AC121" s="125">
        <v>0.15</v>
      </c>
      <c r="AD121" s="103">
        <f t="shared" si="100"/>
        <v>2.6560000000000001</v>
      </c>
      <c r="AE121" s="103">
        <f t="shared" si="101"/>
        <v>5.9759999999999991</v>
      </c>
      <c r="AF121" s="98">
        <f t="shared" si="102"/>
        <v>2.6560000000000001</v>
      </c>
      <c r="AG121" s="98"/>
      <c r="AH121" s="103">
        <f t="shared" si="103"/>
        <v>6.64</v>
      </c>
      <c r="AI121" s="98"/>
      <c r="AJ121" s="125">
        <f t="shared" si="104"/>
        <v>6.5500000000000007</v>
      </c>
      <c r="AK121" s="105">
        <f t="shared" si="105"/>
        <v>43.492000000000004</v>
      </c>
      <c r="AL121" s="94"/>
      <c r="AM121" s="94"/>
      <c r="AN121" s="94"/>
      <c r="AO121" s="94"/>
      <c r="AP121" s="94"/>
      <c r="AQ121" s="94"/>
      <c r="AR121" s="94"/>
    </row>
    <row r="122" spans="1:44" ht="12.75" customHeight="1">
      <c r="A122" s="93"/>
      <c r="B122" s="93" t="s">
        <v>275</v>
      </c>
      <c r="C122" s="94" t="s">
        <v>279</v>
      </c>
      <c r="D122" s="94">
        <v>1</v>
      </c>
      <c r="E122" s="94">
        <v>2</v>
      </c>
      <c r="F122" s="95">
        <v>3.4</v>
      </c>
      <c r="G122" s="95">
        <v>0.4</v>
      </c>
      <c r="H122" s="95">
        <f t="shared" si="88"/>
        <v>0.6</v>
      </c>
      <c r="I122" s="95">
        <f t="shared" si="89"/>
        <v>2.72</v>
      </c>
      <c r="J122" s="95"/>
      <c r="K122" s="94"/>
      <c r="L122" s="94"/>
      <c r="M122" s="94"/>
      <c r="N122" s="94"/>
      <c r="O122" s="96"/>
      <c r="P122" s="105">
        <v>0</v>
      </c>
      <c r="Q122" s="105">
        <v>0</v>
      </c>
      <c r="R122" s="103">
        <f t="shared" si="90"/>
        <v>0</v>
      </c>
      <c r="S122" s="103">
        <f t="shared" si="91"/>
        <v>0</v>
      </c>
      <c r="T122" s="103">
        <f t="shared" si="92"/>
        <v>0</v>
      </c>
      <c r="U122" s="98">
        <f t="shared" si="93"/>
        <v>0</v>
      </c>
      <c r="V122" s="98">
        <f t="shared" si="94"/>
        <v>1.6320000000000001</v>
      </c>
      <c r="W122" s="98">
        <f t="shared" si="95"/>
        <v>0</v>
      </c>
      <c r="X122" s="98">
        <f t="shared" si="96"/>
        <v>8.16</v>
      </c>
      <c r="Y122" s="98">
        <f t="shared" si="97"/>
        <v>0</v>
      </c>
      <c r="Z122" s="103" t="e">
        <f t="shared" si="98"/>
        <v>#DIV/0!</v>
      </c>
      <c r="AA122" s="103">
        <f t="shared" si="99"/>
        <v>0</v>
      </c>
      <c r="AB122" s="125">
        <v>0.15</v>
      </c>
      <c r="AC122" s="125">
        <v>0.15</v>
      </c>
      <c r="AD122" s="103">
        <f t="shared" si="100"/>
        <v>2.72</v>
      </c>
      <c r="AE122" s="103">
        <f t="shared" si="101"/>
        <v>6.1199999999999992</v>
      </c>
      <c r="AF122" s="98">
        <f t="shared" si="102"/>
        <v>2.72</v>
      </c>
      <c r="AG122" s="98"/>
      <c r="AH122" s="103">
        <f t="shared" si="103"/>
        <v>6.8</v>
      </c>
      <c r="AI122" s="98"/>
      <c r="AJ122" s="125">
        <f t="shared" si="104"/>
        <v>6.5500000000000007</v>
      </c>
      <c r="AK122" s="105">
        <f t="shared" si="105"/>
        <v>44.540000000000006</v>
      </c>
      <c r="AL122" s="94"/>
      <c r="AM122" s="94"/>
      <c r="AN122" s="94"/>
      <c r="AO122" s="94"/>
      <c r="AP122" s="94"/>
      <c r="AQ122" s="94"/>
      <c r="AR122" s="94"/>
    </row>
    <row r="123" spans="1:44" ht="12.75" customHeight="1">
      <c r="A123" s="93"/>
      <c r="B123" s="93"/>
      <c r="C123" s="94"/>
      <c r="D123" s="94"/>
      <c r="E123" s="94"/>
      <c r="F123" s="95"/>
      <c r="G123" s="95"/>
      <c r="H123" s="95"/>
      <c r="I123" s="95"/>
      <c r="J123" s="95"/>
      <c r="K123" s="94"/>
      <c r="L123" s="94"/>
      <c r="M123" s="94"/>
      <c r="N123" s="94"/>
      <c r="O123" s="96"/>
      <c r="P123" s="105"/>
      <c r="Q123" s="105"/>
      <c r="R123" s="98"/>
      <c r="S123" s="98"/>
      <c r="T123" s="98"/>
      <c r="U123" s="98"/>
      <c r="V123" s="98"/>
      <c r="W123" s="98"/>
      <c r="X123" s="98"/>
      <c r="Y123" s="98"/>
      <c r="Z123" s="98"/>
      <c r="AA123" s="98"/>
      <c r="AB123" s="125"/>
      <c r="AC123" s="125"/>
      <c r="AD123" s="98"/>
      <c r="AE123" s="98"/>
      <c r="AF123" s="98"/>
      <c r="AG123" s="98"/>
      <c r="AH123" s="98"/>
      <c r="AI123" s="98"/>
      <c r="AJ123" s="98"/>
      <c r="AK123" s="94"/>
      <c r="AL123" s="94"/>
      <c r="AM123" s="94"/>
      <c r="AN123" s="94"/>
      <c r="AO123" s="94"/>
      <c r="AP123" s="94"/>
      <c r="AQ123" s="94"/>
      <c r="AR123" s="94"/>
    </row>
    <row r="124" spans="1:44" ht="12.75" customHeight="1">
      <c r="A124" s="93"/>
      <c r="B124" s="104" t="s">
        <v>186</v>
      </c>
      <c r="C124" s="94"/>
      <c r="D124" s="94"/>
      <c r="E124" s="94"/>
      <c r="F124" s="95"/>
      <c r="G124" s="95"/>
      <c r="H124" s="95"/>
      <c r="I124" s="95"/>
      <c r="J124" s="95"/>
      <c r="K124" s="94"/>
      <c r="L124" s="94"/>
      <c r="M124" s="94"/>
      <c r="N124" s="94"/>
      <c r="O124" s="96"/>
      <c r="P124" s="105"/>
      <c r="Q124" s="105"/>
      <c r="R124" s="98"/>
      <c r="S124" s="98"/>
      <c r="T124" s="98"/>
      <c r="U124" s="98"/>
      <c r="V124" s="98"/>
      <c r="W124" s="98"/>
      <c r="X124" s="98"/>
      <c r="Y124" s="98"/>
      <c r="Z124" s="98"/>
      <c r="AA124" s="98"/>
      <c r="AB124" s="125"/>
      <c r="AC124" s="125"/>
      <c r="AD124" s="98"/>
      <c r="AE124" s="98"/>
      <c r="AF124" s="98"/>
      <c r="AG124" s="98"/>
      <c r="AH124" s="98"/>
      <c r="AI124" s="98"/>
      <c r="AJ124" s="98"/>
      <c r="AK124" s="94"/>
      <c r="AL124" s="94"/>
      <c r="AM124" s="94"/>
      <c r="AN124" s="94"/>
      <c r="AO124" s="94"/>
      <c r="AP124" s="94"/>
      <c r="AQ124" s="94"/>
      <c r="AR124" s="94"/>
    </row>
    <row r="125" spans="1:44" ht="12.75" customHeight="1">
      <c r="A125" s="93"/>
      <c r="B125" s="93" t="s">
        <v>280</v>
      </c>
      <c r="C125" s="94" t="s">
        <v>281</v>
      </c>
      <c r="D125" s="94">
        <v>0</v>
      </c>
      <c r="E125" s="94">
        <v>0</v>
      </c>
      <c r="F125" s="95">
        <v>0</v>
      </c>
      <c r="G125" s="95">
        <v>0</v>
      </c>
      <c r="H125" s="95">
        <v>0</v>
      </c>
      <c r="I125" s="95"/>
      <c r="J125" s="95"/>
      <c r="K125" s="94"/>
      <c r="L125" s="94"/>
      <c r="M125" s="94"/>
      <c r="N125" s="94"/>
      <c r="O125" s="96"/>
      <c r="P125" s="105">
        <v>0</v>
      </c>
      <c r="Q125" s="105">
        <v>0</v>
      </c>
      <c r="R125" s="103">
        <f>(((F125)*(G125+Q125*2))*P125)*E125*D125</f>
        <v>0</v>
      </c>
      <c r="S125" s="103">
        <f>((J125*P125)*E125*D125)</f>
        <v>0</v>
      </c>
      <c r="T125" s="103">
        <f>((F125*P125)*2)*D125*E125</f>
        <v>0</v>
      </c>
      <c r="U125" s="98">
        <f>((L125*P125)*E125*D125)</f>
        <v>0</v>
      </c>
      <c r="V125" s="98">
        <f>PRODUCT(D125:H125)</f>
        <v>0</v>
      </c>
      <c r="W125" s="98">
        <f>(K125*H125)*E125*D125</f>
        <v>0</v>
      </c>
      <c r="X125" s="98">
        <f>((F125)*(H125*2))*E125*D125</f>
        <v>0</v>
      </c>
      <c r="Y125" s="98">
        <f>((M125)*H125)*E125*D125</f>
        <v>0</v>
      </c>
      <c r="Z125" s="103" t="e">
        <f>(R125/P125)+(S125/P125)</f>
        <v>#DIV/0!</v>
      </c>
      <c r="AA125" s="103">
        <f>(T125+U125)</f>
        <v>0</v>
      </c>
      <c r="AB125" s="125">
        <v>0.15</v>
      </c>
      <c r="AC125" s="125">
        <v>0.15</v>
      </c>
      <c r="AD125" s="103">
        <f>(((F125*G125)*E125*D125))+K125</f>
        <v>0</v>
      </c>
      <c r="AE125" s="103">
        <f>(((F125*(H125-AC125))+(F125*(H125-AC125)))*E125*D125)+Y125</f>
        <v>0</v>
      </c>
      <c r="AF125" s="98">
        <f>AD125</f>
        <v>0</v>
      </c>
      <c r="AG125" s="98"/>
      <c r="AH125" s="103">
        <f>(F125*2)*E125*D125</f>
        <v>0</v>
      </c>
      <c r="AI125" s="98"/>
      <c r="AJ125" s="125">
        <v>0</v>
      </c>
      <c r="AK125" s="94"/>
      <c r="AL125" s="105">
        <f>((F125*AJ125)*E125*D125)</f>
        <v>0</v>
      </c>
      <c r="AM125" s="94"/>
      <c r="AN125" s="94"/>
      <c r="AO125" s="94"/>
      <c r="AP125" s="94"/>
      <c r="AQ125" s="94"/>
      <c r="AR125" s="94"/>
    </row>
    <row r="126" spans="1:44" ht="12.75" customHeight="1">
      <c r="A126" s="93"/>
      <c r="B126" s="93"/>
      <c r="C126" s="94"/>
      <c r="D126" s="94"/>
      <c r="E126" s="94"/>
      <c r="F126" s="95"/>
      <c r="G126" s="95"/>
      <c r="H126" s="95"/>
      <c r="I126" s="95"/>
      <c r="J126" s="95"/>
      <c r="K126" s="94"/>
      <c r="L126" s="94"/>
      <c r="M126" s="94"/>
      <c r="N126" s="94"/>
      <c r="O126" s="96"/>
      <c r="P126" s="105"/>
      <c r="Q126" s="105"/>
      <c r="R126" s="98"/>
      <c r="S126" s="98"/>
      <c r="T126" s="98"/>
      <c r="U126" s="98"/>
      <c r="V126" s="98"/>
      <c r="W126" s="98"/>
      <c r="X126" s="98"/>
      <c r="Y126" s="98"/>
      <c r="Z126" s="98"/>
      <c r="AA126" s="98"/>
      <c r="AB126" s="125"/>
      <c r="AC126" s="125"/>
      <c r="AD126" s="98"/>
      <c r="AE126" s="98"/>
      <c r="AF126" s="98"/>
      <c r="AG126" s="98"/>
      <c r="AH126" s="98"/>
      <c r="AI126" s="98"/>
      <c r="AJ126" s="98"/>
      <c r="AK126" s="94"/>
      <c r="AL126" s="94"/>
      <c r="AM126" s="94"/>
      <c r="AN126" s="94"/>
      <c r="AO126" s="94"/>
      <c r="AP126" s="94"/>
      <c r="AQ126" s="94"/>
      <c r="AR126" s="94"/>
    </row>
    <row r="127" spans="1:44" ht="12.75" customHeight="1">
      <c r="A127" s="107"/>
      <c r="B127" s="108" t="s">
        <v>194</v>
      </c>
      <c r="C127" s="109"/>
      <c r="D127" s="109"/>
      <c r="E127" s="109"/>
      <c r="F127" s="110"/>
      <c r="G127" s="110"/>
      <c r="H127" s="110"/>
      <c r="I127" s="110"/>
      <c r="J127" s="110"/>
      <c r="K127" s="109"/>
      <c r="L127" s="109"/>
      <c r="M127" s="109"/>
      <c r="N127" s="111"/>
      <c r="O127" s="112"/>
      <c r="P127" s="113"/>
      <c r="Q127" s="109"/>
      <c r="R127" s="114">
        <f t="shared" ref="R127:AA127" si="106">SUM(R114:R126)</f>
        <v>0</v>
      </c>
      <c r="S127" s="114">
        <f t="shared" si="106"/>
        <v>0</v>
      </c>
      <c r="T127" s="114">
        <f t="shared" si="106"/>
        <v>0</v>
      </c>
      <c r="U127" s="114">
        <f t="shared" si="106"/>
        <v>0</v>
      </c>
      <c r="V127" s="114">
        <f t="shared" si="106"/>
        <v>10.552199999999999</v>
      </c>
      <c r="W127" s="114">
        <f t="shared" si="106"/>
        <v>0</v>
      </c>
      <c r="X127" s="114">
        <f t="shared" si="106"/>
        <v>63.516000000000005</v>
      </c>
      <c r="Y127" s="114">
        <f t="shared" si="106"/>
        <v>0</v>
      </c>
      <c r="Z127" s="114" t="e">
        <f t="shared" si="106"/>
        <v>#DIV/0!</v>
      </c>
      <c r="AA127" s="114">
        <f t="shared" si="106"/>
        <v>0</v>
      </c>
      <c r="AB127" s="114"/>
      <c r="AC127" s="114"/>
      <c r="AD127" s="114">
        <f t="shared" ref="AD127:AF127" si="107">SUM(AD114:AD126)</f>
        <v>17.587000000000003</v>
      </c>
      <c r="AE127" s="114">
        <f t="shared" si="107"/>
        <v>47.636999999999993</v>
      </c>
      <c r="AF127" s="114">
        <f t="shared" si="107"/>
        <v>17.587000000000003</v>
      </c>
      <c r="AG127" s="114"/>
      <c r="AH127" s="114">
        <f t="shared" ref="AH127:AI127" si="108">SUM(AH114:AH126)</f>
        <v>52.93</v>
      </c>
      <c r="AI127" s="114">
        <f t="shared" si="108"/>
        <v>0</v>
      </c>
      <c r="AJ127" s="115"/>
      <c r="AK127" s="114">
        <f t="shared" ref="AK127:AL127" si="109">SUM(AK114:AK126)</f>
        <v>346.69150000000008</v>
      </c>
      <c r="AL127" s="114">
        <f t="shared" si="109"/>
        <v>0</v>
      </c>
      <c r="AM127" s="94"/>
      <c r="AN127" s="94"/>
      <c r="AO127" s="94"/>
      <c r="AP127" s="94"/>
      <c r="AQ127" s="94"/>
      <c r="AR127" s="94"/>
    </row>
    <row r="128" spans="1:44" ht="12.75" customHeight="1">
      <c r="A128" s="93"/>
      <c r="B128" s="93"/>
      <c r="C128" s="94"/>
      <c r="D128" s="94"/>
      <c r="E128" s="94"/>
      <c r="F128" s="95"/>
      <c r="G128" s="95"/>
      <c r="H128" s="95"/>
      <c r="I128" s="95"/>
      <c r="J128" s="95"/>
      <c r="K128" s="94"/>
      <c r="L128" s="94"/>
      <c r="M128" s="94"/>
      <c r="N128" s="94"/>
      <c r="O128" s="96"/>
      <c r="P128" s="94"/>
      <c r="Q128" s="94"/>
      <c r="R128" s="98"/>
      <c r="S128" s="98"/>
      <c r="T128" s="98"/>
      <c r="U128" s="98"/>
      <c r="V128" s="98"/>
      <c r="W128" s="98"/>
      <c r="X128" s="98"/>
      <c r="Y128" s="98"/>
      <c r="Z128" s="98"/>
      <c r="AA128" s="98"/>
      <c r="AB128" s="98"/>
      <c r="AC128" s="98"/>
      <c r="AD128" s="98"/>
      <c r="AE128" s="98"/>
      <c r="AF128" s="98"/>
      <c r="AG128" s="98"/>
      <c r="AH128" s="98"/>
      <c r="AI128" s="98"/>
      <c r="AJ128" s="98"/>
      <c r="AK128" s="94"/>
      <c r="AL128" s="94"/>
      <c r="AM128" s="94"/>
      <c r="AN128" s="94"/>
      <c r="AO128" s="94"/>
      <c r="AP128" s="94"/>
      <c r="AQ128" s="94"/>
      <c r="AR128" s="94"/>
    </row>
    <row r="129" spans="1:44" ht="14.4">
      <c r="A129" s="117"/>
      <c r="B129" s="126" t="s">
        <v>282</v>
      </c>
      <c r="C129" s="46"/>
      <c r="D129" s="46"/>
      <c r="E129" s="46"/>
      <c r="F129" s="50"/>
      <c r="G129" s="50"/>
      <c r="H129" s="50"/>
      <c r="I129" s="50"/>
      <c r="J129" s="50"/>
      <c r="K129" s="46"/>
      <c r="L129" s="46"/>
      <c r="M129" s="46"/>
      <c r="N129" s="46"/>
      <c r="O129" s="51"/>
      <c r="P129" s="46"/>
      <c r="Q129" s="46"/>
      <c r="R129" s="47"/>
      <c r="S129" s="47"/>
      <c r="T129" s="47"/>
      <c r="U129" s="47"/>
      <c r="V129" s="47"/>
      <c r="W129" s="47"/>
      <c r="X129" s="47"/>
      <c r="Y129" s="47"/>
      <c r="Z129" s="47"/>
      <c r="AA129" s="47"/>
      <c r="AB129" s="47"/>
      <c r="AC129" s="47"/>
      <c r="AD129" s="47"/>
      <c r="AE129" s="47"/>
      <c r="AF129" s="47"/>
      <c r="AG129" s="47"/>
      <c r="AH129" s="47"/>
      <c r="AI129" s="47"/>
      <c r="AJ129" s="47"/>
      <c r="AK129" s="46"/>
      <c r="AL129" s="46"/>
      <c r="AM129" s="46"/>
      <c r="AN129" s="46"/>
      <c r="AO129" s="46"/>
      <c r="AP129" s="46"/>
      <c r="AQ129" s="46"/>
      <c r="AR129" s="46"/>
    </row>
    <row r="130" spans="1:44" ht="12.75" customHeight="1">
      <c r="A130" s="117"/>
      <c r="B130" s="117" t="s">
        <v>283</v>
      </c>
      <c r="C130" s="46" t="s">
        <v>284</v>
      </c>
      <c r="D130" s="46">
        <v>1</v>
      </c>
      <c r="E130" s="46">
        <v>1</v>
      </c>
      <c r="F130" s="50">
        <v>31.5</v>
      </c>
      <c r="G130" s="50">
        <v>23.51</v>
      </c>
      <c r="H130" s="50">
        <v>0.1</v>
      </c>
      <c r="I130" s="50">
        <f>PRODUCT(D130:H130)</f>
        <v>74.056500000000014</v>
      </c>
      <c r="J130" s="50">
        <f>PRODUCT(D130:G130)</f>
        <v>740.56500000000005</v>
      </c>
      <c r="K130" s="50">
        <v>0</v>
      </c>
      <c r="L130" s="46"/>
      <c r="M130" s="46"/>
      <c r="N130" s="46"/>
      <c r="O130" s="51"/>
      <c r="P130" s="127">
        <v>0</v>
      </c>
      <c r="Q130" s="46"/>
      <c r="R130" s="47">
        <f t="shared" ref="R130:R132" si="110">((F130*G130)*P130)*E130*D130</f>
        <v>0</v>
      </c>
      <c r="S130" s="47">
        <f t="shared" ref="S130:S132" si="111">(J130*P130)*E130*D130</f>
        <v>0</v>
      </c>
      <c r="T130" s="47"/>
      <c r="U130" s="47"/>
      <c r="V130" s="47">
        <f t="shared" ref="V130:V132" si="112">PRODUCT(D130:H130)</f>
        <v>74.056500000000014</v>
      </c>
      <c r="W130" s="47">
        <f t="shared" ref="W130:W132" si="113">((K130*H130)*E130*D130)</f>
        <v>0</v>
      </c>
      <c r="X130" s="47"/>
      <c r="Y130" s="47"/>
      <c r="Z130" s="47" t="e">
        <f t="shared" ref="Z130:Z132" si="114">(R130/P130)+(S130/P130)</f>
        <v>#DIV/0!</v>
      </c>
      <c r="AA130" s="47"/>
      <c r="AB130" s="47"/>
      <c r="AC130" s="47"/>
      <c r="AD130" s="47"/>
      <c r="AE130" s="47"/>
      <c r="AF130" s="47"/>
      <c r="AG130" s="47"/>
      <c r="AH130" s="47">
        <f t="shared" ref="AH130:AI130" si="115">AH127</f>
        <v>52.93</v>
      </c>
      <c r="AI130" s="47">
        <f t="shared" si="115"/>
        <v>0</v>
      </c>
      <c r="AJ130" s="47"/>
      <c r="AK130" s="46"/>
      <c r="AL130" s="46"/>
      <c r="AM130" s="127">
        <f t="shared" ref="AM130:AM132" si="116">((F130*G130)*E130*D130)</f>
        <v>740.56500000000005</v>
      </c>
      <c r="AN130" s="127">
        <f t="shared" ref="AN130:AN132" si="117">((K130)*E130*D130)</f>
        <v>0</v>
      </c>
      <c r="AO130" s="46"/>
      <c r="AP130" s="46"/>
      <c r="AQ130" s="46"/>
      <c r="AR130" s="46"/>
    </row>
    <row r="131" spans="1:44" ht="12.75" customHeight="1">
      <c r="A131" s="117"/>
      <c r="B131" s="117" t="s">
        <v>285</v>
      </c>
      <c r="C131" s="46" t="s">
        <v>286</v>
      </c>
      <c r="D131" s="46">
        <v>0</v>
      </c>
      <c r="E131" s="46">
        <v>0</v>
      </c>
      <c r="F131" s="50"/>
      <c r="G131" s="50"/>
      <c r="H131" s="50">
        <v>0</v>
      </c>
      <c r="I131" s="50"/>
      <c r="J131" s="50">
        <f>(15.29+0.69+29.45+15.79+16.5+36.13+30.95+23.16+7.15+45.09)*-1</f>
        <v>-220.2</v>
      </c>
      <c r="K131" s="47"/>
      <c r="L131" s="46"/>
      <c r="M131" s="46"/>
      <c r="N131" s="46"/>
      <c r="O131" s="51"/>
      <c r="P131" s="127">
        <v>0</v>
      </c>
      <c r="Q131" s="46"/>
      <c r="R131" s="47">
        <f t="shared" si="110"/>
        <v>0</v>
      </c>
      <c r="S131" s="47">
        <f t="shared" si="111"/>
        <v>0</v>
      </c>
      <c r="T131" s="47"/>
      <c r="U131" s="47"/>
      <c r="V131" s="47">
        <f t="shared" si="112"/>
        <v>0</v>
      </c>
      <c r="W131" s="47">
        <f t="shared" si="113"/>
        <v>0</v>
      </c>
      <c r="X131" s="47"/>
      <c r="Y131" s="47"/>
      <c r="Z131" s="47" t="e">
        <f t="shared" si="114"/>
        <v>#DIV/0!</v>
      </c>
      <c r="AA131" s="47"/>
      <c r="AB131" s="47"/>
      <c r="AC131" s="47"/>
      <c r="AD131" s="47"/>
      <c r="AE131" s="47"/>
      <c r="AF131" s="47"/>
      <c r="AG131" s="47"/>
      <c r="AH131" s="47">
        <f t="shared" ref="AH131:AI131" si="118">AH128</f>
        <v>0</v>
      </c>
      <c r="AI131" s="47">
        <f t="shared" si="118"/>
        <v>0</v>
      </c>
      <c r="AJ131" s="47"/>
      <c r="AK131" s="46"/>
      <c r="AL131" s="46"/>
      <c r="AM131" s="127">
        <f t="shared" si="116"/>
        <v>0</v>
      </c>
      <c r="AN131" s="127">
        <f t="shared" si="117"/>
        <v>0</v>
      </c>
      <c r="AO131" s="46"/>
      <c r="AP131" s="46"/>
      <c r="AQ131" s="46"/>
      <c r="AR131" s="46"/>
    </row>
    <row r="132" spans="1:44" ht="12.75" customHeight="1">
      <c r="A132" s="117"/>
      <c r="B132" s="117" t="s">
        <v>287</v>
      </c>
      <c r="C132" s="46" t="s">
        <v>288</v>
      </c>
      <c r="D132" s="46">
        <v>0</v>
      </c>
      <c r="E132" s="46">
        <v>0</v>
      </c>
      <c r="F132" s="50"/>
      <c r="G132" s="50"/>
      <c r="H132" s="50">
        <v>0</v>
      </c>
      <c r="I132" s="50"/>
      <c r="J132" s="50">
        <f>-1.22</f>
        <v>-1.22</v>
      </c>
      <c r="K132" s="47">
        <f>AF128</f>
        <v>0</v>
      </c>
      <c r="L132" s="46"/>
      <c r="M132" s="46"/>
      <c r="N132" s="46"/>
      <c r="O132" s="51"/>
      <c r="P132" s="127">
        <v>0</v>
      </c>
      <c r="Q132" s="46"/>
      <c r="R132" s="47">
        <f t="shared" si="110"/>
        <v>0</v>
      </c>
      <c r="S132" s="47">
        <f t="shared" si="111"/>
        <v>0</v>
      </c>
      <c r="T132" s="47"/>
      <c r="U132" s="47"/>
      <c r="V132" s="47">
        <f t="shared" si="112"/>
        <v>0</v>
      </c>
      <c r="W132" s="47">
        <f t="shared" si="113"/>
        <v>0</v>
      </c>
      <c r="X132" s="47"/>
      <c r="Y132" s="47"/>
      <c r="Z132" s="47" t="e">
        <f t="shared" si="114"/>
        <v>#DIV/0!</v>
      </c>
      <c r="AA132" s="47"/>
      <c r="AB132" s="47"/>
      <c r="AC132" s="47"/>
      <c r="AD132" s="47"/>
      <c r="AE132" s="47"/>
      <c r="AF132" s="47"/>
      <c r="AG132" s="47"/>
      <c r="AH132" s="47">
        <f t="shared" ref="AH132:AI132" si="119">AH43</f>
        <v>28.800000000000004</v>
      </c>
      <c r="AI132" s="47">
        <f t="shared" si="119"/>
        <v>0</v>
      </c>
      <c r="AJ132" s="47"/>
      <c r="AK132" s="46"/>
      <c r="AL132" s="46"/>
      <c r="AM132" s="127">
        <f t="shared" si="116"/>
        <v>0</v>
      </c>
      <c r="AN132" s="127">
        <f t="shared" si="117"/>
        <v>0</v>
      </c>
      <c r="AO132" s="46"/>
      <c r="AP132" s="46"/>
      <c r="AQ132" s="46"/>
      <c r="AR132" s="46"/>
    </row>
    <row r="133" spans="1:44" ht="12.75" customHeight="1">
      <c r="A133" s="93"/>
      <c r="B133" s="93"/>
      <c r="C133" s="94"/>
      <c r="D133" s="94"/>
      <c r="E133" s="94"/>
      <c r="F133" s="95"/>
      <c r="G133" s="95"/>
      <c r="H133" s="95"/>
      <c r="I133" s="95"/>
      <c r="J133" s="95"/>
      <c r="K133" s="94"/>
      <c r="L133" s="94"/>
      <c r="M133" s="94"/>
      <c r="N133" s="94"/>
      <c r="O133" s="96"/>
      <c r="P133" s="94"/>
      <c r="Q133" s="94"/>
      <c r="R133" s="98"/>
      <c r="S133" s="98"/>
      <c r="T133" s="98"/>
      <c r="U133" s="98"/>
      <c r="V133" s="98"/>
      <c r="W133" s="98"/>
      <c r="X133" s="98"/>
      <c r="Y133" s="98"/>
      <c r="Z133" s="98"/>
      <c r="AA133" s="98"/>
      <c r="AB133" s="98"/>
      <c r="AC133" s="98"/>
      <c r="AD133" s="98"/>
      <c r="AE133" s="98"/>
      <c r="AF133" s="98"/>
      <c r="AG133" s="98"/>
      <c r="AH133" s="98"/>
      <c r="AI133" s="98"/>
      <c r="AJ133" s="98"/>
      <c r="AK133" s="94"/>
      <c r="AL133" s="94"/>
      <c r="AM133" s="105"/>
      <c r="AN133" s="105"/>
      <c r="AO133" s="94"/>
      <c r="AP133" s="94"/>
      <c r="AQ133" s="94"/>
      <c r="AR133" s="94"/>
    </row>
    <row r="134" spans="1:44" ht="12.75" customHeight="1">
      <c r="A134" s="93"/>
      <c r="B134" s="93"/>
      <c r="C134" s="94"/>
      <c r="D134" s="94"/>
      <c r="E134" s="94"/>
      <c r="F134" s="95"/>
      <c r="G134" s="95"/>
      <c r="H134" s="95"/>
      <c r="I134" s="95"/>
      <c r="J134" s="95"/>
      <c r="K134" s="94"/>
      <c r="L134" s="94"/>
      <c r="M134" s="94"/>
      <c r="N134" s="94"/>
      <c r="O134" s="96"/>
      <c r="P134" s="94"/>
      <c r="Q134" s="94"/>
      <c r="R134" s="98"/>
      <c r="S134" s="98"/>
      <c r="T134" s="98"/>
      <c r="U134" s="98"/>
      <c r="V134" s="98"/>
      <c r="W134" s="98"/>
      <c r="X134" s="98"/>
      <c r="Y134" s="98"/>
      <c r="Z134" s="98"/>
      <c r="AA134" s="98"/>
      <c r="AB134" s="98"/>
      <c r="AC134" s="98"/>
      <c r="AD134" s="98"/>
      <c r="AE134" s="98"/>
      <c r="AF134" s="98"/>
      <c r="AG134" s="98"/>
      <c r="AH134" s="98"/>
      <c r="AI134" s="98"/>
      <c r="AJ134" s="98"/>
      <c r="AK134" s="94"/>
      <c r="AL134" s="94"/>
      <c r="AM134" s="105"/>
      <c r="AN134" s="105"/>
      <c r="AO134" s="94"/>
      <c r="AP134" s="94"/>
      <c r="AQ134" s="94"/>
      <c r="AR134" s="94"/>
    </row>
    <row r="135" spans="1:44" ht="12.75" customHeight="1">
      <c r="A135" s="93"/>
      <c r="B135" s="93"/>
      <c r="C135" s="94"/>
      <c r="D135" s="94"/>
      <c r="E135" s="94"/>
      <c r="F135" s="95"/>
      <c r="G135" s="95"/>
      <c r="H135" s="95"/>
      <c r="I135" s="95"/>
      <c r="J135" s="95"/>
      <c r="K135" s="94"/>
      <c r="L135" s="94"/>
      <c r="M135" s="94"/>
      <c r="N135" s="94"/>
      <c r="O135" s="96"/>
      <c r="P135" s="94"/>
      <c r="Q135" s="94"/>
      <c r="R135" s="98"/>
      <c r="S135" s="98"/>
      <c r="T135" s="98"/>
      <c r="U135" s="98"/>
      <c r="V135" s="98"/>
      <c r="W135" s="98"/>
      <c r="X135" s="98"/>
      <c r="Y135" s="98"/>
      <c r="Z135" s="98"/>
      <c r="AA135" s="98"/>
      <c r="AB135" s="98"/>
      <c r="AC135" s="98"/>
      <c r="AD135" s="98"/>
      <c r="AE135" s="98"/>
      <c r="AF135" s="98"/>
      <c r="AG135" s="98"/>
      <c r="AH135" s="98"/>
      <c r="AI135" s="98"/>
      <c r="AJ135" s="98"/>
      <c r="AK135" s="94"/>
      <c r="AL135" s="94"/>
      <c r="AM135" s="94"/>
      <c r="AN135" s="94"/>
      <c r="AO135" s="94"/>
      <c r="AP135" s="94"/>
      <c r="AQ135" s="94"/>
      <c r="AR135" s="94"/>
    </row>
    <row r="136" spans="1:44" ht="12.75" customHeight="1">
      <c r="A136" s="107"/>
      <c r="B136" s="108" t="s">
        <v>194</v>
      </c>
      <c r="C136" s="109"/>
      <c r="D136" s="109"/>
      <c r="E136" s="109"/>
      <c r="F136" s="110"/>
      <c r="G136" s="110"/>
      <c r="H136" s="110"/>
      <c r="I136" s="110"/>
      <c r="J136" s="110"/>
      <c r="K136" s="109"/>
      <c r="L136" s="109"/>
      <c r="M136" s="109"/>
      <c r="N136" s="111"/>
      <c r="O136" s="112"/>
      <c r="P136" s="113"/>
      <c r="Q136" s="109"/>
      <c r="R136" s="114">
        <f t="shared" ref="R136:AA136" si="120">SUM(R130:R135)</f>
        <v>0</v>
      </c>
      <c r="S136" s="114">
        <f t="shared" si="120"/>
        <v>0</v>
      </c>
      <c r="T136" s="114">
        <f t="shared" si="120"/>
        <v>0</v>
      </c>
      <c r="U136" s="114">
        <f t="shared" si="120"/>
        <v>0</v>
      </c>
      <c r="V136" s="114">
        <f t="shared" si="120"/>
        <v>74.056500000000014</v>
      </c>
      <c r="W136" s="114">
        <f t="shared" si="120"/>
        <v>0</v>
      </c>
      <c r="X136" s="114">
        <f t="shared" si="120"/>
        <v>0</v>
      </c>
      <c r="Y136" s="114">
        <f t="shared" si="120"/>
        <v>0</v>
      </c>
      <c r="Z136" s="114" t="e">
        <f t="shared" si="120"/>
        <v>#DIV/0!</v>
      </c>
      <c r="AA136" s="114">
        <f t="shared" si="120"/>
        <v>0</v>
      </c>
      <c r="AB136" s="114"/>
      <c r="AC136" s="114"/>
      <c r="AD136" s="114">
        <f t="shared" ref="AD136:AF136" si="121">SUM(AD130:AD135)</f>
        <v>0</v>
      </c>
      <c r="AE136" s="114">
        <f t="shared" si="121"/>
        <v>0</v>
      </c>
      <c r="AF136" s="114">
        <f t="shared" si="121"/>
        <v>0</v>
      </c>
      <c r="AG136" s="114"/>
      <c r="AH136" s="114">
        <f t="shared" ref="AH136:AI136" si="122">SUM(AH130:AH135)</f>
        <v>81.73</v>
      </c>
      <c r="AI136" s="114">
        <f t="shared" si="122"/>
        <v>0</v>
      </c>
      <c r="AJ136" s="115"/>
      <c r="AK136" s="114">
        <f t="shared" ref="AK136:AN136" si="123">SUM(AK130:AK135)</f>
        <v>0</v>
      </c>
      <c r="AL136" s="114">
        <f t="shared" si="123"/>
        <v>0</v>
      </c>
      <c r="AM136" s="114">
        <f t="shared" si="123"/>
        <v>740.56500000000005</v>
      </c>
      <c r="AN136" s="114">
        <f t="shared" si="123"/>
        <v>0</v>
      </c>
      <c r="AO136" s="94"/>
      <c r="AP136" s="94"/>
      <c r="AQ136" s="94"/>
      <c r="AR136" s="94"/>
    </row>
    <row r="137" spans="1:44" ht="12.75" customHeight="1">
      <c r="A137" s="93"/>
      <c r="B137" s="104" t="s">
        <v>289</v>
      </c>
      <c r="C137" s="94"/>
      <c r="D137" s="94"/>
      <c r="E137" s="94"/>
      <c r="F137" s="95"/>
      <c r="G137" s="95"/>
      <c r="H137" s="95"/>
      <c r="I137" s="95"/>
      <c r="J137" s="95"/>
      <c r="K137" s="94"/>
      <c r="L137" s="94"/>
      <c r="M137" s="94"/>
      <c r="N137" s="94"/>
      <c r="O137" s="96"/>
      <c r="P137" s="94"/>
      <c r="Q137" s="94"/>
      <c r="R137" s="115"/>
      <c r="S137" s="115"/>
      <c r="T137" s="115"/>
      <c r="U137" s="115"/>
      <c r="V137" s="115"/>
      <c r="W137" s="115"/>
      <c r="X137" s="115"/>
      <c r="Y137" s="115"/>
      <c r="Z137" s="115"/>
      <c r="AA137" s="115"/>
      <c r="AB137" s="115"/>
      <c r="AC137" s="115"/>
      <c r="AD137" s="115"/>
      <c r="AE137" s="115"/>
      <c r="AF137" s="115"/>
      <c r="AG137" s="115"/>
      <c r="AH137" s="115"/>
      <c r="AI137" s="115"/>
      <c r="AJ137" s="115"/>
      <c r="AK137" s="115"/>
      <c r="AL137" s="115"/>
      <c r="AM137" s="94"/>
      <c r="AN137" s="94"/>
      <c r="AO137" s="94"/>
      <c r="AP137" s="94"/>
      <c r="AQ137" s="94"/>
      <c r="AR137" s="94"/>
    </row>
    <row r="138" spans="1:44" ht="12.75" customHeight="1">
      <c r="A138" s="93"/>
      <c r="B138" s="104" t="s">
        <v>290</v>
      </c>
      <c r="C138" s="94"/>
      <c r="D138" s="94"/>
      <c r="E138" s="94"/>
      <c r="F138" s="95"/>
      <c r="G138" s="95"/>
      <c r="H138" s="95"/>
      <c r="I138" s="95"/>
      <c r="J138" s="95"/>
      <c r="K138" s="94"/>
      <c r="L138" s="94"/>
      <c r="M138" s="94"/>
      <c r="N138" s="94"/>
      <c r="O138" s="96"/>
      <c r="P138" s="94"/>
      <c r="Q138" s="94"/>
      <c r="R138" s="98"/>
      <c r="S138" s="98"/>
      <c r="T138" s="98"/>
      <c r="U138" s="98"/>
      <c r="V138" s="98"/>
      <c r="W138" s="98"/>
      <c r="X138" s="98"/>
      <c r="Y138" s="98"/>
      <c r="Z138" s="98"/>
      <c r="AA138" s="98"/>
      <c r="AB138" s="98"/>
      <c r="AC138" s="98"/>
      <c r="AD138" s="98"/>
      <c r="AE138" s="98"/>
      <c r="AF138" s="98"/>
      <c r="AG138" s="98"/>
      <c r="AH138" s="98"/>
      <c r="AI138" s="98"/>
      <c r="AJ138" s="98"/>
      <c r="AK138" s="94"/>
      <c r="AL138" s="94"/>
      <c r="AM138" s="94"/>
      <c r="AN138" s="94"/>
      <c r="AO138" s="94"/>
      <c r="AP138" s="94"/>
      <c r="AQ138" s="94"/>
      <c r="AR138" s="94"/>
    </row>
    <row r="139" spans="1:44" ht="12.75" customHeight="1">
      <c r="A139" s="93"/>
      <c r="B139" s="93" t="s">
        <v>291</v>
      </c>
      <c r="C139" s="94"/>
      <c r="D139" s="94"/>
      <c r="E139" s="94"/>
      <c r="F139" s="95"/>
      <c r="G139" s="95"/>
      <c r="H139" s="95"/>
      <c r="I139" s="95"/>
      <c r="J139" s="95"/>
      <c r="K139" s="94"/>
      <c r="L139" s="94"/>
      <c r="M139" s="94"/>
      <c r="N139" s="94"/>
      <c r="O139" s="96"/>
      <c r="P139" s="94"/>
      <c r="Q139" s="94"/>
      <c r="R139" s="98"/>
      <c r="S139" s="98"/>
      <c r="T139" s="98"/>
      <c r="U139" s="98"/>
      <c r="V139" s="98"/>
      <c r="W139" s="98"/>
      <c r="X139" s="98"/>
      <c r="Y139" s="98"/>
      <c r="Z139" s="98"/>
      <c r="AA139" s="98"/>
      <c r="AB139" s="98"/>
      <c r="AC139" s="98"/>
      <c r="AD139" s="98"/>
      <c r="AE139" s="98"/>
      <c r="AF139" s="98"/>
      <c r="AG139" s="98"/>
      <c r="AH139" s="98"/>
      <c r="AI139" s="98"/>
      <c r="AJ139" s="98"/>
      <c r="AK139" s="94"/>
      <c r="AL139" s="94"/>
      <c r="AM139" s="94"/>
      <c r="AN139" s="94"/>
      <c r="AO139" s="94"/>
      <c r="AP139" s="94"/>
      <c r="AQ139" s="94"/>
      <c r="AR139" s="94"/>
    </row>
    <row r="140" spans="1:44" ht="12.75" customHeight="1">
      <c r="A140" s="93"/>
      <c r="B140" s="104" t="s">
        <v>292</v>
      </c>
      <c r="C140" s="94" t="s">
        <v>293</v>
      </c>
      <c r="D140" s="94">
        <v>1</v>
      </c>
      <c r="E140" s="94">
        <v>2</v>
      </c>
      <c r="F140" s="95">
        <f>(2.68+3.2+3)*2+(3.55+3.13)*6</f>
        <v>57.84</v>
      </c>
      <c r="G140" s="95">
        <v>0.98</v>
      </c>
      <c r="H140" s="95">
        <v>0.2</v>
      </c>
      <c r="I140" s="95"/>
      <c r="J140" s="95"/>
      <c r="K140" s="94"/>
      <c r="L140" s="94"/>
      <c r="M140" s="94"/>
      <c r="N140" s="94"/>
      <c r="O140" s="96"/>
      <c r="P140" s="94">
        <v>0.1</v>
      </c>
      <c r="Q140" s="94"/>
      <c r="R140" s="98">
        <f>((F140*G140)*P140)*E140*D140</f>
        <v>11.336640000000001</v>
      </c>
      <c r="S140" s="98">
        <f>(J140*P140)*E140*D140</f>
        <v>0</v>
      </c>
      <c r="T140" s="98"/>
      <c r="U140" s="98"/>
      <c r="V140" s="98">
        <f t="shared" ref="V140:V143" si="124">PRODUCT(D140:H140)</f>
        <v>22.673280000000002</v>
      </c>
      <c r="W140" s="98">
        <f t="shared" ref="W140:W141" si="125">((K140*H140)*E140*D140)</f>
        <v>0</v>
      </c>
      <c r="X140" s="98"/>
      <c r="Y140" s="98"/>
      <c r="Z140" s="98">
        <f>(R140/P140)+(S140/P140)</f>
        <v>113.3664</v>
      </c>
      <c r="AA140" s="98"/>
      <c r="AB140" s="98"/>
      <c r="AC140" s="98"/>
      <c r="AD140" s="98"/>
      <c r="AE140" s="98"/>
      <c r="AF140" s="98"/>
      <c r="AG140" s="98"/>
      <c r="AH140" s="98"/>
      <c r="AI140" s="98"/>
      <c r="AJ140" s="98"/>
      <c r="AK140" s="94"/>
      <c r="AL140" s="94"/>
      <c r="AM140" s="94"/>
      <c r="AN140" s="94"/>
      <c r="AO140" s="94"/>
      <c r="AP140" s="94"/>
      <c r="AQ140" s="94"/>
      <c r="AR140" s="94"/>
    </row>
    <row r="141" spans="1:44" ht="12.75" customHeight="1">
      <c r="A141" s="93"/>
      <c r="B141" s="104" t="s">
        <v>135</v>
      </c>
      <c r="C141" s="94" t="s">
        <v>294</v>
      </c>
      <c r="D141" s="94">
        <v>1</v>
      </c>
      <c r="E141" s="94">
        <f>(26+27+18*6)*2</f>
        <v>322</v>
      </c>
      <c r="F141" s="95">
        <v>0.15</v>
      </c>
      <c r="G141" s="95">
        <v>0.98</v>
      </c>
      <c r="H141" s="95">
        <v>0.15</v>
      </c>
      <c r="I141" s="95"/>
      <c r="J141" s="95"/>
      <c r="K141" s="94"/>
      <c r="L141" s="94"/>
      <c r="M141" s="94"/>
      <c r="N141" s="94"/>
      <c r="O141" s="96"/>
      <c r="P141" s="94"/>
      <c r="Q141" s="94"/>
      <c r="R141" s="98"/>
      <c r="S141" s="98"/>
      <c r="T141" s="98"/>
      <c r="U141" s="98"/>
      <c r="V141" s="98">
        <f t="shared" si="124"/>
        <v>7.1000999999999994</v>
      </c>
      <c r="W141" s="98">
        <f t="shared" si="125"/>
        <v>0</v>
      </c>
      <c r="X141" s="98"/>
      <c r="Y141" s="98"/>
      <c r="Z141" s="98"/>
      <c r="AA141" s="98"/>
      <c r="AB141" s="98"/>
      <c r="AC141" s="98"/>
      <c r="AD141" s="98"/>
      <c r="AE141" s="98"/>
      <c r="AF141" s="98"/>
      <c r="AG141" s="98"/>
      <c r="AH141" s="98"/>
      <c r="AI141" s="98"/>
      <c r="AJ141" s="98"/>
      <c r="AK141" s="94"/>
      <c r="AL141" s="94"/>
      <c r="AM141" s="94"/>
      <c r="AN141" s="94"/>
      <c r="AO141" s="94"/>
      <c r="AP141" s="94"/>
      <c r="AQ141" s="94"/>
      <c r="AR141" s="94"/>
    </row>
    <row r="142" spans="1:44" ht="12.75" customHeight="1">
      <c r="A142" s="93"/>
      <c r="B142" s="104" t="s">
        <v>295</v>
      </c>
      <c r="C142" s="94" t="s">
        <v>296</v>
      </c>
      <c r="D142" s="94">
        <v>1</v>
      </c>
      <c r="E142" s="94">
        <f>11*2</f>
        <v>22</v>
      </c>
      <c r="F142" s="95">
        <f>2.6*11</f>
        <v>28.6</v>
      </c>
      <c r="G142" s="95">
        <v>0.2</v>
      </c>
      <c r="H142" s="95">
        <v>0.6</v>
      </c>
      <c r="I142" s="95"/>
      <c r="J142" s="95"/>
      <c r="K142" s="94"/>
      <c r="L142" s="94"/>
      <c r="M142" s="94"/>
      <c r="N142" s="94"/>
      <c r="O142" s="96"/>
      <c r="P142" s="94">
        <v>0.1</v>
      </c>
      <c r="Q142" s="94"/>
      <c r="R142" s="103">
        <f>(((F142)*(G142+Q142*2))*P142)*E142*D142</f>
        <v>12.584000000000001</v>
      </c>
      <c r="S142" s="103">
        <f>((J142*P142)*E142*D142)</f>
        <v>0</v>
      </c>
      <c r="T142" s="103"/>
      <c r="U142" s="98"/>
      <c r="V142" s="98">
        <f t="shared" si="124"/>
        <v>75.504000000000005</v>
      </c>
      <c r="W142" s="98">
        <f>(K142*H142)*E142*D142</f>
        <v>0</v>
      </c>
      <c r="X142" s="98">
        <f>((F142)*(H142*2))*E142*D142</f>
        <v>755.04</v>
      </c>
      <c r="Y142" s="98">
        <f>((M142)*H142)*E142*D142</f>
        <v>0</v>
      </c>
      <c r="Z142" s="103">
        <f t="shared" ref="Z142:Z143" si="126">(R142/P142)+(S142/P142)</f>
        <v>125.84</v>
      </c>
      <c r="AA142" s="103">
        <f>(T142+U142)</f>
        <v>0</v>
      </c>
      <c r="AB142" s="125">
        <v>0.15</v>
      </c>
      <c r="AC142" s="125">
        <v>0.15</v>
      </c>
      <c r="AD142" s="103">
        <f>(((F142*G142)*E142*D142))+K142</f>
        <v>125.84000000000002</v>
      </c>
      <c r="AE142" s="103">
        <f>(((F142*(H142-AB142))+(F142*(H142-AC142)))*E142*D142)+Y142</f>
        <v>566.28</v>
      </c>
      <c r="AF142" s="98">
        <f>AD142</f>
        <v>125.84000000000002</v>
      </c>
      <c r="AG142" s="98"/>
      <c r="AH142" s="103"/>
      <c r="AI142" s="98"/>
      <c r="AJ142" s="98"/>
      <c r="AK142" s="94"/>
      <c r="AL142" s="94"/>
      <c r="AM142" s="94"/>
      <c r="AN142" s="94"/>
      <c r="AO142" s="94"/>
      <c r="AP142" s="94"/>
      <c r="AQ142" s="94"/>
      <c r="AR142" s="94"/>
    </row>
    <row r="143" spans="1:44" ht="12.75" customHeight="1">
      <c r="A143" s="93"/>
      <c r="B143" s="104" t="s">
        <v>297</v>
      </c>
      <c r="C143" s="94" t="s">
        <v>298</v>
      </c>
      <c r="D143" s="94">
        <v>1</v>
      </c>
      <c r="E143" s="94">
        <f>18*2</f>
        <v>36</v>
      </c>
      <c r="F143" s="95">
        <f>2.6</f>
        <v>2.6</v>
      </c>
      <c r="G143" s="95">
        <v>1.04</v>
      </c>
      <c r="H143" s="95">
        <v>0.8</v>
      </c>
      <c r="I143" s="95"/>
      <c r="J143" s="95"/>
      <c r="K143" s="94"/>
      <c r="L143" s="94"/>
      <c r="M143" s="94"/>
      <c r="N143" s="94"/>
      <c r="O143" s="96"/>
      <c r="P143" s="94">
        <v>0.1</v>
      </c>
      <c r="Q143" s="94"/>
      <c r="R143" s="98">
        <f>((F143*G143)*P143)*E143*D143</f>
        <v>9.7344000000000008</v>
      </c>
      <c r="S143" s="98">
        <f>(J143*P143)*E143*D143</f>
        <v>0</v>
      </c>
      <c r="T143" s="103"/>
      <c r="U143" s="98"/>
      <c r="V143" s="98">
        <f t="shared" si="124"/>
        <v>77.875200000000007</v>
      </c>
      <c r="W143" s="98">
        <f>((K143*H143)*E143*D143)</f>
        <v>0</v>
      </c>
      <c r="X143" s="98"/>
      <c r="Y143" s="98"/>
      <c r="Z143" s="98">
        <f t="shared" si="126"/>
        <v>97.344000000000008</v>
      </c>
      <c r="AA143" s="98"/>
      <c r="AB143" s="98"/>
      <c r="AC143" s="98"/>
      <c r="AD143" s="98"/>
      <c r="AE143" s="98"/>
      <c r="AF143" s="98"/>
      <c r="AG143" s="98">
        <v>1</v>
      </c>
      <c r="AH143" s="98">
        <f>IF(AG143&gt;0,(F143+G143*2),0)</f>
        <v>4.68</v>
      </c>
      <c r="AI143" s="98">
        <f>((M143)*E143*D143)</f>
        <v>0</v>
      </c>
      <c r="AJ143" s="98"/>
      <c r="AK143" s="94"/>
      <c r="AL143" s="94"/>
      <c r="AM143" s="94"/>
      <c r="AN143" s="94"/>
      <c r="AO143" s="94"/>
      <c r="AP143" s="94"/>
      <c r="AQ143" s="94"/>
      <c r="AR143" s="94"/>
    </row>
    <row r="144" spans="1:44" ht="12.75" customHeight="1">
      <c r="A144" s="93"/>
      <c r="B144" s="93"/>
      <c r="C144" s="94"/>
      <c r="D144" s="94"/>
      <c r="E144" s="94"/>
      <c r="F144" s="95"/>
      <c r="G144" s="95"/>
      <c r="H144" s="95"/>
      <c r="I144" s="95"/>
      <c r="J144" s="95"/>
      <c r="K144" s="94"/>
      <c r="L144" s="94"/>
      <c r="M144" s="94"/>
      <c r="N144" s="94"/>
      <c r="O144" s="96"/>
      <c r="P144" s="94"/>
      <c r="Q144" s="94"/>
      <c r="R144" s="98"/>
      <c r="S144" s="98"/>
      <c r="T144" s="98"/>
      <c r="U144" s="98"/>
      <c r="V144" s="98"/>
      <c r="W144" s="98"/>
      <c r="X144" s="98"/>
      <c r="Y144" s="98"/>
      <c r="Z144" s="98"/>
      <c r="AA144" s="98"/>
      <c r="AB144" s="98"/>
      <c r="AC144" s="98"/>
      <c r="AD144" s="98"/>
      <c r="AE144" s="98"/>
      <c r="AF144" s="98"/>
      <c r="AG144" s="98"/>
      <c r="AH144" s="98"/>
      <c r="AI144" s="98"/>
      <c r="AJ144" s="98"/>
      <c r="AK144" s="94"/>
      <c r="AL144" s="94"/>
      <c r="AM144" s="94"/>
      <c r="AN144" s="94"/>
      <c r="AO144" s="94"/>
      <c r="AP144" s="94"/>
      <c r="AQ144" s="94"/>
      <c r="AR144" s="94"/>
    </row>
    <row r="145" spans="1:44" ht="12.75" customHeight="1">
      <c r="A145" s="107"/>
      <c r="B145" s="108" t="s">
        <v>194</v>
      </c>
      <c r="C145" s="109"/>
      <c r="D145" s="109"/>
      <c r="E145" s="109"/>
      <c r="F145" s="110"/>
      <c r="G145" s="110"/>
      <c r="H145" s="110"/>
      <c r="I145" s="110"/>
      <c r="J145" s="110"/>
      <c r="K145" s="109"/>
      <c r="L145" s="109"/>
      <c r="M145" s="109"/>
      <c r="N145" s="111"/>
      <c r="O145" s="112"/>
      <c r="P145" s="113"/>
      <c r="Q145" s="109"/>
      <c r="R145" s="114">
        <f t="shared" ref="R145:AA145" si="127">SUM(R140:R144)</f>
        <v>33.65504</v>
      </c>
      <c r="S145" s="114">
        <f t="shared" si="127"/>
        <v>0</v>
      </c>
      <c r="T145" s="114">
        <f t="shared" si="127"/>
        <v>0</v>
      </c>
      <c r="U145" s="114">
        <f t="shared" si="127"/>
        <v>0</v>
      </c>
      <c r="V145" s="114">
        <f t="shared" si="127"/>
        <v>183.15258</v>
      </c>
      <c r="W145" s="114">
        <f t="shared" si="127"/>
        <v>0</v>
      </c>
      <c r="X145" s="114">
        <f t="shared" si="127"/>
        <v>755.04</v>
      </c>
      <c r="Y145" s="114">
        <f t="shared" si="127"/>
        <v>0</v>
      </c>
      <c r="Z145" s="114">
        <f t="shared" si="127"/>
        <v>336.55040000000002</v>
      </c>
      <c r="AA145" s="114">
        <f t="shared" si="127"/>
        <v>0</v>
      </c>
      <c r="AB145" s="114"/>
      <c r="AC145" s="114"/>
      <c r="AD145" s="114">
        <f t="shared" ref="AD145:AF145" si="128">SUM(AD140:AD144)</f>
        <v>125.84000000000002</v>
      </c>
      <c r="AE145" s="114">
        <f t="shared" si="128"/>
        <v>566.28</v>
      </c>
      <c r="AF145" s="114">
        <f t="shared" si="128"/>
        <v>125.84000000000002</v>
      </c>
      <c r="AG145" s="114"/>
      <c r="AH145" s="114">
        <f t="shared" ref="AH145:AI145" si="129">SUM(AH140:AH144)</f>
        <v>4.68</v>
      </c>
      <c r="AI145" s="114">
        <f t="shared" si="129"/>
        <v>0</v>
      </c>
      <c r="AJ145" s="115"/>
      <c r="AK145" s="114">
        <f t="shared" ref="AK145:AL145" si="130">SUM(AK140:AK144)</f>
        <v>0</v>
      </c>
      <c r="AL145" s="114">
        <f t="shared" si="130"/>
        <v>0</v>
      </c>
      <c r="AM145" s="94"/>
      <c r="AN145" s="94"/>
      <c r="AO145" s="94"/>
      <c r="AP145" s="94"/>
      <c r="AQ145" s="94"/>
      <c r="AR145" s="94"/>
    </row>
    <row r="146" spans="1:44" ht="12.75" customHeight="1">
      <c r="A146" s="93"/>
      <c r="B146" s="93"/>
      <c r="C146" s="94"/>
      <c r="D146" s="94"/>
      <c r="E146" s="94"/>
      <c r="F146" s="95"/>
      <c r="G146" s="95"/>
      <c r="H146" s="95"/>
      <c r="I146" s="95"/>
      <c r="J146" s="95"/>
      <c r="K146" s="94"/>
      <c r="L146" s="94"/>
      <c r="M146" s="94"/>
      <c r="N146" s="94"/>
      <c r="O146" s="123"/>
      <c r="P146" s="94"/>
      <c r="Q146" s="94"/>
      <c r="R146" s="98"/>
      <c r="S146" s="98"/>
      <c r="T146" s="98"/>
      <c r="U146" s="98"/>
      <c r="V146" s="98"/>
      <c r="W146" s="98"/>
      <c r="X146" s="98"/>
      <c r="Y146" s="98"/>
      <c r="Z146" s="98"/>
      <c r="AA146" s="98"/>
      <c r="AB146" s="98"/>
      <c r="AC146" s="98"/>
      <c r="AD146" s="98"/>
      <c r="AE146" s="98"/>
      <c r="AF146" s="98"/>
      <c r="AG146" s="98"/>
      <c r="AH146" s="98"/>
      <c r="AI146" s="98"/>
      <c r="AJ146" s="98"/>
      <c r="AK146" s="94"/>
      <c r="AL146" s="94"/>
      <c r="AM146" s="94"/>
      <c r="AN146" s="94"/>
      <c r="AO146" s="94"/>
      <c r="AP146" s="94"/>
      <c r="AQ146" s="94"/>
      <c r="AR146" s="94"/>
    </row>
    <row r="147" spans="1:44" ht="12.75" customHeight="1">
      <c r="A147" s="93"/>
      <c r="B147" s="93"/>
      <c r="C147" s="94"/>
      <c r="D147" s="94"/>
      <c r="E147" s="94"/>
      <c r="F147" s="95"/>
      <c r="G147" s="95"/>
      <c r="H147" s="95"/>
      <c r="I147" s="95"/>
      <c r="J147" s="95"/>
      <c r="K147" s="94"/>
      <c r="L147" s="94"/>
      <c r="M147" s="94"/>
      <c r="N147" s="94"/>
      <c r="O147" s="123"/>
      <c r="P147" s="94"/>
      <c r="Q147" s="94"/>
      <c r="R147" s="98"/>
      <c r="S147" s="98"/>
      <c r="T147" s="98"/>
      <c r="U147" s="98"/>
      <c r="V147" s="98"/>
      <c r="W147" s="98"/>
      <c r="X147" s="98"/>
      <c r="Y147" s="98"/>
      <c r="Z147" s="98"/>
      <c r="AA147" s="98"/>
      <c r="AB147" s="98"/>
      <c r="AC147" s="98"/>
      <c r="AD147" s="98"/>
      <c r="AE147" s="98"/>
      <c r="AF147" s="98"/>
      <c r="AG147" s="98"/>
      <c r="AH147" s="98"/>
      <c r="AI147" s="98"/>
      <c r="AJ147" s="98"/>
      <c r="AK147" s="94"/>
      <c r="AL147" s="94"/>
      <c r="AM147" s="94"/>
      <c r="AN147" s="94"/>
      <c r="AO147" s="94"/>
      <c r="AP147" s="94"/>
      <c r="AQ147" s="94"/>
      <c r="AR147" s="94"/>
    </row>
    <row r="148" spans="1:44" ht="12.75" customHeight="1">
      <c r="A148" s="93"/>
      <c r="B148" s="93"/>
      <c r="C148" s="94"/>
      <c r="D148" s="94"/>
      <c r="E148" s="94"/>
      <c r="F148" s="95"/>
      <c r="G148" s="95"/>
      <c r="H148" s="95"/>
      <c r="I148" s="95"/>
      <c r="J148" s="95"/>
      <c r="K148" s="94"/>
      <c r="L148" s="94"/>
      <c r="M148" s="94"/>
      <c r="N148" s="94"/>
      <c r="O148" s="123"/>
      <c r="P148" s="94"/>
      <c r="Q148" s="94"/>
      <c r="R148" s="98"/>
      <c r="S148" s="98"/>
      <c r="T148" s="98"/>
      <c r="U148" s="98"/>
      <c r="V148" s="98"/>
      <c r="W148" s="98"/>
      <c r="X148" s="98"/>
      <c r="Y148" s="98"/>
      <c r="Z148" s="98"/>
      <c r="AA148" s="98"/>
      <c r="AB148" s="98"/>
      <c r="AC148" s="98"/>
      <c r="AD148" s="98"/>
      <c r="AE148" s="98"/>
      <c r="AF148" s="98"/>
      <c r="AG148" s="98"/>
      <c r="AH148" s="98"/>
      <c r="AI148" s="98"/>
      <c r="AJ148" s="98"/>
      <c r="AK148" s="94"/>
      <c r="AL148" s="94"/>
      <c r="AM148" s="94"/>
      <c r="AN148" s="94"/>
      <c r="AO148" s="94"/>
      <c r="AP148" s="94"/>
      <c r="AQ148" s="94"/>
      <c r="AR148" s="94"/>
    </row>
    <row r="149" spans="1:44" ht="12.75" customHeight="1">
      <c r="A149" s="93"/>
      <c r="B149" s="93" t="s">
        <v>299</v>
      </c>
      <c r="C149" s="94"/>
      <c r="D149" s="94"/>
      <c r="E149" s="94"/>
      <c r="F149" s="95"/>
      <c r="G149" s="95"/>
      <c r="H149" s="95"/>
      <c r="I149" s="95"/>
      <c r="J149" s="95"/>
      <c r="K149" s="94"/>
      <c r="L149" s="94"/>
      <c r="M149" s="94"/>
      <c r="N149" s="94"/>
      <c r="O149" s="96"/>
      <c r="P149" s="94"/>
      <c r="Q149" s="94"/>
      <c r="R149" s="98"/>
      <c r="S149" s="98"/>
      <c r="T149" s="98"/>
      <c r="U149" s="98"/>
      <c r="V149" s="98"/>
      <c r="W149" s="98"/>
      <c r="X149" s="98"/>
      <c r="Y149" s="98"/>
      <c r="Z149" s="98"/>
      <c r="AA149" s="98"/>
      <c r="AB149" s="98"/>
      <c r="AC149" s="98"/>
      <c r="AD149" s="98"/>
      <c r="AE149" s="98"/>
      <c r="AF149" s="98"/>
      <c r="AG149" s="98"/>
      <c r="AH149" s="98"/>
      <c r="AI149" s="98"/>
      <c r="AJ149" s="98"/>
      <c r="AK149" s="94"/>
      <c r="AL149" s="94"/>
      <c r="AM149" s="94"/>
      <c r="AN149" s="94"/>
      <c r="AO149" s="94"/>
      <c r="AP149" s="94"/>
      <c r="AQ149" s="94"/>
      <c r="AR149" s="94"/>
    </row>
    <row r="150" spans="1:44" ht="12.75" customHeight="1">
      <c r="A150" s="93"/>
      <c r="B150" s="104" t="s">
        <v>265</v>
      </c>
      <c r="C150" s="94"/>
      <c r="D150" s="94"/>
      <c r="E150" s="94"/>
      <c r="F150" s="95"/>
      <c r="G150" s="95"/>
      <c r="H150" s="95"/>
      <c r="I150" s="95"/>
      <c r="J150" s="95"/>
      <c r="K150" s="94"/>
      <c r="L150" s="94"/>
      <c r="M150" s="94"/>
      <c r="N150" s="94"/>
      <c r="O150" s="96"/>
      <c r="P150" s="94"/>
      <c r="Q150" s="94"/>
      <c r="R150" s="98"/>
      <c r="S150" s="98"/>
      <c r="T150" s="98"/>
      <c r="U150" s="98"/>
      <c r="V150" s="98"/>
      <c r="W150" s="98"/>
      <c r="X150" s="98"/>
      <c r="Y150" s="98"/>
      <c r="Z150" s="98"/>
      <c r="AA150" s="98"/>
      <c r="AB150" s="124" t="s">
        <v>266</v>
      </c>
      <c r="AC150" s="98" t="s">
        <v>267</v>
      </c>
      <c r="AD150" s="98"/>
      <c r="AE150" s="98"/>
      <c r="AF150" s="98"/>
      <c r="AG150" s="98"/>
      <c r="AH150" s="98"/>
      <c r="AI150" s="98"/>
      <c r="AJ150" s="98" t="s">
        <v>268</v>
      </c>
      <c r="AK150" s="94"/>
      <c r="AL150" s="94"/>
      <c r="AM150" s="94"/>
      <c r="AN150" s="94"/>
      <c r="AO150" s="94"/>
      <c r="AP150" s="94"/>
      <c r="AQ150" s="94"/>
      <c r="AR150" s="94"/>
    </row>
    <row r="151" spans="1:44" ht="12.75" customHeight="1">
      <c r="A151" s="93"/>
      <c r="B151" s="93" t="s">
        <v>300</v>
      </c>
      <c r="C151" s="94" t="s">
        <v>301</v>
      </c>
      <c r="D151" s="94">
        <v>1</v>
      </c>
      <c r="E151" s="94">
        <v>1</v>
      </c>
      <c r="F151" s="95">
        <v>4.74</v>
      </c>
      <c r="G151" s="95">
        <v>0.2</v>
      </c>
      <c r="H151" s="95">
        <f t="shared" ref="H151:H160" si="131">0.7-0.3</f>
        <v>0.39999999999999997</v>
      </c>
      <c r="I151" s="95">
        <f t="shared" ref="I151:I163" si="132">PRODUCT(D151:G151)</f>
        <v>0.94800000000000006</v>
      </c>
      <c r="J151" s="95"/>
      <c r="K151" s="94"/>
      <c r="L151" s="94"/>
      <c r="M151" s="94"/>
      <c r="N151" s="94"/>
      <c r="O151" s="96"/>
      <c r="P151" s="105">
        <v>0</v>
      </c>
      <c r="Q151" s="105">
        <v>0</v>
      </c>
      <c r="R151" s="103">
        <f t="shared" ref="R151:R163" si="133">(((F151)*(G151*H151)))*E151*D151</f>
        <v>0.37920000000000004</v>
      </c>
      <c r="S151" s="103">
        <f t="shared" ref="S151:S163" si="134">((J151*P151)*E151*D151)</f>
        <v>0</v>
      </c>
      <c r="T151" s="103">
        <f t="shared" ref="T151:T163" si="135">((F151*P151)*2)*D151*E151</f>
        <v>0</v>
      </c>
      <c r="U151" s="98">
        <f t="shared" ref="U151:U163" si="136">((L151*P151)*E151*D151)</f>
        <v>0</v>
      </c>
      <c r="V151" s="98">
        <f t="shared" ref="V151:V163" si="137">PRODUCT(D151:H151)</f>
        <v>0.37919999999999998</v>
      </c>
      <c r="W151" s="98">
        <f t="shared" ref="W151:W163" si="138">(K151*H151)*E151*D151</f>
        <v>0</v>
      </c>
      <c r="X151" s="98">
        <f t="shared" ref="X151:X163" si="139">((F151)*(H151*2))*E151*D151</f>
        <v>3.7919999999999998</v>
      </c>
      <c r="Y151" s="98">
        <f t="shared" ref="Y151:Y163" si="140">((M151)*H151)*E151*D151</f>
        <v>0</v>
      </c>
      <c r="Z151" s="103" t="e">
        <f t="shared" ref="Z151:Z163" si="141">(R151/P151)+(S151/P151)</f>
        <v>#DIV/0!</v>
      </c>
      <c r="AA151" s="103">
        <f t="shared" ref="AA151:AA163" si="142">(T151+U151)</f>
        <v>0</v>
      </c>
      <c r="AB151" s="125">
        <v>0.15</v>
      </c>
      <c r="AC151" s="125">
        <v>0.15</v>
      </c>
      <c r="AD151" s="103">
        <f t="shared" ref="AD151:AD163" si="143">(((F151*G151)*E151*D151))+K151</f>
        <v>0.94800000000000006</v>
      </c>
      <c r="AE151" s="103">
        <f t="shared" ref="AE151:AE163" si="144">(((F151*(H151-AB151))+(F151*(H151-AC151)))*E151*D151)+Y151</f>
        <v>2.3699999999999997</v>
      </c>
      <c r="AF151" s="98">
        <f t="shared" ref="AF151:AF163" si="145">AD151</f>
        <v>0.94800000000000006</v>
      </c>
      <c r="AG151" s="98"/>
      <c r="AH151" s="103">
        <f t="shared" ref="AH151:AH163" si="146">F151*E151*D151</f>
        <v>4.74</v>
      </c>
      <c r="AI151" s="98"/>
      <c r="AJ151" s="125">
        <f t="shared" ref="AJ151:AJ163" si="147">$H$8-0.1-H151+0.3</f>
        <v>6.75</v>
      </c>
      <c r="AK151" s="105">
        <f t="shared" ref="AK151:AK163" si="148">((F151*AJ151)*E151*D151)</f>
        <v>31.995000000000001</v>
      </c>
      <c r="AL151" s="94"/>
      <c r="AM151" s="94"/>
      <c r="AN151" s="94"/>
      <c r="AO151" s="94"/>
      <c r="AP151" s="94"/>
      <c r="AQ151" s="94"/>
      <c r="AR151" s="94"/>
    </row>
    <row r="152" spans="1:44" ht="12.75" customHeight="1">
      <c r="A152" s="93"/>
      <c r="B152" s="93" t="s">
        <v>300</v>
      </c>
      <c r="C152" s="94" t="s">
        <v>302</v>
      </c>
      <c r="D152" s="94">
        <v>1</v>
      </c>
      <c r="E152" s="94">
        <v>1</v>
      </c>
      <c r="F152" s="95">
        <v>4.45</v>
      </c>
      <c r="G152" s="95">
        <v>0.2</v>
      </c>
      <c r="H152" s="95">
        <f t="shared" si="131"/>
        <v>0.39999999999999997</v>
      </c>
      <c r="I152" s="95">
        <f t="shared" si="132"/>
        <v>0.89000000000000012</v>
      </c>
      <c r="J152" s="95"/>
      <c r="K152" s="94"/>
      <c r="L152" s="94"/>
      <c r="M152" s="94"/>
      <c r="N152" s="94"/>
      <c r="O152" s="96"/>
      <c r="P152" s="105">
        <v>0</v>
      </c>
      <c r="Q152" s="105">
        <v>0</v>
      </c>
      <c r="R152" s="103">
        <f t="shared" si="133"/>
        <v>0.35600000000000004</v>
      </c>
      <c r="S152" s="103">
        <f t="shared" si="134"/>
        <v>0</v>
      </c>
      <c r="T152" s="103">
        <f t="shared" si="135"/>
        <v>0</v>
      </c>
      <c r="U152" s="98">
        <f t="shared" si="136"/>
        <v>0</v>
      </c>
      <c r="V152" s="98">
        <f t="shared" si="137"/>
        <v>0.35600000000000004</v>
      </c>
      <c r="W152" s="98">
        <f t="shared" si="138"/>
        <v>0</v>
      </c>
      <c r="X152" s="98">
        <f t="shared" si="139"/>
        <v>3.56</v>
      </c>
      <c r="Y152" s="98">
        <f t="shared" si="140"/>
        <v>0</v>
      </c>
      <c r="Z152" s="103" t="e">
        <f t="shared" si="141"/>
        <v>#DIV/0!</v>
      </c>
      <c r="AA152" s="103">
        <f t="shared" si="142"/>
        <v>0</v>
      </c>
      <c r="AB152" s="125">
        <v>0.15</v>
      </c>
      <c r="AC152" s="125">
        <v>0.15</v>
      </c>
      <c r="AD152" s="103">
        <f t="shared" si="143"/>
        <v>0.89000000000000012</v>
      </c>
      <c r="AE152" s="103">
        <f t="shared" si="144"/>
        <v>2.2249999999999996</v>
      </c>
      <c r="AF152" s="98">
        <f t="shared" si="145"/>
        <v>0.89000000000000012</v>
      </c>
      <c r="AG152" s="98"/>
      <c r="AH152" s="103">
        <f t="shared" si="146"/>
        <v>4.45</v>
      </c>
      <c r="AI152" s="98"/>
      <c r="AJ152" s="125">
        <f t="shared" si="147"/>
        <v>6.75</v>
      </c>
      <c r="AK152" s="105">
        <f t="shared" si="148"/>
        <v>30.037500000000001</v>
      </c>
      <c r="AL152" s="94"/>
      <c r="AM152" s="94"/>
      <c r="AN152" s="94"/>
      <c r="AO152" s="94"/>
      <c r="AP152" s="94"/>
      <c r="AQ152" s="94"/>
      <c r="AR152" s="94"/>
    </row>
    <row r="153" spans="1:44" ht="12.75" customHeight="1">
      <c r="A153" s="93"/>
      <c r="B153" s="93" t="s">
        <v>300</v>
      </c>
      <c r="C153" s="94" t="s">
        <v>303</v>
      </c>
      <c r="D153" s="94">
        <v>1</v>
      </c>
      <c r="E153" s="94">
        <v>2</v>
      </c>
      <c r="F153" s="95">
        <v>6.68</v>
      </c>
      <c r="G153" s="95">
        <v>0.2</v>
      </c>
      <c r="H153" s="95">
        <f t="shared" si="131"/>
        <v>0.39999999999999997</v>
      </c>
      <c r="I153" s="95">
        <f t="shared" si="132"/>
        <v>2.6720000000000002</v>
      </c>
      <c r="J153" s="95"/>
      <c r="K153" s="94"/>
      <c r="L153" s="94"/>
      <c r="M153" s="94"/>
      <c r="N153" s="94"/>
      <c r="O153" s="96"/>
      <c r="P153" s="105">
        <v>0</v>
      </c>
      <c r="Q153" s="105">
        <v>0</v>
      </c>
      <c r="R153" s="103">
        <f t="shared" si="133"/>
        <v>1.0688</v>
      </c>
      <c r="S153" s="103">
        <f t="shared" si="134"/>
        <v>0</v>
      </c>
      <c r="T153" s="103">
        <f t="shared" si="135"/>
        <v>0</v>
      </c>
      <c r="U153" s="98">
        <f t="shared" si="136"/>
        <v>0</v>
      </c>
      <c r="V153" s="98">
        <f t="shared" si="137"/>
        <v>1.0688</v>
      </c>
      <c r="W153" s="98">
        <f t="shared" si="138"/>
        <v>0</v>
      </c>
      <c r="X153" s="98">
        <f t="shared" si="139"/>
        <v>10.687999999999999</v>
      </c>
      <c r="Y153" s="98">
        <f t="shared" si="140"/>
        <v>0</v>
      </c>
      <c r="Z153" s="103" t="e">
        <f t="shared" si="141"/>
        <v>#DIV/0!</v>
      </c>
      <c r="AA153" s="103">
        <f t="shared" si="142"/>
        <v>0</v>
      </c>
      <c r="AB153" s="125">
        <v>0.15</v>
      </c>
      <c r="AC153" s="125">
        <v>0.15</v>
      </c>
      <c r="AD153" s="103">
        <f t="shared" si="143"/>
        <v>2.6720000000000002</v>
      </c>
      <c r="AE153" s="103">
        <f t="shared" si="144"/>
        <v>6.6799999999999988</v>
      </c>
      <c r="AF153" s="98">
        <f t="shared" si="145"/>
        <v>2.6720000000000002</v>
      </c>
      <c r="AG153" s="98"/>
      <c r="AH153" s="103">
        <f t="shared" si="146"/>
        <v>13.36</v>
      </c>
      <c r="AI153" s="98"/>
      <c r="AJ153" s="125">
        <f t="shared" si="147"/>
        <v>6.75</v>
      </c>
      <c r="AK153" s="105">
        <f t="shared" si="148"/>
        <v>90.179999999999993</v>
      </c>
      <c r="AL153" s="94"/>
      <c r="AM153" s="94"/>
      <c r="AN153" s="94"/>
      <c r="AO153" s="94"/>
      <c r="AP153" s="94"/>
      <c r="AQ153" s="94"/>
      <c r="AR153" s="94"/>
    </row>
    <row r="154" spans="1:44" ht="12.75" customHeight="1">
      <c r="A154" s="93"/>
      <c r="B154" s="93" t="s">
        <v>300</v>
      </c>
      <c r="C154" s="94" t="s">
        <v>304</v>
      </c>
      <c r="D154" s="94">
        <v>1</v>
      </c>
      <c r="E154" s="94">
        <v>1</v>
      </c>
      <c r="F154" s="95">
        <v>5.25</v>
      </c>
      <c r="G154" s="95">
        <v>0.2</v>
      </c>
      <c r="H154" s="95">
        <f t="shared" si="131"/>
        <v>0.39999999999999997</v>
      </c>
      <c r="I154" s="95">
        <f t="shared" si="132"/>
        <v>1.05</v>
      </c>
      <c r="J154" s="95"/>
      <c r="K154" s="94"/>
      <c r="L154" s="94"/>
      <c r="M154" s="94"/>
      <c r="N154" s="94"/>
      <c r="O154" s="96"/>
      <c r="P154" s="105">
        <v>0</v>
      </c>
      <c r="Q154" s="105">
        <v>0</v>
      </c>
      <c r="R154" s="103">
        <f t="shared" si="133"/>
        <v>0.42</v>
      </c>
      <c r="S154" s="103">
        <f t="shared" si="134"/>
        <v>0</v>
      </c>
      <c r="T154" s="103">
        <f t="shared" si="135"/>
        <v>0</v>
      </c>
      <c r="U154" s="98">
        <f t="shared" si="136"/>
        <v>0</v>
      </c>
      <c r="V154" s="98">
        <f t="shared" si="137"/>
        <v>0.42</v>
      </c>
      <c r="W154" s="98">
        <f t="shared" si="138"/>
        <v>0</v>
      </c>
      <c r="X154" s="98">
        <f t="shared" si="139"/>
        <v>4.1999999999999993</v>
      </c>
      <c r="Y154" s="98">
        <f t="shared" si="140"/>
        <v>0</v>
      </c>
      <c r="Z154" s="103" t="e">
        <f t="shared" si="141"/>
        <v>#DIV/0!</v>
      </c>
      <c r="AA154" s="103">
        <f t="shared" si="142"/>
        <v>0</v>
      </c>
      <c r="AB154" s="125">
        <v>0.15</v>
      </c>
      <c r="AC154" s="125">
        <v>0.15</v>
      </c>
      <c r="AD154" s="103">
        <f t="shared" si="143"/>
        <v>1.05</v>
      </c>
      <c r="AE154" s="103">
        <f t="shared" si="144"/>
        <v>2.6249999999999996</v>
      </c>
      <c r="AF154" s="98">
        <f t="shared" si="145"/>
        <v>1.05</v>
      </c>
      <c r="AG154" s="98"/>
      <c r="AH154" s="103">
        <f t="shared" si="146"/>
        <v>5.25</v>
      </c>
      <c r="AI154" s="98"/>
      <c r="AJ154" s="125">
        <f t="shared" si="147"/>
        <v>6.75</v>
      </c>
      <c r="AK154" s="105">
        <f t="shared" si="148"/>
        <v>35.4375</v>
      </c>
      <c r="AL154" s="94"/>
      <c r="AM154" s="94"/>
      <c r="AN154" s="94"/>
      <c r="AO154" s="94"/>
      <c r="AP154" s="94"/>
      <c r="AQ154" s="94"/>
      <c r="AR154" s="94"/>
    </row>
    <row r="155" spans="1:44" ht="12.75" customHeight="1">
      <c r="A155" s="93"/>
      <c r="B155" s="93" t="s">
        <v>300</v>
      </c>
      <c r="C155" s="94" t="s">
        <v>305</v>
      </c>
      <c r="D155" s="94">
        <v>1</v>
      </c>
      <c r="E155" s="94">
        <v>1</v>
      </c>
      <c r="F155" s="95">
        <v>4.2</v>
      </c>
      <c r="G155" s="95">
        <v>0.2</v>
      </c>
      <c r="H155" s="95">
        <f t="shared" si="131"/>
        <v>0.39999999999999997</v>
      </c>
      <c r="I155" s="95">
        <f t="shared" si="132"/>
        <v>0.84000000000000008</v>
      </c>
      <c r="J155" s="95"/>
      <c r="K155" s="94"/>
      <c r="L155" s="94"/>
      <c r="M155" s="94"/>
      <c r="N155" s="94"/>
      <c r="O155" s="96"/>
      <c r="P155" s="105">
        <v>0</v>
      </c>
      <c r="Q155" s="105">
        <v>0</v>
      </c>
      <c r="R155" s="103">
        <f t="shared" si="133"/>
        <v>0.33600000000000002</v>
      </c>
      <c r="S155" s="103">
        <f t="shared" si="134"/>
        <v>0</v>
      </c>
      <c r="T155" s="103">
        <f t="shared" si="135"/>
        <v>0</v>
      </c>
      <c r="U155" s="98">
        <f t="shared" si="136"/>
        <v>0</v>
      </c>
      <c r="V155" s="98">
        <f t="shared" si="137"/>
        <v>0.33600000000000002</v>
      </c>
      <c r="W155" s="98">
        <f t="shared" si="138"/>
        <v>0</v>
      </c>
      <c r="X155" s="98">
        <f t="shared" si="139"/>
        <v>3.36</v>
      </c>
      <c r="Y155" s="98">
        <f t="shared" si="140"/>
        <v>0</v>
      </c>
      <c r="Z155" s="103" t="e">
        <f t="shared" si="141"/>
        <v>#DIV/0!</v>
      </c>
      <c r="AA155" s="103">
        <f t="shared" si="142"/>
        <v>0</v>
      </c>
      <c r="AB155" s="125">
        <v>0.15</v>
      </c>
      <c r="AC155" s="125">
        <v>0.15</v>
      </c>
      <c r="AD155" s="103">
        <f t="shared" si="143"/>
        <v>0.84000000000000008</v>
      </c>
      <c r="AE155" s="103">
        <f t="shared" si="144"/>
        <v>2.0999999999999996</v>
      </c>
      <c r="AF155" s="98">
        <f t="shared" si="145"/>
        <v>0.84000000000000008</v>
      </c>
      <c r="AG155" s="98"/>
      <c r="AH155" s="103">
        <f t="shared" si="146"/>
        <v>4.2</v>
      </c>
      <c r="AI155" s="98"/>
      <c r="AJ155" s="125">
        <f t="shared" si="147"/>
        <v>6.75</v>
      </c>
      <c r="AK155" s="105">
        <f t="shared" si="148"/>
        <v>28.35</v>
      </c>
      <c r="AL155" s="94"/>
      <c r="AM155" s="94"/>
      <c r="AN155" s="94"/>
      <c r="AO155" s="94"/>
      <c r="AP155" s="94"/>
      <c r="AQ155" s="94"/>
      <c r="AR155" s="94"/>
    </row>
    <row r="156" spans="1:44" ht="12.75" customHeight="1">
      <c r="A156" s="93"/>
      <c r="B156" s="93" t="s">
        <v>300</v>
      </c>
      <c r="C156" s="94" t="s">
        <v>306</v>
      </c>
      <c r="D156" s="94">
        <v>1</v>
      </c>
      <c r="E156" s="94">
        <v>1</v>
      </c>
      <c r="F156" s="95">
        <v>5.22</v>
      </c>
      <c r="G156" s="95">
        <v>0.2</v>
      </c>
      <c r="H156" s="95">
        <f t="shared" si="131"/>
        <v>0.39999999999999997</v>
      </c>
      <c r="I156" s="95">
        <f t="shared" si="132"/>
        <v>1.044</v>
      </c>
      <c r="J156" s="95"/>
      <c r="K156" s="94"/>
      <c r="L156" s="94"/>
      <c r="M156" s="94"/>
      <c r="N156" s="94"/>
      <c r="O156" s="96"/>
      <c r="P156" s="105">
        <v>0</v>
      </c>
      <c r="Q156" s="105">
        <v>0</v>
      </c>
      <c r="R156" s="103">
        <f t="shared" si="133"/>
        <v>0.41759999999999997</v>
      </c>
      <c r="S156" s="103">
        <f t="shared" si="134"/>
        <v>0</v>
      </c>
      <c r="T156" s="103">
        <f t="shared" si="135"/>
        <v>0</v>
      </c>
      <c r="U156" s="98">
        <f t="shared" si="136"/>
        <v>0</v>
      </c>
      <c r="V156" s="98">
        <f t="shared" si="137"/>
        <v>0.41759999999999997</v>
      </c>
      <c r="W156" s="98">
        <f t="shared" si="138"/>
        <v>0</v>
      </c>
      <c r="X156" s="98">
        <f t="shared" si="139"/>
        <v>4.1759999999999993</v>
      </c>
      <c r="Y156" s="98">
        <f t="shared" si="140"/>
        <v>0</v>
      </c>
      <c r="Z156" s="103" t="e">
        <f t="shared" si="141"/>
        <v>#DIV/0!</v>
      </c>
      <c r="AA156" s="103">
        <f t="shared" si="142"/>
        <v>0</v>
      </c>
      <c r="AB156" s="125">
        <v>0.15</v>
      </c>
      <c r="AC156" s="125">
        <v>0.15</v>
      </c>
      <c r="AD156" s="103">
        <f t="shared" si="143"/>
        <v>1.044</v>
      </c>
      <c r="AE156" s="103">
        <f t="shared" si="144"/>
        <v>2.6099999999999994</v>
      </c>
      <c r="AF156" s="98">
        <f t="shared" si="145"/>
        <v>1.044</v>
      </c>
      <c r="AG156" s="98"/>
      <c r="AH156" s="103">
        <f t="shared" si="146"/>
        <v>5.22</v>
      </c>
      <c r="AI156" s="98"/>
      <c r="AJ156" s="125">
        <f t="shared" si="147"/>
        <v>6.75</v>
      </c>
      <c r="AK156" s="105">
        <f t="shared" si="148"/>
        <v>35.234999999999999</v>
      </c>
      <c r="AL156" s="94"/>
      <c r="AM156" s="94"/>
      <c r="AN156" s="94"/>
      <c r="AO156" s="94"/>
      <c r="AP156" s="94"/>
      <c r="AQ156" s="94"/>
      <c r="AR156" s="94"/>
    </row>
    <row r="157" spans="1:44" ht="12.75" customHeight="1">
      <c r="A157" s="93"/>
      <c r="B157" s="93" t="s">
        <v>300</v>
      </c>
      <c r="C157" s="94" t="s">
        <v>307</v>
      </c>
      <c r="D157" s="94">
        <v>1</v>
      </c>
      <c r="E157" s="94">
        <v>2</v>
      </c>
      <c r="F157" s="95">
        <v>0.95</v>
      </c>
      <c r="G157" s="95">
        <v>0.2</v>
      </c>
      <c r="H157" s="95">
        <f t="shared" si="131"/>
        <v>0.39999999999999997</v>
      </c>
      <c r="I157" s="95">
        <f t="shared" si="132"/>
        <v>0.38</v>
      </c>
      <c r="J157" s="95"/>
      <c r="K157" s="94"/>
      <c r="L157" s="94"/>
      <c r="M157" s="94"/>
      <c r="N157" s="94"/>
      <c r="O157" s="96"/>
      <c r="P157" s="105">
        <v>0</v>
      </c>
      <c r="Q157" s="105">
        <v>0</v>
      </c>
      <c r="R157" s="103">
        <f t="shared" si="133"/>
        <v>0.152</v>
      </c>
      <c r="S157" s="103">
        <f t="shared" si="134"/>
        <v>0</v>
      </c>
      <c r="T157" s="103">
        <f t="shared" si="135"/>
        <v>0</v>
      </c>
      <c r="U157" s="98">
        <f t="shared" si="136"/>
        <v>0</v>
      </c>
      <c r="V157" s="98">
        <f t="shared" si="137"/>
        <v>0.152</v>
      </c>
      <c r="W157" s="98">
        <f t="shared" si="138"/>
        <v>0</v>
      </c>
      <c r="X157" s="98">
        <f t="shared" si="139"/>
        <v>1.5199999999999998</v>
      </c>
      <c r="Y157" s="98">
        <f t="shared" si="140"/>
        <v>0</v>
      </c>
      <c r="Z157" s="103" t="e">
        <f t="shared" si="141"/>
        <v>#DIV/0!</v>
      </c>
      <c r="AA157" s="103">
        <f t="shared" si="142"/>
        <v>0</v>
      </c>
      <c r="AB157" s="125">
        <v>0.15</v>
      </c>
      <c r="AC157" s="125">
        <v>0.15</v>
      </c>
      <c r="AD157" s="103">
        <f t="shared" si="143"/>
        <v>0.38</v>
      </c>
      <c r="AE157" s="103">
        <f t="shared" si="144"/>
        <v>0.94999999999999984</v>
      </c>
      <c r="AF157" s="98">
        <f t="shared" si="145"/>
        <v>0.38</v>
      </c>
      <c r="AG157" s="98"/>
      <c r="AH157" s="103">
        <f t="shared" si="146"/>
        <v>1.9</v>
      </c>
      <c r="AI157" s="98"/>
      <c r="AJ157" s="125">
        <f t="shared" si="147"/>
        <v>6.75</v>
      </c>
      <c r="AK157" s="105">
        <f t="shared" si="148"/>
        <v>12.824999999999999</v>
      </c>
      <c r="AL157" s="94"/>
      <c r="AM157" s="94"/>
      <c r="AN157" s="94"/>
      <c r="AO157" s="94"/>
      <c r="AP157" s="94"/>
      <c r="AQ157" s="94"/>
      <c r="AR157" s="94"/>
    </row>
    <row r="158" spans="1:44" ht="12.75" customHeight="1">
      <c r="A158" s="93"/>
      <c r="B158" s="93" t="s">
        <v>300</v>
      </c>
      <c r="C158" s="94" t="s">
        <v>308</v>
      </c>
      <c r="D158" s="94">
        <v>1</v>
      </c>
      <c r="E158" s="94">
        <v>1</v>
      </c>
      <c r="F158" s="95">
        <v>4.9000000000000004</v>
      </c>
      <c r="G158" s="95">
        <v>0.2</v>
      </c>
      <c r="H158" s="95">
        <f t="shared" si="131"/>
        <v>0.39999999999999997</v>
      </c>
      <c r="I158" s="95">
        <f t="shared" si="132"/>
        <v>0.98000000000000009</v>
      </c>
      <c r="J158" s="95"/>
      <c r="K158" s="94"/>
      <c r="L158" s="94"/>
      <c r="M158" s="94"/>
      <c r="N158" s="94"/>
      <c r="O158" s="96"/>
      <c r="P158" s="105">
        <v>0</v>
      </c>
      <c r="Q158" s="105">
        <v>0</v>
      </c>
      <c r="R158" s="103">
        <f t="shared" si="133"/>
        <v>0.39200000000000002</v>
      </c>
      <c r="S158" s="103">
        <f t="shared" si="134"/>
        <v>0</v>
      </c>
      <c r="T158" s="103">
        <f t="shared" si="135"/>
        <v>0</v>
      </c>
      <c r="U158" s="98">
        <f t="shared" si="136"/>
        <v>0</v>
      </c>
      <c r="V158" s="98">
        <f t="shared" si="137"/>
        <v>0.39200000000000002</v>
      </c>
      <c r="W158" s="98">
        <f t="shared" si="138"/>
        <v>0</v>
      </c>
      <c r="X158" s="98">
        <f t="shared" si="139"/>
        <v>3.92</v>
      </c>
      <c r="Y158" s="98">
        <f t="shared" si="140"/>
        <v>0</v>
      </c>
      <c r="Z158" s="103" t="e">
        <f t="shared" si="141"/>
        <v>#DIV/0!</v>
      </c>
      <c r="AA158" s="103">
        <f t="shared" si="142"/>
        <v>0</v>
      </c>
      <c r="AB158" s="125">
        <v>0.15</v>
      </c>
      <c r="AC158" s="125">
        <v>0.15</v>
      </c>
      <c r="AD158" s="103">
        <f t="shared" si="143"/>
        <v>0.98000000000000009</v>
      </c>
      <c r="AE158" s="103">
        <f t="shared" si="144"/>
        <v>2.4499999999999997</v>
      </c>
      <c r="AF158" s="98">
        <f t="shared" si="145"/>
        <v>0.98000000000000009</v>
      </c>
      <c r="AG158" s="98"/>
      <c r="AH158" s="103">
        <f t="shared" si="146"/>
        <v>4.9000000000000004</v>
      </c>
      <c r="AI158" s="98"/>
      <c r="AJ158" s="125">
        <f t="shared" si="147"/>
        <v>6.75</v>
      </c>
      <c r="AK158" s="105">
        <f t="shared" si="148"/>
        <v>33.075000000000003</v>
      </c>
      <c r="AL158" s="94"/>
      <c r="AM158" s="94"/>
      <c r="AN158" s="94"/>
      <c r="AO158" s="94"/>
      <c r="AP158" s="94"/>
      <c r="AQ158" s="94"/>
      <c r="AR158" s="94"/>
    </row>
    <row r="159" spans="1:44" ht="12.75" customHeight="1">
      <c r="A159" s="93"/>
      <c r="B159" s="93" t="s">
        <v>300</v>
      </c>
      <c r="C159" s="94" t="s">
        <v>309</v>
      </c>
      <c r="D159" s="94">
        <v>1</v>
      </c>
      <c r="E159" s="94">
        <v>2</v>
      </c>
      <c r="F159" s="95">
        <v>6.5</v>
      </c>
      <c r="G159" s="95">
        <v>0.2</v>
      </c>
      <c r="H159" s="95">
        <f t="shared" si="131"/>
        <v>0.39999999999999997</v>
      </c>
      <c r="I159" s="95">
        <f t="shared" si="132"/>
        <v>2.6</v>
      </c>
      <c r="J159" s="95"/>
      <c r="K159" s="94"/>
      <c r="L159" s="94"/>
      <c r="M159" s="94"/>
      <c r="N159" s="94"/>
      <c r="O159" s="96"/>
      <c r="P159" s="105">
        <v>0</v>
      </c>
      <c r="Q159" s="105">
        <v>0</v>
      </c>
      <c r="R159" s="103">
        <f t="shared" si="133"/>
        <v>1.04</v>
      </c>
      <c r="S159" s="103">
        <f t="shared" si="134"/>
        <v>0</v>
      </c>
      <c r="T159" s="103">
        <f t="shared" si="135"/>
        <v>0</v>
      </c>
      <c r="U159" s="98">
        <f t="shared" si="136"/>
        <v>0</v>
      </c>
      <c r="V159" s="98">
        <f t="shared" si="137"/>
        <v>1.04</v>
      </c>
      <c r="W159" s="98">
        <f t="shared" si="138"/>
        <v>0</v>
      </c>
      <c r="X159" s="98">
        <f t="shared" si="139"/>
        <v>10.399999999999999</v>
      </c>
      <c r="Y159" s="98">
        <f t="shared" si="140"/>
        <v>0</v>
      </c>
      <c r="Z159" s="103" t="e">
        <f t="shared" si="141"/>
        <v>#DIV/0!</v>
      </c>
      <c r="AA159" s="103">
        <f t="shared" si="142"/>
        <v>0</v>
      </c>
      <c r="AB159" s="125">
        <v>0.15</v>
      </c>
      <c r="AC159" s="125">
        <v>0.15</v>
      </c>
      <c r="AD159" s="103">
        <f t="shared" si="143"/>
        <v>2.6</v>
      </c>
      <c r="AE159" s="103">
        <f t="shared" si="144"/>
        <v>6.4999999999999991</v>
      </c>
      <c r="AF159" s="98">
        <f t="shared" si="145"/>
        <v>2.6</v>
      </c>
      <c r="AG159" s="98"/>
      <c r="AH159" s="103">
        <f t="shared" si="146"/>
        <v>13</v>
      </c>
      <c r="AI159" s="98"/>
      <c r="AJ159" s="125">
        <f t="shared" si="147"/>
        <v>6.75</v>
      </c>
      <c r="AK159" s="105">
        <f t="shared" si="148"/>
        <v>87.75</v>
      </c>
      <c r="AL159" s="94"/>
      <c r="AM159" s="94"/>
      <c r="AN159" s="94"/>
      <c r="AO159" s="94"/>
      <c r="AP159" s="94"/>
      <c r="AQ159" s="94"/>
      <c r="AR159" s="94"/>
    </row>
    <row r="160" spans="1:44" ht="12.75" customHeight="1">
      <c r="A160" s="93"/>
      <c r="B160" s="93" t="s">
        <v>300</v>
      </c>
      <c r="C160" s="94" t="s">
        <v>310</v>
      </c>
      <c r="D160" s="94">
        <v>1</v>
      </c>
      <c r="E160" s="94">
        <v>1</v>
      </c>
      <c r="F160" s="95">
        <v>1</v>
      </c>
      <c r="G160" s="95">
        <v>0.2</v>
      </c>
      <c r="H160" s="95">
        <f t="shared" si="131"/>
        <v>0.39999999999999997</v>
      </c>
      <c r="I160" s="95">
        <f t="shared" si="132"/>
        <v>0.2</v>
      </c>
      <c r="J160" s="95"/>
      <c r="K160" s="94"/>
      <c r="L160" s="94"/>
      <c r="M160" s="94"/>
      <c r="N160" s="94"/>
      <c r="O160" s="96"/>
      <c r="P160" s="105">
        <v>0</v>
      </c>
      <c r="Q160" s="105">
        <v>0</v>
      </c>
      <c r="R160" s="103">
        <f t="shared" si="133"/>
        <v>0.08</v>
      </c>
      <c r="S160" s="103">
        <f t="shared" si="134"/>
        <v>0</v>
      </c>
      <c r="T160" s="103">
        <f t="shared" si="135"/>
        <v>0</v>
      </c>
      <c r="U160" s="98">
        <f t="shared" si="136"/>
        <v>0</v>
      </c>
      <c r="V160" s="98">
        <f t="shared" si="137"/>
        <v>0.08</v>
      </c>
      <c r="W160" s="98">
        <f t="shared" si="138"/>
        <v>0</v>
      </c>
      <c r="X160" s="98">
        <f t="shared" si="139"/>
        <v>0.79999999999999993</v>
      </c>
      <c r="Y160" s="98">
        <f t="shared" si="140"/>
        <v>0</v>
      </c>
      <c r="Z160" s="103" t="e">
        <f t="shared" si="141"/>
        <v>#DIV/0!</v>
      </c>
      <c r="AA160" s="103">
        <f t="shared" si="142"/>
        <v>0</v>
      </c>
      <c r="AB160" s="125">
        <v>0.15</v>
      </c>
      <c r="AC160" s="125">
        <v>0.15</v>
      </c>
      <c r="AD160" s="103">
        <f t="shared" si="143"/>
        <v>0.2</v>
      </c>
      <c r="AE160" s="103">
        <f t="shared" si="144"/>
        <v>0.49999999999999994</v>
      </c>
      <c r="AF160" s="98">
        <f t="shared" si="145"/>
        <v>0.2</v>
      </c>
      <c r="AG160" s="98"/>
      <c r="AH160" s="103">
        <f t="shared" si="146"/>
        <v>1</v>
      </c>
      <c r="AI160" s="98"/>
      <c r="AJ160" s="125">
        <f t="shared" si="147"/>
        <v>6.75</v>
      </c>
      <c r="AK160" s="105">
        <f t="shared" si="148"/>
        <v>6.75</v>
      </c>
      <c r="AL160" s="94"/>
      <c r="AM160" s="94"/>
      <c r="AN160" s="94"/>
      <c r="AO160" s="94"/>
      <c r="AP160" s="94"/>
      <c r="AQ160" s="94"/>
      <c r="AR160" s="94"/>
    </row>
    <row r="161" spans="1:44" ht="12.75" customHeight="1">
      <c r="A161" s="93"/>
      <c r="B161" s="93" t="s">
        <v>311</v>
      </c>
      <c r="C161" s="94" t="s">
        <v>312</v>
      </c>
      <c r="D161" s="94">
        <v>1</v>
      </c>
      <c r="E161" s="94">
        <v>2</v>
      </c>
      <c r="F161" s="95">
        <v>3.86</v>
      </c>
      <c r="G161" s="95">
        <v>0.2</v>
      </c>
      <c r="H161" s="95">
        <f t="shared" ref="H161:H162" si="149">0.8-0.3</f>
        <v>0.5</v>
      </c>
      <c r="I161" s="95">
        <f t="shared" si="132"/>
        <v>1.544</v>
      </c>
      <c r="J161" s="95"/>
      <c r="K161" s="94"/>
      <c r="L161" s="94"/>
      <c r="M161" s="94"/>
      <c r="N161" s="94"/>
      <c r="O161" s="96"/>
      <c r="P161" s="105">
        <v>0</v>
      </c>
      <c r="Q161" s="105">
        <v>0</v>
      </c>
      <c r="R161" s="103">
        <f t="shared" si="133"/>
        <v>0.77200000000000002</v>
      </c>
      <c r="S161" s="103">
        <f t="shared" si="134"/>
        <v>0</v>
      </c>
      <c r="T161" s="103">
        <f t="shared" si="135"/>
        <v>0</v>
      </c>
      <c r="U161" s="98">
        <f t="shared" si="136"/>
        <v>0</v>
      </c>
      <c r="V161" s="98">
        <f t="shared" si="137"/>
        <v>0.77200000000000002</v>
      </c>
      <c r="W161" s="98">
        <f t="shared" si="138"/>
        <v>0</v>
      </c>
      <c r="X161" s="98">
        <f t="shared" si="139"/>
        <v>7.72</v>
      </c>
      <c r="Y161" s="98">
        <f t="shared" si="140"/>
        <v>0</v>
      </c>
      <c r="Z161" s="103" t="e">
        <f t="shared" si="141"/>
        <v>#DIV/0!</v>
      </c>
      <c r="AA161" s="103">
        <f t="shared" si="142"/>
        <v>0</v>
      </c>
      <c r="AB161" s="125">
        <v>0.15</v>
      </c>
      <c r="AC161" s="125">
        <v>0.15</v>
      </c>
      <c r="AD161" s="103">
        <f t="shared" si="143"/>
        <v>1.544</v>
      </c>
      <c r="AE161" s="103">
        <f t="shared" si="144"/>
        <v>5.4039999999999999</v>
      </c>
      <c r="AF161" s="98">
        <f t="shared" si="145"/>
        <v>1.544</v>
      </c>
      <c r="AG161" s="98"/>
      <c r="AH161" s="103">
        <f t="shared" si="146"/>
        <v>7.72</v>
      </c>
      <c r="AI161" s="98"/>
      <c r="AJ161" s="125">
        <f t="shared" si="147"/>
        <v>6.65</v>
      </c>
      <c r="AK161" s="105">
        <f t="shared" si="148"/>
        <v>51.338000000000001</v>
      </c>
      <c r="AL161" s="94"/>
      <c r="AM161" s="94"/>
      <c r="AN161" s="94"/>
      <c r="AO161" s="94"/>
      <c r="AP161" s="94"/>
      <c r="AQ161" s="94"/>
      <c r="AR161" s="94"/>
    </row>
    <row r="162" spans="1:44" ht="12.75" customHeight="1">
      <c r="A162" s="93"/>
      <c r="B162" s="93" t="s">
        <v>313</v>
      </c>
      <c r="C162" s="94" t="s">
        <v>314</v>
      </c>
      <c r="D162" s="94">
        <v>1</v>
      </c>
      <c r="E162" s="94">
        <v>2</v>
      </c>
      <c r="F162" s="95">
        <v>2.1</v>
      </c>
      <c r="G162" s="95">
        <v>0.2</v>
      </c>
      <c r="H162" s="95">
        <f t="shared" si="149"/>
        <v>0.5</v>
      </c>
      <c r="I162" s="95">
        <f t="shared" si="132"/>
        <v>0.84000000000000008</v>
      </c>
      <c r="J162" s="95"/>
      <c r="K162" s="94"/>
      <c r="L162" s="94"/>
      <c r="M162" s="94"/>
      <c r="N162" s="94"/>
      <c r="O162" s="96"/>
      <c r="P162" s="105">
        <v>0</v>
      </c>
      <c r="Q162" s="105">
        <v>0</v>
      </c>
      <c r="R162" s="103">
        <f t="shared" si="133"/>
        <v>0.42000000000000004</v>
      </c>
      <c r="S162" s="103">
        <f t="shared" si="134"/>
        <v>0</v>
      </c>
      <c r="T162" s="103">
        <f t="shared" si="135"/>
        <v>0</v>
      </c>
      <c r="U162" s="98">
        <f t="shared" si="136"/>
        <v>0</v>
      </c>
      <c r="V162" s="98">
        <f t="shared" si="137"/>
        <v>0.42000000000000004</v>
      </c>
      <c r="W162" s="98">
        <f t="shared" si="138"/>
        <v>0</v>
      </c>
      <c r="X162" s="98">
        <f t="shared" si="139"/>
        <v>4.2</v>
      </c>
      <c r="Y162" s="98">
        <f t="shared" si="140"/>
        <v>0</v>
      </c>
      <c r="Z162" s="103" t="e">
        <f t="shared" si="141"/>
        <v>#DIV/0!</v>
      </c>
      <c r="AA162" s="103">
        <f t="shared" si="142"/>
        <v>0</v>
      </c>
      <c r="AB162" s="125">
        <v>0.15</v>
      </c>
      <c r="AC162" s="125">
        <v>0.15</v>
      </c>
      <c r="AD162" s="103">
        <f t="shared" si="143"/>
        <v>0.84000000000000008</v>
      </c>
      <c r="AE162" s="103">
        <f t="shared" si="144"/>
        <v>2.94</v>
      </c>
      <c r="AF162" s="98">
        <f t="shared" si="145"/>
        <v>0.84000000000000008</v>
      </c>
      <c r="AG162" s="98"/>
      <c r="AH162" s="103">
        <f t="shared" si="146"/>
        <v>4.2</v>
      </c>
      <c r="AI162" s="98"/>
      <c r="AJ162" s="125">
        <f t="shared" si="147"/>
        <v>6.65</v>
      </c>
      <c r="AK162" s="105">
        <f t="shared" si="148"/>
        <v>27.930000000000003</v>
      </c>
      <c r="AL162" s="94"/>
      <c r="AM162" s="94"/>
      <c r="AN162" s="94"/>
      <c r="AO162" s="94"/>
      <c r="AP162" s="94"/>
      <c r="AQ162" s="94"/>
      <c r="AR162" s="94"/>
    </row>
    <row r="163" spans="1:44" ht="12.75" customHeight="1">
      <c r="A163" s="93"/>
      <c r="B163" s="93" t="s">
        <v>315</v>
      </c>
      <c r="C163" s="94" t="s">
        <v>316</v>
      </c>
      <c r="D163" s="94">
        <v>1</v>
      </c>
      <c r="E163" s="94">
        <v>1</v>
      </c>
      <c r="F163" s="95">
        <v>0.7</v>
      </c>
      <c r="G163" s="95">
        <v>0.2</v>
      </c>
      <c r="H163" s="95">
        <f>0.7-0.3</f>
        <v>0.39999999999999997</v>
      </c>
      <c r="I163" s="95">
        <f t="shared" si="132"/>
        <v>0.13999999999999999</v>
      </c>
      <c r="J163" s="95"/>
      <c r="K163" s="94"/>
      <c r="L163" s="94"/>
      <c r="M163" s="94"/>
      <c r="N163" s="94"/>
      <c r="O163" s="96"/>
      <c r="P163" s="105">
        <v>0</v>
      </c>
      <c r="Q163" s="105">
        <v>0</v>
      </c>
      <c r="R163" s="103">
        <f t="shared" si="133"/>
        <v>5.5999999999999994E-2</v>
      </c>
      <c r="S163" s="103">
        <f t="shared" si="134"/>
        <v>0</v>
      </c>
      <c r="T163" s="103">
        <f t="shared" si="135"/>
        <v>0</v>
      </c>
      <c r="U163" s="98">
        <f t="shared" si="136"/>
        <v>0</v>
      </c>
      <c r="V163" s="98">
        <f t="shared" si="137"/>
        <v>5.5999999999999987E-2</v>
      </c>
      <c r="W163" s="98">
        <f t="shared" si="138"/>
        <v>0</v>
      </c>
      <c r="X163" s="98">
        <f t="shared" si="139"/>
        <v>0.55999999999999994</v>
      </c>
      <c r="Y163" s="98">
        <f t="shared" si="140"/>
        <v>0</v>
      </c>
      <c r="Z163" s="103" t="e">
        <f t="shared" si="141"/>
        <v>#DIV/0!</v>
      </c>
      <c r="AA163" s="103">
        <f t="shared" si="142"/>
        <v>0</v>
      </c>
      <c r="AB163" s="125">
        <v>0.15</v>
      </c>
      <c r="AC163" s="125">
        <v>0.15</v>
      </c>
      <c r="AD163" s="103">
        <f t="shared" si="143"/>
        <v>0.13999999999999999</v>
      </c>
      <c r="AE163" s="103">
        <f t="shared" si="144"/>
        <v>0.34999999999999992</v>
      </c>
      <c r="AF163" s="98">
        <f t="shared" si="145"/>
        <v>0.13999999999999999</v>
      </c>
      <c r="AG163" s="98"/>
      <c r="AH163" s="103">
        <f t="shared" si="146"/>
        <v>0.7</v>
      </c>
      <c r="AI163" s="98"/>
      <c r="AJ163" s="125">
        <f t="shared" si="147"/>
        <v>6.75</v>
      </c>
      <c r="AK163" s="105">
        <f t="shared" si="148"/>
        <v>4.7249999999999996</v>
      </c>
      <c r="AL163" s="94"/>
      <c r="AM163" s="94"/>
      <c r="AN163" s="94"/>
      <c r="AO163" s="94"/>
      <c r="AP163" s="94"/>
      <c r="AQ163" s="94"/>
      <c r="AR163" s="94"/>
    </row>
    <row r="164" spans="1:44" ht="12.75" customHeight="1">
      <c r="A164" s="93"/>
      <c r="B164" s="93"/>
      <c r="C164" s="94"/>
      <c r="D164" s="94"/>
      <c r="E164" s="94"/>
      <c r="F164" s="95"/>
      <c r="G164" s="95"/>
      <c r="H164" s="95"/>
      <c r="I164" s="95"/>
      <c r="J164" s="95"/>
      <c r="K164" s="94"/>
      <c r="L164" s="94"/>
      <c r="M164" s="94"/>
      <c r="N164" s="94"/>
      <c r="O164" s="96"/>
      <c r="P164" s="105"/>
      <c r="Q164" s="105"/>
      <c r="R164" s="98"/>
      <c r="S164" s="98"/>
      <c r="T164" s="98"/>
      <c r="U164" s="98"/>
      <c r="V164" s="98"/>
      <c r="W164" s="98"/>
      <c r="X164" s="98"/>
      <c r="Y164" s="98"/>
      <c r="Z164" s="98"/>
      <c r="AA164" s="98"/>
      <c r="AB164" s="125"/>
      <c r="AC164" s="125"/>
      <c r="AD164" s="98"/>
      <c r="AE164" s="98"/>
      <c r="AF164" s="98"/>
      <c r="AG164" s="98"/>
      <c r="AH164" s="98"/>
      <c r="AI164" s="98"/>
      <c r="AJ164" s="98"/>
      <c r="AK164" s="94"/>
      <c r="AL164" s="94"/>
      <c r="AM164" s="94"/>
      <c r="AN164" s="94"/>
      <c r="AO164" s="94"/>
      <c r="AP164" s="94"/>
      <c r="AQ164" s="94"/>
      <c r="AR164" s="94"/>
    </row>
    <row r="165" spans="1:44" ht="12.75" customHeight="1">
      <c r="A165" s="93"/>
      <c r="B165" s="104" t="s">
        <v>186</v>
      </c>
      <c r="C165" s="94"/>
      <c r="D165" s="94"/>
      <c r="E165" s="94"/>
      <c r="F165" s="95"/>
      <c r="G165" s="95"/>
      <c r="H165" s="95"/>
      <c r="I165" s="95"/>
      <c r="J165" s="95"/>
      <c r="K165" s="94"/>
      <c r="L165" s="94"/>
      <c r="M165" s="94"/>
      <c r="N165" s="94"/>
      <c r="O165" s="96"/>
      <c r="P165" s="105"/>
      <c r="Q165" s="105"/>
      <c r="R165" s="98"/>
      <c r="S165" s="98"/>
      <c r="T165" s="98"/>
      <c r="U165" s="98"/>
      <c r="V165" s="98"/>
      <c r="W165" s="98"/>
      <c r="X165" s="98"/>
      <c r="Y165" s="98"/>
      <c r="Z165" s="98"/>
      <c r="AA165" s="98"/>
      <c r="AB165" s="125"/>
      <c r="AC165" s="125"/>
      <c r="AD165" s="98"/>
      <c r="AE165" s="98"/>
      <c r="AF165" s="98"/>
      <c r="AG165" s="98"/>
      <c r="AH165" s="98"/>
      <c r="AI165" s="98"/>
      <c r="AJ165" s="98"/>
      <c r="AK165" s="94"/>
      <c r="AL165" s="94"/>
      <c r="AM165" s="94"/>
      <c r="AN165" s="94"/>
      <c r="AO165" s="94"/>
      <c r="AP165" s="94"/>
      <c r="AQ165" s="94"/>
      <c r="AR165" s="94"/>
    </row>
    <row r="166" spans="1:44" ht="12.75" customHeight="1">
      <c r="A166" s="93"/>
      <c r="B166" s="93" t="s">
        <v>280</v>
      </c>
      <c r="C166" s="94" t="s">
        <v>317</v>
      </c>
      <c r="D166" s="94">
        <v>0</v>
      </c>
      <c r="E166" s="94">
        <v>0</v>
      </c>
      <c r="F166" s="95">
        <v>0</v>
      </c>
      <c r="G166" s="95">
        <v>0</v>
      </c>
      <c r="H166" s="95">
        <v>0</v>
      </c>
      <c r="I166" s="95"/>
      <c r="J166" s="95"/>
      <c r="K166" s="94"/>
      <c r="L166" s="94"/>
      <c r="M166" s="94"/>
      <c r="N166" s="94"/>
      <c r="O166" s="96"/>
      <c r="P166" s="105">
        <v>0</v>
      </c>
      <c r="Q166" s="105">
        <v>0</v>
      </c>
      <c r="R166" s="103">
        <f>(((F166)*(G166+Q166*2))*P166)*E166*D166</f>
        <v>0</v>
      </c>
      <c r="S166" s="103">
        <f>((J166*P166)*E166*D166)</f>
        <v>0</v>
      </c>
      <c r="T166" s="103">
        <f>((F166*P166)*2)*D166*E166</f>
        <v>0</v>
      </c>
      <c r="U166" s="98">
        <f>((L166*P166)*E166*D166)</f>
        <v>0</v>
      </c>
      <c r="V166" s="98">
        <f>PRODUCT(D166:H166)</f>
        <v>0</v>
      </c>
      <c r="W166" s="98">
        <f>(K166*H166)*E166*D166</f>
        <v>0</v>
      </c>
      <c r="X166" s="98">
        <f>((F166)*(H166*2))*E166*D166</f>
        <v>0</v>
      </c>
      <c r="Y166" s="98">
        <f>((M166)*H166)*E166*D166</f>
        <v>0</v>
      </c>
      <c r="Z166" s="103" t="e">
        <f>(R166/P166)+(S166/P166)</f>
        <v>#DIV/0!</v>
      </c>
      <c r="AA166" s="103">
        <f>(T166+U166)</f>
        <v>0</v>
      </c>
      <c r="AB166" s="125">
        <v>0.15</v>
      </c>
      <c r="AC166" s="125">
        <v>0.15</v>
      </c>
      <c r="AD166" s="103">
        <f>(((F166*G166)*E166*D166))+K166</f>
        <v>0</v>
      </c>
      <c r="AE166" s="103">
        <f>(((F166*(H166-AC166))+(F166*(H166-AC166)))*E166*D166)+Y166</f>
        <v>0</v>
      </c>
      <c r="AF166" s="98">
        <f>AD166</f>
        <v>0</v>
      </c>
      <c r="AG166" s="98"/>
      <c r="AH166" s="103">
        <f>(F166*2)*E166*D166</f>
        <v>0</v>
      </c>
      <c r="AI166" s="98"/>
      <c r="AJ166" s="125">
        <v>0</v>
      </c>
      <c r="AK166" s="94"/>
      <c r="AL166" s="105">
        <f>((F166*AJ166)*E166*D166)</f>
        <v>0</v>
      </c>
      <c r="AM166" s="94"/>
      <c r="AN166" s="94"/>
      <c r="AO166" s="94"/>
      <c r="AP166" s="94"/>
      <c r="AQ166" s="94"/>
      <c r="AR166" s="94"/>
    </row>
    <row r="167" spans="1:44" ht="12.75" customHeight="1">
      <c r="A167" s="93"/>
      <c r="B167" s="93"/>
      <c r="C167" s="94"/>
      <c r="D167" s="94"/>
      <c r="E167" s="94"/>
      <c r="F167" s="95"/>
      <c r="G167" s="95"/>
      <c r="H167" s="95"/>
      <c r="I167" s="95"/>
      <c r="J167" s="95"/>
      <c r="K167" s="94"/>
      <c r="L167" s="94"/>
      <c r="M167" s="94"/>
      <c r="N167" s="94"/>
      <c r="O167" s="96"/>
      <c r="P167" s="105"/>
      <c r="Q167" s="105"/>
      <c r="R167" s="98"/>
      <c r="S167" s="98"/>
      <c r="T167" s="98"/>
      <c r="U167" s="98"/>
      <c r="V167" s="98"/>
      <c r="W167" s="98"/>
      <c r="X167" s="98"/>
      <c r="Y167" s="98"/>
      <c r="Z167" s="98"/>
      <c r="AA167" s="98"/>
      <c r="AB167" s="125"/>
      <c r="AC167" s="125"/>
      <c r="AD167" s="98"/>
      <c r="AE167" s="98"/>
      <c r="AF167" s="98"/>
      <c r="AG167" s="98"/>
      <c r="AH167" s="98"/>
      <c r="AI167" s="98"/>
      <c r="AJ167" s="98"/>
      <c r="AK167" s="94"/>
      <c r="AL167" s="94"/>
      <c r="AM167" s="94"/>
      <c r="AN167" s="94"/>
      <c r="AO167" s="94"/>
      <c r="AP167" s="94"/>
      <c r="AQ167" s="94"/>
      <c r="AR167" s="94"/>
    </row>
    <row r="168" spans="1:44" ht="12.75" customHeight="1">
      <c r="A168" s="107"/>
      <c r="B168" s="108" t="s">
        <v>194</v>
      </c>
      <c r="C168" s="109"/>
      <c r="D168" s="109"/>
      <c r="E168" s="109"/>
      <c r="F168" s="110"/>
      <c r="G168" s="110"/>
      <c r="H168" s="110"/>
      <c r="I168" s="110"/>
      <c r="J168" s="110"/>
      <c r="K168" s="109"/>
      <c r="L168" s="109"/>
      <c r="M168" s="109"/>
      <c r="N168" s="111"/>
      <c r="O168" s="112"/>
      <c r="P168" s="113"/>
      <c r="Q168" s="109"/>
      <c r="R168" s="114">
        <f t="shared" ref="R168:AA168" si="150">SUM(R151:R167)</f>
        <v>5.8896000000000006</v>
      </c>
      <c r="S168" s="114">
        <f t="shared" si="150"/>
        <v>0</v>
      </c>
      <c r="T168" s="114">
        <f t="shared" si="150"/>
        <v>0</v>
      </c>
      <c r="U168" s="114">
        <f t="shared" si="150"/>
        <v>0</v>
      </c>
      <c r="V168" s="114">
        <f t="shared" si="150"/>
        <v>5.8896000000000006</v>
      </c>
      <c r="W168" s="114">
        <f t="shared" si="150"/>
        <v>0</v>
      </c>
      <c r="X168" s="114">
        <f t="shared" si="150"/>
        <v>58.895999999999994</v>
      </c>
      <c r="Y168" s="114">
        <f t="shared" si="150"/>
        <v>0</v>
      </c>
      <c r="Z168" s="114" t="e">
        <f t="shared" si="150"/>
        <v>#DIV/0!</v>
      </c>
      <c r="AA168" s="114">
        <f t="shared" si="150"/>
        <v>0</v>
      </c>
      <c r="AB168" s="114"/>
      <c r="AC168" s="114"/>
      <c r="AD168" s="114">
        <f t="shared" ref="AD168:AF168" si="151">SUM(AD151:AD167)</f>
        <v>14.127999999999998</v>
      </c>
      <c r="AE168" s="114">
        <f t="shared" si="151"/>
        <v>37.704000000000001</v>
      </c>
      <c r="AF168" s="114">
        <f t="shared" si="151"/>
        <v>14.127999999999998</v>
      </c>
      <c r="AG168" s="114"/>
      <c r="AH168" s="114">
        <f t="shared" ref="AH168:AI168" si="152">SUM(AH151:AH167)</f>
        <v>70.64</v>
      </c>
      <c r="AI168" s="114">
        <f t="shared" si="152"/>
        <v>0</v>
      </c>
      <c r="AJ168" s="115"/>
      <c r="AK168" s="114">
        <f t="shared" ref="AK168:AL168" si="153">SUM(AK151:AK167)</f>
        <v>475.62799999999999</v>
      </c>
      <c r="AL168" s="114">
        <f t="shared" si="153"/>
        <v>0</v>
      </c>
      <c r="AM168" s="94"/>
      <c r="AN168" s="94"/>
      <c r="AO168" s="94"/>
      <c r="AP168" s="94"/>
      <c r="AQ168" s="94"/>
      <c r="AR168" s="94"/>
    </row>
    <row r="169" spans="1:44" ht="12.75" customHeight="1">
      <c r="A169" s="93"/>
      <c r="B169" s="93"/>
      <c r="C169" s="94"/>
      <c r="D169" s="94"/>
      <c r="E169" s="94"/>
      <c r="F169" s="95"/>
      <c r="G169" s="95"/>
      <c r="H169" s="95"/>
      <c r="I169" s="95"/>
      <c r="J169" s="95"/>
      <c r="K169" s="94"/>
      <c r="L169" s="94"/>
      <c r="M169" s="94"/>
      <c r="N169" s="94"/>
      <c r="O169" s="96"/>
      <c r="P169" s="94"/>
      <c r="Q169" s="94"/>
      <c r="R169" s="98"/>
      <c r="S169" s="98"/>
      <c r="T169" s="98"/>
      <c r="U169" s="98"/>
      <c r="V169" s="98"/>
      <c r="W169" s="98"/>
      <c r="X169" s="98"/>
      <c r="Y169" s="98"/>
      <c r="Z169" s="98"/>
      <c r="AA169" s="98"/>
      <c r="AB169" s="98"/>
      <c r="AC169" s="98"/>
      <c r="AD169" s="98"/>
      <c r="AE169" s="98"/>
      <c r="AF169" s="98"/>
      <c r="AG169" s="98"/>
      <c r="AH169" s="98"/>
      <c r="AI169" s="98"/>
      <c r="AJ169" s="98"/>
      <c r="AK169" s="94"/>
      <c r="AL169" s="94"/>
      <c r="AM169" s="94"/>
      <c r="AN169" s="94"/>
      <c r="AO169" s="94"/>
      <c r="AP169" s="94"/>
      <c r="AQ169" s="94"/>
      <c r="AR169" s="94"/>
    </row>
    <row r="170" spans="1:44" ht="14.4">
      <c r="A170" s="117"/>
      <c r="B170" s="126" t="s">
        <v>318</v>
      </c>
      <c r="C170" s="46"/>
      <c r="D170" s="46"/>
      <c r="E170" s="46"/>
      <c r="F170" s="50"/>
      <c r="G170" s="50"/>
      <c r="H170" s="50"/>
      <c r="I170" s="50"/>
      <c r="J170" s="50"/>
      <c r="K170" s="46"/>
      <c r="L170" s="46"/>
      <c r="M170" s="46"/>
      <c r="N170" s="46"/>
      <c r="O170" s="51"/>
      <c r="P170" s="46"/>
      <c r="Q170" s="46"/>
      <c r="R170" s="47"/>
      <c r="S170" s="47"/>
      <c r="T170" s="47"/>
      <c r="U170" s="47"/>
      <c r="V170" s="47"/>
      <c r="W170" s="47"/>
      <c r="X170" s="47"/>
      <c r="Y170" s="47"/>
      <c r="Z170" s="47"/>
      <c r="AA170" s="47"/>
      <c r="AB170" s="47"/>
      <c r="AC170" s="47"/>
      <c r="AD170" s="47"/>
      <c r="AE170" s="47"/>
      <c r="AF170" s="47"/>
      <c r="AG170" s="47"/>
      <c r="AH170" s="47"/>
      <c r="AI170" s="47"/>
      <c r="AJ170" s="47"/>
      <c r="AK170" s="46"/>
      <c r="AL170" s="46"/>
      <c r="AM170" s="46"/>
      <c r="AN170" s="46"/>
      <c r="AO170" s="46"/>
      <c r="AP170" s="46"/>
      <c r="AQ170" s="46"/>
      <c r="AR170" s="46"/>
    </row>
    <row r="171" spans="1:44" ht="12.75" customHeight="1">
      <c r="A171" s="117"/>
      <c r="B171" s="117" t="s">
        <v>283</v>
      </c>
      <c r="C171" s="46" t="s">
        <v>319</v>
      </c>
      <c r="D171" s="46">
        <v>1</v>
      </c>
      <c r="E171" s="46">
        <v>1</v>
      </c>
      <c r="F171" s="50">
        <v>33.299999999999997</v>
      </c>
      <c r="G171" s="50">
        <v>23.51</v>
      </c>
      <c r="H171" s="50">
        <v>0.3</v>
      </c>
      <c r="I171" s="50">
        <f>PRODUCT(D171:H171)</f>
        <v>234.86490000000001</v>
      </c>
      <c r="J171" s="50">
        <f>PRODUCT(D171:G171)</f>
        <v>782.88300000000004</v>
      </c>
      <c r="K171" s="50">
        <v>0</v>
      </c>
      <c r="L171" s="46"/>
      <c r="M171" s="46"/>
      <c r="N171" s="46"/>
      <c r="O171" s="51"/>
      <c r="P171" s="127">
        <v>0</v>
      </c>
      <c r="Q171" s="46"/>
      <c r="R171" s="47">
        <f t="shared" ref="R171:R173" si="154">((F171*G171)*P171)*E171*D171</f>
        <v>0</v>
      </c>
      <c r="S171" s="47">
        <f t="shared" ref="S171:S173" si="155">(J171*P171)*E171*D171</f>
        <v>0</v>
      </c>
      <c r="T171" s="47"/>
      <c r="U171" s="47"/>
      <c r="V171" s="47">
        <f t="shared" ref="V171:V173" si="156">PRODUCT(D171:H171)</f>
        <v>234.86490000000001</v>
      </c>
      <c r="W171" s="47">
        <f t="shared" ref="W171:W173" si="157">((K171*H171)*E171*D171)</f>
        <v>0</v>
      </c>
      <c r="X171" s="98">
        <f>D171*E171*F171*G171-SUM(I71:I77)</f>
        <v>722.28300000000002</v>
      </c>
      <c r="Y171" s="47"/>
      <c r="Z171" s="47" t="e">
        <f t="shared" ref="Z171:Z173" si="158">(R171/P171)+(S171/P171)</f>
        <v>#DIV/0!</v>
      </c>
      <c r="AA171" s="47"/>
      <c r="AB171" s="47"/>
      <c r="AC171" s="47"/>
      <c r="AD171" s="47"/>
      <c r="AE171" s="47"/>
      <c r="AF171" s="47"/>
      <c r="AG171" s="47"/>
      <c r="AH171" s="47">
        <f t="shared" ref="AH171:AI171" si="159">AH168</f>
        <v>70.64</v>
      </c>
      <c r="AI171" s="47">
        <f t="shared" si="159"/>
        <v>0</v>
      </c>
      <c r="AJ171" s="47"/>
      <c r="AK171" s="46"/>
      <c r="AL171" s="46"/>
      <c r="AM171" s="127">
        <f t="shared" ref="AM171:AM173" si="160">((F171*G171)*E171*D171)</f>
        <v>782.88300000000004</v>
      </c>
      <c r="AN171" s="127">
        <f t="shared" ref="AN171:AN173" si="161">((K171)*E171*D171)</f>
        <v>0</v>
      </c>
      <c r="AO171" s="46"/>
      <c r="AP171" s="46"/>
      <c r="AQ171" s="46"/>
      <c r="AR171" s="46"/>
    </row>
    <row r="172" spans="1:44" ht="12.75" customHeight="1">
      <c r="A172" s="117"/>
      <c r="B172" s="117" t="s">
        <v>285</v>
      </c>
      <c r="C172" s="46" t="s">
        <v>320</v>
      </c>
      <c r="D172" s="46">
        <v>1</v>
      </c>
      <c r="E172" s="46">
        <v>1</v>
      </c>
      <c r="F172" s="50"/>
      <c r="G172" s="50"/>
      <c r="H172" s="50">
        <v>0</v>
      </c>
      <c r="I172" s="50"/>
      <c r="J172" s="50">
        <v>40.07</v>
      </c>
      <c r="K172" s="47"/>
      <c r="L172" s="46"/>
      <c r="M172" s="46"/>
      <c r="N172" s="46"/>
      <c r="O172" s="51"/>
      <c r="P172" s="127">
        <v>0</v>
      </c>
      <c r="Q172" s="46"/>
      <c r="R172" s="47">
        <f t="shared" si="154"/>
        <v>0</v>
      </c>
      <c r="S172" s="47">
        <f t="shared" si="155"/>
        <v>0</v>
      </c>
      <c r="T172" s="47"/>
      <c r="U172" s="47"/>
      <c r="V172" s="47">
        <f t="shared" si="156"/>
        <v>0</v>
      </c>
      <c r="W172" s="47">
        <f t="shared" si="157"/>
        <v>0</v>
      </c>
      <c r="X172" s="98">
        <f t="shared" ref="X172:X173" si="162">((F172)*(H172*2))*E172*D172</f>
        <v>0</v>
      </c>
      <c r="Y172" s="47"/>
      <c r="Z172" s="47" t="e">
        <f t="shared" si="158"/>
        <v>#DIV/0!</v>
      </c>
      <c r="AA172" s="47"/>
      <c r="AB172" s="47"/>
      <c r="AC172" s="47"/>
      <c r="AD172" s="47"/>
      <c r="AE172" s="47"/>
      <c r="AF172" s="47"/>
      <c r="AG172" s="47"/>
      <c r="AH172" s="47">
        <f t="shared" ref="AH172:AI172" si="163">AH169</f>
        <v>0</v>
      </c>
      <c r="AI172" s="47">
        <f t="shared" si="163"/>
        <v>0</v>
      </c>
      <c r="AJ172" s="47"/>
      <c r="AK172" s="46"/>
      <c r="AL172" s="46"/>
      <c r="AM172" s="127">
        <f t="shared" si="160"/>
        <v>0</v>
      </c>
      <c r="AN172" s="127">
        <f t="shared" si="161"/>
        <v>0</v>
      </c>
      <c r="AO172" s="46"/>
      <c r="AP172" s="46"/>
      <c r="AQ172" s="46"/>
      <c r="AR172" s="46"/>
    </row>
    <row r="173" spans="1:44" ht="12.75" customHeight="1">
      <c r="A173" s="117"/>
      <c r="B173" s="117" t="s">
        <v>287</v>
      </c>
      <c r="C173" s="46" t="s">
        <v>321</v>
      </c>
      <c r="D173" s="46">
        <v>0</v>
      </c>
      <c r="E173" s="46">
        <v>0</v>
      </c>
      <c r="F173" s="50"/>
      <c r="G173" s="50"/>
      <c r="H173" s="50">
        <v>0</v>
      </c>
      <c r="I173" s="50"/>
      <c r="J173" s="50">
        <v>1.22</v>
      </c>
      <c r="K173" s="47">
        <f>AF169</f>
        <v>0</v>
      </c>
      <c r="L173" s="46"/>
      <c r="M173" s="46"/>
      <c r="N173" s="46"/>
      <c r="O173" s="51"/>
      <c r="P173" s="127">
        <v>0</v>
      </c>
      <c r="Q173" s="46"/>
      <c r="R173" s="47">
        <f t="shared" si="154"/>
        <v>0</v>
      </c>
      <c r="S173" s="47">
        <f t="shared" si="155"/>
        <v>0</v>
      </c>
      <c r="T173" s="47"/>
      <c r="U173" s="47"/>
      <c r="V173" s="47">
        <f t="shared" si="156"/>
        <v>0</v>
      </c>
      <c r="W173" s="47">
        <f t="shared" si="157"/>
        <v>0</v>
      </c>
      <c r="X173" s="98">
        <f t="shared" si="162"/>
        <v>0</v>
      </c>
      <c r="Y173" s="47"/>
      <c r="Z173" s="47" t="e">
        <f t="shared" si="158"/>
        <v>#DIV/0!</v>
      </c>
      <c r="AA173" s="47"/>
      <c r="AB173" s="47"/>
      <c r="AC173" s="47"/>
      <c r="AD173" s="47"/>
      <c r="AE173" s="47"/>
      <c r="AF173" s="47"/>
      <c r="AG173" s="47"/>
      <c r="AH173" s="47">
        <f t="shared" ref="AH173:AI173" si="164">AH126</f>
        <v>0</v>
      </c>
      <c r="AI173" s="47">
        <f t="shared" si="164"/>
        <v>0</v>
      </c>
      <c r="AJ173" s="47"/>
      <c r="AK173" s="46"/>
      <c r="AL173" s="46"/>
      <c r="AM173" s="127">
        <f t="shared" si="160"/>
        <v>0</v>
      </c>
      <c r="AN173" s="127">
        <f t="shared" si="161"/>
        <v>0</v>
      </c>
      <c r="AO173" s="46"/>
      <c r="AP173" s="46"/>
      <c r="AQ173" s="46"/>
      <c r="AR173" s="46"/>
    </row>
    <row r="174" spans="1:44" ht="12.75" customHeight="1">
      <c r="A174" s="93"/>
      <c r="B174" s="93"/>
      <c r="C174" s="94"/>
      <c r="D174" s="94"/>
      <c r="E174" s="94"/>
      <c r="F174" s="95"/>
      <c r="G174" s="95"/>
      <c r="H174" s="95"/>
      <c r="I174" s="95"/>
      <c r="J174" s="95"/>
      <c r="K174" s="94"/>
      <c r="L174" s="94"/>
      <c r="M174" s="94"/>
      <c r="N174" s="94"/>
      <c r="O174" s="96"/>
      <c r="P174" s="94"/>
      <c r="Q174" s="94"/>
      <c r="R174" s="98"/>
      <c r="S174" s="98"/>
      <c r="T174" s="98"/>
      <c r="U174" s="98"/>
      <c r="V174" s="98"/>
      <c r="W174" s="98"/>
      <c r="X174" s="98"/>
      <c r="Y174" s="98"/>
      <c r="Z174" s="98"/>
      <c r="AA174" s="98"/>
      <c r="AB174" s="98"/>
      <c r="AC174" s="98"/>
      <c r="AD174" s="98"/>
      <c r="AE174" s="98"/>
      <c r="AF174" s="98"/>
      <c r="AG174" s="98"/>
      <c r="AH174" s="98"/>
      <c r="AI174" s="98"/>
      <c r="AJ174" s="98"/>
      <c r="AK174" s="94"/>
      <c r="AL174" s="94"/>
      <c r="AM174" s="105"/>
      <c r="AN174" s="105"/>
      <c r="AO174" s="94"/>
      <c r="AP174" s="94"/>
      <c r="AQ174" s="94"/>
      <c r="AR174" s="94"/>
    </row>
    <row r="175" spans="1:44" ht="12.75" customHeight="1">
      <c r="A175" s="93"/>
      <c r="B175" s="93"/>
      <c r="C175" s="94"/>
      <c r="D175" s="94"/>
      <c r="E175" s="94"/>
      <c r="F175" s="95"/>
      <c r="G175" s="95"/>
      <c r="H175" s="95"/>
      <c r="I175" s="95"/>
      <c r="J175" s="95"/>
      <c r="K175" s="94"/>
      <c r="L175" s="94"/>
      <c r="M175" s="94"/>
      <c r="N175" s="94"/>
      <c r="O175" s="96"/>
      <c r="P175" s="94"/>
      <c r="Q175" s="94"/>
      <c r="R175" s="98"/>
      <c r="S175" s="98"/>
      <c r="T175" s="98"/>
      <c r="U175" s="98"/>
      <c r="V175" s="98"/>
      <c r="W175" s="98"/>
      <c r="X175" s="98"/>
      <c r="Y175" s="98"/>
      <c r="Z175" s="98"/>
      <c r="AA175" s="98"/>
      <c r="AB175" s="98"/>
      <c r="AC175" s="98"/>
      <c r="AD175" s="98"/>
      <c r="AE175" s="98"/>
      <c r="AF175" s="98"/>
      <c r="AG175" s="98"/>
      <c r="AH175" s="98"/>
      <c r="AI175" s="98"/>
      <c r="AJ175" s="98"/>
      <c r="AK175" s="94"/>
      <c r="AL175" s="94"/>
      <c r="AM175" s="105"/>
      <c r="AN175" s="105"/>
      <c r="AO175" s="94"/>
      <c r="AP175" s="94"/>
      <c r="AQ175" s="94"/>
      <c r="AR175" s="94"/>
    </row>
    <row r="176" spans="1:44" ht="12.75" customHeight="1">
      <c r="A176" s="93"/>
      <c r="B176" s="93"/>
      <c r="C176" s="94"/>
      <c r="D176" s="94"/>
      <c r="E176" s="94"/>
      <c r="F176" s="95"/>
      <c r="G176" s="95"/>
      <c r="H176" s="95"/>
      <c r="I176" s="95"/>
      <c r="J176" s="95"/>
      <c r="K176" s="94"/>
      <c r="L176" s="94"/>
      <c r="M176" s="94"/>
      <c r="N176" s="94"/>
      <c r="O176" s="96"/>
      <c r="P176" s="94"/>
      <c r="Q176" s="94"/>
      <c r="R176" s="98"/>
      <c r="S176" s="98"/>
      <c r="T176" s="98"/>
      <c r="U176" s="98"/>
      <c r="V176" s="98"/>
      <c r="W176" s="98"/>
      <c r="X176" s="98"/>
      <c r="Y176" s="98"/>
      <c r="Z176" s="98"/>
      <c r="AA176" s="98"/>
      <c r="AB176" s="98"/>
      <c r="AC176" s="98"/>
      <c r="AD176" s="98"/>
      <c r="AE176" s="98"/>
      <c r="AF176" s="98"/>
      <c r="AG176" s="98"/>
      <c r="AH176" s="98"/>
      <c r="AI176" s="98"/>
      <c r="AJ176" s="98"/>
      <c r="AK176" s="94"/>
      <c r="AL176" s="94"/>
      <c r="AM176" s="94"/>
      <c r="AN176" s="94"/>
      <c r="AO176" s="94"/>
      <c r="AP176" s="94"/>
      <c r="AQ176" s="94"/>
      <c r="AR176" s="94"/>
    </row>
    <row r="177" spans="1:44" ht="12.75" customHeight="1">
      <c r="A177" s="107"/>
      <c r="B177" s="108" t="s">
        <v>194</v>
      </c>
      <c r="C177" s="109"/>
      <c r="D177" s="109"/>
      <c r="E177" s="109"/>
      <c r="F177" s="110"/>
      <c r="G177" s="110"/>
      <c r="H177" s="110"/>
      <c r="I177" s="110"/>
      <c r="J177" s="110"/>
      <c r="K177" s="109"/>
      <c r="L177" s="109"/>
      <c r="M177" s="109"/>
      <c r="N177" s="111"/>
      <c r="O177" s="112"/>
      <c r="P177" s="113"/>
      <c r="Q177" s="109"/>
      <c r="R177" s="114">
        <f t="shared" ref="R177:AA177" si="165">SUM(R171:R176)</f>
        <v>0</v>
      </c>
      <c r="S177" s="114">
        <f t="shared" si="165"/>
        <v>0</v>
      </c>
      <c r="T177" s="114">
        <f t="shared" si="165"/>
        <v>0</v>
      </c>
      <c r="U177" s="114">
        <f t="shared" si="165"/>
        <v>0</v>
      </c>
      <c r="V177" s="114">
        <f t="shared" si="165"/>
        <v>234.86490000000001</v>
      </c>
      <c r="W177" s="114">
        <f t="shared" si="165"/>
        <v>0</v>
      </c>
      <c r="X177" s="114">
        <f t="shared" si="165"/>
        <v>722.28300000000002</v>
      </c>
      <c r="Y177" s="114">
        <f t="shared" si="165"/>
        <v>0</v>
      </c>
      <c r="Z177" s="114" t="e">
        <f t="shared" si="165"/>
        <v>#DIV/0!</v>
      </c>
      <c r="AA177" s="114">
        <f t="shared" si="165"/>
        <v>0</v>
      </c>
      <c r="AB177" s="114"/>
      <c r="AC177" s="114"/>
      <c r="AD177" s="114">
        <f t="shared" ref="AD177:AF177" si="166">SUM(AD171:AD176)</f>
        <v>0</v>
      </c>
      <c r="AE177" s="114">
        <f t="shared" si="166"/>
        <v>0</v>
      </c>
      <c r="AF177" s="114">
        <f t="shared" si="166"/>
        <v>0</v>
      </c>
      <c r="AG177" s="114"/>
      <c r="AH177" s="114">
        <f t="shared" ref="AH177:AI177" si="167">SUM(AH171:AH176)</f>
        <v>70.64</v>
      </c>
      <c r="AI177" s="114">
        <f t="shared" si="167"/>
        <v>0</v>
      </c>
      <c r="AJ177" s="115"/>
      <c r="AK177" s="114">
        <f t="shared" ref="AK177:AN177" si="168">SUM(AK171:AK176)</f>
        <v>0</v>
      </c>
      <c r="AL177" s="114">
        <f t="shared" si="168"/>
        <v>0</v>
      </c>
      <c r="AM177" s="114">
        <f t="shared" si="168"/>
        <v>782.88300000000004</v>
      </c>
      <c r="AN177" s="114">
        <f t="shared" si="168"/>
        <v>0</v>
      </c>
      <c r="AO177" s="94"/>
      <c r="AP177" s="94"/>
      <c r="AQ177" s="94"/>
      <c r="AR177" s="94"/>
    </row>
    <row r="178" spans="1:44" ht="12.75" customHeight="1">
      <c r="A178" s="93"/>
      <c r="B178" s="93"/>
      <c r="C178" s="94"/>
      <c r="D178" s="94"/>
      <c r="E178" s="94"/>
      <c r="F178" s="95"/>
      <c r="G178" s="95"/>
      <c r="H178" s="95"/>
      <c r="I178" s="95"/>
      <c r="J178" s="95"/>
      <c r="K178" s="94"/>
      <c r="L178" s="94"/>
      <c r="M178" s="94"/>
      <c r="N178" s="94"/>
      <c r="O178" s="123"/>
      <c r="P178" s="94"/>
      <c r="Q178" s="94"/>
      <c r="R178" s="98"/>
      <c r="S178" s="98"/>
      <c r="T178" s="98"/>
      <c r="U178" s="98"/>
      <c r="V178" s="98"/>
      <c r="W178" s="98"/>
      <c r="X178" s="98"/>
      <c r="Y178" s="98"/>
      <c r="Z178" s="98"/>
      <c r="AA178" s="98"/>
      <c r="AB178" s="98"/>
      <c r="AC178" s="98"/>
      <c r="AD178" s="98"/>
      <c r="AE178" s="98"/>
      <c r="AF178" s="98"/>
      <c r="AG178" s="98"/>
      <c r="AH178" s="98"/>
      <c r="AI178" s="98"/>
      <c r="AJ178" s="98"/>
      <c r="AK178" s="94"/>
      <c r="AL178" s="94"/>
      <c r="AM178" s="94"/>
      <c r="AN178" s="94"/>
      <c r="AO178" s="94"/>
      <c r="AP178" s="94"/>
      <c r="AQ178" s="94"/>
      <c r="AR178" s="94"/>
    </row>
    <row r="179" spans="1:44" ht="12.75" customHeight="1">
      <c r="A179" s="93"/>
      <c r="B179" s="93" t="s">
        <v>299</v>
      </c>
      <c r="C179" s="94"/>
      <c r="D179" s="94"/>
      <c r="E179" s="94"/>
      <c r="F179" s="95"/>
      <c r="G179" s="95"/>
      <c r="H179" s="95"/>
      <c r="I179" s="95"/>
      <c r="J179" s="95"/>
      <c r="K179" s="94"/>
      <c r="L179" s="94"/>
      <c r="M179" s="94"/>
      <c r="N179" s="94"/>
      <c r="O179" s="96"/>
      <c r="P179" s="94"/>
      <c r="Q179" s="94"/>
      <c r="R179" s="98"/>
      <c r="S179" s="98"/>
      <c r="T179" s="98"/>
      <c r="U179" s="98"/>
      <c r="V179" s="98"/>
      <c r="W179" s="98"/>
      <c r="X179" s="98"/>
      <c r="Y179" s="98"/>
      <c r="Z179" s="98"/>
      <c r="AA179" s="98"/>
      <c r="AB179" s="98"/>
      <c r="AC179" s="98"/>
      <c r="AD179" s="98"/>
      <c r="AE179" s="98"/>
      <c r="AF179" s="98"/>
      <c r="AG179" s="98"/>
      <c r="AH179" s="98"/>
      <c r="AI179" s="98"/>
      <c r="AJ179" s="98"/>
      <c r="AK179" s="94"/>
      <c r="AL179" s="94"/>
      <c r="AM179" s="94"/>
      <c r="AN179" s="94"/>
      <c r="AO179" s="94"/>
      <c r="AP179" s="94"/>
      <c r="AQ179" s="94"/>
      <c r="AR179" s="94"/>
    </row>
    <row r="180" spans="1:44" ht="12.75" customHeight="1">
      <c r="A180" s="93"/>
      <c r="B180" s="104" t="s">
        <v>265</v>
      </c>
      <c r="C180" s="94"/>
      <c r="D180" s="94"/>
      <c r="E180" s="94"/>
      <c r="F180" s="95"/>
      <c r="G180" s="95"/>
      <c r="H180" s="95"/>
      <c r="I180" s="95"/>
      <c r="J180" s="95"/>
      <c r="K180" s="94"/>
      <c r="L180" s="94"/>
      <c r="M180" s="94"/>
      <c r="N180" s="94"/>
      <c r="O180" s="96"/>
      <c r="P180" s="94"/>
      <c r="Q180" s="94"/>
      <c r="R180" s="98"/>
      <c r="S180" s="98"/>
      <c r="T180" s="98"/>
      <c r="U180" s="98"/>
      <c r="V180" s="98"/>
      <c r="W180" s="98"/>
      <c r="X180" s="98"/>
      <c r="Y180" s="98"/>
      <c r="Z180" s="98"/>
      <c r="AA180" s="98"/>
      <c r="AB180" s="124" t="s">
        <v>266</v>
      </c>
      <c r="AC180" s="98" t="s">
        <v>267</v>
      </c>
      <c r="AD180" s="98"/>
      <c r="AE180" s="98"/>
      <c r="AF180" s="98"/>
      <c r="AG180" s="98"/>
      <c r="AH180" s="98"/>
      <c r="AI180" s="98"/>
      <c r="AJ180" s="98" t="s">
        <v>268</v>
      </c>
      <c r="AK180" s="94"/>
      <c r="AL180" s="94"/>
      <c r="AM180" s="94"/>
      <c r="AN180" s="94"/>
      <c r="AO180" s="94"/>
      <c r="AP180" s="94"/>
      <c r="AQ180" s="94"/>
      <c r="AR180" s="94"/>
    </row>
    <row r="181" spans="1:44" ht="12.75" customHeight="1">
      <c r="A181" s="93"/>
      <c r="B181" s="93" t="s">
        <v>300</v>
      </c>
      <c r="C181" s="94" t="s">
        <v>322</v>
      </c>
      <c r="D181" s="94">
        <v>1</v>
      </c>
      <c r="E181" s="94">
        <v>1</v>
      </c>
      <c r="F181" s="95">
        <v>4.74</v>
      </c>
      <c r="G181" s="95">
        <v>0.2</v>
      </c>
      <c r="H181" s="95">
        <f t="shared" ref="H181:H186" si="169">0.7-0.3</f>
        <v>0.39999999999999997</v>
      </c>
      <c r="I181" s="95"/>
      <c r="J181" s="95"/>
      <c r="K181" s="94"/>
      <c r="L181" s="94"/>
      <c r="M181" s="94"/>
      <c r="N181" s="94"/>
      <c r="O181" s="96"/>
      <c r="P181" s="105">
        <v>0</v>
      </c>
      <c r="Q181" s="105">
        <v>0</v>
      </c>
      <c r="R181" s="103">
        <f t="shared" ref="R181:R193" si="170">(((F181)*(G181*H181)))*E181*D181</f>
        <v>0.37920000000000004</v>
      </c>
      <c r="S181" s="103">
        <f t="shared" ref="S181:S190" si="171">((J181*P181)*E181*D181)</f>
        <v>0</v>
      </c>
      <c r="T181" s="103">
        <f t="shared" ref="T181:T190" si="172">((F181*P181)*2)*D181*E181</f>
        <v>0</v>
      </c>
      <c r="U181" s="98">
        <f t="shared" ref="U181:U190" si="173">((L181*P181)*E181*D181)</f>
        <v>0</v>
      </c>
      <c r="V181" s="98">
        <f t="shared" ref="V181:V190" si="174">PRODUCT(D181:H181)</f>
        <v>0.37919999999999998</v>
      </c>
      <c r="W181" s="98">
        <f t="shared" ref="W181:W190" si="175">(K181*H181)*E181*D181</f>
        <v>0</v>
      </c>
      <c r="X181" s="98">
        <f t="shared" ref="X181:X190" si="176">((F181)*(H181*2))*E181*D181</f>
        <v>3.7919999999999998</v>
      </c>
      <c r="Y181" s="98">
        <f t="shared" ref="Y181:Y190" si="177">((M181)*H181)*E181*D181</f>
        <v>0</v>
      </c>
      <c r="Z181" s="103" t="e">
        <f t="shared" ref="Z181:Z190" si="178">(R181/P181)+(S181/P181)</f>
        <v>#DIV/0!</v>
      </c>
      <c r="AA181" s="103">
        <f t="shared" ref="AA181:AA190" si="179">(T181+U181)</f>
        <v>0</v>
      </c>
      <c r="AB181" s="125">
        <v>0.15</v>
      </c>
      <c r="AC181" s="125">
        <v>0.15</v>
      </c>
      <c r="AD181" s="103">
        <f t="shared" ref="AD181:AD190" si="180">(((F181*G181)*E181*D181))+K181</f>
        <v>0.94800000000000006</v>
      </c>
      <c r="AE181" s="103">
        <f t="shared" ref="AE181:AE190" si="181">(((F181*(H181-AB181))+(F181*(H181-AC181)))*E181*D181)+Y181</f>
        <v>2.3699999999999997</v>
      </c>
      <c r="AF181" s="98">
        <f t="shared" ref="AF181:AF190" si="182">AD181</f>
        <v>0.94800000000000006</v>
      </c>
      <c r="AG181" s="98"/>
      <c r="AH181" s="103">
        <f t="shared" ref="AH181:AH190" si="183">F181*E181*D181</f>
        <v>4.74</v>
      </c>
      <c r="AI181" s="98"/>
      <c r="AJ181" s="125">
        <f t="shared" ref="AJ181:AJ190" si="184">$H$8-0.1-H181+0.3</f>
        <v>6.75</v>
      </c>
      <c r="AK181" s="105">
        <f t="shared" ref="AK181:AK190" si="185">((F181*AJ181)*E181*D181)</f>
        <v>31.995000000000001</v>
      </c>
      <c r="AL181" s="94"/>
      <c r="AM181" s="94"/>
      <c r="AN181" s="94"/>
      <c r="AO181" s="94"/>
      <c r="AP181" s="94"/>
      <c r="AQ181" s="94"/>
      <c r="AR181" s="94"/>
    </row>
    <row r="182" spans="1:44" ht="12.75" customHeight="1">
      <c r="A182" s="93"/>
      <c r="B182" s="93" t="s">
        <v>300</v>
      </c>
      <c r="C182" s="94" t="s">
        <v>323</v>
      </c>
      <c r="D182" s="94">
        <v>1</v>
      </c>
      <c r="E182" s="94">
        <v>1</v>
      </c>
      <c r="F182" s="95">
        <v>4.45</v>
      </c>
      <c r="G182" s="95">
        <v>0.2</v>
      </c>
      <c r="H182" s="95">
        <f t="shared" si="169"/>
        <v>0.39999999999999997</v>
      </c>
      <c r="I182" s="95"/>
      <c r="J182" s="95"/>
      <c r="K182" s="94"/>
      <c r="L182" s="94"/>
      <c r="M182" s="94"/>
      <c r="N182" s="94"/>
      <c r="O182" s="96"/>
      <c r="P182" s="105">
        <v>0</v>
      </c>
      <c r="Q182" s="105">
        <v>0</v>
      </c>
      <c r="R182" s="103">
        <f t="shared" si="170"/>
        <v>0.35600000000000004</v>
      </c>
      <c r="S182" s="103">
        <f t="shared" si="171"/>
        <v>0</v>
      </c>
      <c r="T182" s="103">
        <f t="shared" si="172"/>
        <v>0</v>
      </c>
      <c r="U182" s="98">
        <f t="shared" si="173"/>
        <v>0</v>
      </c>
      <c r="V182" s="98">
        <f t="shared" si="174"/>
        <v>0.35600000000000004</v>
      </c>
      <c r="W182" s="98">
        <f t="shared" si="175"/>
        <v>0</v>
      </c>
      <c r="X182" s="98">
        <f t="shared" si="176"/>
        <v>3.56</v>
      </c>
      <c r="Y182" s="98">
        <f t="shared" si="177"/>
        <v>0</v>
      </c>
      <c r="Z182" s="103" t="e">
        <f t="shared" si="178"/>
        <v>#DIV/0!</v>
      </c>
      <c r="AA182" s="103">
        <f t="shared" si="179"/>
        <v>0</v>
      </c>
      <c r="AB182" s="125">
        <v>0.15</v>
      </c>
      <c r="AC182" s="125">
        <v>0.15</v>
      </c>
      <c r="AD182" s="103">
        <f t="shared" si="180"/>
        <v>0.89000000000000012</v>
      </c>
      <c r="AE182" s="103">
        <f t="shared" si="181"/>
        <v>2.2249999999999996</v>
      </c>
      <c r="AF182" s="98">
        <f t="shared" si="182"/>
        <v>0.89000000000000012</v>
      </c>
      <c r="AG182" s="98"/>
      <c r="AH182" s="103">
        <f t="shared" si="183"/>
        <v>4.45</v>
      </c>
      <c r="AI182" s="98"/>
      <c r="AJ182" s="125">
        <f t="shared" si="184"/>
        <v>6.75</v>
      </c>
      <c r="AK182" s="105">
        <f t="shared" si="185"/>
        <v>30.037500000000001</v>
      </c>
      <c r="AL182" s="94"/>
      <c r="AM182" s="94"/>
      <c r="AN182" s="94"/>
      <c r="AO182" s="94"/>
      <c r="AP182" s="94"/>
      <c r="AQ182" s="94"/>
      <c r="AR182" s="94"/>
    </row>
    <row r="183" spans="1:44" ht="12.75" customHeight="1">
      <c r="A183" s="93"/>
      <c r="B183" s="93" t="s">
        <v>300</v>
      </c>
      <c r="C183" s="94" t="s">
        <v>324</v>
      </c>
      <c r="D183" s="94">
        <v>1</v>
      </c>
      <c r="E183" s="94">
        <v>2</v>
      </c>
      <c r="F183" s="95">
        <v>6.68</v>
      </c>
      <c r="G183" s="95">
        <v>0.2</v>
      </c>
      <c r="H183" s="95">
        <f t="shared" si="169"/>
        <v>0.39999999999999997</v>
      </c>
      <c r="I183" s="95"/>
      <c r="J183" s="95"/>
      <c r="K183" s="94"/>
      <c r="L183" s="94"/>
      <c r="M183" s="94"/>
      <c r="N183" s="94"/>
      <c r="O183" s="96"/>
      <c r="P183" s="105">
        <v>0</v>
      </c>
      <c r="Q183" s="105">
        <v>0</v>
      </c>
      <c r="R183" s="103">
        <f t="shared" si="170"/>
        <v>1.0688</v>
      </c>
      <c r="S183" s="103">
        <f t="shared" si="171"/>
        <v>0</v>
      </c>
      <c r="T183" s="103">
        <f t="shared" si="172"/>
        <v>0</v>
      </c>
      <c r="U183" s="98">
        <f t="shared" si="173"/>
        <v>0</v>
      </c>
      <c r="V183" s="98">
        <f t="shared" si="174"/>
        <v>1.0688</v>
      </c>
      <c r="W183" s="98">
        <f t="shared" si="175"/>
        <v>0</v>
      </c>
      <c r="X183" s="98">
        <f t="shared" si="176"/>
        <v>10.687999999999999</v>
      </c>
      <c r="Y183" s="98">
        <f t="shared" si="177"/>
        <v>0</v>
      </c>
      <c r="Z183" s="103" t="e">
        <f t="shared" si="178"/>
        <v>#DIV/0!</v>
      </c>
      <c r="AA183" s="103">
        <f t="shared" si="179"/>
        <v>0</v>
      </c>
      <c r="AB183" s="125">
        <v>0.15</v>
      </c>
      <c r="AC183" s="125">
        <v>0.15</v>
      </c>
      <c r="AD183" s="103">
        <f t="shared" si="180"/>
        <v>2.6720000000000002</v>
      </c>
      <c r="AE183" s="103">
        <f t="shared" si="181"/>
        <v>6.6799999999999988</v>
      </c>
      <c r="AF183" s="98">
        <f t="shared" si="182"/>
        <v>2.6720000000000002</v>
      </c>
      <c r="AG183" s="98"/>
      <c r="AH183" s="103">
        <f t="shared" si="183"/>
        <v>13.36</v>
      </c>
      <c r="AI183" s="98"/>
      <c r="AJ183" s="125">
        <f t="shared" si="184"/>
        <v>6.75</v>
      </c>
      <c r="AK183" s="105">
        <f t="shared" si="185"/>
        <v>90.179999999999993</v>
      </c>
      <c r="AL183" s="94"/>
      <c r="AM183" s="94"/>
      <c r="AN183" s="94"/>
      <c r="AO183" s="94"/>
      <c r="AP183" s="94"/>
      <c r="AQ183" s="94"/>
      <c r="AR183" s="94"/>
    </row>
    <row r="184" spans="1:44" ht="12.75" customHeight="1">
      <c r="A184" s="93"/>
      <c r="B184" s="93" t="s">
        <v>300</v>
      </c>
      <c r="C184" s="94" t="s">
        <v>325</v>
      </c>
      <c r="D184" s="94">
        <v>1</v>
      </c>
      <c r="E184" s="94">
        <v>1</v>
      </c>
      <c r="F184" s="95">
        <v>5.25</v>
      </c>
      <c r="G184" s="95">
        <v>0.2</v>
      </c>
      <c r="H184" s="95">
        <f t="shared" si="169"/>
        <v>0.39999999999999997</v>
      </c>
      <c r="I184" s="95"/>
      <c r="J184" s="95"/>
      <c r="K184" s="94"/>
      <c r="L184" s="94"/>
      <c r="M184" s="94"/>
      <c r="N184" s="94"/>
      <c r="O184" s="96"/>
      <c r="P184" s="105">
        <v>0</v>
      </c>
      <c r="Q184" s="105">
        <v>0</v>
      </c>
      <c r="R184" s="103">
        <f t="shared" si="170"/>
        <v>0.42</v>
      </c>
      <c r="S184" s="103">
        <f t="shared" si="171"/>
        <v>0</v>
      </c>
      <c r="T184" s="103">
        <f t="shared" si="172"/>
        <v>0</v>
      </c>
      <c r="U184" s="98">
        <f t="shared" si="173"/>
        <v>0</v>
      </c>
      <c r="V184" s="98">
        <f t="shared" si="174"/>
        <v>0.42</v>
      </c>
      <c r="W184" s="98">
        <f t="shared" si="175"/>
        <v>0</v>
      </c>
      <c r="X184" s="98">
        <f t="shared" si="176"/>
        <v>4.1999999999999993</v>
      </c>
      <c r="Y184" s="98">
        <f t="shared" si="177"/>
        <v>0</v>
      </c>
      <c r="Z184" s="103" t="e">
        <f t="shared" si="178"/>
        <v>#DIV/0!</v>
      </c>
      <c r="AA184" s="103">
        <f t="shared" si="179"/>
        <v>0</v>
      </c>
      <c r="AB184" s="125">
        <v>0.15</v>
      </c>
      <c r="AC184" s="125">
        <v>0.15</v>
      </c>
      <c r="AD184" s="103">
        <f t="shared" si="180"/>
        <v>1.05</v>
      </c>
      <c r="AE184" s="103">
        <f t="shared" si="181"/>
        <v>2.6249999999999996</v>
      </c>
      <c r="AF184" s="98">
        <f t="shared" si="182"/>
        <v>1.05</v>
      </c>
      <c r="AG184" s="98"/>
      <c r="AH184" s="103">
        <f t="shared" si="183"/>
        <v>5.25</v>
      </c>
      <c r="AI184" s="98"/>
      <c r="AJ184" s="125">
        <f t="shared" si="184"/>
        <v>6.75</v>
      </c>
      <c r="AK184" s="105">
        <f t="shared" si="185"/>
        <v>35.4375</v>
      </c>
      <c r="AL184" s="94"/>
      <c r="AM184" s="94"/>
      <c r="AN184" s="94"/>
      <c r="AO184" s="94"/>
      <c r="AP184" s="94"/>
      <c r="AQ184" s="94"/>
      <c r="AR184" s="94"/>
    </row>
    <row r="185" spans="1:44" ht="12.75" customHeight="1">
      <c r="A185" s="93"/>
      <c r="B185" s="93" t="s">
        <v>300</v>
      </c>
      <c r="C185" s="94" t="s">
        <v>326</v>
      </c>
      <c r="D185" s="94">
        <v>1</v>
      </c>
      <c r="E185" s="94">
        <v>2</v>
      </c>
      <c r="F185" s="95">
        <v>0.95</v>
      </c>
      <c r="G185" s="95">
        <v>0.2</v>
      </c>
      <c r="H185" s="95">
        <f t="shared" si="169"/>
        <v>0.39999999999999997</v>
      </c>
      <c r="I185" s="95"/>
      <c r="J185" s="95"/>
      <c r="K185" s="94"/>
      <c r="L185" s="94"/>
      <c r="M185" s="94"/>
      <c r="N185" s="94"/>
      <c r="O185" s="96"/>
      <c r="P185" s="105">
        <v>0</v>
      </c>
      <c r="Q185" s="105">
        <v>0</v>
      </c>
      <c r="R185" s="103">
        <f t="shared" si="170"/>
        <v>0.152</v>
      </c>
      <c r="S185" s="103">
        <f t="shared" si="171"/>
        <v>0</v>
      </c>
      <c r="T185" s="103">
        <f t="shared" si="172"/>
        <v>0</v>
      </c>
      <c r="U185" s="98">
        <f t="shared" si="173"/>
        <v>0</v>
      </c>
      <c r="V185" s="98">
        <f t="shared" si="174"/>
        <v>0.152</v>
      </c>
      <c r="W185" s="98">
        <f t="shared" si="175"/>
        <v>0</v>
      </c>
      <c r="X185" s="98">
        <f t="shared" si="176"/>
        <v>1.5199999999999998</v>
      </c>
      <c r="Y185" s="98">
        <f t="shared" si="177"/>
        <v>0</v>
      </c>
      <c r="Z185" s="103" t="e">
        <f t="shared" si="178"/>
        <v>#DIV/0!</v>
      </c>
      <c r="AA185" s="103">
        <f t="shared" si="179"/>
        <v>0</v>
      </c>
      <c r="AB185" s="125">
        <v>0.15</v>
      </c>
      <c r="AC185" s="125">
        <v>0.15</v>
      </c>
      <c r="AD185" s="103">
        <f t="shared" si="180"/>
        <v>0.38</v>
      </c>
      <c r="AE185" s="103">
        <f t="shared" si="181"/>
        <v>0.94999999999999984</v>
      </c>
      <c r="AF185" s="98">
        <f t="shared" si="182"/>
        <v>0.38</v>
      </c>
      <c r="AG185" s="98"/>
      <c r="AH185" s="103">
        <f t="shared" si="183"/>
        <v>1.9</v>
      </c>
      <c r="AI185" s="98"/>
      <c r="AJ185" s="125">
        <f t="shared" si="184"/>
        <v>6.75</v>
      </c>
      <c r="AK185" s="105">
        <f t="shared" si="185"/>
        <v>12.824999999999999</v>
      </c>
      <c r="AL185" s="94"/>
      <c r="AM185" s="94"/>
      <c r="AN185" s="94"/>
      <c r="AO185" s="94"/>
      <c r="AP185" s="94"/>
      <c r="AQ185" s="94"/>
      <c r="AR185" s="94"/>
    </row>
    <row r="186" spans="1:44" ht="12.75" customHeight="1">
      <c r="A186" s="93"/>
      <c r="B186" s="93" t="s">
        <v>300</v>
      </c>
      <c r="C186" s="94" t="s">
        <v>327</v>
      </c>
      <c r="D186" s="94">
        <v>1</v>
      </c>
      <c r="E186" s="94">
        <v>1</v>
      </c>
      <c r="F186" s="95">
        <v>1</v>
      </c>
      <c r="G186" s="95">
        <v>0.2</v>
      </c>
      <c r="H186" s="95">
        <f t="shared" si="169"/>
        <v>0.39999999999999997</v>
      </c>
      <c r="I186" s="95"/>
      <c r="J186" s="95"/>
      <c r="K186" s="94"/>
      <c r="L186" s="94"/>
      <c r="M186" s="94"/>
      <c r="N186" s="94"/>
      <c r="O186" s="96"/>
      <c r="P186" s="105">
        <v>0</v>
      </c>
      <c r="Q186" s="105">
        <v>0</v>
      </c>
      <c r="R186" s="103">
        <f t="shared" si="170"/>
        <v>0.08</v>
      </c>
      <c r="S186" s="103">
        <f t="shared" si="171"/>
        <v>0</v>
      </c>
      <c r="T186" s="103">
        <f t="shared" si="172"/>
        <v>0</v>
      </c>
      <c r="U186" s="98">
        <f t="shared" si="173"/>
        <v>0</v>
      </c>
      <c r="V186" s="98">
        <f t="shared" si="174"/>
        <v>0.08</v>
      </c>
      <c r="W186" s="98">
        <f t="shared" si="175"/>
        <v>0</v>
      </c>
      <c r="X186" s="98">
        <f t="shared" si="176"/>
        <v>0.79999999999999993</v>
      </c>
      <c r="Y186" s="98">
        <f t="shared" si="177"/>
        <v>0</v>
      </c>
      <c r="Z186" s="103" t="e">
        <f t="shared" si="178"/>
        <v>#DIV/0!</v>
      </c>
      <c r="AA186" s="103">
        <f t="shared" si="179"/>
        <v>0</v>
      </c>
      <c r="AB186" s="125">
        <v>0.15</v>
      </c>
      <c r="AC186" s="125">
        <v>0.15</v>
      </c>
      <c r="AD186" s="103">
        <f t="shared" si="180"/>
        <v>0.2</v>
      </c>
      <c r="AE186" s="103">
        <f t="shared" si="181"/>
        <v>0.49999999999999994</v>
      </c>
      <c r="AF186" s="98">
        <f t="shared" si="182"/>
        <v>0.2</v>
      </c>
      <c r="AG186" s="98"/>
      <c r="AH186" s="103">
        <f t="shared" si="183"/>
        <v>1</v>
      </c>
      <c r="AI186" s="98"/>
      <c r="AJ186" s="125">
        <f t="shared" si="184"/>
        <v>6.75</v>
      </c>
      <c r="AK186" s="105">
        <f t="shared" si="185"/>
        <v>6.75</v>
      </c>
      <c r="AL186" s="94"/>
      <c r="AM186" s="94"/>
      <c r="AN186" s="94"/>
      <c r="AO186" s="94"/>
      <c r="AP186" s="94"/>
      <c r="AQ186" s="94"/>
      <c r="AR186" s="94"/>
    </row>
    <row r="187" spans="1:44" ht="12.75" customHeight="1">
      <c r="A187" s="93"/>
      <c r="B187" s="93" t="s">
        <v>311</v>
      </c>
      <c r="C187" s="94" t="s">
        <v>328</v>
      </c>
      <c r="D187" s="94">
        <v>1</v>
      </c>
      <c r="E187" s="94">
        <v>2</v>
      </c>
      <c r="F187" s="95">
        <v>3.86</v>
      </c>
      <c r="G187" s="95">
        <v>0.2</v>
      </c>
      <c r="H187" s="95">
        <f t="shared" ref="H187:H190" si="186">0.8-0.3</f>
        <v>0.5</v>
      </c>
      <c r="I187" s="95"/>
      <c r="J187" s="95"/>
      <c r="K187" s="94"/>
      <c r="L187" s="94"/>
      <c r="M187" s="94"/>
      <c r="N187" s="94"/>
      <c r="O187" s="96"/>
      <c r="P187" s="105">
        <v>0</v>
      </c>
      <c r="Q187" s="105">
        <v>0</v>
      </c>
      <c r="R187" s="103">
        <f t="shared" si="170"/>
        <v>0.77200000000000002</v>
      </c>
      <c r="S187" s="103">
        <f t="shared" si="171"/>
        <v>0</v>
      </c>
      <c r="T187" s="103">
        <f t="shared" si="172"/>
        <v>0</v>
      </c>
      <c r="U187" s="98">
        <f t="shared" si="173"/>
        <v>0</v>
      </c>
      <c r="V187" s="98">
        <f t="shared" si="174"/>
        <v>0.77200000000000002</v>
      </c>
      <c r="W187" s="98">
        <f t="shared" si="175"/>
        <v>0</v>
      </c>
      <c r="X187" s="98">
        <f t="shared" si="176"/>
        <v>7.72</v>
      </c>
      <c r="Y187" s="98">
        <f t="shared" si="177"/>
        <v>0</v>
      </c>
      <c r="Z187" s="103" t="e">
        <f t="shared" si="178"/>
        <v>#DIV/0!</v>
      </c>
      <c r="AA187" s="103">
        <f t="shared" si="179"/>
        <v>0</v>
      </c>
      <c r="AB187" s="125">
        <v>0.15</v>
      </c>
      <c r="AC187" s="125">
        <v>0.15</v>
      </c>
      <c r="AD187" s="103">
        <f t="shared" si="180"/>
        <v>1.544</v>
      </c>
      <c r="AE187" s="103">
        <f t="shared" si="181"/>
        <v>5.4039999999999999</v>
      </c>
      <c r="AF187" s="98">
        <f t="shared" si="182"/>
        <v>1.544</v>
      </c>
      <c r="AG187" s="98"/>
      <c r="AH187" s="103">
        <f t="shared" si="183"/>
        <v>7.72</v>
      </c>
      <c r="AI187" s="98"/>
      <c r="AJ187" s="125">
        <f t="shared" si="184"/>
        <v>6.65</v>
      </c>
      <c r="AK187" s="105">
        <f t="shared" si="185"/>
        <v>51.338000000000001</v>
      </c>
      <c r="AL187" s="94"/>
      <c r="AM187" s="94"/>
      <c r="AN187" s="94"/>
      <c r="AO187" s="94"/>
      <c r="AP187" s="94"/>
      <c r="AQ187" s="94"/>
      <c r="AR187" s="94"/>
    </row>
    <row r="188" spans="1:44" ht="12.75" customHeight="1">
      <c r="A188" s="93"/>
      <c r="B188" s="93" t="s">
        <v>313</v>
      </c>
      <c r="C188" s="94" t="s">
        <v>329</v>
      </c>
      <c r="D188" s="94">
        <v>1</v>
      </c>
      <c r="E188" s="94">
        <v>2</v>
      </c>
      <c r="F188" s="95">
        <v>2.1</v>
      </c>
      <c r="G188" s="95">
        <v>0.2</v>
      </c>
      <c r="H188" s="95">
        <f t="shared" si="186"/>
        <v>0.5</v>
      </c>
      <c r="I188" s="95"/>
      <c r="J188" s="95"/>
      <c r="K188" s="94"/>
      <c r="L188" s="94"/>
      <c r="M188" s="94"/>
      <c r="N188" s="94"/>
      <c r="O188" s="96"/>
      <c r="P188" s="105">
        <v>0</v>
      </c>
      <c r="Q188" s="105">
        <v>0</v>
      </c>
      <c r="R188" s="103">
        <f t="shared" si="170"/>
        <v>0.42000000000000004</v>
      </c>
      <c r="S188" s="103">
        <f t="shared" si="171"/>
        <v>0</v>
      </c>
      <c r="T188" s="103">
        <f t="shared" si="172"/>
        <v>0</v>
      </c>
      <c r="U188" s="98">
        <f t="shared" si="173"/>
        <v>0</v>
      </c>
      <c r="V188" s="98">
        <f t="shared" si="174"/>
        <v>0.42000000000000004</v>
      </c>
      <c r="W188" s="98">
        <f t="shared" si="175"/>
        <v>0</v>
      </c>
      <c r="X188" s="98">
        <f t="shared" si="176"/>
        <v>4.2</v>
      </c>
      <c r="Y188" s="98">
        <f t="shared" si="177"/>
        <v>0</v>
      </c>
      <c r="Z188" s="103" t="e">
        <f t="shared" si="178"/>
        <v>#DIV/0!</v>
      </c>
      <c r="AA188" s="103">
        <f t="shared" si="179"/>
        <v>0</v>
      </c>
      <c r="AB188" s="125">
        <v>0.15</v>
      </c>
      <c r="AC188" s="125">
        <v>0.15</v>
      </c>
      <c r="AD188" s="103">
        <f t="shared" si="180"/>
        <v>0.84000000000000008</v>
      </c>
      <c r="AE188" s="103">
        <f t="shared" si="181"/>
        <v>2.94</v>
      </c>
      <c r="AF188" s="98">
        <f t="shared" si="182"/>
        <v>0.84000000000000008</v>
      </c>
      <c r="AG188" s="98"/>
      <c r="AH188" s="103">
        <f t="shared" si="183"/>
        <v>4.2</v>
      </c>
      <c r="AI188" s="98"/>
      <c r="AJ188" s="125">
        <f t="shared" si="184"/>
        <v>6.65</v>
      </c>
      <c r="AK188" s="105">
        <f t="shared" si="185"/>
        <v>27.930000000000003</v>
      </c>
      <c r="AL188" s="94"/>
      <c r="AM188" s="94"/>
      <c r="AN188" s="94"/>
      <c r="AO188" s="94"/>
      <c r="AP188" s="94"/>
      <c r="AQ188" s="94"/>
      <c r="AR188" s="94"/>
    </row>
    <row r="189" spans="1:44" ht="12.75" customHeight="1">
      <c r="A189" s="93"/>
      <c r="B189" s="93" t="s">
        <v>313</v>
      </c>
      <c r="C189" s="94" t="s">
        <v>330</v>
      </c>
      <c r="D189" s="94">
        <v>1</v>
      </c>
      <c r="E189" s="94">
        <v>1</v>
      </c>
      <c r="F189" s="95">
        <v>1.1100000000000001</v>
      </c>
      <c r="G189" s="95">
        <v>0.2</v>
      </c>
      <c r="H189" s="95">
        <f t="shared" si="186"/>
        <v>0.5</v>
      </c>
      <c r="I189" s="95"/>
      <c r="J189" s="95"/>
      <c r="K189" s="94"/>
      <c r="L189" s="94"/>
      <c r="M189" s="94"/>
      <c r="N189" s="94"/>
      <c r="O189" s="96"/>
      <c r="P189" s="105">
        <v>0</v>
      </c>
      <c r="Q189" s="105">
        <v>0</v>
      </c>
      <c r="R189" s="103">
        <f t="shared" si="170"/>
        <v>0.11100000000000002</v>
      </c>
      <c r="S189" s="103">
        <f t="shared" si="171"/>
        <v>0</v>
      </c>
      <c r="T189" s="103">
        <f t="shared" si="172"/>
        <v>0</v>
      </c>
      <c r="U189" s="98">
        <f t="shared" si="173"/>
        <v>0</v>
      </c>
      <c r="V189" s="98">
        <f t="shared" si="174"/>
        <v>0.11100000000000002</v>
      </c>
      <c r="W189" s="98">
        <f t="shared" si="175"/>
        <v>0</v>
      </c>
      <c r="X189" s="98">
        <f t="shared" si="176"/>
        <v>1.1100000000000001</v>
      </c>
      <c r="Y189" s="98">
        <f t="shared" si="177"/>
        <v>0</v>
      </c>
      <c r="Z189" s="103" t="e">
        <f t="shared" si="178"/>
        <v>#DIV/0!</v>
      </c>
      <c r="AA189" s="103">
        <f t="shared" si="179"/>
        <v>0</v>
      </c>
      <c r="AB189" s="125">
        <v>0.15</v>
      </c>
      <c r="AC189" s="125">
        <v>0.15</v>
      </c>
      <c r="AD189" s="103">
        <f t="shared" si="180"/>
        <v>0.22200000000000003</v>
      </c>
      <c r="AE189" s="103">
        <f t="shared" si="181"/>
        <v>0.77700000000000002</v>
      </c>
      <c r="AF189" s="98">
        <f t="shared" si="182"/>
        <v>0.22200000000000003</v>
      </c>
      <c r="AG189" s="98"/>
      <c r="AH189" s="103">
        <f t="shared" si="183"/>
        <v>1.1100000000000001</v>
      </c>
      <c r="AI189" s="98"/>
      <c r="AJ189" s="125">
        <f t="shared" si="184"/>
        <v>6.65</v>
      </c>
      <c r="AK189" s="105">
        <f t="shared" si="185"/>
        <v>7.3815000000000008</v>
      </c>
      <c r="AL189" s="94"/>
      <c r="AM189" s="94"/>
      <c r="AN189" s="94"/>
      <c r="AO189" s="94"/>
      <c r="AP189" s="94"/>
      <c r="AQ189" s="94"/>
      <c r="AR189" s="94"/>
    </row>
    <row r="190" spans="1:44" ht="12.75" customHeight="1">
      <c r="A190" s="93"/>
      <c r="B190" s="93" t="s">
        <v>331</v>
      </c>
      <c r="C190" s="94" t="s">
        <v>332</v>
      </c>
      <c r="D190" s="94">
        <v>1</v>
      </c>
      <c r="E190" s="94">
        <v>2</v>
      </c>
      <c r="F190" s="95">
        <v>1.2</v>
      </c>
      <c r="G190" s="95">
        <v>0.2</v>
      </c>
      <c r="H190" s="95">
        <f t="shared" si="186"/>
        <v>0.5</v>
      </c>
      <c r="I190" s="95"/>
      <c r="J190" s="95"/>
      <c r="K190" s="94"/>
      <c r="L190" s="94"/>
      <c r="M190" s="94"/>
      <c r="N190" s="94"/>
      <c r="O190" s="96"/>
      <c r="P190" s="105">
        <v>0</v>
      </c>
      <c r="Q190" s="105">
        <v>0</v>
      </c>
      <c r="R190" s="103">
        <f t="shared" si="170"/>
        <v>0.24</v>
      </c>
      <c r="S190" s="103">
        <f t="shared" si="171"/>
        <v>0</v>
      </c>
      <c r="T190" s="103">
        <f t="shared" si="172"/>
        <v>0</v>
      </c>
      <c r="U190" s="98">
        <f t="shared" si="173"/>
        <v>0</v>
      </c>
      <c r="V190" s="98">
        <f t="shared" si="174"/>
        <v>0.24</v>
      </c>
      <c r="W190" s="98">
        <f t="shared" si="175"/>
        <v>0</v>
      </c>
      <c r="X190" s="98">
        <f t="shared" si="176"/>
        <v>2.4</v>
      </c>
      <c r="Y190" s="98">
        <f t="shared" si="177"/>
        <v>0</v>
      </c>
      <c r="Z190" s="103" t="e">
        <f t="shared" si="178"/>
        <v>#DIV/0!</v>
      </c>
      <c r="AA190" s="103">
        <f t="shared" si="179"/>
        <v>0</v>
      </c>
      <c r="AB190" s="125">
        <v>0.15</v>
      </c>
      <c r="AC190" s="125">
        <v>0.15</v>
      </c>
      <c r="AD190" s="103">
        <f t="shared" si="180"/>
        <v>0.48</v>
      </c>
      <c r="AE190" s="103">
        <f t="shared" si="181"/>
        <v>1.68</v>
      </c>
      <c r="AF190" s="98">
        <f t="shared" si="182"/>
        <v>0.48</v>
      </c>
      <c r="AG190" s="98"/>
      <c r="AH190" s="103">
        <f t="shared" si="183"/>
        <v>2.4</v>
      </c>
      <c r="AI190" s="98"/>
      <c r="AJ190" s="125">
        <f t="shared" si="184"/>
        <v>6.65</v>
      </c>
      <c r="AK190" s="105">
        <f t="shared" si="185"/>
        <v>15.96</v>
      </c>
      <c r="AL190" s="94"/>
      <c r="AM190" s="94"/>
      <c r="AN190" s="94"/>
      <c r="AO190" s="94"/>
      <c r="AP190" s="94"/>
      <c r="AQ190" s="94"/>
      <c r="AR190" s="94"/>
    </row>
    <row r="191" spans="1:44" ht="12.75" customHeight="1">
      <c r="A191" s="93"/>
      <c r="B191" s="93"/>
      <c r="C191" s="94"/>
      <c r="D191" s="94"/>
      <c r="E191" s="94"/>
      <c r="F191" s="95"/>
      <c r="G191" s="95"/>
      <c r="H191" s="95"/>
      <c r="I191" s="95"/>
      <c r="J191" s="95"/>
      <c r="K191" s="94"/>
      <c r="L191" s="94"/>
      <c r="M191" s="94"/>
      <c r="N191" s="94"/>
      <c r="O191" s="96"/>
      <c r="P191" s="105"/>
      <c r="Q191" s="105"/>
      <c r="R191" s="103">
        <f t="shared" si="170"/>
        <v>0</v>
      </c>
      <c r="S191" s="98"/>
      <c r="T191" s="98"/>
      <c r="U191" s="98"/>
      <c r="V191" s="98"/>
      <c r="W191" s="98"/>
      <c r="X191" s="98"/>
      <c r="Y191" s="98"/>
      <c r="Z191" s="98"/>
      <c r="AA191" s="98"/>
      <c r="AB191" s="125"/>
      <c r="AC191" s="125"/>
      <c r="AD191" s="98"/>
      <c r="AE191" s="98"/>
      <c r="AF191" s="98"/>
      <c r="AG191" s="98"/>
      <c r="AH191" s="98"/>
      <c r="AI191" s="98"/>
      <c r="AJ191" s="98"/>
      <c r="AK191" s="94"/>
      <c r="AL191" s="94"/>
      <c r="AM191" s="94"/>
      <c r="AN191" s="94"/>
      <c r="AO191" s="94"/>
      <c r="AP191" s="94"/>
      <c r="AQ191" s="94"/>
      <c r="AR191" s="94"/>
    </row>
    <row r="192" spans="1:44" ht="12.75" customHeight="1">
      <c r="A192" s="93"/>
      <c r="B192" s="104" t="s">
        <v>186</v>
      </c>
      <c r="C192" s="94"/>
      <c r="D192" s="94"/>
      <c r="E192" s="94"/>
      <c r="F192" s="95"/>
      <c r="G192" s="95"/>
      <c r="H192" s="95"/>
      <c r="I192" s="95"/>
      <c r="J192" s="95"/>
      <c r="K192" s="94"/>
      <c r="L192" s="94"/>
      <c r="M192" s="94"/>
      <c r="N192" s="94"/>
      <c r="O192" s="96"/>
      <c r="P192" s="105"/>
      <c r="Q192" s="105"/>
      <c r="R192" s="103">
        <f t="shared" si="170"/>
        <v>0</v>
      </c>
      <c r="S192" s="98"/>
      <c r="T192" s="98"/>
      <c r="U192" s="98"/>
      <c r="V192" s="98"/>
      <c r="W192" s="98"/>
      <c r="X192" s="98"/>
      <c r="Y192" s="98"/>
      <c r="Z192" s="98"/>
      <c r="AA192" s="98"/>
      <c r="AB192" s="125"/>
      <c r="AC192" s="125"/>
      <c r="AD192" s="98"/>
      <c r="AE192" s="98"/>
      <c r="AF192" s="98"/>
      <c r="AG192" s="98"/>
      <c r="AH192" s="98"/>
      <c r="AI192" s="98"/>
      <c r="AJ192" s="98"/>
      <c r="AK192" s="94"/>
      <c r="AL192" s="94"/>
      <c r="AM192" s="94"/>
      <c r="AN192" s="94"/>
      <c r="AO192" s="94"/>
      <c r="AP192" s="94"/>
      <c r="AQ192" s="94"/>
      <c r="AR192" s="94"/>
    </row>
    <row r="193" spans="1:44" ht="12.75" customHeight="1">
      <c r="A193" s="93"/>
      <c r="B193" s="93" t="s">
        <v>280</v>
      </c>
      <c r="C193" s="94" t="s">
        <v>333</v>
      </c>
      <c r="D193" s="94">
        <v>0</v>
      </c>
      <c r="E193" s="94">
        <v>0</v>
      </c>
      <c r="F193" s="95">
        <v>0</v>
      </c>
      <c r="G193" s="95">
        <v>0</v>
      </c>
      <c r="H193" s="95">
        <v>0</v>
      </c>
      <c r="I193" s="95"/>
      <c r="J193" s="95"/>
      <c r="K193" s="94"/>
      <c r="L193" s="94"/>
      <c r="M193" s="94"/>
      <c r="N193" s="94"/>
      <c r="O193" s="96"/>
      <c r="P193" s="105">
        <v>0</v>
      </c>
      <c r="Q193" s="105">
        <v>0</v>
      </c>
      <c r="R193" s="103">
        <f t="shared" si="170"/>
        <v>0</v>
      </c>
      <c r="S193" s="103">
        <f>((J193*P193)*E193*D193)</f>
        <v>0</v>
      </c>
      <c r="T193" s="103">
        <f>((F193*P193)*2)*D193*E193</f>
        <v>0</v>
      </c>
      <c r="U193" s="98">
        <f>((L193*P193)*E193*D193)</f>
        <v>0</v>
      </c>
      <c r="V193" s="98">
        <f>PRODUCT(D193:H193)</f>
        <v>0</v>
      </c>
      <c r="W193" s="98">
        <f>(K193*H193)*E193*D193</f>
        <v>0</v>
      </c>
      <c r="X193" s="98">
        <f>((F193)*(H193*2))*E193*D193</f>
        <v>0</v>
      </c>
      <c r="Y193" s="98">
        <f>((M193)*H193)*E193*D193</f>
        <v>0</v>
      </c>
      <c r="Z193" s="103" t="e">
        <f>(R193/P193)+(S193/P193)</f>
        <v>#DIV/0!</v>
      </c>
      <c r="AA193" s="103">
        <f>(T193+U193)</f>
        <v>0</v>
      </c>
      <c r="AB193" s="125">
        <v>0.15</v>
      </c>
      <c r="AC193" s="125">
        <v>0.15</v>
      </c>
      <c r="AD193" s="103">
        <f>(((F193*G193)*E193*D193))+K193</f>
        <v>0</v>
      </c>
      <c r="AE193" s="103">
        <f>(((F193*(H193-AC193))+(F193*(H193-AC193)))*E193*D193)+Y193</f>
        <v>0</v>
      </c>
      <c r="AF193" s="98">
        <f>AD193</f>
        <v>0</v>
      </c>
      <c r="AG193" s="98"/>
      <c r="AH193" s="103">
        <f>(F193*2)*E193*D193</f>
        <v>0</v>
      </c>
      <c r="AI193" s="98"/>
      <c r="AJ193" s="125">
        <v>0</v>
      </c>
      <c r="AK193" s="94"/>
      <c r="AL193" s="105">
        <f>((F193*AJ193)*E193*D193)</f>
        <v>0</v>
      </c>
      <c r="AM193" s="94"/>
      <c r="AN193" s="94"/>
      <c r="AO193" s="94"/>
      <c r="AP193" s="94"/>
      <c r="AQ193" s="94"/>
      <c r="AR193" s="94"/>
    </row>
    <row r="194" spans="1:44" ht="12.75" customHeight="1">
      <c r="A194" s="93"/>
      <c r="B194" s="93"/>
      <c r="C194" s="94"/>
      <c r="D194" s="94"/>
      <c r="E194" s="94"/>
      <c r="F194" s="95"/>
      <c r="G194" s="95"/>
      <c r="H194" s="95"/>
      <c r="I194" s="95"/>
      <c r="J194" s="95"/>
      <c r="K194" s="94"/>
      <c r="L194" s="94"/>
      <c r="M194" s="94"/>
      <c r="N194" s="94"/>
      <c r="O194" s="96"/>
      <c r="P194" s="105"/>
      <c r="Q194" s="105"/>
      <c r="R194" s="98"/>
      <c r="S194" s="98"/>
      <c r="T194" s="98"/>
      <c r="U194" s="98"/>
      <c r="V194" s="98"/>
      <c r="W194" s="98"/>
      <c r="X194" s="98"/>
      <c r="Y194" s="98"/>
      <c r="Z194" s="98"/>
      <c r="AA194" s="98"/>
      <c r="AB194" s="125"/>
      <c r="AC194" s="125"/>
      <c r="AD194" s="98"/>
      <c r="AE194" s="98"/>
      <c r="AF194" s="98"/>
      <c r="AG194" s="98"/>
      <c r="AH194" s="98"/>
      <c r="AI194" s="98"/>
      <c r="AJ194" s="98"/>
      <c r="AK194" s="94"/>
      <c r="AL194" s="94"/>
      <c r="AM194" s="94"/>
      <c r="AN194" s="94"/>
      <c r="AO194" s="94"/>
      <c r="AP194" s="94"/>
      <c r="AQ194" s="94"/>
      <c r="AR194" s="94"/>
    </row>
    <row r="195" spans="1:44" ht="12.75" customHeight="1">
      <c r="A195" s="107"/>
      <c r="B195" s="108" t="s">
        <v>194</v>
      </c>
      <c r="C195" s="109"/>
      <c r="D195" s="109"/>
      <c r="E195" s="109"/>
      <c r="F195" s="110"/>
      <c r="G195" s="110"/>
      <c r="H195" s="110"/>
      <c r="I195" s="110"/>
      <c r="J195" s="110"/>
      <c r="K195" s="109"/>
      <c r="L195" s="109"/>
      <c r="M195" s="109"/>
      <c r="N195" s="111"/>
      <c r="O195" s="112"/>
      <c r="P195" s="113"/>
      <c r="Q195" s="109"/>
      <c r="R195" s="114">
        <f t="shared" ref="R195:AA195" si="187">SUM(R181:R194)</f>
        <v>3.9990000000000006</v>
      </c>
      <c r="S195" s="114">
        <f t="shared" si="187"/>
        <v>0</v>
      </c>
      <c r="T195" s="114">
        <f t="shared" si="187"/>
        <v>0</v>
      </c>
      <c r="U195" s="114">
        <f t="shared" si="187"/>
        <v>0</v>
      </c>
      <c r="V195" s="114">
        <f t="shared" si="187"/>
        <v>3.9990000000000006</v>
      </c>
      <c r="W195" s="114">
        <f t="shared" si="187"/>
        <v>0</v>
      </c>
      <c r="X195" s="114">
        <f t="shared" si="187"/>
        <v>39.99</v>
      </c>
      <c r="Y195" s="114">
        <f t="shared" si="187"/>
        <v>0</v>
      </c>
      <c r="Z195" s="114" t="e">
        <f t="shared" si="187"/>
        <v>#DIV/0!</v>
      </c>
      <c r="AA195" s="114">
        <f t="shared" si="187"/>
        <v>0</v>
      </c>
      <c r="AB195" s="114"/>
      <c r="AC195" s="114"/>
      <c r="AD195" s="114">
        <f t="shared" ref="AD195:AF195" si="188">SUM(AD181:AD194)</f>
        <v>9.2259999999999991</v>
      </c>
      <c r="AE195" s="114">
        <f t="shared" si="188"/>
        <v>26.151</v>
      </c>
      <c r="AF195" s="114">
        <f t="shared" si="188"/>
        <v>9.2259999999999991</v>
      </c>
      <c r="AG195" s="114"/>
      <c r="AH195" s="114">
        <f t="shared" ref="AH195:AI195" si="189">SUM(AH181:AH194)</f>
        <v>46.13</v>
      </c>
      <c r="AI195" s="114">
        <f t="shared" si="189"/>
        <v>0</v>
      </c>
      <c r="AJ195" s="115"/>
      <c r="AK195" s="114">
        <f t="shared" ref="AK195:AL195" si="190">SUM(AK181:AK194)</f>
        <v>309.83449999999999</v>
      </c>
      <c r="AL195" s="114">
        <f t="shared" si="190"/>
        <v>0</v>
      </c>
      <c r="AM195" s="94"/>
      <c r="AN195" s="94"/>
      <c r="AO195" s="94"/>
      <c r="AP195" s="94"/>
      <c r="AQ195" s="94"/>
      <c r="AR195" s="94"/>
    </row>
    <row r="196" spans="1:44" ht="12.75" customHeight="1">
      <c r="A196" s="93"/>
      <c r="B196" s="93"/>
      <c r="C196" s="94"/>
      <c r="D196" s="94"/>
      <c r="E196" s="94"/>
      <c r="F196" s="95"/>
      <c r="G196" s="95"/>
      <c r="H196" s="95"/>
      <c r="I196" s="95"/>
      <c r="J196" s="95"/>
      <c r="K196" s="94"/>
      <c r="L196" s="94"/>
      <c r="M196" s="94"/>
      <c r="N196" s="94"/>
      <c r="O196" s="96"/>
      <c r="P196" s="94"/>
      <c r="Q196" s="94"/>
      <c r="R196" s="98"/>
      <c r="S196" s="98"/>
      <c r="T196" s="98"/>
      <c r="U196" s="98"/>
      <c r="V196" s="98"/>
      <c r="W196" s="98"/>
      <c r="X196" s="98"/>
      <c r="Y196" s="98"/>
      <c r="Z196" s="98"/>
      <c r="AA196" s="98"/>
      <c r="AB196" s="98"/>
      <c r="AC196" s="98"/>
      <c r="AD196" s="98"/>
      <c r="AE196" s="98"/>
      <c r="AF196" s="98"/>
      <c r="AG196" s="98"/>
      <c r="AH196" s="98"/>
      <c r="AI196" s="98"/>
      <c r="AJ196" s="98"/>
      <c r="AK196" s="94"/>
      <c r="AL196" s="94"/>
      <c r="AM196" s="94"/>
      <c r="AN196" s="94"/>
      <c r="AO196" s="94"/>
      <c r="AP196" s="94"/>
      <c r="AQ196" s="94"/>
      <c r="AR196" s="94"/>
    </row>
    <row r="197" spans="1:44" ht="14.4">
      <c r="A197" s="117"/>
      <c r="B197" s="126" t="s">
        <v>318</v>
      </c>
      <c r="C197" s="46"/>
      <c r="D197" s="46"/>
      <c r="E197" s="46"/>
      <c r="F197" s="50"/>
      <c r="G197" s="50"/>
      <c r="H197" s="50"/>
      <c r="I197" s="50"/>
      <c r="J197" s="50"/>
      <c r="K197" s="46"/>
      <c r="L197" s="46"/>
      <c r="M197" s="46"/>
      <c r="N197" s="46"/>
      <c r="O197" s="51"/>
      <c r="P197" s="46"/>
      <c r="Q197" s="46"/>
      <c r="R197" s="47"/>
      <c r="S197" s="47"/>
      <c r="T197" s="47"/>
      <c r="U197" s="47"/>
      <c r="V197" s="47"/>
      <c r="W197" s="47"/>
      <c r="X197" s="47"/>
      <c r="Y197" s="47"/>
      <c r="Z197" s="47"/>
      <c r="AA197" s="47"/>
      <c r="AB197" s="47"/>
      <c r="AC197" s="47"/>
      <c r="AD197" s="47"/>
      <c r="AE197" s="47"/>
      <c r="AF197" s="47"/>
      <c r="AG197" s="47"/>
      <c r="AH197" s="47"/>
      <c r="AI197" s="47"/>
      <c r="AJ197" s="47"/>
      <c r="AK197" s="46"/>
      <c r="AL197" s="46"/>
      <c r="AM197" s="46"/>
      <c r="AN197" s="46"/>
      <c r="AO197" s="46"/>
      <c r="AP197" s="46"/>
      <c r="AQ197" s="46"/>
      <c r="AR197" s="46"/>
    </row>
    <row r="198" spans="1:44" ht="12.75" customHeight="1">
      <c r="A198" s="117"/>
      <c r="B198" s="117" t="s">
        <v>283</v>
      </c>
      <c r="C198" s="46" t="s">
        <v>334</v>
      </c>
      <c r="D198" s="46">
        <v>1</v>
      </c>
      <c r="E198" s="46">
        <v>1</v>
      </c>
      <c r="F198" s="50">
        <v>33.299999999999997</v>
      </c>
      <c r="G198" s="50">
        <v>23.51</v>
      </c>
      <c r="H198" s="50">
        <v>0.3</v>
      </c>
      <c r="I198" s="50">
        <f>PRODUCT(D198:H198)</f>
        <v>234.86490000000001</v>
      </c>
      <c r="J198" s="50">
        <f>PRODUCT(D198:G198)</f>
        <v>782.88300000000004</v>
      </c>
      <c r="K198" s="50">
        <v>0</v>
      </c>
      <c r="L198" s="46"/>
      <c r="M198" s="46"/>
      <c r="N198" s="46"/>
      <c r="O198" s="51"/>
      <c r="P198" s="127">
        <v>0</v>
      </c>
      <c r="Q198" s="46"/>
      <c r="R198" s="47">
        <f t="shared" ref="R198:R200" si="191">((F198*G198)*P198)*E198*D198</f>
        <v>0</v>
      </c>
      <c r="S198" s="47">
        <f t="shared" ref="S198:S200" si="192">(J198*P198)*E198*D198</f>
        <v>0</v>
      </c>
      <c r="T198" s="47"/>
      <c r="U198" s="47"/>
      <c r="V198" s="47">
        <f t="shared" ref="V198:V200" si="193">PRODUCT(D198:H198)</f>
        <v>234.86490000000001</v>
      </c>
      <c r="W198" s="47">
        <f t="shared" ref="W198:W200" si="194">((K198*H198)*E198*D198)</f>
        <v>0</v>
      </c>
      <c r="X198" s="47"/>
      <c r="Y198" s="47"/>
      <c r="Z198" s="47" t="e">
        <f t="shared" ref="Z198:Z200" si="195">(R198/P198)+(S198/P198)</f>
        <v>#DIV/0!</v>
      </c>
      <c r="AA198" s="47"/>
      <c r="AB198" s="47"/>
      <c r="AC198" s="47"/>
      <c r="AD198" s="47"/>
      <c r="AE198" s="47"/>
      <c r="AF198" s="47"/>
      <c r="AG198" s="47"/>
      <c r="AH198" s="47">
        <f t="shared" ref="AH198:AI198" si="196">AH195</f>
        <v>46.13</v>
      </c>
      <c r="AI198" s="47">
        <f t="shared" si="196"/>
        <v>0</v>
      </c>
      <c r="AJ198" s="47"/>
      <c r="AK198" s="46"/>
      <c r="AL198" s="46"/>
      <c r="AM198" s="127">
        <f t="shared" ref="AM198:AM200" si="197">((F198*G198)*E198*D198)</f>
        <v>782.88300000000004</v>
      </c>
      <c r="AN198" s="127">
        <f t="shared" ref="AN198:AN200" si="198">((K198)*E198*D198)</f>
        <v>0</v>
      </c>
      <c r="AO198" s="46"/>
      <c r="AP198" s="46"/>
      <c r="AQ198" s="46"/>
      <c r="AR198" s="46"/>
    </row>
    <row r="199" spans="1:44" ht="12.75" customHeight="1">
      <c r="A199" s="117"/>
      <c r="B199" s="117" t="s">
        <v>285</v>
      </c>
      <c r="C199" s="46" t="s">
        <v>335</v>
      </c>
      <c r="D199" s="46">
        <v>1</v>
      </c>
      <c r="E199" s="46">
        <v>1</v>
      </c>
      <c r="F199" s="50"/>
      <c r="G199" s="50"/>
      <c r="H199" s="50">
        <v>0</v>
      </c>
      <c r="I199" s="50"/>
      <c r="J199" s="50">
        <v>7.15</v>
      </c>
      <c r="K199" s="47"/>
      <c r="L199" s="46"/>
      <c r="M199" s="46"/>
      <c r="N199" s="46"/>
      <c r="O199" s="51"/>
      <c r="P199" s="127">
        <v>0</v>
      </c>
      <c r="Q199" s="46"/>
      <c r="R199" s="47">
        <f t="shared" si="191"/>
        <v>0</v>
      </c>
      <c r="S199" s="47">
        <f t="shared" si="192"/>
        <v>0</v>
      </c>
      <c r="T199" s="47"/>
      <c r="U199" s="47"/>
      <c r="V199" s="47">
        <f t="shared" si="193"/>
        <v>0</v>
      </c>
      <c r="W199" s="47">
        <f t="shared" si="194"/>
        <v>0</v>
      </c>
      <c r="X199" s="47"/>
      <c r="Y199" s="47"/>
      <c r="Z199" s="47" t="e">
        <f t="shared" si="195"/>
        <v>#DIV/0!</v>
      </c>
      <c r="AA199" s="47"/>
      <c r="AB199" s="47"/>
      <c r="AC199" s="47"/>
      <c r="AD199" s="47"/>
      <c r="AE199" s="47"/>
      <c r="AF199" s="47"/>
      <c r="AG199" s="47"/>
      <c r="AH199" s="47">
        <f t="shared" ref="AH199:AI199" si="199">AH196</f>
        <v>0</v>
      </c>
      <c r="AI199" s="47">
        <f t="shared" si="199"/>
        <v>0</v>
      </c>
      <c r="AJ199" s="47"/>
      <c r="AK199" s="46"/>
      <c r="AL199" s="46"/>
      <c r="AM199" s="127">
        <f t="shared" si="197"/>
        <v>0</v>
      </c>
      <c r="AN199" s="127">
        <f t="shared" si="198"/>
        <v>0</v>
      </c>
      <c r="AO199" s="46"/>
      <c r="AP199" s="46"/>
      <c r="AQ199" s="46"/>
      <c r="AR199" s="46"/>
    </row>
    <row r="200" spans="1:44" ht="12.75" customHeight="1">
      <c r="A200" s="117"/>
      <c r="B200" s="117" t="s">
        <v>287</v>
      </c>
      <c r="C200" s="46" t="s">
        <v>336</v>
      </c>
      <c r="D200" s="46">
        <v>0</v>
      </c>
      <c r="E200" s="46">
        <v>0</v>
      </c>
      <c r="F200" s="50"/>
      <c r="G200" s="50"/>
      <c r="H200" s="50">
        <v>0</v>
      </c>
      <c r="I200" s="50"/>
      <c r="J200" s="50">
        <v>10.220000000000001</v>
      </c>
      <c r="K200" s="47">
        <f>AF196</f>
        <v>0</v>
      </c>
      <c r="L200" s="46"/>
      <c r="M200" s="46"/>
      <c r="N200" s="46"/>
      <c r="O200" s="51"/>
      <c r="P200" s="127">
        <v>0</v>
      </c>
      <c r="Q200" s="46"/>
      <c r="R200" s="47">
        <f t="shared" si="191"/>
        <v>0</v>
      </c>
      <c r="S200" s="47">
        <f t="shared" si="192"/>
        <v>0</v>
      </c>
      <c r="T200" s="47"/>
      <c r="U200" s="47"/>
      <c r="V200" s="47">
        <f t="shared" si="193"/>
        <v>0</v>
      </c>
      <c r="W200" s="47">
        <f t="shared" si="194"/>
        <v>0</v>
      </c>
      <c r="X200" s="47"/>
      <c r="Y200" s="47"/>
      <c r="Z200" s="47" t="e">
        <f t="shared" si="195"/>
        <v>#DIV/0!</v>
      </c>
      <c r="AA200" s="47"/>
      <c r="AB200" s="47"/>
      <c r="AC200" s="47"/>
      <c r="AD200" s="47"/>
      <c r="AE200" s="47"/>
      <c r="AF200" s="47"/>
      <c r="AG200" s="47"/>
      <c r="AH200" s="47">
        <f t="shared" ref="AH200:AI200" si="200">AH156</f>
        <v>5.22</v>
      </c>
      <c r="AI200" s="47">
        <f t="shared" si="200"/>
        <v>0</v>
      </c>
      <c r="AJ200" s="47"/>
      <c r="AK200" s="46"/>
      <c r="AL200" s="46"/>
      <c r="AM200" s="127">
        <f t="shared" si="197"/>
        <v>0</v>
      </c>
      <c r="AN200" s="127">
        <f t="shared" si="198"/>
        <v>0</v>
      </c>
      <c r="AO200" s="46"/>
      <c r="AP200" s="46"/>
      <c r="AQ200" s="46"/>
      <c r="AR200" s="46"/>
    </row>
    <row r="201" spans="1:44" ht="12.75" customHeight="1">
      <c r="A201" s="93"/>
      <c r="B201" s="93"/>
      <c r="C201" s="94"/>
      <c r="D201" s="94"/>
      <c r="E201" s="94"/>
      <c r="F201" s="95"/>
      <c r="G201" s="95"/>
      <c r="H201" s="95"/>
      <c r="I201" s="95"/>
      <c r="J201" s="95"/>
      <c r="K201" s="94"/>
      <c r="L201" s="94"/>
      <c r="M201" s="94"/>
      <c r="N201" s="94"/>
      <c r="O201" s="96"/>
      <c r="P201" s="94"/>
      <c r="Q201" s="94"/>
      <c r="R201" s="98"/>
      <c r="S201" s="98"/>
      <c r="T201" s="98"/>
      <c r="U201" s="98"/>
      <c r="V201" s="98"/>
      <c r="W201" s="98"/>
      <c r="X201" s="98"/>
      <c r="Y201" s="98"/>
      <c r="Z201" s="98"/>
      <c r="AA201" s="98"/>
      <c r="AB201" s="98"/>
      <c r="AC201" s="98"/>
      <c r="AD201" s="98"/>
      <c r="AE201" s="98"/>
      <c r="AF201" s="98"/>
      <c r="AG201" s="98"/>
      <c r="AH201" s="98"/>
      <c r="AI201" s="98"/>
      <c r="AJ201" s="98"/>
      <c r="AK201" s="94"/>
      <c r="AL201" s="94"/>
      <c r="AM201" s="105"/>
      <c r="AN201" s="105"/>
      <c r="AO201" s="94"/>
      <c r="AP201" s="94"/>
      <c r="AQ201" s="94"/>
      <c r="AR201" s="94"/>
    </row>
    <row r="202" spans="1:44" ht="12.75" customHeight="1">
      <c r="A202" s="93"/>
      <c r="B202" s="93"/>
      <c r="C202" s="94"/>
      <c r="D202" s="94"/>
      <c r="E202" s="94"/>
      <c r="F202" s="95"/>
      <c r="G202" s="95"/>
      <c r="H202" s="95"/>
      <c r="I202" s="95"/>
      <c r="J202" s="95"/>
      <c r="K202" s="94"/>
      <c r="L202" s="94"/>
      <c r="M202" s="94"/>
      <c r="N202" s="94"/>
      <c r="O202" s="96"/>
      <c r="P202" s="94"/>
      <c r="Q202" s="94"/>
      <c r="R202" s="98"/>
      <c r="S202" s="98"/>
      <c r="T202" s="98"/>
      <c r="U202" s="98"/>
      <c r="V202" s="98"/>
      <c r="W202" s="98"/>
      <c r="X202" s="98"/>
      <c r="Y202" s="98"/>
      <c r="Z202" s="98"/>
      <c r="AA202" s="98"/>
      <c r="AB202" s="98"/>
      <c r="AC202" s="98"/>
      <c r="AD202" s="98"/>
      <c r="AE202" s="98"/>
      <c r="AF202" s="98"/>
      <c r="AG202" s="98"/>
      <c r="AH202" s="98"/>
      <c r="AI202" s="98"/>
      <c r="AJ202" s="98"/>
      <c r="AK202" s="94"/>
      <c r="AL202" s="94"/>
      <c r="AM202" s="105"/>
      <c r="AN202" s="105"/>
      <c r="AO202" s="94"/>
      <c r="AP202" s="94"/>
      <c r="AQ202" s="94"/>
      <c r="AR202" s="94"/>
    </row>
    <row r="203" spans="1:44" ht="12.75" customHeight="1">
      <c r="A203" s="93"/>
      <c r="B203" s="93"/>
      <c r="C203" s="94"/>
      <c r="D203" s="94"/>
      <c r="E203" s="94"/>
      <c r="F203" s="95"/>
      <c r="G203" s="95"/>
      <c r="H203" s="95"/>
      <c r="I203" s="95"/>
      <c r="J203" s="95"/>
      <c r="K203" s="94"/>
      <c r="L203" s="94"/>
      <c r="M203" s="94"/>
      <c r="N203" s="94"/>
      <c r="O203" s="96"/>
      <c r="P203" s="94"/>
      <c r="Q203" s="94"/>
      <c r="R203" s="98"/>
      <c r="S203" s="98"/>
      <c r="T203" s="98"/>
      <c r="U203" s="98"/>
      <c r="V203" s="98"/>
      <c r="W203" s="98"/>
      <c r="X203" s="98"/>
      <c r="Y203" s="98"/>
      <c r="Z203" s="98"/>
      <c r="AA203" s="98"/>
      <c r="AB203" s="98"/>
      <c r="AC203" s="98"/>
      <c r="AD203" s="98"/>
      <c r="AE203" s="98"/>
      <c r="AF203" s="98"/>
      <c r="AG203" s="98"/>
      <c r="AH203" s="98"/>
      <c r="AI203" s="98"/>
      <c r="AJ203" s="98"/>
      <c r="AK203" s="94"/>
      <c r="AL203" s="94"/>
      <c r="AM203" s="94"/>
      <c r="AN203" s="94"/>
      <c r="AO203" s="94"/>
      <c r="AP203" s="94"/>
      <c r="AQ203" s="94"/>
      <c r="AR203" s="94"/>
    </row>
    <row r="204" spans="1:44" ht="12.75" customHeight="1">
      <c r="A204" s="107"/>
      <c r="B204" s="108" t="s">
        <v>194</v>
      </c>
      <c r="C204" s="109"/>
      <c r="D204" s="109"/>
      <c r="E204" s="109"/>
      <c r="F204" s="110"/>
      <c r="G204" s="110"/>
      <c r="H204" s="110"/>
      <c r="I204" s="110"/>
      <c r="J204" s="110"/>
      <c r="K204" s="109"/>
      <c r="L204" s="109"/>
      <c r="M204" s="109"/>
      <c r="N204" s="111"/>
      <c r="O204" s="112"/>
      <c r="P204" s="113"/>
      <c r="Q204" s="109"/>
      <c r="R204" s="114">
        <f t="shared" ref="R204:AA204" si="201">SUM(R198:R203)</f>
        <v>0</v>
      </c>
      <c r="S204" s="114">
        <f t="shared" si="201"/>
        <v>0</v>
      </c>
      <c r="T204" s="114">
        <f t="shared" si="201"/>
        <v>0</v>
      </c>
      <c r="U204" s="114">
        <f t="shared" si="201"/>
        <v>0</v>
      </c>
      <c r="V204" s="114">
        <f t="shared" si="201"/>
        <v>234.86490000000001</v>
      </c>
      <c r="W204" s="114">
        <f t="shared" si="201"/>
        <v>0</v>
      </c>
      <c r="X204" s="114">
        <f t="shared" si="201"/>
        <v>0</v>
      </c>
      <c r="Y204" s="114">
        <f t="shared" si="201"/>
        <v>0</v>
      </c>
      <c r="Z204" s="114" t="e">
        <f t="shared" si="201"/>
        <v>#DIV/0!</v>
      </c>
      <c r="AA204" s="114">
        <f t="shared" si="201"/>
        <v>0</v>
      </c>
      <c r="AB204" s="114"/>
      <c r="AC204" s="114"/>
      <c r="AD204" s="114">
        <f t="shared" ref="AD204:AF204" si="202">SUM(AD198:AD203)</f>
        <v>0</v>
      </c>
      <c r="AE204" s="114">
        <f t="shared" si="202"/>
        <v>0</v>
      </c>
      <c r="AF204" s="114">
        <f t="shared" si="202"/>
        <v>0</v>
      </c>
      <c r="AG204" s="114"/>
      <c r="AH204" s="114">
        <f t="shared" ref="AH204:AI204" si="203">SUM(AH198:AH203)</f>
        <v>51.35</v>
      </c>
      <c r="AI204" s="114">
        <f t="shared" si="203"/>
        <v>0</v>
      </c>
      <c r="AJ204" s="115"/>
      <c r="AK204" s="114">
        <f t="shared" ref="AK204:AN204" si="204">SUM(AK198:AK203)</f>
        <v>0</v>
      </c>
      <c r="AL204" s="114">
        <f t="shared" si="204"/>
        <v>0</v>
      </c>
      <c r="AM204" s="114">
        <f t="shared" si="204"/>
        <v>782.88300000000004</v>
      </c>
      <c r="AN204" s="114">
        <f t="shared" si="204"/>
        <v>0</v>
      </c>
      <c r="AO204" s="94"/>
      <c r="AP204" s="94"/>
      <c r="AQ204" s="94"/>
      <c r="AR204" s="94"/>
    </row>
    <row r="205" spans="1:44" ht="12.75" customHeight="1">
      <c r="A205" s="93"/>
      <c r="B205" s="93"/>
      <c r="C205" s="94"/>
      <c r="D205" s="94"/>
      <c r="E205" s="94"/>
      <c r="F205" s="95"/>
      <c r="G205" s="95"/>
      <c r="H205" s="95"/>
      <c r="I205" s="95"/>
      <c r="J205" s="95"/>
      <c r="K205" s="94"/>
      <c r="L205" s="94"/>
      <c r="M205" s="94"/>
      <c r="N205" s="94"/>
      <c r="O205" s="96"/>
      <c r="P205" s="94"/>
      <c r="Q205" s="94"/>
      <c r="R205" s="98"/>
      <c r="S205" s="98"/>
      <c r="T205" s="98"/>
      <c r="U205" s="98"/>
      <c r="V205" s="98"/>
      <c r="W205" s="98"/>
      <c r="X205" s="98"/>
      <c r="Y205" s="98"/>
      <c r="Z205" s="98"/>
      <c r="AA205" s="98"/>
      <c r="AB205" s="98"/>
      <c r="AC205" s="98"/>
      <c r="AD205" s="98"/>
      <c r="AE205" s="98"/>
      <c r="AF205" s="98"/>
      <c r="AG205" s="98"/>
      <c r="AH205" s="98"/>
      <c r="AI205" s="98"/>
      <c r="AJ205" s="98"/>
      <c r="AK205" s="94"/>
      <c r="AL205" s="94"/>
      <c r="AM205" s="94"/>
      <c r="AN205" s="94"/>
      <c r="AO205" s="94"/>
      <c r="AP205" s="94"/>
      <c r="AQ205" s="94"/>
      <c r="AR205" s="94"/>
    </row>
    <row r="206" spans="1:44" ht="12.75" customHeight="1">
      <c r="A206" s="93"/>
      <c r="B206" s="93"/>
      <c r="C206" s="94"/>
      <c r="D206" s="94"/>
      <c r="E206" s="94"/>
      <c r="F206" s="95"/>
      <c r="G206" s="95"/>
      <c r="H206" s="95"/>
      <c r="I206" s="95"/>
      <c r="J206" s="95"/>
      <c r="K206" s="94"/>
      <c r="L206" s="94"/>
      <c r="M206" s="94"/>
      <c r="N206" s="94"/>
      <c r="O206" s="96"/>
      <c r="P206" s="94"/>
      <c r="Q206" s="94"/>
      <c r="R206" s="98"/>
      <c r="S206" s="98"/>
      <c r="T206" s="98"/>
      <c r="U206" s="98"/>
      <c r="V206" s="98"/>
      <c r="W206" s="98"/>
      <c r="X206" s="98"/>
      <c r="Y206" s="98"/>
      <c r="Z206" s="98"/>
      <c r="AA206" s="98"/>
      <c r="AB206" s="98"/>
      <c r="AC206" s="98"/>
      <c r="AD206" s="98"/>
      <c r="AE206" s="98"/>
      <c r="AF206" s="98"/>
      <c r="AG206" s="98"/>
      <c r="AH206" s="98"/>
      <c r="AI206" s="98"/>
      <c r="AJ206" s="98"/>
      <c r="AK206" s="94"/>
      <c r="AL206" s="94"/>
      <c r="AM206" s="94"/>
      <c r="AN206" s="94"/>
      <c r="AO206" s="94"/>
      <c r="AP206" s="94"/>
      <c r="AQ206" s="94"/>
      <c r="AR206" s="94"/>
    </row>
    <row r="207" spans="1:44" ht="12.75" customHeight="1">
      <c r="A207" s="93"/>
      <c r="B207" s="93"/>
      <c r="C207" s="94"/>
      <c r="D207" s="94"/>
      <c r="E207" s="94"/>
      <c r="F207" s="95"/>
      <c r="G207" s="95"/>
      <c r="H207" s="95"/>
      <c r="I207" s="95"/>
      <c r="J207" s="95"/>
      <c r="K207" s="94"/>
      <c r="L207" s="94"/>
      <c r="M207" s="94"/>
      <c r="N207" s="94"/>
      <c r="O207" s="96"/>
      <c r="P207" s="94"/>
      <c r="Q207" s="94"/>
      <c r="R207" s="98"/>
      <c r="S207" s="98"/>
      <c r="T207" s="98"/>
      <c r="U207" s="98"/>
      <c r="V207" s="98"/>
      <c r="W207" s="98"/>
      <c r="X207" s="98"/>
      <c r="Y207" s="98"/>
      <c r="Z207" s="98"/>
      <c r="AA207" s="98"/>
      <c r="AB207" s="98"/>
      <c r="AC207" s="98"/>
      <c r="AD207" s="98"/>
      <c r="AE207" s="98"/>
      <c r="AF207" s="98"/>
      <c r="AG207" s="98"/>
      <c r="AH207" s="98"/>
      <c r="AI207" s="98"/>
      <c r="AJ207" s="98"/>
      <c r="AK207" s="94"/>
      <c r="AL207" s="94"/>
      <c r="AM207" s="94"/>
      <c r="AN207" s="94"/>
      <c r="AO207" s="94"/>
      <c r="AP207" s="94"/>
      <c r="AQ207" s="94"/>
      <c r="AR207" s="94"/>
    </row>
    <row r="208" spans="1:44" ht="12.75" customHeight="1">
      <c r="A208" s="93"/>
      <c r="B208" s="93" t="s">
        <v>337</v>
      </c>
      <c r="C208" s="94"/>
      <c r="D208" s="94"/>
      <c r="E208" s="94"/>
      <c r="F208" s="95"/>
      <c r="G208" s="95"/>
      <c r="H208" s="95"/>
      <c r="I208" s="95"/>
      <c r="J208" s="95"/>
      <c r="K208" s="94"/>
      <c r="L208" s="94"/>
      <c r="M208" s="94"/>
      <c r="N208" s="94"/>
      <c r="O208" s="96"/>
      <c r="P208" s="94"/>
      <c r="Q208" s="94"/>
      <c r="R208" s="98"/>
      <c r="S208" s="98"/>
      <c r="T208" s="98"/>
      <c r="U208" s="98"/>
      <c r="V208" s="98"/>
      <c r="W208" s="98"/>
      <c r="X208" s="98"/>
      <c r="Y208" s="98"/>
      <c r="Z208" s="98"/>
      <c r="AA208" s="98"/>
      <c r="AB208" s="98"/>
      <c r="AC208" s="98"/>
      <c r="AD208" s="98"/>
      <c r="AE208" s="98"/>
      <c r="AF208" s="98"/>
      <c r="AG208" s="98"/>
      <c r="AH208" s="98"/>
      <c r="AI208" s="98"/>
      <c r="AJ208" s="98"/>
      <c r="AK208" s="94"/>
      <c r="AL208" s="94"/>
      <c r="AM208" s="94"/>
      <c r="AN208" s="94"/>
      <c r="AO208" s="94"/>
      <c r="AP208" s="94"/>
      <c r="AQ208" s="94"/>
      <c r="AR208" s="94"/>
    </row>
    <row r="209" spans="1:44" ht="12.75" customHeight="1">
      <c r="A209" s="93"/>
      <c r="B209" s="93"/>
      <c r="C209" s="94"/>
      <c r="D209" s="94"/>
      <c r="E209" s="94"/>
      <c r="F209" s="95"/>
      <c r="G209" s="95"/>
      <c r="H209" s="95"/>
      <c r="I209" s="95"/>
      <c r="J209" s="95"/>
      <c r="K209" s="94"/>
      <c r="L209" s="94"/>
      <c r="M209" s="94"/>
      <c r="N209" s="94"/>
      <c r="O209" s="96"/>
      <c r="P209" s="94"/>
      <c r="Q209" s="94"/>
      <c r="R209" s="98"/>
      <c r="S209" s="98"/>
      <c r="T209" s="98"/>
      <c r="U209" s="98"/>
      <c r="V209" s="98"/>
      <c r="W209" s="98"/>
      <c r="X209" s="98"/>
      <c r="Y209" s="98"/>
      <c r="Z209" s="98"/>
      <c r="AA209" s="98"/>
      <c r="AB209" s="98"/>
      <c r="AC209" s="98"/>
      <c r="AD209" s="98"/>
      <c r="AE209" s="98"/>
      <c r="AF209" s="98"/>
      <c r="AG209" s="98"/>
      <c r="AH209" s="98"/>
      <c r="AI209" s="98"/>
      <c r="AJ209" s="98"/>
      <c r="AK209" s="94"/>
      <c r="AL209" s="94"/>
      <c r="AM209" s="94"/>
      <c r="AN209" s="94"/>
      <c r="AO209" s="94"/>
      <c r="AP209" s="94"/>
      <c r="AQ209" s="94"/>
      <c r="AR209" s="94"/>
    </row>
    <row r="210" spans="1:44" ht="12.75" customHeight="1">
      <c r="A210" s="93"/>
      <c r="B210" s="128" t="s">
        <v>338</v>
      </c>
      <c r="C210" s="94" t="s">
        <v>339</v>
      </c>
      <c r="D210" s="94">
        <v>0</v>
      </c>
      <c r="E210" s="94">
        <v>0</v>
      </c>
      <c r="F210" s="95">
        <v>0</v>
      </c>
      <c r="G210" s="95">
        <v>0</v>
      </c>
      <c r="H210" s="95">
        <v>0</v>
      </c>
      <c r="I210" s="95"/>
      <c r="J210" s="95"/>
      <c r="K210" s="94"/>
      <c r="L210" s="94"/>
      <c r="M210" s="94"/>
      <c r="N210" s="94"/>
      <c r="O210" s="96"/>
      <c r="P210" s="94"/>
      <c r="Q210" s="94"/>
      <c r="R210" s="98"/>
      <c r="S210" s="98"/>
      <c r="T210" s="98"/>
      <c r="U210" s="98"/>
      <c r="V210" s="98">
        <f>PRODUCT(D210:H210)</f>
        <v>0</v>
      </c>
      <c r="W210" s="98">
        <f>K210*H210*E210*D210</f>
        <v>0</v>
      </c>
      <c r="X210" s="98"/>
      <c r="Y210" s="98"/>
      <c r="Z210" s="98"/>
      <c r="AA210" s="98"/>
      <c r="AB210" s="98"/>
      <c r="AC210" s="98"/>
      <c r="AD210" s="98"/>
      <c r="AE210" s="98"/>
      <c r="AF210" s="98"/>
      <c r="AG210" s="98"/>
      <c r="AH210" s="98"/>
      <c r="AI210" s="98"/>
      <c r="AJ210" s="98"/>
      <c r="AK210" s="94"/>
      <c r="AL210" s="94"/>
      <c r="AM210" s="94"/>
      <c r="AN210" s="94"/>
      <c r="AO210" s="94"/>
      <c r="AP210" s="94"/>
      <c r="AQ210" s="94"/>
      <c r="AR210" s="94"/>
    </row>
    <row r="211" spans="1:44" ht="12.75" customHeight="1">
      <c r="A211" s="93"/>
      <c r="B211" s="93"/>
      <c r="C211" s="94"/>
      <c r="D211" s="94"/>
      <c r="E211" s="94"/>
      <c r="F211" s="95"/>
      <c r="G211" s="95"/>
      <c r="H211" s="95"/>
      <c r="I211" s="95"/>
      <c r="J211" s="95"/>
      <c r="K211" s="94"/>
      <c r="L211" s="94"/>
      <c r="M211" s="94"/>
      <c r="N211" s="94"/>
      <c r="O211" s="96"/>
      <c r="P211" s="94"/>
      <c r="Q211" s="94"/>
      <c r="R211" s="98"/>
      <c r="S211" s="98"/>
      <c r="T211" s="98"/>
      <c r="U211" s="98"/>
      <c r="V211" s="98"/>
      <c r="W211" s="98"/>
      <c r="X211" s="98"/>
      <c r="Y211" s="98"/>
      <c r="Z211" s="98"/>
      <c r="AA211" s="98"/>
      <c r="AB211" s="98"/>
      <c r="AC211" s="98"/>
      <c r="AD211" s="98"/>
      <c r="AE211" s="98"/>
      <c r="AF211" s="98"/>
      <c r="AG211" s="98"/>
      <c r="AH211" s="98"/>
      <c r="AI211" s="98"/>
      <c r="AJ211" s="98"/>
      <c r="AK211" s="94"/>
      <c r="AL211" s="94"/>
      <c r="AM211" s="94"/>
      <c r="AN211" s="94"/>
      <c r="AO211" s="94"/>
      <c r="AP211" s="94"/>
      <c r="AQ211" s="94"/>
      <c r="AR211" s="94"/>
    </row>
    <row r="212" spans="1:44" ht="12.75" customHeight="1">
      <c r="A212" s="107"/>
      <c r="B212" s="108" t="s">
        <v>194</v>
      </c>
      <c r="C212" s="109"/>
      <c r="D212" s="109"/>
      <c r="E212" s="109"/>
      <c r="F212" s="110"/>
      <c r="G212" s="110"/>
      <c r="H212" s="110"/>
      <c r="I212" s="110"/>
      <c r="J212" s="110"/>
      <c r="K212" s="109"/>
      <c r="L212" s="109"/>
      <c r="M212" s="109"/>
      <c r="N212" s="111"/>
      <c r="O212" s="112"/>
      <c r="P212" s="113"/>
      <c r="Q212" s="109"/>
      <c r="R212" s="114">
        <f t="shared" ref="R212:AA212" si="205">SUM(R209:R211)</f>
        <v>0</v>
      </c>
      <c r="S212" s="114">
        <f t="shared" si="205"/>
        <v>0</v>
      </c>
      <c r="T212" s="114">
        <f t="shared" si="205"/>
        <v>0</v>
      </c>
      <c r="U212" s="114">
        <f t="shared" si="205"/>
        <v>0</v>
      </c>
      <c r="V212" s="114">
        <f t="shared" si="205"/>
        <v>0</v>
      </c>
      <c r="W212" s="114">
        <f t="shared" si="205"/>
        <v>0</v>
      </c>
      <c r="X212" s="114">
        <f t="shared" si="205"/>
        <v>0</v>
      </c>
      <c r="Y212" s="114">
        <f t="shared" si="205"/>
        <v>0</v>
      </c>
      <c r="Z212" s="114">
        <f t="shared" si="205"/>
        <v>0</v>
      </c>
      <c r="AA212" s="114">
        <f t="shared" si="205"/>
        <v>0</v>
      </c>
      <c r="AB212" s="114"/>
      <c r="AC212" s="114"/>
      <c r="AD212" s="114">
        <f t="shared" ref="AD212:AF212" si="206">SUM(AD209:AD211)</f>
        <v>0</v>
      </c>
      <c r="AE212" s="114">
        <f t="shared" si="206"/>
        <v>0</v>
      </c>
      <c r="AF212" s="114">
        <f t="shared" si="206"/>
        <v>0</v>
      </c>
      <c r="AG212" s="114"/>
      <c r="AH212" s="114">
        <f t="shared" ref="AH212:AI212" si="207">SUM(AH209:AH211)</f>
        <v>0</v>
      </c>
      <c r="AI212" s="114">
        <f t="shared" si="207"/>
        <v>0</v>
      </c>
      <c r="AJ212" s="115"/>
      <c r="AK212" s="114">
        <f t="shared" ref="AK212:AL212" si="208">SUM(AK209:AK211)</f>
        <v>0</v>
      </c>
      <c r="AL212" s="114">
        <f t="shared" si="208"/>
        <v>0</v>
      </c>
      <c r="AM212" s="94"/>
      <c r="AN212" s="94"/>
      <c r="AO212" s="94"/>
      <c r="AP212" s="94"/>
      <c r="AQ212" s="94"/>
      <c r="AR212" s="94"/>
    </row>
    <row r="213" spans="1:44" ht="12.75" customHeight="1">
      <c r="A213" s="93"/>
      <c r="B213" s="104"/>
      <c r="C213" s="94"/>
      <c r="D213" s="94"/>
      <c r="E213" s="94"/>
      <c r="F213" s="95"/>
      <c r="G213" s="95"/>
      <c r="H213" s="95"/>
      <c r="I213" s="95"/>
      <c r="J213" s="95"/>
      <c r="K213" s="94"/>
      <c r="L213" s="94"/>
      <c r="M213" s="94"/>
      <c r="N213" s="94"/>
      <c r="O213" s="123"/>
      <c r="P213" s="94"/>
      <c r="Q213" s="94"/>
      <c r="R213" s="115"/>
      <c r="S213" s="115"/>
      <c r="T213" s="115"/>
      <c r="U213" s="115"/>
      <c r="V213" s="115"/>
      <c r="W213" s="115"/>
      <c r="X213" s="115"/>
      <c r="Y213" s="115"/>
      <c r="Z213" s="115"/>
      <c r="AA213" s="115"/>
      <c r="AB213" s="115"/>
      <c r="AC213" s="115"/>
      <c r="AD213" s="115"/>
      <c r="AE213" s="115"/>
      <c r="AF213" s="115"/>
      <c r="AG213" s="115"/>
      <c r="AH213" s="115"/>
      <c r="AI213" s="115"/>
      <c r="AJ213" s="115"/>
      <c r="AK213" s="115"/>
      <c r="AL213" s="115"/>
      <c r="AM213" s="94"/>
      <c r="AN213" s="94"/>
      <c r="AO213" s="94"/>
      <c r="AP213" s="94"/>
      <c r="AQ213" s="94"/>
      <c r="AR213" s="94"/>
    </row>
    <row r="214" spans="1:44" ht="12.75" customHeight="1">
      <c r="A214" s="93"/>
      <c r="B214" s="93" t="s">
        <v>299</v>
      </c>
      <c r="C214" s="94"/>
      <c r="D214" s="94"/>
      <c r="E214" s="94"/>
      <c r="F214" s="95"/>
      <c r="G214" s="95"/>
      <c r="H214" s="95"/>
      <c r="I214" s="95"/>
      <c r="J214" s="95"/>
      <c r="K214" s="94"/>
      <c r="L214" s="94"/>
      <c r="M214" s="94"/>
      <c r="N214" s="94"/>
      <c r="O214" s="96"/>
      <c r="P214" s="94"/>
      <c r="Q214" s="94"/>
      <c r="R214" s="98"/>
      <c r="S214" s="98"/>
      <c r="T214" s="98"/>
      <c r="U214" s="98"/>
      <c r="V214" s="98"/>
      <c r="W214" s="98"/>
      <c r="X214" s="98"/>
      <c r="Y214" s="98"/>
      <c r="Z214" s="98"/>
      <c r="AA214" s="98"/>
      <c r="AB214" s="98"/>
      <c r="AC214" s="98"/>
      <c r="AD214" s="98"/>
      <c r="AE214" s="98"/>
      <c r="AF214" s="98"/>
      <c r="AG214" s="98"/>
      <c r="AH214" s="98"/>
      <c r="AI214" s="98"/>
      <c r="AJ214" s="98"/>
      <c r="AK214" s="94"/>
      <c r="AL214" s="94"/>
      <c r="AM214" s="94"/>
      <c r="AN214" s="94"/>
      <c r="AO214" s="94"/>
      <c r="AP214" s="94"/>
      <c r="AQ214" s="94"/>
      <c r="AR214" s="94"/>
    </row>
    <row r="215" spans="1:44" ht="12.75" customHeight="1">
      <c r="A215" s="93"/>
      <c r="B215" s="104" t="s">
        <v>265</v>
      </c>
      <c r="C215" s="94"/>
      <c r="D215" s="94"/>
      <c r="E215" s="94"/>
      <c r="F215" s="95"/>
      <c r="G215" s="95"/>
      <c r="H215" s="95"/>
      <c r="I215" s="95"/>
      <c r="J215" s="95"/>
      <c r="K215" s="94"/>
      <c r="L215" s="94"/>
      <c r="M215" s="94"/>
      <c r="N215" s="94"/>
      <c r="O215" s="96"/>
      <c r="P215" s="94"/>
      <c r="Q215" s="94"/>
      <c r="R215" s="98"/>
      <c r="S215" s="98"/>
      <c r="T215" s="98"/>
      <c r="U215" s="98"/>
      <c r="V215" s="98"/>
      <c r="W215" s="98"/>
      <c r="X215" s="98"/>
      <c r="Y215" s="98"/>
      <c r="Z215" s="98"/>
      <c r="AA215" s="98"/>
      <c r="AB215" s="124" t="s">
        <v>266</v>
      </c>
      <c r="AC215" s="98" t="s">
        <v>267</v>
      </c>
      <c r="AD215" s="98"/>
      <c r="AE215" s="98"/>
      <c r="AF215" s="98"/>
      <c r="AG215" s="98"/>
      <c r="AH215" s="98"/>
      <c r="AI215" s="98"/>
      <c r="AJ215" s="98" t="s">
        <v>268</v>
      </c>
      <c r="AK215" s="94"/>
      <c r="AL215" s="94"/>
      <c r="AM215" s="94"/>
      <c r="AN215" s="94"/>
      <c r="AO215" s="94"/>
      <c r="AP215" s="94"/>
      <c r="AQ215" s="94"/>
      <c r="AR215" s="94"/>
    </row>
    <row r="216" spans="1:44" ht="12.75" customHeight="1">
      <c r="A216" s="93"/>
      <c r="B216" s="93" t="s">
        <v>300</v>
      </c>
      <c r="C216" s="94" t="s">
        <v>340</v>
      </c>
      <c r="D216" s="94">
        <v>1</v>
      </c>
      <c r="E216" s="94">
        <v>6</v>
      </c>
      <c r="F216" s="95">
        <v>4.74</v>
      </c>
      <c r="G216" s="95">
        <v>0.2</v>
      </c>
      <c r="H216" s="95">
        <f t="shared" ref="H216:H221" si="209">0.7-0.3</f>
        <v>0.39999999999999997</v>
      </c>
      <c r="I216" s="95"/>
      <c r="J216" s="95"/>
      <c r="K216" s="94"/>
      <c r="L216" s="94"/>
      <c r="M216" s="94"/>
      <c r="N216" s="94"/>
      <c r="O216" s="96"/>
      <c r="P216" s="105">
        <v>0</v>
      </c>
      <c r="Q216" s="105">
        <v>0</v>
      </c>
      <c r="R216" s="103">
        <f t="shared" ref="R216:R228" si="210">(((F216)*(G216*H216)))*E216*D216</f>
        <v>2.2752000000000003</v>
      </c>
      <c r="S216" s="103">
        <f t="shared" ref="S216:S222" si="211">((J216*P216)*E216*D216)</f>
        <v>0</v>
      </c>
      <c r="T216" s="103">
        <f t="shared" ref="T216:T222" si="212">((F216*P216)*2)*D216*E216</f>
        <v>0</v>
      </c>
      <c r="U216" s="98">
        <f t="shared" ref="U216:U222" si="213">((L216*P216)*E216*D216)</f>
        <v>0</v>
      </c>
      <c r="V216" s="98">
        <f t="shared" ref="V216:V222" si="214">PRODUCT(D216:H216)</f>
        <v>2.2751999999999999</v>
      </c>
      <c r="W216" s="98">
        <f t="shared" ref="W216:W222" si="215">(K216*H216)*E216*D216</f>
        <v>0</v>
      </c>
      <c r="X216" s="98">
        <f t="shared" ref="X216:X222" si="216">((F216)*(H216*2))*E216*D216</f>
        <v>22.751999999999999</v>
      </c>
      <c r="Y216" s="98">
        <f t="shared" ref="Y216:Y222" si="217">((M216)*H216)*E216*D216</f>
        <v>0</v>
      </c>
      <c r="Z216" s="103" t="e">
        <f t="shared" ref="Z216:Z222" si="218">(R216/P216)+(S216/P216)</f>
        <v>#DIV/0!</v>
      </c>
      <c r="AA216" s="103">
        <f t="shared" ref="AA216:AA222" si="219">(T216+U216)</f>
        <v>0</v>
      </c>
      <c r="AB216" s="125">
        <v>0.15</v>
      </c>
      <c r="AC216" s="125">
        <v>0.15</v>
      </c>
      <c r="AD216" s="103">
        <f t="shared" ref="AD216:AD222" si="220">(((F216*G216)*E216*D216))+K216</f>
        <v>5.6880000000000006</v>
      </c>
      <c r="AE216" s="103">
        <f t="shared" ref="AE216:AE222" si="221">(((F216*(H216-AB216))+(F216*(H216-AC216)))*E216*D216)+Y216</f>
        <v>14.219999999999999</v>
      </c>
      <c r="AF216" s="98">
        <f t="shared" ref="AF216:AF222" si="222">AD216</f>
        <v>5.6880000000000006</v>
      </c>
      <c r="AG216" s="98"/>
      <c r="AH216" s="103">
        <f t="shared" ref="AH216:AH222" si="223">F216*E216*D216</f>
        <v>28.44</v>
      </c>
      <c r="AI216" s="98"/>
      <c r="AJ216" s="125">
        <f t="shared" ref="AJ216:AJ222" si="224">$H$8-0.1-H216+0.3</f>
        <v>6.75</v>
      </c>
      <c r="AK216" s="105">
        <f t="shared" ref="AK216:AK222" si="225">((F216*AJ216)*E216*D216)</f>
        <v>191.97</v>
      </c>
      <c r="AL216" s="94"/>
      <c r="AM216" s="94"/>
      <c r="AN216" s="94"/>
      <c r="AO216" s="94"/>
      <c r="AP216" s="94"/>
      <c r="AQ216" s="94"/>
      <c r="AR216" s="94"/>
    </row>
    <row r="217" spans="1:44" ht="12.75" customHeight="1">
      <c r="A217" s="93"/>
      <c r="B217" s="93" t="s">
        <v>300</v>
      </c>
      <c r="C217" s="94" t="s">
        <v>341</v>
      </c>
      <c r="D217" s="94">
        <v>1</v>
      </c>
      <c r="E217" s="94">
        <v>6</v>
      </c>
      <c r="F217" s="95">
        <v>4.45</v>
      </c>
      <c r="G217" s="95">
        <v>0.2</v>
      </c>
      <c r="H217" s="95">
        <f t="shared" si="209"/>
        <v>0.39999999999999997</v>
      </c>
      <c r="I217" s="95"/>
      <c r="J217" s="95"/>
      <c r="K217" s="94"/>
      <c r="L217" s="94"/>
      <c r="M217" s="94"/>
      <c r="N217" s="94"/>
      <c r="O217" s="96"/>
      <c r="P217" s="105">
        <v>0</v>
      </c>
      <c r="Q217" s="105">
        <v>0</v>
      </c>
      <c r="R217" s="103">
        <f t="shared" si="210"/>
        <v>2.1360000000000001</v>
      </c>
      <c r="S217" s="103">
        <f t="shared" si="211"/>
        <v>0</v>
      </c>
      <c r="T217" s="103">
        <f t="shared" si="212"/>
        <v>0</v>
      </c>
      <c r="U217" s="98">
        <f t="shared" si="213"/>
        <v>0</v>
      </c>
      <c r="V217" s="98">
        <f t="shared" si="214"/>
        <v>2.1360000000000001</v>
      </c>
      <c r="W217" s="98">
        <f t="shared" si="215"/>
        <v>0</v>
      </c>
      <c r="X217" s="98">
        <f t="shared" si="216"/>
        <v>21.36</v>
      </c>
      <c r="Y217" s="98">
        <f t="shared" si="217"/>
        <v>0</v>
      </c>
      <c r="Z217" s="103" t="e">
        <f t="shared" si="218"/>
        <v>#DIV/0!</v>
      </c>
      <c r="AA217" s="103">
        <f t="shared" si="219"/>
        <v>0</v>
      </c>
      <c r="AB217" s="125">
        <v>0.15</v>
      </c>
      <c r="AC217" s="125">
        <v>0.15</v>
      </c>
      <c r="AD217" s="103">
        <f t="shared" si="220"/>
        <v>5.3400000000000007</v>
      </c>
      <c r="AE217" s="103">
        <f t="shared" si="221"/>
        <v>13.349999999999998</v>
      </c>
      <c r="AF217" s="98">
        <f t="shared" si="222"/>
        <v>5.3400000000000007</v>
      </c>
      <c r="AG217" s="98"/>
      <c r="AH217" s="103">
        <f t="shared" si="223"/>
        <v>26.700000000000003</v>
      </c>
      <c r="AI217" s="98"/>
      <c r="AJ217" s="125">
        <f t="shared" si="224"/>
        <v>6.75</v>
      </c>
      <c r="AK217" s="105">
        <f t="shared" si="225"/>
        <v>180.22500000000002</v>
      </c>
      <c r="AL217" s="94"/>
      <c r="AM217" s="94"/>
      <c r="AN217" s="94"/>
      <c r="AO217" s="94"/>
      <c r="AP217" s="94"/>
      <c r="AQ217" s="94"/>
      <c r="AR217" s="94"/>
    </row>
    <row r="218" spans="1:44" ht="12.75" customHeight="1">
      <c r="A218" s="93"/>
      <c r="B218" s="93" t="s">
        <v>300</v>
      </c>
      <c r="C218" s="94" t="s">
        <v>342</v>
      </c>
      <c r="D218" s="94">
        <v>1</v>
      </c>
      <c r="E218" s="94">
        <v>12</v>
      </c>
      <c r="F218" s="95">
        <v>6.68</v>
      </c>
      <c r="G218" s="95">
        <v>0.2</v>
      </c>
      <c r="H218" s="95">
        <f t="shared" si="209"/>
        <v>0.39999999999999997</v>
      </c>
      <c r="I218" s="95"/>
      <c r="J218" s="95"/>
      <c r="K218" s="94"/>
      <c r="L218" s="94"/>
      <c r="M218" s="94"/>
      <c r="N218" s="94"/>
      <c r="O218" s="96"/>
      <c r="P218" s="105">
        <v>0</v>
      </c>
      <c r="Q218" s="105">
        <v>0</v>
      </c>
      <c r="R218" s="103">
        <f t="shared" si="210"/>
        <v>6.4127999999999998</v>
      </c>
      <c r="S218" s="103">
        <f t="shared" si="211"/>
        <v>0</v>
      </c>
      <c r="T218" s="103">
        <f t="shared" si="212"/>
        <v>0</v>
      </c>
      <c r="U218" s="98">
        <f t="shared" si="213"/>
        <v>0</v>
      </c>
      <c r="V218" s="98">
        <f t="shared" si="214"/>
        <v>6.4127999999999998</v>
      </c>
      <c r="W218" s="98">
        <f t="shared" si="215"/>
        <v>0</v>
      </c>
      <c r="X218" s="98">
        <f t="shared" si="216"/>
        <v>64.127999999999986</v>
      </c>
      <c r="Y218" s="98">
        <f t="shared" si="217"/>
        <v>0</v>
      </c>
      <c r="Z218" s="103" t="e">
        <f t="shared" si="218"/>
        <v>#DIV/0!</v>
      </c>
      <c r="AA218" s="103">
        <f t="shared" si="219"/>
        <v>0</v>
      </c>
      <c r="AB218" s="125">
        <v>0.15</v>
      </c>
      <c r="AC218" s="125">
        <v>0.15</v>
      </c>
      <c r="AD218" s="103">
        <f t="shared" si="220"/>
        <v>16.032</v>
      </c>
      <c r="AE218" s="103">
        <f t="shared" si="221"/>
        <v>40.079999999999991</v>
      </c>
      <c r="AF218" s="98">
        <f t="shared" si="222"/>
        <v>16.032</v>
      </c>
      <c r="AG218" s="98"/>
      <c r="AH218" s="103">
        <f t="shared" si="223"/>
        <v>80.16</v>
      </c>
      <c r="AI218" s="98"/>
      <c r="AJ218" s="125">
        <f t="shared" si="224"/>
        <v>6.75</v>
      </c>
      <c r="AK218" s="105">
        <f t="shared" si="225"/>
        <v>541.07999999999993</v>
      </c>
      <c r="AL218" s="94"/>
      <c r="AM218" s="94"/>
      <c r="AN218" s="94"/>
      <c r="AO218" s="94"/>
      <c r="AP218" s="94"/>
      <c r="AQ218" s="94"/>
      <c r="AR218" s="94"/>
    </row>
    <row r="219" spans="1:44" ht="12.75" customHeight="1">
      <c r="A219" s="93"/>
      <c r="B219" s="93" t="s">
        <v>300</v>
      </c>
      <c r="C219" s="94" t="s">
        <v>343</v>
      </c>
      <c r="D219" s="94">
        <v>1</v>
      </c>
      <c r="E219" s="94">
        <v>6</v>
      </c>
      <c r="F219" s="95">
        <v>5.25</v>
      </c>
      <c r="G219" s="95">
        <v>0.2</v>
      </c>
      <c r="H219" s="95">
        <f t="shared" si="209"/>
        <v>0.39999999999999997</v>
      </c>
      <c r="I219" s="95"/>
      <c r="J219" s="95"/>
      <c r="K219" s="94"/>
      <c r="L219" s="94"/>
      <c r="M219" s="94"/>
      <c r="N219" s="94"/>
      <c r="O219" s="96"/>
      <c r="P219" s="105">
        <v>0</v>
      </c>
      <c r="Q219" s="105">
        <v>0</v>
      </c>
      <c r="R219" s="103">
        <f t="shared" si="210"/>
        <v>2.52</v>
      </c>
      <c r="S219" s="103">
        <f t="shared" si="211"/>
        <v>0</v>
      </c>
      <c r="T219" s="103">
        <f t="shared" si="212"/>
        <v>0</v>
      </c>
      <c r="U219" s="98">
        <f t="shared" si="213"/>
        <v>0</v>
      </c>
      <c r="V219" s="98">
        <f t="shared" si="214"/>
        <v>2.52</v>
      </c>
      <c r="W219" s="98">
        <f t="shared" si="215"/>
        <v>0</v>
      </c>
      <c r="X219" s="98">
        <f t="shared" si="216"/>
        <v>25.199999999999996</v>
      </c>
      <c r="Y219" s="98">
        <f t="shared" si="217"/>
        <v>0</v>
      </c>
      <c r="Z219" s="103" t="e">
        <f t="shared" si="218"/>
        <v>#DIV/0!</v>
      </c>
      <c r="AA219" s="103">
        <f t="shared" si="219"/>
        <v>0</v>
      </c>
      <c r="AB219" s="125">
        <v>0.15</v>
      </c>
      <c r="AC219" s="125">
        <v>0.15</v>
      </c>
      <c r="AD219" s="103">
        <f t="shared" si="220"/>
        <v>6.3000000000000007</v>
      </c>
      <c r="AE219" s="103">
        <f t="shared" si="221"/>
        <v>15.749999999999996</v>
      </c>
      <c r="AF219" s="98">
        <f t="shared" si="222"/>
        <v>6.3000000000000007</v>
      </c>
      <c r="AG219" s="98"/>
      <c r="AH219" s="103">
        <f t="shared" si="223"/>
        <v>31.5</v>
      </c>
      <c r="AI219" s="98"/>
      <c r="AJ219" s="125">
        <f t="shared" si="224"/>
        <v>6.75</v>
      </c>
      <c r="AK219" s="105">
        <f t="shared" si="225"/>
        <v>212.625</v>
      </c>
      <c r="AL219" s="94"/>
      <c r="AM219" s="94"/>
      <c r="AN219" s="94"/>
      <c r="AO219" s="94"/>
      <c r="AP219" s="94"/>
      <c r="AQ219" s="94"/>
      <c r="AR219" s="94"/>
    </row>
    <row r="220" spans="1:44" ht="12.75" customHeight="1">
      <c r="A220" s="93"/>
      <c r="B220" s="93" t="s">
        <v>300</v>
      </c>
      <c r="C220" s="94" t="s">
        <v>344</v>
      </c>
      <c r="D220" s="94">
        <v>1</v>
      </c>
      <c r="E220" s="94">
        <v>12</v>
      </c>
      <c r="F220" s="95">
        <v>0.95</v>
      </c>
      <c r="G220" s="95">
        <v>0.2</v>
      </c>
      <c r="H220" s="95">
        <f t="shared" si="209"/>
        <v>0.39999999999999997</v>
      </c>
      <c r="I220" s="95"/>
      <c r="J220" s="95"/>
      <c r="K220" s="94"/>
      <c r="L220" s="94"/>
      <c r="M220" s="94"/>
      <c r="N220" s="94"/>
      <c r="O220" s="96"/>
      <c r="P220" s="105">
        <v>0</v>
      </c>
      <c r="Q220" s="105">
        <v>0</v>
      </c>
      <c r="R220" s="103">
        <f t="shared" si="210"/>
        <v>0.91199999999999992</v>
      </c>
      <c r="S220" s="103">
        <f t="shared" si="211"/>
        <v>0</v>
      </c>
      <c r="T220" s="103">
        <f t="shared" si="212"/>
        <v>0</v>
      </c>
      <c r="U220" s="98">
        <f t="shared" si="213"/>
        <v>0</v>
      </c>
      <c r="V220" s="98">
        <f t="shared" si="214"/>
        <v>0.91199999999999981</v>
      </c>
      <c r="W220" s="98">
        <f t="shared" si="215"/>
        <v>0</v>
      </c>
      <c r="X220" s="98">
        <f t="shared" si="216"/>
        <v>9.1199999999999992</v>
      </c>
      <c r="Y220" s="98">
        <f t="shared" si="217"/>
        <v>0</v>
      </c>
      <c r="Z220" s="103" t="e">
        <f t="shared" si="218"/>
        <v>#DIV/0!</v>
      </c>
      <c r="AA220" s="103">
        <f t="shared" si="219"/>
        <v>0</v>
      </c>
      <c r="AB220" s="125">
        <v>0.15</v>
      </c>
      <c r="AC220" s="125">
        <v>0.15</v>
      </c>
      <c r="AD220" s="103">
        <f t="shared" si="220"/>
        <v>2.2800000000000002</v>
      </c>
      <c r="AE220" s="103">
        <f t="shared" si="221"/>
        <v>5.6999999999999993</v>
      </c>
      <c r="AF220" s="98">
        <f t="shared" si="222"/>
        <v>2.2800000000000002</v>
      </c>
      <c r="AG220" s="98"/>
      <c r="AH220" s="103">
        <f t="shared" si="223"/>
        <v>11.399999999999999</v>
      </c>
      <c r="AI220" s="98"/>
      <c r="AJ220" s="125">
        <f t="shared" si="224"/>
        <v>6.75</v>
      </c>
      <c r="AK220" s="105">
        <f t="shared" si="225"/>
        <v>76.949999999999989</v>
      </c>
      <c r="AL220" s="94"/>
      <c r="AM220" s="94"/>
      <c r="AN220" s="94"/>
      <c r="AO220" s="94"/>
      <c r="AP220" s="94"/>
      <c r="AQ220" s="94"/>
      <c r="AR220" s="94"/>
    </row>
    <row r="221" spans="1:44" ht="12.75" customHeight="1">
      <c r="A221" s="93"/>
      <c r="B221" s="93" t="s">
        <v>300</v>
      </c>
      <c r="C221" s="94" t="s">
        <v>345</v>
      </c>
      <c r="D221" s="94">
        <v>1</v>
      </c>
      <c r="E221" s="94">
        <v>6</v>
      </c>
      <c r="F221" s="95">
        <v>1</v>
      </c>
      <c r="G221" s="95">
        <v>0.2</v>
      </c>
      <c r="H221" s="95">
        <f t="shared" si="209"/>
        <v>0.39999999999999997</v>
      </c>
      <c r="I221" s="95"/>
      <c r="J221" s="95"/>
      <c r="K221" s="94"/>
      <c r="L221" s="94"/>
      <c r="M221" s="94"/>
      <c r="N221" s="94"/>
      <c r="O221" s="96"/>
      <c r="P221" s="105">
        <v>0</v>
      </c>
      <c r="Q221" s="105">
        <v>0</v>
      </c>
      <c r="R221" s="103">
        <f t="shared" si="210"/>
        <v>0.48</v>
      </c>
      <c r="S221" s="103">
        <f t="shared" si="211"/>
        <v>0</v>
      </c>
      <c r="T221" s="103">
        <f t="shared" si="212"/>
        <v>0</v>
      </c>
      <c r="U221" s="98">
        <f t="shared" si="213"/>
        <v>0</v>
      </c>
      <c r="V221" s="98">
        <f t="shared" si="214"/>
        <v>0.48000000000000004</v>
      </c>
      <c r="W221" s="98">
        <f t="shared" si="215"/>
        <v>0</v>
      </c>
      <c r="X221" s="98">
        <f t="shared" si="216"/>
        <v>4.8</v>
      </c>
      <c r="Y221" s="98">
        <f t="shared" si="217"/>
        <v>0</v>
      </c>
      <c r="Z221" s="103" t="e">
        <f t="shared" si="218"/>
        <v>#DIV/0!</v>
      </c>
      <c r="AA221" s="103">
        <f t="shared" si="219"/>
        <v>0</v>
      </c>
      <c r="AB221" s="125">
        <v>0.15</v>
      </c>
      <c r="AC221" s="125">
        <v>0.15</v>
      </c>
      <c r="AD221" s="103">
        <f t="shared" si="220"/>
        <v>1.2000000000000002</v>
      </c>
      <c r="AE221" s="103">
        <f t="shared" si="221"/>
        <v>2.9999999999999996</v>
      </c>
      <c r="AF221" s="98">
        <f t="shared" si="222"/>
        <v>1.2000000000000002</v>
      </c>
      <c r="AG221" s="98"/>
      <c r="AH221" s="103">
        <f t="shared" si="223"/>
        <v>6</v>
      </c>
      <c r="AI221" s="98"/>
      <c r="AJ221" s="125">
        <f t="shared" si="224"/>
        <v>6.75</v>
      </c>
      <c r="AK221" s="105">
        <f t="shared" si="225"/>
        <v>40.5</v>
      </c>
      <c r="AL221" s="94"/>
      <c r="AM221" s="94"/>
      <c r="AN221" s="94"/>
      <c r="AO221" s="94"/>
      <c r="AP221" s="94"/>
      <c r="AQ221" s="94"/>
      <c r="AR221" s="94"/>
    </row>
    <row r="222" spans="1:44" ht="12.75" customHeight="1">
      <c r="A222" s="93"/>
      <c r="B222" s="93" t="s">
        <v>311</v>
      </c>
      <c r="C222" s="94" t="s">
        <v>346</v>
      </c>
      <c r="D222" s="94">
        <v>1</v>
      </c>
      <c r="E222" s="94">
        <v>12</v>
      </c>
      <c r="F222" s="95">
        <v>3.86</v>
      </c>
      <c r="G222" s="95">
        <v>0.2</v>
      </c>
      <c r="H222" s="95">
        <f t="shared" ref="H222:H226" si="226">0.8-0.3</f>
        <v>0.5</v>
      </c>
      <c r="I222" s="95"/>
      <c r="J222" s="95"/>
      <c r="K222" s="94"/>
      <c r="L222" s="94"/>
      <c r="M222" s="94"/>
      <c r="N222" s="94"/>
      <c r="O222" s="96"/>
      <c r="P222" s="105">
        <v>0</v>
      </c>
      <c r="Q222" s="105">
        <v>0</v>
      </c>
      <c r="R222" s="103">
        <f t="shared" si="210"/>
        <v>4.6319999999999997</v>
      </c>
      <c r="S222" s="103">
        <f t="shared" si="211"/>
        <v>0</v>
      </c>
      <c r="T222" s="103">
        <f t="shared" si="212"/>
        <v>0</v>
      </c>
      <c r="U222" s="98">
        <f t="shared" si="213"/>
        <v>0</v>
      </c>
      <c r="V222" s="98">
        <f t="shared" si="214"/>
        <v>4.6320000000000006</v>
      </c>
      <c r="W222" s="98">
        <f t="shared" si="215"/>
        <v>0</v>
      </c>
      <c r="X222" s="98">
        <f t="shared" si="216"/>
        <v>46.32</v>
      </c>
      <c r="Y222" s="98">
        <f t="shared" si="217"/>
        <v>0</v>
      </c>
      <c r="Z222" s="103" t="e">
        <f t="shared" si="218"/>
        <v>#DIV/0!</v>
      </c>
      <c r="AA222" s="103">
        <f t="shared" si="219"/>
        <v>0</v>
      </c>
      <c r="AB222" s="125">
        <v>0.15</v>
      </c>
      <c r="AC222" s="125">
        <v>0.15</v>
      </c>
      <c r="AD222" s="103">
        <f t="shared" si="220"/>
        <v>9.2639999999999993</v>
      </c>
      <c r="AE222" s="103">
        <f t="shared" si="221"/>
        <v>32.423999999999999</v>
      </c>
      <c r="AF222" s="98">
        <f t="shared" si="222"/>
        <v>9.2639999999999993</v>
      </c>
      <c r="AG222" s="98"/>
      <c r="AH222" s="103">
        <f t="shared" si="223"/>
        <v>46.32</v>
      </c>
      <c r="AI222" s="98"/>
      <c r="AJ222" s="125">
        <f t="shared" si="224"/>
        <v>6.65</v>
      </c>
      <c r="AK222" s="105">
        <f t="shared" si="225"/>
        <v>308.02800000000002</v>
      </c>
      <c r="AL222" s="94"/>
      <c r="AM222" s="94"/>
      <c r="AN222" s="94"/>
      <c r="AO222" s="94"/>
      <c r="AP222" s="94"/>
      <c r="AQ222" s="94"/>
      <c r="AR222" s="94"/>
    </row>
    <row r="223" spans="1:44" ht="12.75" customHeight="1">
      <c r="A223" s="93"/>
      <c r="B223" s="93" t="s">
        <v>311</v>
      </c>
      <c r="C223" s="94" t="s">
        <v>347</v>
      </c>
      <c r="D223" s="94">
        <v>1</v>
      </c>
      <c r="E223" s="94">
        <v>6</v>
      </c>
      <c r="F223" s="95">
        <v>2.7</v>
      </c>
      <c r="G223" s="95">
        <v>0.2</v>
      </c>
      <c r="H223" s="95">
        <f t="shared" si="226"/>
        <v>0.5</v>
      </c>
      <c r="I223" s="95"/>
      <c r="J223" s="95"/>
      <c r="K223" s="94"/>
      <c r="L223" s="94"/>
      <c r="M223" s="94"/>
      <c r="N223" s="94"/>
      <c r="O223" s="96"/>
      <c r="P223" s="105"/>
      <c r="Q223" s="105"/>
      <c r="R223" s="103">
        <f t="shared" si="210"/>
        <v>1.62</v>
      </c>
      <c r="S223" s="103"/>
      <c r="T223" s="103"/>
      <c r="U223" s="98"/>
      <c r="V223" s="98"/>
      <c r="W223" s="98"/>
      <c r="X223" s="98"/>
      <c r="Y223" s="98"/>
      <c r="Z223" s="103"/>
      <c r="AA223" s="103"/>
      <c r="AB223" s="125"/>
      <c r="AC223" s="125"/>
      <c r="AD223" s="103"/>
      <c r="AE223" s="103"/>
      <c r="AF223" s="98"/>
      <c r="AG223" s="98"/>
      <c r="AH223" s="103"/>
      <c r="AI223" s="98"/>
      <c r="AJ223" s="125"/>
      <c r="AK223" s="105"/>
      <c r="AL223" s="94"/>
      <c r="AM223" s="94"/>
      <c r="AN223" s="94"/>
      <c r="AO223" s="94"/>
      <c r="AP223" s="94"/>
      <c r="AQ223" s="94"/>
      <c r="AR223" s="94"/>
    </row>
    <row r="224" spans="1:44" ht="12.75" customHeight="1">
      <c r="A224" s="93"/>
      <c r="B224" s="93" t="s">
        <v>313</v>
      </c>
      <c r="C224" s="94" t="s">
        <v>348</v>
      </c>
      <c r="D224" s="94">
        <v>1</v>
      </c>
      <c r="E224" s="94">
        <v>12</v>
      </c>
      <c r="F224" s="95">
        <v>2.1</v>
      </c>
      <c r="G224" s="95">
        <v>0.2</v>
      </c>
      <c r="H224" s="95">
        <f t="shared" si="226"/>
        <v>0.5</v>
      </c>
      <c r="I224" s="95"/>
      <c r="J224" s="95"/>
      <c r="K224" s="94"/>
      <c r="L224" s="94"/>
      <c r="M224" s="94"/>
      <c r="N224" s="94"/>
      <c r="O224" s="96"/>
      <c r="P224" s="105">
        <v>0</v>
      </c>
      <c r="Q224" s="105">
        <v>0</v>
      </c>
      <c r="R224" s="103">
        <f t="shared" si="210"/>
        <v>2.5200000000000005</v>
      </c>
      <c r="S224" s="103">
        <f t="shared" ref="S224:S226" si="227">((J224*P224)*E224*D224)</f>
        <v>0</v>
      </c>
      <c r="T224" s="103">
        <f t="shared" ref="T224:T226" si="228">((F224*P224)*2)*D224*E224</f>
        <v>0</v>
      </c>
      <c r="U224" s="98">
        <f t="shared" ref="U224:U226" si="229">((L224*P224)*E224*D224)</f>
        <v>0</v>
      </c>
      <c r="V224" s="98">
        <f t="shared" ref="V224:V226" si="230">PRODUCT(D224:H224)</f>
        <v>2.5200000000000005</v>
      </c>
      <c r="W224" s="98">
        <f t="shared" ref="W224:W226" si="231">(K224*H224)*E224*D224</f>
        <v>0</v>
      </c>
      <c r="X224" s="98">
        <f t="shared" ref="X224:X226" si="232">((F224)*(H224*2))*E224*D224</f>
        <v>25.200000000000003</v>
      </c>
      <c r="Y224" s="98">
        <f t="shared" ref="Y224:Y226" si="233">((M224)*H224)*E224*D224</f>
        <v>0</v>
      </c>
      <c r="Z224" s="103" t="e">
        <f t="shared" ref="Z224:Z226" si="234">(R224/P224)+(S224/P224)</f>
        <v>#DIV/0!</v>
      </c>
      <c r="AA224" s="103">
        <f t="shared" ref="AA224:AA226" si="235">(T224+U224)</f>
        <v>0</v>
      </c>
      <c r="AB224" s="125">
        <v>0.15</v>
      </c>
      <c r="AC224" s="125">
        <v>0.15</v>
      </c>
      <c r="AD224" s="103">
        <f t="shared" ref="AD224:AD226" si="236">(((F224*G224)*E224*D224))+K224</f>
        <v>5.0400000000000009</v>
      </c>
      <c r="AE224" s="103">
        <f t="shared" ref="AE224:AE226" si="237">(((F224*(H224-AB224))+(F224*(H224-AC224)))*E224*D224)+Y224</f>
        <v>17.64</v>
      </c>
      <c r="AF224" s="98">
        <f t="shared" ref="AF224:AF226" si="238">AD224</f>
        <v>5.0400000000000009</v>
      </c>
      <c r="AG224" s="98"/>
      <c r="AH224" s="103">
        <f t="shared" ref="AH224:AH226" si="239">F224*E224*D224</f>
        <v>25.200000000000003</v>
      </c>
      <c r="AI224" s="98"/>
      <c r="AJ224" s="125">
        <f t="shared" ref="AJ224:AJ226" si="240">$H$8-0.1-H224+0.3</f>
        <v>6.65</v>
      </c>
      <c r="AK224" s="105">
        <f t="shared" ref="AK224:AK226" si="241">((F224*AJ224)*E224*D224)</f>
        <v>167.58</v>
      </c>
      <c r="AL224" s="94"/>
      <c r="AM224" s="94"/>
      <c r="AN224" s="94"/>
      <c r="AO224" s="94"/>
      <c r="AP224" s="94"/>
      <c r="AQ224" s="94"/>
      <c r="AR224" s="94"/>
    </row>
    <row r="225" spans="1:44" ht="12.75" customHeight="1">
      <c r="A225" s="93"/>
      <c r="B225" s="93" t="s">
        <v>313</v>
      </c>
      <c r="C225" s="94" t="s">
        <v>349</v>
      </c>
      <c r="D225" s="94">
        <v>1</v>
      </c>
      <c r="E225" s="94">
        <v>6</v>
      </c>
      <c r="F225" s="95">
        <v>1.1100000000000001</v>
      </c>
      <c r="G225" s="95">
        <v>0.2</v>
      </c>
      <c r="H225" s="95">
        <f t="shared" si="226"/>
        <v>0.5</v>
      </c>
      <c r="I225" s="95"/>
      <c r="J225" s="95"/>
      <c r="K225" s="94"/>
      <c r="L225" s="94"/>
      <c r="M225" s="94"/>
      <c r="N225" s="94"/>
      <c r="O225" s="96"/>
      <c r="P225" s="105">
        <v>0</v>
      </c>
      <c r="Q225" s="105">
        <v>0</v>
      </c>
      <c r="R225" s="103">
        <f t="shared" si="210"/>
        <v>0.66600000000000015</v>
      </c>
      <c r="S225" s="103">
        <f t="shared" si="227"/>
        <v>0</v>
      </c>
      <c r="T225" s="103">
        <f t="shared" si="228"/>
        <v>0</v>
      </c>
      <c r="U225" s="98">
        <f t="shared" si="229"/>
        <v>0</v>
      </c>
      <c r="V225" s="98">
        <f t="shared" si="230"/>
        <v>0.66600000000000004</v>
      </c>
      <c r="W225" s="98">
        <f t="shared" si="231"/>
        <v>0</v>
      </c>
      <c r="X225" s="98">
        <f t="shared" si="232"/>
        <v>6.66</v>
      </c>
      <c r="Y225" s="98">
        <f t="shared" si="233"/>
        <v>0</v>
      </c>
      <c r="Z225" s="103" t="e">
        <f t="shared" si="234"/>
        <v>#DIV/0!</v>
      </c>
      <c r="AA225" s="103">
        <f t="shared" si="235"/>
        <v>0</v>
      </c>
      <c r="AB225" s="125">
        <v>0.15</v>
      </c>
      <c r="AC225" s="125">
        <v>0.15</v>
      </c>
      <c r="AD225" s="103">
        <f t="shared" si="236"/>
        <v>1.3320000000000003</v>
      </c>
      <c r="AE225" s="103">
        <f t="shared" si="237"/>
        <v>4.6619999999999999</v>
      </c>
      <c r="AF225" s="98">
        <f t="shared" si="238"/>
        <v>1.3320000000000003</v>
      </c>
      <c r="AG225" s="98"/>
      <c r="AH225" s="103">
        <f t="shared" si="239"/>
        <v>6.66</v>
      </c>
      <c r="AI225" s="98"/>
      <c r="AJ225" s="125">
        <f t="shared" si="240"/>
        <v>6.65</v>
      </c>
      <c r="AK225" s="105">
        <f t="shared" si="241"/>
        <v>44.289000000000001</v>
      </c>
      <c r="AL225" s="94"/>
      <c r="AM225" s="94"/>
      <c r="AN225" s="94"/>
      <c r="AO225" s="94"/>
      <c r="AP225" s="94"/>
      <c r="AQ225" s="94"/>
      <c r="AR225" s="94"/>
    </row>
    <row r="226" spans="1:44" ht="12.75" customHeight="1">
      <c r="A226" s="93"/>
      <c r="B226" s="93" t="s">
        <v>331</v>
      </c>
      <c r="C226" s="94" t="s">
        <v>350</v>
      </c>
      <c r="D226" s="94">
        <v>1</v>
      </c>
      <c r="E226" s="94">
        <v>24</v>
      </c>
      <c r="F226" s="95">
        <v>1.2</v>
      </c>
      <c r="G226" s="95">
        <v>0.2</v>
      </c>
      <c r="H226" s="95">
        <f t="shared" si="226"/>
        <v>0.5</v>
      </c>
      <c r="I226" s="95"/>
      <c r="J226" s="95"/>
      <c r="K226" s="94"/>
      <c r="L226" s="94"/>
      <c r="M226" s="94"/>
      <c r="N226" s="94"/>
      <c r="O226" s="96"/>
      <c r="P226" s="105">
        <v>0</v>
      </c>
      <c r="Q226" s="105">
        <v>0</v>
      </c>
      <c r="R226" s="103">
        <f t="shared" si="210"/>
        <v>2.88</v>
      </c>
      <c r="S226" s="103">
        <f t="shared" si="227"/>
        <v>0</v>
      </c>
      <c r="T226" s="103">
        <f t="shared" si="228"/>
        <v>0</v>
      </c>
      <c r="U226" s="98">
        <f t="shared" si="229"/>
        <v>0</v>
      </c>
      <c r="V226" s="98">
        <f t="shared" si="230"/>
        <v>2.88</v>
      </c>
      <c r="W226" s="98">
        <f t="shared" si="231"/>
        <v>0</v>
      </c>
      <c r="X226" s="98">
        <f t="shared" si="232"/>
        <v>28.799999999999997</v>
      </c>
      <c r="Y226" s="98">
        <f t="shared" si="233"/>
        <v>0</v>
      </c>
      <c r="Z226" s="103" t="e">
        <f t="shared" si="234"/>
        <v>#DIV/0!</v>
      </c>
      <c r="AA226" s="103">
        <f t="shared" si="235"/>
        <v>0</v>
      </c>
      <c r="AB226" s="125">
        <v>0.15</v>
      </c>
      <c r="AC226" s="125">
        <v>0.15</v>
      </c>
      <c r="AD226" s="103">
        <f t="shared" si="236"/>
        <v>5.76</v>
      </c>
      <c r="AE226" s="103">
        <f t="shared" si="237"/>
        <v>20.16</v>
      </c>
      <c r="AF226" s="98">
        <f t="shared" si="238"/>
        <v>5.76</v>
      </c>
      <c r="AG226" s="98"/>
      <c r="AH226" s="103">
        <f t="shared" si="239"/>
        <v>28.799999999999997</v>
      </c>
      <c r="AI226" s="98"/>
      <c r="AJ226" s="125">
        <f t="shared" si="240"/>
        <v>6.65</v>
      </c>
      <c r="AK226" s="105">
        <f t="shared" si="241"/>
        <v>191.52</v>
      </c>
      <c r="AL226" s="94"/>
      <c r="AM226" s="94"/>
      <c r="AN226" s="94"/>
      <c r="AO226" s="94"/>
      <c r="AP226" s="94"/>
      <c r="AQ226" s="94"/>
      <c r="AR226" s="94"/>
    </row>
    <row r="227" spans="1:44" ht="12.75" customHeight="1">
      <c r="A227" s="93"/>
      <c r="B227" s="93"/>
      <c r="C227" s="94"/>
      <c r="D227" s="94"/>
      <c r="E227" s="94"/>
      <c r="F227" s="95"/>
      <c r="G227" s="95"/>
      <c r="H227" s="95"/>
      <c r="I227" s="95"/>
      <c r="J227" s="95"/>
      <c r="K227" s="94"/>
      <c r="L227" s="94"/>
      <c r="M227" s="94"/>
      <c r="N227" s="94"/>
      <c r="O227" s="96"/>
      <c r="P227" s="105"/>
      <c r="Q227" s="105"/>
      <c r="R227" s="103">
        <f t="shared" si="210"/>
        <v>0</v>
      </c>
      <c r="S227" s="98"/>
      <c r="T227" s="98"/>
      <c r="U227" s="98"/>
      <c r="V227" s="98"/>
      <c r="W227" s="98"/>
      <c r="X227" s="98"/>
      <c r="Y227" s="98"/>
      <c r="Z227" s="98"/>
      <c r="AA227" s="98"/>
      <c r="AB227" s="125"/>
      <c r="AC227" s="125"/>
      <c r="AD227" s="98"/>
      <c r="AE227" s="98"/>
      <c r="AF227" s="98"/>
      <c r="AG227" s="98"/>
      <c r="AH227" s="98"/>
      <c r="AI227" s="98"/>
      <c r="AJ227" s="98"/>
      <c r="AK227" s="94"/>
      <c r="AL227" s="94"/>
      <c r="AM227" s="94"/>
      <c r="AN227" s="94"/>
      <c r="AO227" s="94"/>
      <c r="AP227" s="94"/>
      <c r="AQ227" s="94"/>
      <c r="AR227" s="94"/>
    </row>
    <row r="228" spans="1:44" ht="12.75" customHeight="1">
      <c r="A228" s="93"/>
      <c r="B228" s="104" t="s">
        <v>186</v>
      </c>
      <c r="C228" s="94"/>
      <c r="D228" s="94"/>
      <c r="E228" s="94"/>
      <c r="F228" s="95"/>
      <c r="G228" s="95"/>
      <c r="H228" s="95"/>
      <c r="I228" s="95"/>
      <c r="J228" s="95"/>
      <c r="K228" s="94"/>
      <c r="L228" s="94"/>
      <c r="M228" s="94"/>
      <c r="N228" s="94"/>
      <c r="O228" s="96"/>
      <c r="P228" s="105"/>
      <c r="Q228" s="105"/>
      <c r="R228" s="103">
        <f t="shared" si="210"/>
        <v>0</v>
      </c>
      <c r="S228" s="98"/>
      <c r="T228" s="98"/>
      <c r="U228" s="98"/>
      <c r="V228" s="98"/>
      <c r="W228" s="98"/>
      <c r="X228" s="98"/>
      <c r="Y228" s="98"/>
      <c r="Z228" s="98"/>
      <c r="AA228" s="98"/>
      <c r="AB228" s="125"/>
      <c r="AC228" s="125"/>
      <c r="AD228" s="98"/>
      <c r="AE228" s="98"/>
      <c r="AF228" s="98"/>
      <c r="AG228" s="98"/>
      <c r="AH228" s="98"/>
      <c r="AI228" s="98"/>
      <c r="AJ228" s="98"/>
      <c r="AK228" s="94"/>
      <c r="AL228" s="94"/>
      <c r="AM228" s="94"/>
      <c r="AN228" s="94"/>
      <c r="AO228" s="94"/>
      <c r="AP228" s="94"/>
      <c r="AQ228" s="94"/>
      <c r="AR228" s="94"/>
    </row>
    <row r="229" spans="1:44" ht="12.75" customHeight="1">
      <c r="A229" s="93"/>
      <c r="B229" s="93" t="s">
        <v>280</v>
      </c>
      <c r="C229" s="94" t="s">
        <v>351</v>
      </c>
      <c r="D229" s="94">
        <v>0</v>
      </c>
      <c r="E229" s="94">
        <v>0</v>
      </c>
      <c r="F229" s="95">
        <v>0</v>
      </c>
      <c r="G229" s="95">
        <v>0</v>
      </c>
      <c r="H229" s="95">
        <v>0</v>
      </c>
      <c r="I229" s="95"/>
      <c r="J229" s="95"/>
      <c r="K229" s="94"/>
      <c r="L229" s="94"/>
      <c r="M229" s="94"/>
      <c r="N229" s="94"/>
      <c r="O229" s="96"/>
      <c r="P229" s="105">
        <v>0</v>
      </c>
      <c r="Q229" s="105">
        <v>0</v>
      </c>
      <c r="R229" s="103">
        <f>(((F229)*(G229+Q229*2))*P229)*E229*D229</f>
        <v>0</v>
      </c>
      <c r="S229" s="103">
        <f>((J229*P229)*E229*D229)</f>
        <v>0</v>
      </c>
      <c r="T229" s="103">
        <f>((F229*P229)*2)*D229*E229</f>
        <v>0</v>
      </c>
      <c r="U229" s="98">
        <f>((L229*P229)*E229*D229)</f>
        <v>0</v>
      </c>
      <c r="V229" s="98">
        <f>PRODUCT(D229:H229)</f>
        <v>0</v>
      </c>
      <c r="W229" s="98">
        <f>(K229*H229)*E229*D229</f>
        <v>0</v>
      </c>
      <c r="X229" s="98">
        <f>((F229)*(H229*2))*E229*D229</f>
        <v>0</v>
      </c>
      <c r="Y229" s="98">
        <f>((M229)*H229)*E229*D229</f>
        <v>0</v>
      </c>
      <c r="Z229" s="103" t="e">
        <f>(R229/P229)+(S229/P229)</f>
        <v>#DIV/0!</v>
      </c>
      <c r="AA229" s="103">
        <f>(T229+U229)</f>
        <v>0</v>
      </c>
      <c r="AB229" s="125">
        <v>0.15</v>
      </c>
      <c r="AC229" s="125">
        <v>0.15</v>
      </c>
      <c r="AD229" s="103">
        <f>(((F229*G229)*E229*D229))+K229</f>
        <v>0</v>
      </c>
      <c r="AE229" s="103">
        <f>(((F229*(H229-AC229))+(F229*(H229-AC229)))*E229*D229)+Y229</f>
        <v>0</v>
      </c>
      <c r="AF229" s="98">
        <f>AD229</f>
        <v>0</v>
      </c>
      <c r="AG229" s="98"/>
      <c r="AH229" s="103">
        <f>(F229*2)*E229*D229</f>
        <v>0</v>
      </c>
      <c r="AI229" s="98"/>
      <c r="AJ229" s="125">
        <v>0</v>
      </c>
      <c r="AK229" s="94"/>
      <c r="AL229" s="105">
        <f>((F229*AJ229)*E229*D229)</f>
        <v>0</v>
      </c>
      <c r="AM229" s="94"/>
      <c r="AN229" s="94"/>
      <c r="AO229" s="94"/>
      <c r="AP229" s="94"/>
      <c r="AQ229" s="94"/>
      <c r="AR229" s="94"/>
    </row>
    <row r="230" spans="1:44" ht="12.75" customHeight="1">
      <c r="A230" s="93"/>
      <c r="B230" s="93"/>
      <c r="C230" s="94"/>
      <c r="D230" s="94"/>
      <c r="E230" s="94"/>
      <c r="F230" s="95"/>
      <c r="G230" s="95"/>
      <c r="H230" s="95"/>
      <c r="I230" s="95"/>
      <c r="J230" s="95"/>
      <c r="K230" s="94"/>
      <c r="L230" s="94"/>
      <c r="M230" s="94"/>
      <c r="N230" s="94"/>
      <c r="O230" s="96"/>
      <c r="P230" s="105"/>
      <c r="Q230" s="105"/>
      <c r="R230" s="98"/>
      <c r="S230" s="98"/>
      <c r="T230" s="98"/>
      <c r="U230" s="98"/>
      <c r="V230" s="98"/>
      <c r="W230" s="98"/>
      <c r="X230" s="98"/>
      <c r="Y230" s="98"/>
      <c r="Z230" s="98"/>
      <c r="AA230" s="98"/>
      <c r="AB230" s="125"/>
      <c r="AC230" s="125"/>
      <c r="AD230" s="98"/>
      <c r="AE230" s="98"/>
      <c r="AF230" s="98"/>
      <c r="AG230" s="98"/>
      <c r="AH230" s="98"/>
      <c r="AI230" s="98"/>
      <c r="AJ230" s="98"/>
      <c r="AK230" s="94"/>
      <c r="AL230" s="94"/>
      <c r="AM230" s="94"/>
      <c r="AN230" s="94"/>
      <c r="AO230" s="94"/>
      <c r="AP230" s="94"/>
      <c r="AQ230" s="94"/>
      <c r="AR230" s="94"/>
    </row>
    <row r="231" spans="1:44" ht="12.75" customHeight="1">
      <c r="A231" s="107"/>
      <c r="B231" s="108" t="s">
        <v>194</v>
      </c>
      <c r="C231" s="109"/>
      <c r="D231" s="109"/>
      <c r="E231" s="109"/>
      <c r="F231" s="110"/>
      <c r="G231" s="110"/>
      <c r="H231" s="110"/>
      <c r="I231" s="110"/>
      <c r="J231" s="110"/>
      <c r="K231" s="109"/>
      <c r="L231" s="109"/>
      <c r="M231" s="109"/>
      <c r="N231" s="111"/>
      <c r="O231" s="112"/>
      <c r="P231" s="113"/>
      <c r="Q231" s="109"/>
      <c r="R231" s="114">
        <f t="shared" ref="R231:AA231" si="242">SUM(R216:R230)</f>
        <v>27.054000000000002</v>
      </c>
      <c r="S231" s="114">
        <f t="shared" si="242"/>
        <v>0</v>
      </c>
      <c r="T231" s="114">
        <f t="shared" si="242"/>
        <v>0</v>
      </c>
      <c r="U231" s="114">
        <f t="shared" si="242"/>
        <v>0</v>
      </c>
      <c r="V231" s="114">
        <f t="shared" si="242"/>
        <v>25.433999999999997</v>
      </c>
      <c r="W231" s="114">
        <f t="shared" si="242"/>
        <v>0</v>
      </c>
      <c r="X231" s="114">
        <f t="shared" si="242"/>
        <v>254.33999999999997</v>
      </c>
      <c r="Y231" s="114">
        <f t="shared" si="242"/>
        <v>0</v>
      </c>
      <c r="Z231" s="114" t="e">
        <f t="shared" si="242"/>
        <v>#DIV/0!</v>
      </c>
      <c r="AA231" s="114">
        <f t="shared" si="242"/>
        <v>0</v>
      </c>
      <c r="AB231" s="114"/>
      <c r="AC231" s="114"/>
      <c r="AD231" s="114">
        <f t="shared" ref="AD231:AF231" si="243">SUM(AD216:AD230)</f>
        <v>58.235999999999997</v>
      </c>
      <c r="AE231" s="114">
        <f t="shared" si="243"/>
        <v>166.98599999999999</v>
      </c>
      <c r="AF231" s="114">
        <f t="shared" si="243"/>
        <v>58.235999999999997</v>
      </c>
      <c r="AG231" s="114"/>
      <c r="AH231" s="114">
        <f t="shared" ref="AH231:AI231" si="244">SUM(AH216:AH230)</f>
        <v>291.18000000000006</v>
      </c>
      <c r="AI231" s="114">
        <f t="shared" si="244"/>
        <v>0</v>
      </c>
      <c r="AJ231" s="115"/>
      <c r="AK231" s="114">
        <f t="shared" ref="AK231:AL231" si="245">SUM(AK216:AK230)</f>
        <v>1954.7670000000001</v>
      </c>
      <c r="AL231" s="114">
        <f t="shared" si="245"/>
        <v>0</v>
      </c>
      <c r="AM231" s="94"/>
      <c r="AN231" s="94"/>
      <c r="AO231" s="94"/>
      <c r="AP231" s="94"/>
      <c r="AQ231" s="94"/>
      <c r="AR231" s="94"/>
    </row>
    <row r="232" spans="1:44" ht="12.75" customHeight="1">
      <c r="A232" s="93"/>
      <c r="B232" s="93"/>
      <c r="C232" s="94"/>
      <c r="D232" s="94"/>
      <c r="E232" s="94"/>
      <c r="F232" s="95"/>
      <c r="G232" s="95"/>
      <c r="H232" s="95"/>
      <c r="I232" s="95"/>
      <c r="J232" s="95"/>
      <c r="K232" s="94"/>
      <c r="L232" s="94"/>
      <c r="M232" s="94"/>
      <c r="N232" s="94"/>
      <c r="O232" s="96"/>
      <c r="P232" s="94"/>
      <c r="Q232" s="94"/>
      <c r="R232" s="98"/>
      <c r="S232" s="98"/>
      <c r="T232" s="98"/>
      <c r="U232" s="98"/>
      <c r="V232" s="98"/>
      <c r="W232" s="98"/>
      <c r="X232" s="98"/>
      <c r="Y232" s="98"/>
      <c r="Z232" s="98"/>
      <c r="AA232" s="98"/>
      <c r="AB232" s="98"/>
      <c r="AC232" s="98"/>
      <c r="AD232" s="98"/>
      <c r="AE232" s="98"/>
      <c r="AF232" s="98"/>
      <c r="AG232" s="98"/>
      <c r="AH232" s="98"/>
      <c r="AI232" s="98"/>
      <c r="AJ232" s="98"/>
      <c r="AK232" s="94"/>
      <c r="AL232" s="94"/>
      <c r="AM232" s="94"/>
      <c r="AN232" s="94"/>
      <c r="AO232" s="94"/>
      <c r="AP232" s="94"/>
      <c r="AQ232" s="94"/>
      <c r="AR232" s="94"/>
    </row>
    <row r="233" spans="1:44" ht="14.4">
      <c r="A233" s="117"/>
      <c r="B233" s="126" t="s">
        <v>318</v>
      </c>
      <c r="C233" s="46"/>
      <c r="D233" s="46"/>
      <c r="E233" s="46"/>
      <c r="F233" s="50"/>
      <c r="G233" s="50"/>
      <c r="H233" s="50"/>
      <c r="I233" s="50"/>
      <c r="J233" s="50"/>
      <c r="K233" s="46"/>
      <c r="L233" s="46"/>
      <c r="M233" s="46"/>
      <c r="N233" s="46"/>
      <c r="O233" s="51"/>
      <c r="P233" s="46"/>
      <c r="Q233" s="46"/>
      <c r="R233" s="47"/>
      <c r="S233" s="47"/>
      <c r="T233" s="47"/>
      <c r="U233" s="47"/>
      <c r="V233" s="47"/>
      <c r="W233" s="47"/>
      <c r="X233" s="47"/>
      <c r="Y233" s="47"/>
      <c r="Z233" s="47"/>
      <c r="AA233" s="47"/>
      <c r="AB233" s="47"/>
      <c r="AC233" s="47"/>
      <c r="AD233" s="47"/>
      <c r="AE233" s="47"/>
      <c r="AF233" s="47"/>
      <c r="AG233" s="47"/>
      <c r="AH233" s="47"/>
      <c r="AI233" s="47"/>
      <c r="AJ233" s="47"/>
      <c r="AK233" s="46"/>
      <c r="AL233" s="46"/>
      <c r="AM233" s="46"/>
      <c r="AN233" s="46"/>
      <c r="AO233" s="46"/>
      <c r="AP233" s="46"/>
      <c r="AQ233" s="46"/>
      <c r="AR233" s="46"/>
    </row>
    <row r="234" spans="1:44" ht="12.75" customHeight="1">
      <c r="A234" s="117"/>
      <c r="B234" s="117" t="s">
        <v>283</v>
      </c>
      <c r="C234" s="46" t="s">
        <v>352</v>
      </c>
      <c r="D234" s="46">
        <v>1</v>
      </c>
      <c r="E234" s="46">
        <v>6</v>
      </c>
      <c r="F234" s="50">
        <v>33.299999999999997</v>
      </c>
      <c r="G234" s="50">
        <v>23.51</v>
      </c>
      <c r="H234" s="50">
        <v>0.3</v>
      </c>
      <c r="I234" s="50">
        <f>PRODUCT(D234:H234)</f>
        <v>1409.1894</v>
      </c>
      <c r="J234" s="50">
        <f>PRODUCT(D234:G234)</f>
        <v>4697.2979999999998</v>
      </c>
      <c r="K234" s="50">
        <v>0</v>
      </c>
      <c r="L234" s="46"/>
      <c r="M234" s="46"/>
      <c r="N234" s="46"/>
      <c r="O234" s="51"/>
      <c r="P234" s="127">
        <v>0</v>
      </c>
      <c r="Q234" s="46"/>
      <c r="R234" s="47">
        <f t="shared" ref="R234:R236" si="246">((F234*G234)*P234)*E234*D234</f>
        <v>0</v>
      </c>
      <c r="S234" s="47">
        <f t="shared" ref="S234:S236" si="247">(J234*P234)*E234*D234</f>
        <v>0</v>
      </c>
      <c r="T234" s="47"/>
      <c r="U234" s="47"/>
      <c r="V234" s="47">
        <f t="shared" ref="V234:V236" si="248">PRODUCT(D234:H234)</f>
        <v>1409.1894</v>
      </c>
      <c r="W234" s="47">
        <f t="shared" ref="W234:W236" si="249">((K234*H234)*E234*D234)</f>
        <v>0</v>
      </c>
      <c r="X234" s="47"/>
      <c r="Y234" s="47"/>
      <c r="Z234" s="47" t="e">
        <f t="shared" ref="Z234:Z236" si="250">(R234/P234)+(S234/P234)</f>
        <v>#DIV/0!</v>
      </c>
      <c r="AA234" s="47"/>
      <c r="AB234" s="47"/>
      <c r="AC234" s="47"/>
      <c r="AD234" s="47"/>
      <c r="AE234" s="47"/>
      <c r="AF234" s="47"/>
      <c r="AG234" s="47"/>
      <c r="AH234" s="47">
        <f t="shared" ref="AH234:AI234" si="251">AH231</f>
        <v>291.18000000000006</v>
      </c>
      <c r="AI234" s="47">
        <f t="shared" si="251"/>
        <v>0</v>
      </c>
      <c r="AJ234" s="47"/>
      <c r="AK234" s="46"/>
      <c r="AL234" s="46"/>
      <c r="AM234" s="127">
        <f t="shared" ref="AM234:AM236" si="252">((F234*G234)*E234*D234)</f>
        <v>4697.2980000000007</v>
      </c>
      <c r="AN234" s="127">
        <f t="shared" ref="AN234:AN236" si="253">((K234)*E234*D234)</f>
        <v>0</v>
      </c>
      <c r="AO234" s="46"/>
      <c r="AP234" s="46"/>
      <c r="AQ234" s="46"/>
      <c r="AR234" s="46"/>
    </row>
    <row r="235" spans="1:44" ht="12.75" customHeight="1">
      <c r="A235" s="117"/>
      <c r="B235" s="117" t="s">
        <v>285</v>
      </c>
      <c r="C235" s="46" t="s">
        <v>353</v>
      </c>
      <c r="D235" s="46">
        <v>1</v>
      </c>
      <c r="E235" s="46">
        <v>1</v>
      </c>
      <c r="F235" s="50"/>
      <c r="G235" s="50"/>
      <c r="H235" s="50">
        <v>0</v>
      </c>
      <c r="I235" s="50"/>
      <c r="J235" s="50">
        <f>7.15*6</f>
        <v>42.900000000000006</v>
      </c>
      <c r="K235" s="47"/>
      <c r="L235" s="46"/>
      <c r="M235" s="46"/>
      <c r="N235" s="46"/>
      <c r="O235" s="51"/>
      <c r="P235" s="127">
        <v>0</v>
      </c>
      <c r="Q235" s="46"/>
      <c r="R235" s="47">
        <f t="shared" si="246"/>
        <v>0</v>
      </c>
      <c r="S235" s="47">
        <f t="shared" si="247"/>
        <v>0</v>
      </c>
      <c r="T235" s="47"/>
      <c r="U235" s="47"/>
      <c r="V235" s="47">
        <f t="shared" si="248"/>
        <v>0</v>
      </c>
      <c r="W235" s="47">
        <f t="shared" si="249"/>
        <v>0</v>
      </c>
      <c r="X235" s="47"/>
      <c r="Y235" s="47"/>
      <c r="Z235" s="47" t="e">
        <f t="shared" si="250"/>
        <v>#DIV/0!</v>
      </c>
      <c r="AA235" s="47"/>
      <c r="AB235" s="47"/>
      <c r="AC235" s="47"/>
      <c r="AD235" s="47"/>
      <c r="AE235" s="47"/>
      <c r="AF235" s="47"/>
      <c r="AG235" s="47"/>
      <c r="AH235" s="47">
        <f t="shared" ref="AH235:AI235" si="254">AH232</f>
        <v>0</v>
      </c>
      <c r="AI235" s="47">
        <f t="shared" si="254"/>
        <v>0</v>
      </c>
      <c r="AJ235" s="47"/>
      <c r="AK235" s="46"/>
      <c r="AL235" s="46"/>
      <c r="AM235" s="127">
        <f t="shared" si="252"/>
        <v>0</v>
      </c>
      <c r="AN235" s="127">
        <f t="shared" si="253"/>
        <v>0</v>
      </c>
      <c r="AO235" s="46"/>
      <c r="AP235" s="46"/>
      <c r="AQ235" s="46"/>
      <c r="AR235" s="46"/>
    </row>
    <row r="236" spans="1:44" ht="12.75" customHeight="1">
      <c r="A236" s="117"/>
      <c r="B236" s="117" t="s">
        <v>287</v>
      </c>
      <c r="C236" s="46" t="s">
        <v>354</v>
      </c>
      <c r="D236" s="46">
        <v>0</v>
      </c>
      <c r="E236" s="46">
        <v>0</v>
      </c>
      <c r="F236" s="50"/>
      <c r="G236" s="50"/>
      <c r="H236" s="50">
        <v>0</v>
      </c>
      <c r="I236" s="50"/>
      <c r="J236" s="50">
        <f>10.22*6</f>
        <v>61.320000000000007</v>
      </c>
      <c r="K236" s="47">
        <f>AF232</f>
        <v>0</v>
      </c>
      <c r="L236" s="46"/>
      <c r="M236" s="46"/>
      <c r="N236" s="46"/>
      <c r="O236" s="51"/>
      <c r="P236" s="127">
        <v>0</v>
      </c>
      <c r="Q236" s="46"/>
      <c r="R236" s="47">
        <f t="shared" si="246"/>
        <v>0</v>
      </c>
      <c r="S236" s="47">
        <f t="shared" si="247"/>
        <v>0</v>
      </c>
      <c r="T236" s="47"/>
      <c r="U236" s="47"/>
      <c r="V236" s="47">
        <f t="shared" si="248"/>
        <v>0</v>
      </c>
      <c r="W236" s="47">
        <f t="shared" si="249"/>
        <v>0</v>
      </c>
      <c r="X236" s="47"/>
      <c r="Y236" s="47"/>
      <c r="Z236" s="47" t="e">
        <f t="shared" si="250"/>
        <v>#DIV/0!</v>
      </c>
      <c r="AA236" s="47"/>
      <c r="AB236" s="47"/>
      <c r="AC236" s="47"/>
      <c r="AD236" s="47"/>
      <c r="AE236" s="47"/>
      <c r="AF236" s="47"/>
      <c r="AG236" s="47"/>
      <c r="AH236" s="47">
        <f t="shared" ref="AH236:AI236" si="255">AH191</f>
        <v>0</v>
      </c>
      <c r="AI236" s="47">
        <f t="shared" si="255"/>
        <v>0</v>
      </c>
      <c r="AJ236" s="47"/>
      <c r="AK236" s="46"/>
      <c r="AL236" s="46"/>
      <c r="AM236" s="127">
        <f t="shared" si="252"/>
        <v>0</v>
      </c>
      <c r="AN236" s="127">
        <f t="shared" si="253"/>
        <v>0</v>
      </c>
      <c r="AO236" s="46"/>
      <c r="AP236" s="46"/>
      <c r="AQ236" s="46"/>
      <c r="AR236" s="46"/>
    </row>
    <row r="237" spans="1:44" ht="12.75" customHeight="1">
      <c r="A237" s="93"/>
      <c r="B237" s="93"/>
      <c r="C237" s="94"/>
      <c r="D237" s="94"/>
      <c r="E237" s="94"/>
      <c r="F237" s="95"/>
      <c r="G237" s="95"/>
      <c r="H237" s="95"/>
      <c r="I237" s="95"/>
      <c r="J237" s="95"/>
      <c r="K237" s="94"/>
      <c r="L237" s="94"/>
      <c r="M237" s="94"/>
      <c r="N237" s="94"/>
      <c r="O237" s="96"/>
      <c r="P237" s="94"/>
      <c r="Q237" s="94"/>
      <c r="R237" s="98"/>
      <c r="S237" s="98"/>
      <c r="T237" s="98"/>
      <c r="U237" s="98"/>
      <c r="V237" s="98"/>
      <c r="W237" s="98"/>
      <c r="X237" s="98"/>
      <c r="Y237" s="98"/>
      <c r="Z237" s="98"/>
      <c r="AA237" s="98"/>
      <c r="AB237" s="98"/>
      <c r="AC237" s="98"/>
      <c r="AD237" s="98"/>
      <c r="AE237" s="98"/>
      <c r="AF237" s="98"/>
      <c r="AG237" s="98"/>
      <c r="AH237" s="98"/>
      <c r="AI237" s="98"/>
      <c r="AJ237" s="98"/>
      <c r="AK237" s="94"/>
      <c r="AL237" s="94"/>
      <c r="AM237" s="105"/>
      <c r="AN237" s="105"/>
      <c r="AO237" s="94"/>
      <c r="AP237" s="94"/>
      <c r="AQ237" s="94"/>
      <c r="AR237" s="94"/>
    </row>
    <row r="238" spans="1:44" ht="12.75" customHeight="1">
      <c r="A238" s="93"/>
      <c r="B238" s="93"/>
      <c r="C238" s="94"/>
      <c r="D238" s="94"/>
      <c r="E238" s="94"/>
      <c r="F238" s="95"/>
      <c r="G238" s="95"/>
      <c r="H238" s="95"/>
      <c r="I238" s="95"/>
      <c r="J238" s="95"/>
      <c r="K238" s="94"/>
      <c r="L238" s="94"/>
      <c r="M238" s="94"/>
      <c r="N238" s="94"/>
      <c r="O238" s="96"/>
      <c r="P238" s="94"/>
      <c r="Q238" s="94"/>
      <c r="R238" s="98"/>
      <c r="S238" s="98"/>
      <c r="T238" s="98"/>
      <c r="U238" s="98"/>
      <c r="V238" s="98"/>
      <c r="W238" s="98"/>
      <c r="X238" s="98"/>
      <c r="Y238" s="98"/>
      <c r="Z238" s="98"/>
      <c r="AA238" s="98"/>
      <c r="AB238" s="98"/>
      <c r="AC238" s="98"/>
      <c r="AD238" s="98"/>
      <c r="AE238" s="98"/>
      <c r="AF238" s="98"/>
      <c r="AG238" s="98"/>
      <c r="AH238" s="98"/>
      <c r="AI238" s="98"/>
      <c r="AJ238" s="98"/>
      <c r="AK238" s="94"/>
      <c r="AL238" s="94"/>
      <c r="AM238" s="105"/>
      <c r="AN238" s="105"/>
      <c r="AO238" s="94"/>
      <c r="AP238" s="94"/>
      <c r="AQ238" s="94"/>
      <c r="AR238" s="94"/>
    </row>
    <row r="239" spans="1:44" ht="12.75" customHeight="1">
      <c r="A239" s="93"/>
      <c r="B239" s="93"/>
      <c r="C239" s="94"/>
      <c r="D239" s="94"/>
      <c r="E239" s="94"/>
      <c r="F239" s="95"/>
      <c r="G239" s="95"/>
      <c r="H239" s="95"/>
      <c r="I239" s="95"/>
      <c r="J239" s="95"/>
      <c r="K239" s="94"/>
      <c r="L239" s="94"/>
      <c r="M239" s="94"/>
      <c r="N239" s="94"/>
      <c r="O239" s="96"/>
      <c r="P239" s="94"/>
      <c r="Q239" s="94"/>
      <c r="R239" s="98"/>
      <c r="S239" s="98"/>
      <c r="T239" s="98"/>
      <c r="U239" s="98"/>
      <c r="V239" s="98"/>
      <c r="W239" s="98"/>
      <c r="X239" s="98"/>
      <c r="Y239" s="98"/>
      <c r="Z239" s="98"/>
      <c r="AA239" s="98"/>
      <c r="AB239" s="98"/>
      <c r="AC239" s="98"/>
      <c r="AD239" s="98"/>
      <c r="AE239" s="98"/>
      <c r="AF239" s="98"/>
      <c r="AG239" s="98"/>
      <c r="AH239" s="98"/>
      <c r="AI239" s="98"/>
      <c r="AJ239" s="98"/>
      <c r="AK239" s="94"/>
      <c r="AL239" s="94"/>
      <c r="AM239" s="94"/>
      <c r="AN239" s="94"/>
      <c r="AO239" s="94"/>
      <c r="AP239" s="94"/>
      <c r="AQ239" s="94"/>
      <c r="AR239" s="94"/>
    </row>
    <row r="240" spans="1:44" ht="12.75" customHeight="1">
      <c r="A240" s="107"/>
      <c r="B240" s="108" t="s">
        <v>194</v>
      </c>
      <c r="C240" s="109"/>
      <c r="D240" s="109"/>
      <c r="E240" s="109"/>
      <c r="F240" s="110"/>
      <c r="G240" s="110"/>
      <c r="H240" s="110"/>
      <c r="I240" s="110"/>
      <c r="J240" s="110"/>
      <c r="K240" s="109"/>
      <c r="L240" s="109"/>
      <c r="M240" s="109"/>
      <c r="N240" s="111"/>
      <c r="O240" s="112"/>
      <c r="P240" s="113"/>
      <c r="Q240" s="109"/>
      <c r="R240" s="114">
        <f t="shared" ref="R240:AA240" si="256">SUM(R234:R239)</f>
        <v>0</v>
      </c>
      <c r="S240" s="114">
        <f t="shared" si="256"/>
        <v>0</v>
      </c>
      <c r="T240" s="114">
        <f t="shared" si="256"/>
        <v>0</v>
      </c>
      <c r="U240" s="114">
        <f t="shared" si="256"/>
        <v>0</v>
      </c>
      <c r="V240" s="114">
        <f t="shared" si="256"/>
        <v>1409.1894</v>
      </c>
      <c r="W240" s="114">
        <f t="shared" si="256"/>
        <v>0</v>
      </c>
      <c r="X240" s="114">
        <f t="shared" si="256"/>
        <v>0</v>
      </c>
      <c r="Y240" s="114">
        <f t="shared" si="256"/>
        <v>0</v>
      </c>
      <c r="Z240" s="114" t="e">
        <f t="shared" si="256"/>
        <v>#DIV/0!</v>
      </c>
      <c r="AA240" s="114">
        <f t="shared" si="256"/>
        <v>0</v>
      </c>
      <c r="AB240" s="114"/>
      <c r="AC240" s="114"/>
      <c r="AD240" s="114">
        <f t="shared" ref="AD240:AF240" si="257">SUM(AD234:AD239)</f>
        <v>0</v>
      </c>
      <c r="AE240" s="114">
        <f t="shared" si="257"/>
        <v>0</v>
      </c>
      <c r="AF240" s="114">
        <f t="shared" si="257"/>
        <v>0</v>
      </c>
      <c r="AG240" s="114"/>
      <c r="AH240" s="114">
        <f t="shared" ref="AH240:AI240" si="258">SUM(AH234:AH239)</f>
        <v>291.18000000000006</v>
      </c>
      <c r="AI240" s="114">
        <f t="shared" si="258"/>
        <v>0</v>
      </c>
      <c r="AJ240" s="115"/>
      <c r="AK240" s="114">
        <f t="shared" ref="AK240:AN240" si="259">SUM(AK234:AK239)</f>
        <v>0</v>
      </c>
      <c r="AL240" s="114">
        <f t="shared" si="259"/>
        <v>0</v>
      </c>
      <c r="AM240" s="114">
        <f t="shared" si="259"/>
        <v>4697.2980000000007</v>
      </c>
      <c r="AN240" s="114">
        <f t="shared" si="259"/>
        <v>0</v>
      </c>
      <c r="AO240" s="94"/>
      <c r="AP240" s="94"/>
      <c r="AQ240" s="94"/>
      <c r="AR240" s="94"/>
    </row>
    <row r="241" spans="1:44" ht="12.75" customHeight="1">
      <c r="A241" s="93"/>
      <c r="B241" s="104"/>
      <c r="C241" s="94"/>
      <c r="D241" s="94"/>
      <c r="E241" s="94"/>
      <c r="F241" s="95"/>
      <c r="G241" s="95"/>
      <c r="H241" s="95"/>
      <c r="I241" s="95"/>
      <c r="J241" s="95"/>
      <c r="K241" s="94"/>
      <c r="L241" s="94"/>
      <c r="M241" s="94"/>
      <c r="N241" s="94"/>
      <c r="O241" s="123"/>
      <c r="P241" s="94"/>
      <c r="Q241" s="94"/>
      <c r="R241" s="115"/>
      <c r="S241" s="115"/>
      <c r="T241" s="115"/>
      <c r="U241" s="115"/>
      <c r="V241" s="115"/>
      <c r="W241" s="115"/>
      <c r="X241" s="115"/>
      <c r="Y241" s="115"/>
      <c r="Z241" s="115"/>
      <c r="AA241" s="115"/>
      <c r="AB241" s="115"/>
      <c r="AC241" s="115"/>
      <c r="AD241" s="115"/>
      <c r="AE241" s="115"/>
      <c r="AF241" s="115"/>
      <c r="AG241" s="115"/>
      <c r="AH241" s="115"/>
      <c r="AI241" s="115"/>
      <c r="AJ241" s="115"/>
      <c r="AK241" s="115"/>
      <c r="AL241" s="115"/>
      <c r="AM241" s="94"/>
      <c r="AN241" s="94"/>
      <c r="AO241" s="94"/>
      <c r="AP241" s="94"/>
      <c r="AQ241" s="94"/>
      <c r="AR241" s="94"/>
    </row>
    <row r="242" spans="1:44" ht="12.75" customHeight="1">
      <c r="A242" s="93"/>
      <c r="B242" s="93" t="s">
        <v>299</v>
      </c>
      <c r="C242" s="94"/>
      <c r="D242" s="94"/>
      <c r="E242" s="94"/>
      <c r="F242" s="95"/>
      <c r="G242" s="95"/>
      <c r="H242" s="95"/>
      <c r="I242" s="95"/>
      <c r="J242" s="95"/>
      <c r="K242" s="94"/>
      <c r="L242" s="94"/>
      <c r="M242" s="94"/>
      <c r="N242" s="94"/>
      <c r="O242" s="96"/>
      <c r="P242" s="94"/>
      <c r="Q242" s="94"/>
      <c r="R242" s="98"/>
      <c r="S242" s="98"/>
      <c r="T242" s="98"/>
      <c r="U242" s="98"/>
      <c r="V242" s="98"/>
      <c r="W242" s="98"/>
      <c r="X242" s="98"/>
      <c r="Y242" s="98"/>
      <c r="Z242" s="98"/>
      <c r="AA242" s="98"/>
      <c r="AB242" s="98"/>
      <c r="AC242" s="98"/>
      <c r="AD242" s="98"/>
      <c r="AE242" s="98"/>
      <c r="AF242" s="98"/>
      <c r="AG242" s="98"/>
      <c r="AH242" s="98"/>
      <c r="AI242" s="98"/>
      <c r="AJ242" s="98"/>
      <c r="AK242" s="94"/>
      <c r="AL242" s="94"/>
      <c r="AM242" s="94"/>
      <c r="AN242" s="94"/>
      <c r="AO242" s="94"/>
      <c r="AP242" s="94"/>
      <c r="AQ242" s="94"/>
      <c r="AR242" s="94"/>
    </row>
    <row r="243" spans="1:44" ht="12.75" customHeight="1">
      <c r="A243" s="93"/>
      <c r="B243" s="104" t="s">
        <v>265</v>
      </c>
      <c r="C243" s="94"/>
      <c r="D243" s="94"/>
      <c r="E243" s="94"/>
      <c r="F243" s="95"/>
      <c r="G243" s="95"/>
      <c r="H243" s="95"/>
      <c r="I243" s="95"/>
      <c r="J243" s="95"/>
      <c r="K243" s="94"/>
      <c r="L243" s="94"/>
      <c r="M243" s="94"/>
      <c r="N243" s="94"/>
      <c r="O243" s="96"/>
      <c r="P243" s="94"/>
      <c r="Q243" s="94"/>
      <c r="R243" s="98"/>
      <c r="S243" s="98"/>
      <c r="T243" s="98"/>
      <c r="U243" s="98"/>
      <c r="V243" s="98"/>
      <c r="W243" s="98"/>
      <c r="X243" s="98"/>
      <c r="Y243" s="98"/>
      <c r="Z243" s="98"/>
      <c r="AA243" s="98"/>
      <c r="AB243" s="124" t="s">
        <v>266</v>
      </c>
      <c r="AC243" s="98" t="s">
        <v>267</v>
      </c>
      <c r="AD243" s="98"/>
      <c r="AE243" s="98"/>
      <c r="AF243" s="98"/>
      <c r="AG243" s="98"/>
      <c r="AH243" s="98"/>
      <c r="AI243" s="98"/>
      <c r="AJ243" s="98" t="s">
        <v>268</v>
      </c>
      <c r="AK243" s="94"/>
      <c r="AL243" s="94"/>
      <c r="AM243" s="94"/>
      <c r="AN243" s="94"/>
      <c r="AO243" s="94"/>
      <c r="AP243" s="94"/>
      <c r="AQ243" s="94"/>
      <c r="AR243" s="94"/>
    </row>
    <row r="244" spans="1:44" ht="12.75" customHeight="1">
      <c r="A244" s="93"/>
      <c r="B244" s="93" t="s">
        <v>300</v>
      </c>
      <c r="C244" s="94" t="s">
        <v>355</v>
      </c>
      <c r="D244" s="94">
        <v>1</v>
      </c>
      <c r="E244" s="94">
        <v>2</v>
      </c>
      <c r="F244" s="95">
        <v>0.95</v>
      </c>
      <c r="G244" s="95">
        <v>0.2</v>
      </c>
      <c r="H244" s="95">
        <f t="shared" ref="H244:H245" si="260">0.7-0.3</f>
        <v>0.39999999999999997</v>
      </c>
      <c r="I244" s="95"/>
      <c r="J244" s="95"/>
      <c r="K244" s="94"/>
      <c r="L244" s="94"/>
      <c r="M244" s="94"/>
      <c r="N244" s="94"/>
      <c r="O244" s="96"/>
      <c r="P244" s="105">
        <v>0</v>
      </c>
      <c r="Q244" s="105">
        <v>0</v>
      </c>
      <c r="R244" s="103">
        <f t="shared" ref="R244:R246" si="261">(((F244)*(G244+Q244*2))*P244)*E244*D244</f>
        <v>0</v>
      </c>
      <c r="S244" s="103">
        <f t="shared" ref="S244:S246" si="262">((J244*P244)*E244*D244)</f>
        <v>0</v>
      </c>
      <c r="T244" s="103">
        <f t="shared" ref="T244:T246" si="263">((F244*P244)*2)*D244*E244</f>
        <v>0</v>
      </c>
      <c r="U244" s="98">
        <f t="shared" ref="U244:U246" si="264">((L244*P244)*E244*D244)</f>
        <v>0</v>
      </c>
      <c r="V244" s="98">
        <f t="shared" ref="V244:V246" si="265">PRODUCT(D244:H244)</f>
        <v>0.152</v>
      </c>
      <c r="W244" s="98">
        <f t="shared" ref="W244:W246" si="266">(K244*H244)*E244*D244</f>
        <v>0</v>
      </c>
      <c r="X244" s="98">
        <f t="shared" ref="X244:X246" si="267">((F244)*(H244*2))*E244*D244</f>
        <v>1.5199999999999998</v>
      </c>
      <c r="Y244" s="98">
        <f t="shared" ref="Y244:Y246" si="268">((M244)*H244)*E244*D244</f>
        <v>0</v>
      </c>
      <c r="Z244" s="103" t="e">
        <f t="shared" ref="Z244:Z246" si="269">(R244/P244)+(S244/P244)</f>
        <v>#DIV/0!</v>
      </c>
      <c r="AA244" s="103">
        <f t="shared" ref="AA244:AA246" si="270">(T244+U244)</f>
        <v>0</v>
      </c>
      <c r="AB244" s="125">
        <v>0.15</v>
      </c>
      <c r="AC244" s="125">
        <v>0.15</v>
      </c>
      <c r="AD244" s="103">
        <f t="shared" ref="AD244:AD246" si="271">(((F244*G244)*E244*D244))+K244</f>
        <v>0.38</v>
      </c>
      <c r="AE244" s="103">
        <f t="shared" ref="AE244:AE246" si="272">(((F244*(H244-AB244))+(F244*(H244-AC244)))*E244*D244)+Y244</f>
        <v>0.94999999999999984</v>
      </c>
      <c r="AF244" s="98">
        <f t="shared" ref="AF244:AF246" si="273">AD244</f>
        <v>0.38</v>
      </c>
      <c r="AG244" s="98"/>
      <c r="AH244" s="103">
        <f t="shared" ref="AH244:AH246" si="274">F244*E244*D244</f>
        <v>1.9</v>
      </c>
      <c r="AI244" s="98"/>
      <c r="AJ244" s="125">
        <f t="shared" ref="AJ244:AJ246" si="275">$H$8-0.1-H244+0.3</f>
        <v>6.75</v>
      </c>
      <c r="AK244" s="105">
        <f t="shared" ref="AK244:AK246" si="276">((F244*AJ244)*E244*D244)</f>
        <v>12.824999999999999</v>
      </c>
      <c r="AL244" s="94"/>
      <c r="AM244" s="94"/>
      <c r="AN244" s="94"/>
      <c r="AO244" s="94"/>
      <c r="AP244" s="94"/>
      <c r="AQ244" s="94"/>
      <c r="AR244" s="94"/>
    </row>
    <row r="245" spans="1:44" ht="12.75" customHeight="1">
      <c r="A245" s="93"/>
      <c r="B245" s="93" t="s">
        <v>300</v>
      </c>
      <c r="C245" s="94" t="s">
        <v>356</v>
      </c>
      <c r="D245" s="94">
        <v>1</v>
      </c>
      <c r="E245" s="94">
        <v>1</v>
      </c>
      <c r="F245" s="95">
        <v>1</v>
      </c>
      <c r="G245" s="95">
        <v>0.2</v>
      </c>
      <c r="H245" s="95">
        <f t="shared" si="260"/>
        <v>0.39999999999999997</v>
      </c>
      <c r="I245" s="95"/>
      <c r="J245" s="95"/>
      <c r="K245" s="94"/>
      <c r="L245" s="94"/>
      <c r="M245" s="94"/>
      <c r="N245" s="94"/>
      <c r="O245" s="96"/>
      <c r="P245" s="105">
        <v>0</v>
      </c>
      <c r="Q245" s="105">
        <v>0</v>
      </c>
      <c r="R245" s="103">
        <f t="shared" si="261"/>
        <v>0</v>
      </c>
      <c r="S245" s="103">
        <f t="shared" si="262"/>
        <v>0</v>
      </c>
      <c r="T245" s="103">
        <f t="shared" si="263"/>
        <v>0</v>
      </c>
      <c r="U245" s="98">
        <f t="shared" si="264"/>
        <v>0</v>
      </c>
      <c r="V245" s="98">
        <f t="shared" si="265"/>
        <v>0.08</v>
      </c>
      <c r="W245" s="98">
        <f t="shared" si="266"/>
        <v>0</v>
      </c>
      <c r="X245" s="98">
        <f t="shared" si="267"/>
        <v>0.79999999999999993</v>
      </c>
      <c r="Y245" s="98">
        <f t="shared" si="268"/>
        <v>0</v>
      </c>
      <c r="Z245" s="103" t="e">
        <f t="shared" si="269"/>
        <v>#DIV/0!</v>
      </c>
      <c r="AA245" s="103">
        <f t="shared" si="270"/>
        <v>0</v>
      </c>
      <c r="AB245" s="125">
        <v>0.15</v>
      </c>
      <c r="AC245" s="125">
        <v>0.15</v>
      </c>
      <c r="AD245" s="103">
        <f t="shared" si="271"/>
        <v>0.2</v>
      </c>
      <c r="AE245" s="103">
        <f t="shared" si="272"/>
        <v>0.49999999999999994</v>
      </c>
      <c r="AF245" s="98">
        <f t="shared" si="273"/>
        <v>0.2</v>
      </c>
      <c r="AG245" s="98"/>
      <c r="AH245" s="103">
        <f t="shared" si="274"/>
        <v>1</v>
      </c>
      <c r="AI245" s="98"/>
      <c r="AJ245" s="125">
        <f t="shared" si="275"/>
        <v>6.75</v>
      </c>
      <c r="AK245" s="105">
        <f t="shared" si="276"/>
        <v>6.75</v>
      </c>
      <c r="AL245" s="94"/>
      <c r="AM245" s="94"/>
      <c r="AN245" s="94"/>
      <c r="AO245" s="94"/>
      <c r="AP245" s="94"/>
      <c r="AQ245" s="94"/>
      <c r="AR245" s="94"/>
    </row>
    <row r="246" spans="1:44" ht="12.75" customHeight="1">
      <c r="A246" s="93"/>
      <c r="B246" s="93" t="s">
        <v>313</v>
      </c>
      <c r="C246" s="94" t="s">
        <v>357</v>
      </c>
      <c r="D246" s="94">
        <v>1</v>
      </c>
      <c r="E246" s="94">
        <v>2</v>
      </c>
      <c r="F246" s="95">
        <v>2.1</v>
      </c>
      <c r="G246" s="95">
        <v>0.2</v>
      </c>
      <c r="H246" s="95">
        <f>0.8-0.3</f>
        <v>0.5</v>
      </c>
      <c r="I246" s="95"/>
      <c r="J246" s="95"/>
      <c r="K246" s="94"/>
      <c r="L246" s="94"/>
      <c r="M246" s="94"/>
      <c r="N246" s="94"/>
      <c r="O246" s="96"/>
      <c r="P246" s="105">
        <v>0</v>
      </c>
      <c r="Q246" s="105">
        <v>0</v>
      </c>
      <c r="R246" s="103">
        <f t="shared" si="261"/>
        <v>0</v>
      </c>
      <c r="S246" s="103">
        <f t="shared" si="262"/>
        <v>0</v>
      </c>
      <c r="T246" s="103">
        <f t="shared" si="263"/>
        <v>0</v>
      </c>
      <c r="U246" s="98">
        <f t="shared" si="264"/>
        <v>0</v>
      </c>
      <c r="V246" s="98">
        <f t="shared" si="265"/>
        <v>0.42000000000000004</v>
      </c>
      <c r="W246" s="98">
        <f t="shared" si="266"/>
        <v>0</v>
      </c>
      <c r="X246" s="98">
        <f t="shared" si="267"/>
        <v>4.2</v>
      </c>
      <c r="Y246" s="98">
        <f t="shared" si="268"/>
        <v>0</v>
      </c>
      <c r="Z246" s="103" t="e">
        <f t="shared" si="269"/>
        <v>#DIV/0!</v>
      </c>
      <c r="AA246" s="103">
        <f t="shared" si="270"/>
        <v>0</v>
      </c>
      <c r="AB246" s="125">
        <v>0.15</v>
      </c>
      <c r="AC246" s="125">
        <v>0.15</v>
      </c>
      <c r="AD246" s="103">
        <f t="shared" si="271"/>
        <v>0.84000000000000008</v>
      </c>
      <c r="AE246" s="103">
        <f t="shared" si="272"/>
        <v>2.94</v>
      </c>
      <c r="AF246" s="98">
        <f t="shared" si="273"/>
        <v>0.84000000000000008</v>
      </c>
      <c r="AG246" s="98"/>
      <c r="AH246" s="103">
        <f t="shared" si="274"/>
        <v>4.2</v>
      </c>
      <c r="AI246" s="98"/>
      <c r="AJ246" s="125">
        <f t="shared" si="275"/>
        <v>6.65</v>
      </c>
      <c r="AK246" s="105">
        <f t="shared" si="276"/>
        <v>27.930000000000003</v>
      </c>
      <c r="AL246" s="94"/>
      <c r="AM246" s="94"/>
      <c r="AN246" s="94"/>
      <c r="AO246" s="94"/>
      <c r="AP246" s="94"/>
      <c r="AQ246" s="94"/>
      <c r="AR246" s="94"/>
    </row>
    <row r="247" spans="1:44" ht="12.75" customHeight="1">
      <c r="A247" s="93"/>
      <c r="B247" s="93"/>
      <c r="C247" s="94"/>
      <c r="D247" s="94"/>
      <c r="E247" s="94"/>
      <c r="F247" s="95"/>
      <c r="G247" s="95"/>
      <c r="H247" s="95"/>
      <c r="I247" s="95"/>
      <c r="J247" s="95"/>
      <c r="K247" s="94"/>
      <c r="L247" s="94"/>
      <c r="M247" s="94"/>
      <c r="N247" s="94"/>
      <c r="O247" s="96"/>
      <c r="P247" s="105"/>
      <c r="Q247" s="105"/>
      <c r="R247" s="98"/>
      <c r="S247" s="98"/>
      <c r="T247" s="98"/>
      <c r="U247" s="98"/>
      <c r="V247" s="98"/>
      <c r="W247" s="98"/>
      <c r="X247" s="98"/>
      <c r="Y247" s="98"/>
      <c r="Z247" s="98"/>
      <c r="AA247" s="98"/>
      <c r="AB247" s="125"/>
      <c r="AC247" s="125"/>
      <c r="AD247" s="98"/>
      <c r="AE247" s="98"/>
      <c r="AF247" s="98"/>
      <c r="AG247" s="98"/>
      <c r="AH247" s="98"/>
      <c r="AI247" s="98"/>
      <c r="AJ247" s="98"/>
      <c r="AK247" s="94"/>
      <c r="AL247" s="94"/>
      <c r="AM247" s="94"/>
      <c r="AN247" s="94"/>
      <c r="AO247" s="94"/>
      <c r="AP247" s="94"/>
      <c r="AQ247" s="94"/>
      <c r="AR247" s="94"/>
    </row>
    <row r="248" spans="1:44" ht="12.75" customHeight="1">
      <c r="A248" s="93"/>
      <c r="B248" s="104" t="s">
        <v>186</v>
      </c>
      <c r="C248" s="94"/>
      <c r="D248" s="94"/>
      <c r="E248" s="94"/>
      <c r="F248" s="95"/>
      <c r="G248" s="95"/>
      <c r="H248" s="95"/>
      <c r="I248" s="95"/>
      <c r="J248" s="95"/>
      <c r="K248" s="94"/>
      <c r="L248" s="94"/>
      <c r="M248" s="94"/>
      <c r="N248" s="94"/>
      <c r="O248" s="96"/>
      <c r="P248" s="105"/>
      <c r="Q248" s="105"/>
      <c r="R248" s="98"/>
      <c r="S248" s="98"/>
      <c r="T248" s="98"/>
      <c r="U248" s="98"/>
      <c r="V248" s="98"/>
      <c r="W248" s="98"/>
      <c r="X248" s="98"/>
      <c r="Y248" s="98"/>
      <c r="Z248" s="98"/>
      <c r="AA248" s="98"/>
      <c r="AB248" s="125"/>
      <c r="AC248" s="125"/>
      <c r="AD248" s="98"/>
      <c r="AE248" s="98"/>
      <c r="AF248" s="98"/>
      <c r="AG248" s="98"/>
      <c r="AH248" s="98"/>
      <c r="AI248" s="98"/>
      <c r="AJ248" s="98"/>
      <c r="AK248" s="94"/>
      <c r="AL248" s="94"/>
      <c r="AM248" s="94"/>
      <c r="AN248" s="94"/>
      <c r="AO248" s="94"/>
      <c r="AP248" s="94"/>
      <c r="AQ248" s="94"/>
      <c r="AR248" s="94"/>
    </row>
    <row r="249" spans="1:44" ht="12.75" customHeight="1">
      <c r="A249" s="93"/>
      <c r="B249" s="93" t="s">
        <v>280</v>
      </c>
      <c r="C249" s="94" t="s">
        <v>358</v>
      </c>
      <c r="D249" s="94">
        <v>0</v>
      </c>
      <c r="E249" s="94">
        <v>0</v>
      </c>
      <c r="F249" s="95">
        <v>0</v>
      </c>
      <c r="G249" s="95">
        <v>0</v>
      </c>
      <c r="H249" s="95">
        <v>0</v>
      </c>
      <c r="I249" s="95"/>
      <c r="J249" s="95"/>
      <c r="K249" s="94"/>
      <c r="L249" s="94"/>
      <c r="M249" s="94"/>
      <c r="N249" s="94"/>
      <c r="O249" s="96"/>
      <c r="P249" s="105">
        <v>0</v>
      </c>
      <c r="Q249" s="105">
        <v>0</v>
      </c>
      <c r="R249" s="103">
        <f>(((F249)*(G249+Q249*2))*P249)*E249*D249</f>
        <v>0</v>
      </c>
      <c r="S249" s="103">
        <f>((J249*P249)*E249*D249)</f>
        <v>0</v>
      </c>
      <c r="T249" s="103">
        <f>((F249*P249)*2)*D249*E249</f>
        <v>0</v>
      </c>
      <c r="U249" s="98">
        <f>((L249*P249)*E249*D249)</f>
        <v>0</v>
      </c>
      <c r="V249" s="98">
        <f>PRODUCT(D249:H249)</f>
        <v>0</v>
      </c>
      <c r="W249" s="98">
        <f>(K249*H249)*E249*D249</f>
        <v>0</v>
      </c>
      <c r="X249" s="98">
        <f>((F249)*(H249*2))*E249*D249</f>
        <v>0</v>
      </c>
      <c r="Y249" s="98">
        <f>((M249)*H249)*E249*D249</f>
        <v>0</v>
      </c>
      <c r="Z249" s="103" t="e">
        <f>(R249/P249)+(S249/P249)</f>
        <v>#DIV/0!</v>
      </c>
      <c r="AA249" s="103">
        <f>(T249+U249)</f>
        <v>0</v>
      </c>
      <c r="AB249" s="125">
        <v>0.15</v>
      </c>
      <c r="AC249" s="125">
        <v>0.15</v>
      </c>
      <c r="AD249" s="103">
        <f>(((F249*G249)*E249*D249))+K249</f>
        <v>0</v>
      </c>
      <c r="AE249" s="103">
        <f>(((F249*(H249-AC249))+(F249*(H249-AC249)))*E249*D249)+Y249</f>
        <v>0</v>
      </c>
      <c r="AF249" s="98">
        <f>AD249</f>
        <v>0</v>
      </c>
      <c r="AG249" s="98"/>
      <c r="AH249" s="103">
        <f>(F249*2)*E249*D249</f>
        <v>0</v>
      </c>
      <c r="AI249" s="98"/>
      <c r="AJ249" s="125">
        <v>0</v>
      </c>
      <c r="AK249" s="94"/>
      <c r="AL249" s="105">
        <f>((F249*AJ249)*E249*D249)</f>
        <v>0</v>
      </c>
      <c r="AM249" s="94"/>
      <c r="AN249" s="94"/>
      <c r="AO249" s="94"/>
      <c r="AP249" s="94"/>
      <c r="AQ249" s="94"/>
      <c r="AR249" s="94"/>
    </row>
    <row r="250" spans="1:44" ht="12.75" customHeight="1">
      <c r="A250" s="93"/>
      <c r="B250" s="93"/>
      <c r="C250" s="94"/>
      <c r="D250" s="94"/>
      <c r="E250" s="94"/>
      <c r="F250" s="95"/>
      <c r="G250" s="95"/>
      <c r="H250" s="95"/>
      <c r="I250" s="95"/>
      <c r="J250" s="95"/>
      <c r="K250" s="94"/>
      <c r="L250" s="94"/>
      <c r="M250" s="94"/>
      <c r="N250" s="94"/>
      <c r="O250" s="96"/>
      <c r="P250" s="105"/>
      <c r="Q250" s="105"/>
      <c r="R250" s="98"/>
      <c r="S250" s="98"/>
      <c r="T250" s="98"/>
      <c r="U250" s="98"/>
      <c r="V250" s="98"/>
      <c r="W250" s="98"/>
      <c r="X250" s="98"/>
      <c r="Y250" s="98"/>
      <c r="Z250" s="98"/>
      <c r="AA250" s="98"/>
      <c r="AB250" s="125"/>
      <c r="AC250" s="125"/>
      <c r="AD250" s="98"/>
      <c r="AE250" s="98"/>
      <c r="AF250" s="98"/>
      <c r="AG250" s="98"/>
      <c r="AH250" s="98"/>
      <c r="AI250" s="98"/>
      <c r="AJ250" s="98"/>
      <c r="AK250" s="94"/>
      <c r="AL250" s="94"/>
      <c r="AM250" s="94"/>
      <c r="AN250" s="94"/>
      <c r="AO250" s="94"/>
      <c r="AP250" s="94"/>
      <c r="AQ250" s="94"/>
      <c r="AR250" s="94"/>
    </row>
    <row r="251" spans="1:44" ht="12.75" customHeight="1">
      <c r="A251" s="107"/>
      <c r="B251" s="108" t="s">
        <v>194</v>
      </c>
      <c r="C251" s="109"/>
      <c r="D251" s="109"/>
      <c r="E251" s="109"/>
      <c r="F251" s="110"/>
      <c r="G251" s="110"/>
      <c r="H251" s="110"/>
      <c r="I251" s="110"/>
      <c r="J251" s="110"/>
      <c r="K251" s="109"/>
      <c r="L251" s="109"/>
      <c r="M251" s="109"/>
      <c r="N251" s="111"/>
      <c r="O251" s="112"/>
      <c r="P251" s="113"/>
      <c r="Q251" s="109"/>
      <c r="R251" s="114">
        <f t="shared" ref="R251:AA251" si="277">SUM(R244:R250)</f>
        <v>0</v>
      </c>
      <c r="S251" s="114">
        <f t="shared" si="277"/>
        <v>0</v>
      </c>
      <c r="T251" s="114">
        <f t="shared" si="277"/>
        <v>0</v>
      </c>
      <c r="U251" s="114">
        <f t="shared" si="277"/>
        <v>0</v>
      </c>
      <c r="V251" s="114">
        <f t="shared" si="277"/>
        <v>0.65200000000000002</v>
      </c>
      <c r="W251" s="114">
        <f t="shared" si="277"/>
        <v>0</v>
      </c>
      <c r="X251" s="114">
        <f t="shared" si="277"/>
        <v>6.52</v>
      </c>
      <c r="Y251" s="114">
        <f t="shared" si="277"/>
        <v>0</v>
      </c>
      <c r="Z251" s="114" t="e">
        <f t="shared" si="277"/>
        <v>#DIV/0!</v>
      </c>
      <c r="AA251" s="114">
        <f t="shared" si="277"/>
        <v>0</v>
      </c>
      <c r="AB251" s="114"/>
      <c r="AC251" s="114"/>
      <c r="AD251" s="114">
        <f t="shared" ref="AD251:AF251" si="278">SUM(AD244:AD250)</f>
        <v>1.4200000000000002</v>
      </c>
      <c r="AE251" s="114">
        <f t="shared" si="278"/>
        <v>4.3899999999999997</v>
      </c>
      <c r="AF251" s="114">
        <f t="shared" si="278"/>
        <v>1.4200000000000002</v>
      </c>
      <c r="AG251" s="114"/>
      <c r="AH251" s="114">
        <f t="shared" ref="AH251:AI251" si="279">SUM(AH244:AH250)</f>
        <v>7.1</v>
      </c>
      <c r="AI251" s="114">
        <f t="shared" si="279"/>
        <v>0</v>
      </c>
      <c r="AJ251" s="115"/>
      <c r="AK251" s="114">
        <f t="shared" ref="AK251:AL251" si="280">SUM(AK244:AK250)</f>
        <v>47.505000000000003</v>
      </c>
      <c r="AL251" s="114">
        <f t="shared" si="280"/>
        <v>0</v>
      </c>
      <c r="AM251" s="94"/>
      <c r="AN251" s="94"/>
      <c r="AO251" s="94"/>
      <c r="AP251" s="94"/>
      <c r="AQ251" s="94"/>
      <c r="AR251" s="94"/>
    </row>
    <row r="252" spans="1:44" ht="12.75" customHeight="1">
      <c r="A252" s="93"/>
      <c r="B252" s="93"/>
      <c r="C252" s="94"/>
      <c r="D252" s="94"/>
      <c r="E252" s="94"/>
      <c r="F252" s="95"/>
      <c r="G252" s="95"/>
      <c r="H252" s="95"/>
      <c r="I252" s="95"/>
      <c r="J252" s="95"/>
      <c r="K252" s="94"/>
      <c r="L252" s="94"/>
      <c r="M252" s="94"/>
      <c r="N252" s="94"/>
      <c r="O252" s="96"/>
      <c r="P252" s="94"/>
      <c r="Q252" s="94"/>
      <c r="R252" s="98"/>
      <c r="S252" s="98"/>
      <c r="T252" s="98"/>
      <c r="U252" s="98"/>
      <c r="V252" s="98"/>
      <c r="W252" s="98"/>
      <c r="X252" s="98"/>
      <c r="Y252" s="98"/>
      <c r="Z252" s="98"/>
      <c r="AA252" s="98"/>
      <c r="AB252" s="98"/>
      <c r="AC252" s="98"/>
      <c r="AD252" s="98"/>
      <c r="AE252" s="98"/>
      <c r="AF252" s="98"/>
      <c r="AG252" s="98"/>
      <c r="AH252" s="98"/>
      <c r="AI252" s="98"/>
      <c r="AJ252" s="98"/>
      <c r="AK252" s="94"/>
      <c r="AL252" s="94"/>
      <c r="AM252" s="94"/>
      <c r="AN252" s="94"/>
      <c r="AO252" s="94"/>
      <c r="AP252" s="94"/>
      <c r="AQ252" s="94"/>
      <c r="AR252" s="94"/>
    </row>
    <row r="253" spans="1:44" ht="14.4">
      <c r="A253" s="117"/>
      <c r="B253" s="126" t="s">
        <v>318</v>
      </c>
      <c r="C253" s="46"/>
      <c r="D253" s="46"/>
      <c r="E253" s="46"/>
      <c r="F253" s="50"/>
      <c r="G253" s="50"/>
      <c r="H253" s="50"/>
      <c r="I253" s="50"/>
      <c r="J253" s="50"/>
      <c r="K253" s="46"/>
      <c r="L253" s="46"/>
      <c r="M253" s="46"/>
      <c r="N253" s="46"/>
      <c r="O253" s="51"/>
      <c r="P253" s="46"/>
      <c r="Q253" s="46"/>
      <c r="R253" s="47"/>
      <c r="S253" s="47"/>
      <c r="T253" s="47"/>
      <c r="U253" s="47"/>
      <c r="V253" s="47"/>
      <c r="W253" s="47"/>
      <c r="X253" s="47"/>
      <c r="Y253" s="47"/>
      <c r="Z253" s="47"/>
      <c r="AA253" s="47"/>
      <c r="AB253" s="47"/>
      <c r="AC253" s="47"/>
      <c r="AD253" s="47"/>
      <c r="AE253" s="47"/>
      <c r="AF253" s="47"/>
      <c r="AG253" s="47"/>
      <c r="AH253" s="47"/>
      <c r="AI253" s="47"/>
      <c r="AJ253" s="47"/>
      <c r="AK253" s="46"/>
      <c r="AL253" s="46"/>
      <c r="AM253" s="46"/>
      <c r="AN253" s="46"/>
      <c r="AO253" s="46"/>
      <c r="AP253" s="46"/>
      <c r="AQ253" s="46"/>
      <c r="AR253" s="46"/>
    </row>
    <row r="254" spans="1:44" ht="12.75" customHeight="1">
      <c r="A254" s="117"/>
      <c r="B254" s="117" t="s">
        <v>283</v>
      </c>
      <c r="C254" s="46" t="s">
        <v>359</v>
      </c>
      <c r="D254" s="46">
        <v>1</v>
      </c>
      <c r="E254" s="46">
        <v>2</v>
      </c>
      <c r="F254" s="50">
        <v>5.34</v>
      </c>
      <c r="G254" s="50">
        <v>2.6</v>
      </c>
      <c r="H254" s="50">
        <v>0.2</v>
      </c>
      <c r="I254" s="50">
        <f>PRODUCT(D254:H254)</f>
        <v>5.5536000000000003</v>
      </c>
      <c r="J254" s="50">
        <f>PRODUCT(D254:G254)</f>
        <v>27.768000000000001</v>
      </c>
      <c r="K254" s="50">
        <v>0</v>
      </c>
      <c r="L254" s="46"/>
      <c r="M254" s="46"/>
      <c r="N254" s="46"/>
      <c r="O254" s="51"/>
      <c r="P254" s="127">
        <v>0</v>
      </c>
      <c r="Q254" s="46"/>
      <c r="R254" s="47">
        <f t="shared" ref="R254:R256" si="281">((F254*G254)*P254)*E254*D254</f>
        <v>0</v>
      </c>
      <c r="S254" s="47">
        <f t="shared" ref="S254:S256" si="282">(J254*P254)*E254*D254</f>
        <v>0</v>
      </c>
      <c r="T254" s="47"/>
      <c r="U254" s="47"/>
      <c r="V254" s="47">
        <f t="shared" ref="V254:V256" si="283">PRODUCT(D254:H254)</f>
        <v>5.5536000000000003</v>
      </c>
      <c r="W254" s="47">
        <f t="shared" ref="W254:W256" si="284">((K254*H254)*E254*D254)</f>
        <v>0</v>
      </c>
      <c r="X254" s="47"/>
      <c r="Y254" s="47"/>
      <c r="Z254" s="47" t="e">
        <f t="shared" ref="Z254:Z256" si="285">(R254/P254)+(S254/P254)</f>
        <v>#DIV/0!</v>
      </c>
      <c r="AA254" s="47"/>
      <c r="AB254" s="47"/>
      <c r="AC254" s="47"/>
      <c r="AD254" s="47"/>
      <c r="AE254" s="47"/>
      <c r="AF254" s="47"/>
      <c r="AG254" s="47"/>
      <c r="AH254" s="47">
        <f t="shared" ref="AH254:AI254" si="286">AH251</f>
        <v>7.1</v>
      </c>
      <c r="AI254" s="47">
        <f t="shared" si="286"/>
        <v>0</v>
      </c>
      <c r="AJ254" s="47"/>
      <c r="AK254" s="46"/>
      <c r="AL254" s="46"/>
      <c r="AM254" s="127">
        <f t="shared" ref="AM254:AM256" si="287">((F254*G254)*E254*D254)</f>
        <v>27.768000000000001</v>
      </c>
      <c r="AN254" s="127">
        <f t="shared" ref="AN254:AN256" si="288">((K254)*E254*D254)</f>
        <v>0</v>
      </c>
      <c r="AO254" s="46"/>
      <c r="AP254" s="46"/>
      <c r="AQ254" s="46"/>
      <c r="AR254" s="46"/>
    </row>
    <row r="255" spans="1:44" ht="12.75" customHeight="1">
      <c r="A255" s="117"/>
      <c r="B255" s="117" t="s">
        <v>285</v>
      </c>
      <c r="C255" s="46" t="s">
        <v>360</v>
      </c>
      <c r="D255" s="46">
        <v>1</v>
      </c>
      <c r="E255" s="46">
        <v>1</v>
      </c>
      <c r="F255" s="50"/>
      <c r="G255" s="50"/>
      <c r="H255" s="50">
        <v>0</v>
      </c>
      <c r="I255" s="50"/>
      <c r="J255" s="50"/>
      <c r="K255" s="47"/>
      <c r="L255" s="46"/>
      <c r="M255" s="46"/>
      <c r="N255" s="46"/>
      <c r="O255" s="51"/>
      <c r="P255" s="127">
        <v>0</v>
      </c>
      <c r="Q255" s="46"/>
      <c r="R255" s="47">
        <f t="shared" si="281"/>
        <v>0</v>
      </c>
      <c r="S255" s="47">
        <f t="shared" si="282"/>
        <v>0</v>
      </c>
      <c r="T255" s="47"/>
      <c r="U255" s="47"/>
      <c r="V255" s="47">
        <f t="shared" si="283"/>
        <v>0</v>
      </c>
      <c r="W255" s="47">
        <f t="shared" si="284"/>
        <v>0</v>
      </c>
      <c r="X255" s="47"/>
      <c r="Y255" s="47"/>
      <c r="Z255" s="47" t="e">
        <f t="shared" si="285"/>
        <v>#DIV/0!</v>
      </c>
      <c r="AA255" s="47"/>
      <c r="AB255" s="47"/>
      <c r="AC255" s="47"/>
      <c r="AD255" s="47"/>
      <c r="AE255" s="47"/>
      <c r="AF255" s="47"/>
      <c r="AG255" s="47"/>
      <c r="AH255" s="47">
        <f t="shared" ref="AH255:AI255" si="289">AH252</f>
        <v>0</v>
      </c>
      <c r="AI255" s="47">
        <f t="shared" si="289"/>
        <v>0</v>
      </c>
      <c r="AJ255" s="47"/>
      <c r="AK255" s="46"/>
      <c r="AL255" s="46"/>
      <c r="AM255" s="127">
        <f t="shared" si="287"/>
        <v>0</v>
      </c>
      <c r="AN255" s="127">
        <f t="shared" si="288"/>
        <v>0</v>
      </c>
      <c r="AO255" s="46"/>
      <c r="AP255" s="46"/>
      <c r="AQ255" s="46"/>
      <c r="AR255" s="46"/>
    </row>
    <row r="256" spans="1:44" ht="12.75" customHeight="1">
      <c r="A256" s="117"/>
      <c r="B256" s="117" t="s">
        <v>287</v>
      </c>
      <c r="C256" s="46" t="s">
        <v>361</v>
      </c>
      <c r="D256" s="46">
        <v>0</v>
      </c>
      <c r="E256" s="46">
        <v>0</v>
      </c>
      <c r="F256" s="50"/>
      <c r="G256" s="50"/>
      <c r="H256" s="50">
        <v>0</v>
      </c>
      <c r="I256" s="50"/>
      <c r="J256" s="50"/>
      <c r="K256" s="47">
        <f>AF252</f>
        <v>0</v>
      </c>
      <c r="L256" s="46"/>
      <c r="M256" s="46"/>
      <c r="N256" s="46"/>
      <c r="O256" s="51"/>
      <c r="P256" s="127">
        <v>0</v>
      </c>
      <c r="Q256" s="46"/>
      <c r="R256" s="47">
        <f t="shared" si="281"/>
        <v>0</v>
      </c>
      <c r="S256" s="47">
        <f t="shared" si="282"/>
        <v>0</v>
      </c>
      <c r="T256" s="47"/>
      <c r="U256" s="47"/>
      <c r="V256" s="47">
        <f t="shared" si="283"/>
        <v>0</v>
      </c>
      <c r="W256" s="47">
        <f t="shared" si="284"/>
        <v>0</v>
      </c>
      <c r="X256" s="47"/>
      <c r="Y256" s="47"/>
      <c r="Z256" s="47" t="e">
        <f t="shared" si="285"/>
        <v>#DIV/0!</v>
      </c>
      <c r="AA256" s="47"/>
      <c r="AB256" s="47"/>
      <c r="AC256" s="47"/>
      <c r="AD256" s="47"/>
      <c r="AE256" s="47"/>
      <c r="AF256" s="47"/>
      <c r="AG256" s="47"/>
      <c r="AH256" s="47">
        <f t="shared" ref="AH256:AI256" si="290">AH219</f>
        <v>31.5</v>
      </c>
      <c r="AI256" s="47">
        <f t="shared" si="290"/>
        <v>0</v>
      </c>
      <c r="AJ256" s="47"/>
      <c r="AK256" s="46"/>
      <c r="AL256" s="46"/>
      <c r="AM256" s="127">
        <f t="shared" si="287"/>
        <v>0</v>
      </c>
      <c r="AN256" s="127">
        <f t="shared" si="288"/>
        <v>0</v>
      </c>
      <c r="AO256" s="46"/>
      <c r="AP256" s="46"/>
      <c r="AQ256" s="46"/>
      <c r="AR256" s="46"/>
    </row>
    <row r="257" spans="1:44" ht="12.75" customHeight="1">
      <c r="A257" s="93"/>
      <c r="B257" s="93"/>
      <c r="C257" s="94"/>
      <c r="D257" s="94"/>
      <c r="E257" s="94"/>
      <c r="F257" s="95"/>
      <c r="G257" s="95"/>
      <c r="H257" s="95"/>
      <c r="I257" s="95"/>
      <c r="J257" s="95"/>
      <c r="K257" s="94"/>
      <c r="L257" s="94"/>
      <c r="M257" s="94"/>
      <c r="N257" s="94"/>
      <c r="O257" s="96"/>
      <c r="P257" s="94"/>
      <c r="Q257" s="94"/>
      <c r="R257" s="98"/>
      <c r="S257" s="98"/>
      <c r="T257" s="98"/>
      <c r="U257" s="98"/>
      <c r="V257" s="98"/>
      <c r="W257" s="98"/>
      <c r="X257" s="98"/>
      <c r="Y257" s="98"/>
      <c r="Z257" s="98"/>
      <c r="AA257" s="98"/>
      <c r="AB257" s="98"/>
      <c r="AC257" s="98"/>
      <c r="AD257" s="98"/>
      <c r="AE257" s="98"/>
      <c r="AF257" s="98"/>
      <c r="AG257" s="98"/>
      <c r="AH257" s="98"/>
      <c r="AI257" s="98"/>
      <c r="AJ257" s="98"/>
      <c r="AK257" s="94"/>
      <c r="AL257" s="94"/>
      <c r="AM257" s="105"/>
      <c r="AN257" s="105"/>
      <c r="AO257" s="94"/>
      <c r="AP257" s="94"/>
      <c r="AQ257" s="94"/>
      <c r="AR257" s="94"/>
    </row>
    <row r="258" spans="1:44" ht="12.75" customHeight="1">
      <c r="A258" s="93"/>
      <c r="B258" s="93"/>
      <c r="C258" s="94"/>
      <c r="D258" s="94"/>
      <c r="E258" s="94"/>
      <c r="F258" s="95"/>
      <c r="G258" s="95"/>
      <c r="H258" s="95"/>
      <c r="I258" s="95"/>
      <c r="J258" s="95"/>
      <c r="K258" s="94"/>
      <c r="L258" s="94"/>
      <c r="M258" s="94"/>
      <c r="N258" s="94"/>
      <c r="O258" s="96"/>
      <c r="P258" s="94"/>
      <c r="Q258" s="94"/>
      <c r="R258" s="98"/>
      <c r="S258" s="98"/>
      <c r="T258" s="98"/>
      <c r="U258" s="98"/>
      <c r="V258" s="98"/>
      <c r="W258" s="98"/>
      <c r="X258" s="98"/>
      <c r="Y258" s="98"/>
      <c r="Z258" s="98"/>
      <c r="AA258" s="98"/>
      <c r="AB258" s="98"/>
      <c r="AC258" s="98"/>
      <c r="AD258" s="98"/>
      <c r="AE258" s="98"/>
      <c r="AF258" s="98"/>
      <c r="AG258" s="98"/>
      <c r="AH258" s="98"/>
      <c r="AI258" s="98"/>
      <c r="AJ258" s="98"/>
      <c r="AK258" s="94"/>
      <c r="AL258" s="94"/>
      <c r="AM258" s="105"/>
      <c r="AN258" s="105"/>
      <c r="AO258" s="94"/>
      <c r="AP258" s="94"/>
      <c r="AQ258" s="94"/>
      <c r="AR258" s="94"/>
    </row>
    <row r="259" spans="1:44" ht="12.75" customHeight="1">
      <c r="A259" s="93"/>
      <c r="B259" s="93"/>
      <c r="C259" s="94"/>
      <c r="D259" s="94"/>
      <c r="E259" s="94"/>
      <c r="F259" s="95"/>
      <c r="G259" s="95"/>
      <c r="H259" s="95"/>
      <c r="I259" s="95"/>
      <c r="J259" s="95"/>
      <c r="K259" s="94"/>
      <c r="L259" s="94"/>
      <c r="M259" s="94"/>
      <c r="N259" s="94"/>
      <c r="O259" s="96"/>
      <c r="P259" s="94"/>
      <c r="Q259" s="94"/>
      <c r="R259" s="98"/>
      <c r="S259" s="98"/>
      <c r="T259" s="98"/>
      <c r="U259" s="98"/>
      <c r="V259" s="98"/>
      <c r="W259" s="98"/>
      <c r="X259" s="98"/>
      <c r="Y259" s="98"/>
      <c r="Z259" s="98"/>
      <c r="AA259" s="98"/>
      <c r="AB259" s="98"/>
      <c r="AC259" s="98"/>
      <c r="AD259" s="98"/>
      <c r="AE259" s="98"/>
      <c r="AF259" s="98"/>
      <c r="AG259" s="98"/>
      <c r="AH259" s="98"/>
      <c r="AI259" s="98"/>
      <c r="AJ259" s="98"/>
      <c r="AK259" s="94"/>
      <c r="AL259" s="94"/>
      <c r="AM259" s="94"/>
      <c r="AN259" s="94"/>
      <c r="AO259" s="94"/>
      <c r="AP259" s="94"/>
      <c r="AQ259" s="94"/>
      <c r="AR259" s="94"/>
    </row>
    <row r="260" spans="1:44" ht="12.75" customHeight="1">
      <c r="A260" s="107"/>
      <c r="B260" s="108" t="s">
        <v>194</v>
      </c>
      <c r="C260" s="109"/>
      <c r="D260" s="109"/>
      <c r="E260" s="109"/>
      <c r="F260" s="110"/>
      <c r="G260" s="110"/>
      <c r="H260" s="110"/>
      <c r="I260" s="110"/>
      <c r="J260" s="110"/>
      <c r="K260" s="109"/>
      <c r="L260" s="109"/>
      <c r="M260" s="109"/>
      <c r="N260" s="111"/>
      <c r="O260" s="112"/>
      <c r="P260" s="113"/>
      <c r="Q260" s="109"/>
      <c r="R260" s="114">
        <f t="shared" ref="R260:AA260" si="291">SUM(R254:R259)</f>
        <v>0</v>
      </c>
      <c r="S260" s="114">
        <f t="shared" si="291"/>
        <v>0</v>
      </c>
      <c r="T260" s="114">
        <f t="shared" si="291"/>
        <v>0</v>
      </c>
      <c r="U260" s="114">
        <f t="shared" si="291"/>
        <v>0</v>
      </c>
      <c r="V260" s="114">
        <f t="shared" si="291"/>
        <v>5.5536000000000003</v>
      </c>
      <c r="W260" s="114">
        <f t="shared" si="291"/>
        <v>0</v>
      </c>
      <c r="X260" s="114">
        <f t="shared" si="291"/>
        <v>0</v>
      </c>
      <c r="Y260" s="114">
        <f t="shared" si="291"/>
        <v>0</v>
      </c>
      <c r="Z260" s="114" t="e">
        <f t="shared" si="291"/>
        <v>#DIV/0!</v>
      </c>
      <c r="AA260" s="114">
        <f t="shared" si="291"/>
        <v>0</v>
      </c>
      <c r="AB260" s="114"/>
      <c r="AC260" s="114"/>
      <c r="AD260" s="114">
        <f t="shared" ref="AD260:AF260" si="292">SUM(AD254:AD259)</f>
        <v>0</v>
      </c>
      <c r="AE260" s="114">
        <f t="shared" si="292"/>
        <v>0</v>
      </c>
      <c r="AF260" s="114">
        <f t="shared" si="292"/>
        <v>0</v>
      </c>
      <c r="AG260" s="114"/>
      <c r="AH260" s="114">
        <f t="shared" ref="AH260:AI260" si="293">SUM(AH254:AH259)</f>
        <v>38.6</v>
      </c>
      <c r="AI260" s="114">
        <f t="shared" si="293"/>
        <v>0</v>
      </c>
      <c r="AJ260" s="115"/>
      <c r="AK260" s="114">
        <f t="shared" ref="AK260:AN260" si="294">SUM(AK254:AK259)</f>
        <v>0</v>
      </c>
      <c r="AL260" s="114">
        <f t="shared" si="294"/>
        <v>0</v>
      </c>
      <c r="AM260" s="114">
        <f t="shared" si="294"/>
        <v>27.768000000000001</v>
      </c>
      <c r="AN260" s="114">
        <f t="shared" si="294"/>
        <v>0</v>
      </c>
      <c r="AO260" s="94"/>
      <c r="AP260" s="94"/>
      <c r="AQ260" s="94"/>
      <c r="AR260" s="94"/>
    </row>
    <row r="261" spans="1:44" ht="12.75" customHeight="1">
      <c r="A261" s="93"/>
      <c r="B261" s="93"/>
      <c r="C261" s="94"/>
      <c r="D261" s="94"/>
      <c r="E261" s="94"/>
      <c r="F261" s="95"/>
      <c r="G261" s="95"/>
      <c r="H261" s="95"/>
      <c r="I261" s="95"/>
      <c r="J261" s="95"/>
      <c r="K261" s="94"/>
      <c r="L261" s="94"/>
      <c r="M261" s="94"/>
      <c r="N261" s="94"/>
      <c r="O261" s="96"/>
      <c r="P261" s="94"/>
      <c r="Q261" s="94"/>
      <c r="R261" s="98"/>
      <c r="S261" s="98"/>
      <c r="T261" s="98"/>
      <c r="U261" s="98"/>
      <c r="V261" s="98"/>
      <c r="W261" s="98"/>
      <c r="X261" s="98"/>
      <c r="Y261" s="98"/>
      <c r="Z261" s="98"/>
      <c r="AA261" s="98"/>
      <c r="AB261" s="98"/>
      <c r="AC261" s="98"/>
      <c r="AD261" s="98"/>
      <c r="AE261" s="98"/>
      <c r="AF261" s="98"/>
      <c r="AG261" s="98"/>
      <c r="AH261" s="98"/>
      <c r="AI261" s="98"/>
      <c r="AJ261" s="98"/>
      <c r="AK261" s="94"/>
      <c r="AL261" s="94"/>
      <c r="AM261" s="94"/>
      <c r="AN261" s="94"/>
      <c r="AO261" s="94"/>
      <c r="AP261" s="94"/>
      <c r="AQ261" s="94"/>
      <c r="AR261" s="94"/>
    </row>
    <row r="262" spans="1:44" ht="12.75" customHeight="1">
      <c r="A262" s="93"/>
      <c r="B262" s="93" t="s">
        <v>337</v>
      </c>
      <c r="C262" s="94"/>
      <c r="D262" s="94"/>
      <c r="E262" s="94"/>
      <c r="F262" s="95"/>
      <c r="G262" s="95"/>
      <c r="H262" s="95"/>
      <c r="I262" s="95"/>
      <c r="J262" s="95"/>
      <c r="K262" s="94"/>
      <c r="L262" s="94"/>
      <c r="M262" s="94"/>
      <c r="N262" s="94"/>
      <c r="O262" s="96"/>
      <c r="P262" s="94"/>
      <c r="Q262" s="94"/>
      <c r="R262" s="98"/>
      <c r="S262" s="98"/>
      <c r="T262" s="98"/>
      <c r="U262" s="98"/>
      <c r="V262" s="98"/>
      <c r="W262" s="98"/>
      <c r="X262" s="98"/>
      <c r="Y262" s="98"/>
      <c r="Z262" s="98"/>
      <c r="AA262" s="98"/>
      <c r="AB262" s="98"/>
      <c r="AC262" s="98"/>
      <c r="AD262" s="98"/>
      <c r="AE262" s="98"/>
      <c r="AF262" s="98"/>
      <c r="AG262" s="98"/>
      <c r="AH262" s="98"/>
      <c r="AI262" s="98"/>
      <c r="AJ262" s="98"/>
      <c r="AK262" s="94"/>
      <c r="AL262" s="94"/>
      <c r="AM262" s="94"/>
      <c r="AN262" s="94"/>
      <c r="AO262" s="94"/>
      <c r="AP262" s="94"/>
      <c r="AQ262" s="94"/>
      <c r="AR262" s="94"/>
    </row>
    <row r="263" spans="1:44" ht="12.75" customHeight="1">
      <c r="A263" s="93"/>
      <c r="B263" s="93"/>
      <c r="C263" s="94"/>
      <c r="D263" s="94"/>
      <c r="E263" s="94"/>
      <c r="F263" s="95"/>
      <c r="G263" s="95"/>
      <c r="H263" s="95"/>
      <c r="I263" s="95"/>
      <c r="J263" s="95"/>
      <c r="K263" s="94"/>
      <c r="L263" s="94"/>
      <c r="M263" s="94"/>
      <c r="N263" s="94"/>
      <c r="O263" s="96"/>
      <c r="P263" s="94"/>
      <c r="Q263" s="94"/>
      <c r="R263" s="98"/>
      <c r="S263" s="98"/>
      <c r="T263" s="98"/>
      <c r="U263" s="98"/>
      <c r="V263" s="98"/>
      <c r="W263" s="98"/>
      <c r="X263" s="98"/>
      <c r="Y263" s="98"/>
      <c r="Z263" s="98"/>
      <c r="AA263" s="98"/>
      <c r="AB263" s="98"/>
      <c r="AC263" s="98"/>
      <c r="AD263" s="98"/>
      <c r="AE263" s="98"/>
      <c r="AF263" s="98"/>
      <c r="AG263" s="98"/>
      <c r="AH263" s="98"/>
      <c r="AI263" s="98"/>
      <c r="AJ263" s="98"/>
      <c r="AK263" s="94"/>
      <c r="AL263" s="94"/>
      <c r="AM263" s="94"/>
      <c r="AN263" s="94"/>
      <c r="AO263" s="94"/>
      <c r="AP263" s="94"/>
      <c r="AQ263" s="94"/>
      <c r="AR263" s="94"/>
    </row>
    <row r="264" spans="1:44" ht="12.75" customHeight="1">
      <c r="A264" s="93"/>
      <c r="B264" s="128" t="s">
        <v>338</v>
      </c>
      <c r="C264" s="94" t="s">
        <v>362</v>
      </c>
      <c r="D264" s="94">
        <v>0</v>
      </c>
      <c r="E264" s="94">
        <v>0</v>
      </c>
      <c r="F264" s="95">
        <v>0</v>
      </c>
      <c r="G264" s="95">
        <v>0</v>
      </c>
      <c r="H264" s="95">
        <v>0</v>
      </c>
      <c r="I264" s="95"/>
      <c r="J264" s="95"/>
      <c r="K264" s="94"/>
      <c r="L264" s="94"/>
      <c r="M264" s="94"/>
      <c r="N264" s="94"/>
      <c r="O264" s="96"/>
      <c r="P264" s="94"/>
      <c r="Q264" s="94"/>
      <c r="R264" s="98"/>
      <c r="S264" s="98"/>
      <c r="T264" s="98"/>
      <c r="U264" s="98"/>
      <c r="V264" s="98">
        <f>PRODUCT(D264:H264)</f>
        <v>0</v>
      </c>
      <c r="W264" s="98">
        <f>K264*H264*E264*D264</f>
        <v>0</v>
      </c>
      <c r="X264" s="98"/>
      <c r="Y264" s="98"/>
      <c r="Z264" s="98"/>
      <c r="AA264" s="98"/>
      <c r="AB264" s="98"/>
      <c r="AC264" s="98"/>
      <c r="AD264" s="98"/>
      <c r="AE264" s="98"/>
      <c r="AF264" s="98"/>
      <c r="AG264" s="98"/>
      <c r="AH264" s="98"/>
      <c r="AI264" s="98"/>
      <c r="AJ264" s="98"/>
      <c r="AK264" s="94"/>
      <c r="AL264" s="94"/>
      <c r="AM264" s="94"/>
      <c r="AN264" s="94"/>
      <c r="AO264" s="94"/>
      <c r="AP264" s="94"/>
      <c r="AQ264" s="94"/>
      <c r="AR264" s="94"/>
    </row>
    <row r="265" spans="1:44" ht="12.75" customHeight="1">
      <c r="A265" s="93"/>
      <c r="B265" s="93"/>
      <c r="C265" s="94"/>
      <c r="D265" s="94"/>
      <c r="E265" s="94"/>
      <c r="F265" s="95"/>
      <c r="G265" s="95"/>
      <c r="H265" s="95"/>
      <c r="I265" s="95"/>
      <c r="J265" s="95"/>
      <c r="K265" s="94"/>
      <c r="L265" s="94"/>
      <c r="M265" s="94"/>
      <c r="N265" s="94"/>
      <c r="O265" s="96"/>
      <c r="P265" s="94"/>
      <c r="Q265" s="94"/>
      <c r="R265" s="98"/>
      <c r="S265" s="98"/>
      <c r="T265" s="98"/>
      <c r="U265" s="98"/>
      <c r="V265" s="98"/>
      <c r="W265" s="98"/>
      <c r="X265" s="98"/>
      <c r="Y265" s="98"/>
      <c r="Z265" s="98"/>
      <c r="AA265" s="98"/>
      <c r="AB265" s="98"/>
      <c r="AC265" s="98"/>
      <c r="AD265" s="98"/>
      <c r="AE265" s="98"/>
      <c r="AF265" s="98"/>
      <c r="AG265" s="98"/>
      <c r="AH265" s="98"/>
      <c r="AI265" s="98"/>
      <c r="AJ265" s="98"/>
      <c r="AK265" s="94"/>
      <c r="AL265" s="94"/>
      <c r="AM265" s="94"/>
      <c r="AN265" s="94"/>
      <c r="AO265" s="94"/>
      <c r="AP265" s="94"/>
      <c r="AQ265" s="94"/>
      <c r="AR265" s="94"/>
    </row>
    <row r="266" spans="1:44" ht="12.75" customHeight="1">
      <c r="A266" s="107"/>
      <c r="B266" s="108" t="s">
        <v>194</v>
      </c>
      <c r="C266" s="109"/>
      <c r="D266" s="109"/>
      <c r="E266" s="109"/>
      <c r="F266" s="110"/>
      <c r="G266" s="110"/>
      <c r="H266" s="110"/>
      <c r="I266" s="110"/>
      <c r="J266" s="110"/>
      <c r="K266" s="109"/>
      <c r="L266" s="109"/>
      <c r="M266" s="109"/>
      <c r="N266" s="111"/>
      <c r="O266" s="112"/>
      <c r="P266" s="113"/>
      <c r="Q266" s="109"/>
      <c r="R266" s="114">
        <f t="shared" ref="R266:AA266" si="295">SUM(R263:R265)</f>
        <v>0</v>
      </c>
      <c r="S266" s="114">
        <f t="shared" si="295"/>
        <v>0</v>
      </c>
      <c r="T266" s="114">
        <f t="shared" si="295"/>
        <v>0</v>
      </c>
      <c r="U266" s="114">
        <f t="shared" si="295"/>
        <v>0</v>
      </c>
      <c r="V266" s="114">
        <f t="shared" si="295"/>
        <v>0</v>
      </c>
      <c r="W266" s="114">
        <f t="shared" si="295"/>
        <v>0</v>
      </c>
      <c r="X266" s="114">
        <f t="shared" si="295"/>
        <v>0</v>
      </c>
      <c r="Y266" s="114">
        <f t="shared" si="295"/>
        <v>0</v>
      </c>
      <c r="Z266" s="114">
        <f t="shared" si="295"/>
        <v>0</v>
      </c>
      <c r="AA266" s="114">
        <f t="shared" si="295"/>
        <v>0</v>
      </c>
      <c r="AB266" s="114"/>
      <c r="AC266" s="114"/>
      <c r="AD266" s="114">
        <f t="shared" ref="AD266:AF266" si="296">SUM(AD263:AD265)</f>
        <v>0</v>
      </c>
      <c r="AE266" s="114">
        <f t="shared" si="296"/>
        <v>0</v>
      </c>
      <c r="AF266" s="114">
        <f t="shared" si="296"/>
        <v>0</v>
      </c>
      <c r="AG266" s="114"/>
      <c r="AH266" s="114">
        <f t="shared" ref="AH266:AI266" si="297">SUM(AH263:AH265)</f>
        <v>0</v>
      </c>
      <c r="AI266" s="114">
        <f t="shared" si="297"/>
        <v>0</v>
      </c>
      <c r="AJ266" s="115"/>
      <c r="AK266" s="114">
        <f t="shared" ref="AK266:AL266" si="298">SUM(AK263:AK265)</f>
        <v>0</v>
      </c>
      <c r="AL266" s="114">
        <f t="shared" si="298"/>
        <v>0</v>
      </c>
      <c r="AM266" s="94"/>
      <c r="AN266" s="94"/>
      <c r="AO266" s="94"/>
      <c r="AP266" s="94"/>
      <c r="AQ266" s="94"/>
      <c r="AR266" s="94"/>
    </row>
    <row r="267" spans="1:44" ht="12.75" customHeight="1">
      <c r="A267" s="93"/>
      <c r="B267" s="104"/>
      <c r="C267" s="94"/>
      <c r="D267" s="94"/>
      <c r="E267" s="94"/>
      <c r="F267" s="95"/>
      <c r="G267" s="95"/>
      <c r="H267" s="95"/>
      <c r="I267" s="95"/>
      <c r="J267" s="95"/>
      <c r="K267" s="94"/>
      <c r="L267" s="94"/>
      <c r="M267" s="94"/>
      <c r="N267" s="94"/>
      <c r="O267" s="123"/>
      <c r="P267" s="94"/>
      <c r="Q267" s="94"/>
      <c r="R267" s="115"/>
      <c r="S267" s="115"/>
      <c r="T267" s="115"/>
      <c r="U267" s="115"/>
      <c r="V267" s="115"/>
      <c r="W267" s="115"/>
      <c r="X267" s="115"/>
      <c r="Y267" s="115"/>
      <c r="Z267" s="115"/>
      <c r="AA267" s="115"/>
      <c r="AB267" s="115"/>
      <c r="AC267" s="115"/>
      <c r="AD267" s="115"/>
      <c r="AE267" s="115"/>
      <c r="AF267" s="115"/>
      <c r="AG267" s="115"/>
      <c r="AH267" s="115"/>
      <c r="AI267" s="115"/>
      <c r="AJ267" s="115"/>
      <c r="AK267" s="115"/>
      <c r="AL267" s="115"/>
      <c r="AM267" s="94"/>
      <c r="AN267" s="94"/>
      <c r="AO267" s="94"/>
      <c r="AP267" s="94"/>
      <c r="AQ267" s="94"/>
      <c r="AR267" s="94"/>
    </row>
    <row r="268" spans="1:44" ht="12.75" customHeight="1">
      <c r="A268" s="93"/>
      <c r="B268" s="104"/>
      <c r="C268" s="94"/>
      <c r="D268" s="94"/>
      <c r="E268" s="94"/>
      <c r="F268" s="95"/>
      <c r="G268" s="95"/>
      <c r="H268" s="95"/>
      <c r="I268" s="95"/>
      <c r="J268" s="95"/>
      <c r="K268" s="94"/>
      <c r="L268" s="94"/>
      <c r="M268" s="94"/>
      <c r="N268" s="94"/>
      <c r="O268" s="96"/>
      <c r="P268" s="94"/>
      <c r="Q268" s="94"/>
      <c r="R268" s="115"/>
      <c r="S268" s="115"/>
      <c r="T268" s="115"/>
      <c r="U268" s="115"/>
      <c r="V268" s="115"/>
      <c r="W268" s="115"/>
      <c r="X268" s="115"/>
      <c r="Y268" s="115"/>
      <c r="Z268" s="115"/>
      <c r="AA268" s="115"/>
      <c r="AB268" s="115"/>
      <c r="AC268" s="115"/>
      <c r="AD268" s="115"/>
      <c r="AE268" s="115"/>
      <c r="AF268" s="115"/>
      <c r="AG268" s="115"/>
      <c r="AH268" s="115"/>
      <c r="AI268" s="115"/>
      <c r="AJ268" s="115"/>
      <c r="AK268" s="115"/>
      <c r="AL268" s="115"/>
      <c r="AM268" s="94"/>
      <c r="AN268" s="94"/>
      <c r="AO268" s="94"/>
      <c r="AP268" s="94"/>
      <c r="AQ268" s="94"/>
      <c r="AR268" s="94"/>
    </row>
    <row r="269" spans="1:44" ht="12.75" customHeight="1">
      <c r="A269" s="93"/>
      <c r="B269" s="104" t="s">
        <v>290</v>
      </c>
      <c r="C269" s="94"/>
      <c r="D269" s="94"/>
      <c r="E269" s="94"/>
      <c r="F269" s="95"/>
      <c r="G269" s="95"/>
      <c r="H269" s="95"/>
      <c r="I269" s="95"/>
      <c r="J269" s="95"/>
      <c r="K269" s="94"/>
      <c r="L269" s="94"/>
      <c r="M269" s="94"/>
      <c r="N269" s="94"/>
      <c r="O269" s="96"/>
      <c r="P269" s="94"/>
      <c r="Q269" s="94"/>
      <c r="R269" s="98"/>
      <c r="S269" s="98"/>
      <c r="T269" s="98"/>
      <c r="U269" s="98"/>
      <c r="V269" s="98"/>
      <c r="W269" s="98"/>
      <c r="X269" s="98"/>
      <c r="Y269" s="98"/>
      <c r="Z269" s="98"/>
      <c r="AA269" s="98"/>
      <c r="AB269" s="98"/>
      <c r="AC269" s="98"/>
      <c r="AD269" s="98"/>
      <c r="AE269" s="98"/>
      <c r="AF269" s="98"/>
      <c r="AG269" s="98"/>
      <c r="AH269" s="98"/>
      <c r="AI269" s="98"/>
      <c r="AJ269" s="98"/>
      <c r="AK269" s="94"/>
      <c r="AL269" s="94"/>
      <c r="AM269" s="94"/>
      <c r="AN269" s="94"/>
      <c r="AO269" s="94"/>
      <c r="AP269" s="94"/>
      <c r="AQ269" s="94"/>
      <c r="AR269" s="94"/>
    </row>
    <row r="270" spans="1:44" ht="12.75" customHeight="1">
      <c r="A270" s="93"/>
      <c r="B270" s="93" t="s">
        <v>291</v>
      </c>
      <c r="C270" s="94"/>
      <c r="D270" s="94"/>
      <c r="E270" s="94"/>
      <c r="F270" s="95"/>
      <c r="G270" s="95"/>
      <c r="H270" s="95"/>
      <c r="I270" s="95"/>
      <c r="J270" s="95"/>
      <c r="K270" s="94"/>
      <c r="L270" s="94"/>
      <c r="M270" s="94"/>
      <c r="N270" s="94"/>
      <c r="O270" s="96"/>
      <c r="P270" s="94"/>
      <c r="Q270" s="94"/>
      <c r="R270" s="98"/>
      <c r="S270" s="98"/>
      <c r="T270" s="98"/>
      <c r="U270" s="98"/>
      <c r="V270" s="98"/>
      <c r="W270" s="98"/>
      <c r="X270" s="98"/>
      <c r="Y270" s="98"/>
      <c r="Z270" s="98"/>
      <c r="AA270" s="98"/>
      <c r="AB270" s="98"/>
      <c r="AC270" s="98"/>
      <c r="AD270" s="98"/>
      <c r="AE270" s="98"/>
      <c r="AF270" s="98"/>
      <c r="AG270" s="98"/>
      <c r="AH270" s="98"/>
      <c r="AI270" s="98"/>
      <c r="AJ270" s="98"/>
      <c r="AK270" s="94"/>
      <c r="AL270" s="94"/>
      <c r="AM270" s="94"/>
      <c r="AN270" s="94"/>
      <c r="AO270" s="94"/>
      <c r="AP270" s="94"/>
      <c r="AQ270" s="94"/>
      <c r="AR270" s="94"/>
    </row>
    <row r="271" spans="1:44" ht="12.75" customHeight="1">
      <c r="A271" s="93"/>
      <c r="B271" s="104" t="s">
        <v>292</v>
      </c>
      <c r="C271" s="94" t="s">
        <v>363</v>
      </c>
      <c r="D271" s="94">
        <v>0</v>
      </c>
      <c r="E271" s="94">
        <v>0</v>
      </c>
      <c r="F271" s="95">
        <v>0</v>
      </c>
      <c r="G271" s="95">
        <v>0</v>
      </c>
      <c r="H271" s="95">
        <v>0</v>
      </c>
      <c r="I271" s="95"/>
      <c r="J271" s="95"/>
      <c r="K271" s="94"/>
      <c r="L271" s="94"/>
      <c r="M271" s="94"/>
      <c r="N271" s="94"/>
      <c r="O271" s="96"/>
      <c r="P271" s="94">
        <v>0.1</v>
      </c>
      <c r="Q271" s="94"/>
      <c r="R271" s="98">
        <f>((F271*G271)*P271)*E271*D271</f>
        <v>0</v>
      </c>
      <c r="S271" s="98">
        <f>(J271*P271)*E271*D271</f>
        <v>0</v>
      </c>
      <c r="T271" s="98"/>
      <c r="U271" s="98"/>
      <c r="V271" s="98">
        <f t="shared" ref="V271:V274" si="299">PRODUCT(D271:H271)</f>
        <v>0</v>
      </c>
      <c r="W271" s="98">
        <f t="shared" ref="W271:W272" si="300">((K271*H271)*E271*D271)</f>
        <v>0</v>
      </c>
      <c r="X271" s="98"/>
      <c r="Y271" s="98"/>
      <c r="Z271" s="98">
        <f>(R271/P271)+(S271/P271)</f>
        <v>0</v>
      </c>
      <c r="AA271" s="98"/>
      <c r="AB271" s="98"/>
      <c r="AC271" s="98"/>
      <c r="AD271" s="98"/>
      <c r="AE271" s="98"/>
      <c r="AF271" s="98"/>
      <c r="AG271" s="98"/>
      <c r="AH271" s="98"/>
      <c r="AI271" s="98"/>
      <c r="AJ271" s="98"/>
      <c r="AK271" s="94"/>
      <c r="AL271" s="94"/>
      <c r="AM271" s="94"/>
      <c r="AN271" s="94"/>
      <c r="AO271" s="94"/>
      <c r="AP271" s="94"/>
      <c r="AQ271" s="94"/>
      <c r="AR271" s="94"/>
    </row>
    <row r="272" spans="1:44" ht="12.75" customHeight="1">
      <c r="A272" s="93"/>
      <c r="B272" s="104" t="s">
        <v>135</v>
      </c>
      <c r="C272" s="94" t="s">
        <v>364</v>
      </c>
      <c r="D272" s="94">
        <v>0</v>
      </c>
      <c r="E272" s="94">
        <v>0</v>
      </c>
      <c r="F272" s="95">
        <v>0</v>
      </c>
      <c r="G272" s="95">
        <v>0</v>
      </c>
      <c r="H272" s="95">
        <v>0</v>
      </c>
      <c r="I272" s="95"/>
      <c r="J272" s="95"/>
      <c r="K272" s="94"/>
      <c r="L272" s="94"/>
      <c r="M272" s="94"/>
      <c r="N272" s="94"/>
      <c r="O272" s="96"/>
      <c r="P272" s="94"/>
      <c r="Q272" s="94"/>
      <c r="R272" s="98"/>
      <c r="S272" s="98"/>
      <c r="T272" s="98"/>
      <c r="U272" s="98"/>
      <c r="V272" s="98">
        <f t="shared" si="299"/>
        <v>0</v>
      </c>
      <c r="W272" s="98">
        <f t="shared" si="300"/>
        <v>0</v>
      </c>
      <c r="X272" s="98"/>
      <c r="Y272" s="98"/>
      <c r="Z272" s="98"/>
      <c r="AA272" s="98"/>
      <c r="AB272" s="98"/>
      <c r="AC272" s="98"/>
      <c r="AD272" s="98"/>
      <c r="AE272" s="98"/>
      <c r="AF272" s="98"/>
      <c r="AG272" s="98"/>
      <c r="AH272" s="98"/>
      <c r="AI272" s="98"/>
      <c r="AJ272" s="98"/>
      <c r="AK272" s="94"/>
      <c r="AL272" s="94"/>
      <c r="AM272" s="94"/>
      <c r="AN272" s="94"/>
      <c r="AO272" s="94"/>
      <c r="AP272" s="94"/>
      <c r="AQ272" s="94"/>
      <c r="AR272" s="94"/>
    </row>
    <row r="273" spans="1:44" ht="12.75" customHeight="1">
      <c r="A273" s="93"/>
      <c r="B273" s="104" t="s">
        <v>295</v>
      </c>
      <c r="C273" s="94" t="s">
        <v>365</v>
      </c>
      <c r="D273" s="94">
        <v>0</v>
      </c>
      <c r="E273" s="94">
        <v>0</v>
      </c>
      <c r="F273" s="95">
        <v>0</v>
      </c>
      <c r="G273" s="95">
        <v>0</v>
      </c>
      <c r="H273" s="95">
        <v>0</v>
      </c>
      <c r="I273" s="95"/>
      <c r="J273" s="95"/>
      <c r="K273" s="94"/>
      <c r="L273" s="94"/>
      <c r="M273" s="94"/>
      <c r="N273" s="94"/>
      <c r="O273" s="96"/>
      <c r="P273" s="94">
        <v>0.1</v>
      </c>
      <c r="Q273" s="94"/>
      <c r="R273" s="103">
        <f>(((F273)*(G273+Q273*2))*P273)*E273*D273</f>
        <v>0</v>
      </c>
      <c r="S273" s="103">
        <f>((J273*P273)*E273*D273)</f>
        <v>0</v>
      </c>
      <c r="T273" s="103"/>
      <c r="U273" s="98"/>
      <c r="V273" s="98">
        <f t="shared" si="299"/>
        <v>0</v>
      </c>
      <c r="W273" s="98">
        <f>(K273*H273)*E273*D273</f>
        <v>0</v>
      </c>
      <c r="X273" s="98">
        <f>((F273)*(H273*2))*E273*D273</f>
        <v>0</v>
      </c>
      <c r="Y273" s="98">
        <f>((M273)*H273)*E273*D273</f>
        <v>0</v>
      </c>
      <c r="Z273" s="103">
        <f t="shared" ref="Z273:Z274" si="301">(R273/P273)+(S273/P273)</f>
        <v>0</v>
      </c>
      <c r="AA273" s="103">
        <f>(T273+U273)</f>
        <v>0</v>
      </c>
      <c r="AB273" s="125">
        <v>0.15</v>
      </c>
      <c r="AC273" s="125">
        <v>0.15</v>
      </c>
      <c r="AD273" s="103">
        <f>(((F273*G273)*E273*D273))+K273</f>
        <v>0</v>
      </c>
      <c r="AE273" s="103">
        <f>(((F273*(H273-AB273))+(F273*(H273-AC273)))*E273*D273)+Y273</f>
        <v>0</v>
      </c>
      <c r="AF273" s="98">
        <f>AD273</f>
        <v>0</v>
      </c>
      <c r="AG273" s="98"/>
      <c r="AH273" s="103"/>
      <c r="AI273" s="98"/>
      <c r="AJ273" s="98"/>
      <c r="AK273" s="94"/>
      <c r="AL273" s="94"/>
      <c r="AM273" s="94"/>
      <c r="AN273" s="94"/>
      <c r="AO273" s="94"/>
      <c r="AP273" s="94"/>
      <c r="AQ273" s="94"/>
      <c r="AR273" s="94"/>
    </row>
    <row r="274" spans="1:44" ht="12.75" customHeight="1">
      <c r="A274" s="93"/>
      <c r="B274" s="104" t="s">
        <v>297</v>
      </c>
      <c r="C274" s="94" t="s">
        <v>366</v>
      </c>
      <c r="D274" s="94">
        <v>0</v>
      </c>
      <c r="E274" s="94">
        <v>0</v>
      </c>
      <c r="F274" s="95">
        <v>0</v>
      </c>
      <c r="G274" s="95">
        <v>0</v>
      </c>
      <c r="H274" s="95">
        <v>0</v>
      </c>
      <c r="I274" s="95"/>
      <c r="J274" s="95"/>
      <c r="K274" s="94"/>
      <c r="L274" s="94"/>
      <c r="M274" s="94"/>
      <c r="N274" s="94"/>
      <c r="O274" s="96"/>
      <c r="P274" s="94">
        <v>0.1</v>
      </c>
      <c r="Q274" s="94"/>
      <c r="R274" s="98">
        <f>((F274*G274)*P274)*E274*D274</f>
        <v>0</v>
      </c>
      <c r="S274" s="98">
        <f>(J274*P274)*E274*D274</f>
        <v>0</v>
      </c>
      <c r="T274" s="103"/>
      <c r="U274" s="98"/>
      <c r="V274" s="98">
        <f t="shared" si="299"/>
        <v>0</v>
      </c>
      <c r="W274" s="98">
        <f>((K274*H274)*E274*D274)</f>
        <v>0</v>
      </c>
      <c r="X274" s="98"/>
      <c r="Y274" s="98"/>
      <c r="Z274" s="98">
        <f t="shared" si="301"/>
        <v>0</v>
      </c>
      <c r="AA274" s="98"/>
      <c r="AB274" s="98"/>
      <c r="AC274" s="98"/>
      <c r="AD274" s="98"/>
      <c r="AE274" s="98"/>
      <c r="AF274" s="98"/>
      <c r="AG274" s="98">
        <v>1</v>
      </c>
      <c r="AH274" s="98">
        <f>IF(AG274&gt;0,(F274+G274*2),0)</f>
        <v>0</v>
      </c>
      <c r="AI274" s="98">
        <f>((M274)*E274*D274)</f>
        <v>0</v>
      </c>
      <c r="AJ274" s="98"/>
      <c r="AK274" s="94"/>
      <c r="AL274" s="94"/>
      <c r="AM274" s="94"/>
      <c r="AN274" s="94"/>
      <c r="AO274" s="94"/>
      <c r="AP274" s="94"/>
      <c r="AQ274" s="94"/>
      <c r="AR274" s="94"/>
    </row>
    <row r="275" spans="1:44" ht="12.75" customHeight="1">
      <c r="A275" s="93"/>
      <c r="B275" s="93"/>
      <c r="C275" s="94"/>
      <c r="D275" s="94"/>
      <c r="E275" s="94"/>
      <c r="F275" s="95"/>
      <c r="G275" s="95"/>
      <c r="H275" s="95"/>
      <c r="I275" s="95"/>
      <c r="J275" s="95"/>
      <c r="K275" s="94"/>
      <c r="L275" s="94"/>
      <c r="M275" s="94"/>
      <c r="N275" s="94"/>
      <c r="O275" s="96"/>
      <c r="P275" s="94"/>
      <c r="Q275" s="94"/>
      <c r="R275" s="98"/>
      <c r="S275" s="98"/>
      <c r="T275" s="98"/>
      <c r="U275" s="98"/>
      <c r="V275" s="98"/>
      <c r="W275" s="98"/>
      <c r="X275" s="98"/>
      <c r="Y275" s="98"/>
      <c r="Z275" s="98"/>
      <c r="AA275" s="98"/>
      <c r="AB275" s="98"/>
      <c r="AC275" s="98"/>
      <c r="AD275" s="98"/>
      <c r="AE275" s="98"/>
      <c r="AF275" s="98"/>
      <c r="AG275" s="98"/>
      <c r="AH275" s="98"/>
      <c r="AI275" s="98"/>
      <c r="AJ275" s="98"/>
      <c r="AK275" s="94"/>
      <c r="AL275" s="94"/>
      <c r="AM275" s="94"/>
      <c r="AN275" s="94"/>
      <c r="AO275" s="94"/>
      <c r="AP275" s="94"/>
      <c r="AQ275" s="94"/>
      <c r="AR275" s="94"/>
    </row>
    <row r="276" spans="1:44" ht="12.75" customHeight="1">
      <c r="A276" s="107"/>
      <c r="B276" s="108" t="s">
        <v>194</v>
      </c>
      <c r="C276" s="109"/>
      <c r="D276" s="109"/>
      <c r="E276" s="109"/>
      <c r="F276" s="110"/>
      <c r="G276" s="110"/>
      <c r="H276" s="110"/>
      <c r="I276" s="110"/>
      <c r="J276" s="110"/>
      <c r="K276" s="109"/>
      <c r="L276" s="109"/>
      <c r="M276" s="109"/>
      <c r="N276" s="111"/>
      <c r="O276" s="112"/>
      <c r="P276" s="113"/>
      <c r="Q276" s="109"/>
      <c r="R276" s="114">
        <f t="shared" ref="R276:AA276" si="302">SUM(R271:R275)</f>
        <v>0</v>
      </c>
      <c r="S276" s="114">
        <f t="shared" si="302"/>
        <v>0</v>
      </c>
      <c r="T276" s="114">
        <f t="shared" si="302"/>
        <v>0</v>
      </c>
      <c r="U276" s="114">
        <f t="shared" si="302"/>
        <v>0</v>
      </c>
      <c r="V276" s="114">
        <f t="shared" si="302"/>
        <v>0</v>
      </c>
      <c r="W276" s="114">
        <f t="shared" si="302"/>
        <v>0</v>
      </c>
      <c r="X276" s="114">
        <f t="shared" si="302"/>
        <v>0</v>
      </c>
      <c r="Y276" s="114">
        <f t="shared" si="302"/>
        <v>0</v>
      </c>
      <c r="Z276" s="114">
        <f t="shared" si="302"/>
        <v>0</v>
      </c>
      <c r="AA276" s="114">
        <f t="shared" si="302"/>
        <v>0</v>
      </c>
      <c r="AB276" s="114"/>
      <c r="AC276" s="114"/>
      <c r="AD276" s="114">
        <f t="shared" ref="AD276:AF276" si="303">SUM(AD271:AD275)</f>
        <v>0</v>
      </c>
      <c r="AE276" s="114">
        <f t="shared" si="303"/>
        <v>0</v>
      </c>
      <c r="AF276" s="114">
        <f t="shared" si="303"/>
        <v>0</v>
      </c>
      <c r="AG276" s="114"/>
      <c r="AH276" s="114">
        <f t="shared" ref="AH276:AI276" si="304">SUM(AH271:AH275)</f>
        <v>0</v>
      </c>
      <c r="AI276" s="114">
        <f t="shared" si="304"/>
        <v>0</v>
      </c>
      <c r="AJ276" s="115"/>
      <c r="AK276" s="114">
        <f t="shared" ref="AK276:AL276" si="305">SUM(AK271:AK275)</f>
        <v>0</v>
      </c>
      <c r="AL276" s="114">
        <f t="shared" si="305"/>
        <v>0</v>
      </c>
      <c r="AM276" s="94"/>
      <c r="AN276" s="94"/>
      <c r="AO276" s="94"/>
      <c r="AP276" s="94"/>
      <c r="AQ276" s="94"/>
      <c r="AR276" s="94"/>
    </row>
    <row r="277" spans="1:44" ht="12.75" customHeight="1">
      <c r="A277" s="93"/>
      <c r="B277" s="93"/>
      <c r="C277" s="94"/>
      <c r="D277" s="94"/>
      <c r="E277" s="94"/>
      <c r="F277" s="95"/>
      <c r="G277" s="95"/>
      <c r="H277" s="95"/>
      <c r="I277" s="95"/>
      <c r="J277" s="95"/>
      <c r="K277" s="94"/>
      <c r="L277" s="94"/>
      <c r="M277" s="94"/>
      <c r="N277" s="94"/>
      <c r="O277" s="96"/>
      <c r="P277" s="94"/>
      <c r="Q277" s="94"/>
      <c r="R277" s="98"/>
      <c r="S277" s="98"/>
      <c r="T277" s="98"/>
      <c r="U277" s="98"/>
      <c r="V277" s="98"/>
      <c r="W277" s="98"/>
      <c r="X277" s="98"/>
      <c r="Y277" s="98"/>
      <c r="Z277" s="98"/>
      <c r="AA277" s="98"/>
      <c r="AB277" s="98"/>
      <c r="AC277" s="98"/>
      <c r="AD277" s="98"/>
      <c r="AE277" s="98"/>
      <c r="AF277" s="98"/>
      <c r="AG277" s="98"/>
      <c r="AH277" s="98"/>
      <c r="AI277" s="98"/>
      <c r="AJ277" s="98"/>
      <c r="AK277" s="94"/>
      <c r="AL277" s="94"/>
      <c r="AM277" s="94"/>
      <c r="AN277" s="94"/>
      <c r="AO277" s="94"/>
      <c r="AP277" s="94"/>
      <c r="AQ277" s="94"/>
      <c r="AR277" s="94"/>
    </row>
    <row r="278" spans="1:44" ht="12.75" customHeight="1">
      <c r="A278" s="93"/>
      <c r="B278" s="93" t="s">
        <v>367</v>
      </c>
      <c r="C278" s="94"/>
      <c r="D278" s="94"/>
      <c r="E278" s="94"/>
      <c r="F278" s="95"/>
      <c r="G278" s="95"/>
      <c r="H278" s="95"/>
      <c r="I278" s="95"/>
      <c r="J278" s="95"/>
      <c r="K278" s="94"/>
      <c r="L278" s="94"/>
      <c r="M278" s="94"/>
      <c r="N278" s="94"/>
      <c r="O278" s="96"/>
      <c r="P278" s="94"/>
      <c r="Q278" s="94"/>
      <c r="R278" s="98"/>
      <c r="S278" s="98"/>
      <c r="T278" s="98"/>
      <c r="U278" s="98"/>
      <c r="V278" s="98"/>
      <c r="W278" s="98"/>
      <c r="X278" s="98"/>
      <c r="Y278" s="98"/>
      <c r="Z278" s="98"/>
      <c r="AA278" s="98"/>
      <c r="AB278" s="98"/>
      <c r="AC278" s="98"/>
      <c r="AD278" s="98"/>
      <c r="AE278" s="98"/>
      <c r="AF278" s="98"/>
      <c r="AG278" s="98"/>
      <c r="AH278" s="98"/>
      <c r="AI278" s="98"/>
      <c r="AJ278" s="98"/>
      <c r="AK278" s="94"/>
      <c r="AL278" s="94"/>
      <c r="AM278" s="94"/>
      <c r="AN278" s="94"/>
      <c r="AO278" s="94"/>
      <c r="AP278" s="94"/>
      <c r="AQ278" s="94"/>
      <c r="AR278" s="94"/>
    </row>
    <row r="279" spans="1:44" ht="12.75" customHeight="1">
      <c r="A279" s="93"/>
      <c r="B279" s="93" t="s">
        <v>368</v>
      </c>
      <c r="C279" s="94" t="s">
        <v>369</v>
      </c>
      <c r="D279" s="94">
        <v>0</v>
      </c>
      <c r="E279" s="94">
        <v>0</v>
      </c>
      <c r="F279" s="95">
        <v>0</v>
      </c>
      <c r="G279" s="95">
        <v>0</v>
      </c>
      <c r="H279" s="95">
        <v>0</v>
      </c>
      <c r="I279" s="95"/>
      <c r="J279" s="95"/>
      <c r="K279" s="94"/>
      <c r="L279" s="94"/>
      <c r="M279" s="94"/>
      <c r="N279" s="94"/>
      <c r="O279" s="96"/>
      <c r="P279" s="94">
        <v>0.1</v>
      </c>
      <c r="Q279" s="94">
        <v>0.1</v>
      </c>
      <c r="R279" s="103">
        <f>(((F279+Q279*2)*(G279+Q279*2))*P279)*E279*D279</f>
        <v>0</v>
      </c>
      <c r="S279" s="103">
        <f>((J279*P279)*E279*D279)</f>
        <v>0</v>
      </c>
      <c r="T279" s="103">
        <f>((((F279+Q279*2)+(G279+Q279*2))*2)*P279)*E279*D279</f>
        <v>0</v>
      </c>
      <c r="U279" s="103">
        <f>((L279*P279)*E279*D279)</f>
        <v>0</v>
      </c>
      <c r="V279" s="98">
        <f>PRODUCT(D279:H279)</f>
        <v>0</v>
      </c>
      <c r="W279" s="98">
        <f>((K279*H279)*E279*D279)</f>
        <v>0</v>
      </c>
      <c r="X279" s="98"/>
      <c r="Y279" s="98"/>
      <c r="Z279" s="98">
        <f>(R279/P279)+(S279/P279)</f>
        <v>0</v>
      </c>
      <c r="AA279" s="98"/>
      <c r="AB279" s="98"/>
      <c r="AC279" s="98"/>
      <c r="AD279" s="98"/>
      <c r="AE279" s="98"/>
      <c r="AF279" s="98"/>
      <c r="AG279" s="98">
        <v>1</v>
      </c>
      <c r="AH279" s="98">
        <f>IF(AG279&gt;0,(F279+G279*2),0)</f>
        <v>0</v>
      </c>
      <c r="AI279" s="98">
        <f>((M279)*E279*D279)</f>
        <v>0</v>
      </c>
      <c r="AJ279" s="98"/>
      <c r="AK279" s="94"/>
      <c r="AL279" s="94"/>
      <c r="AM279" s="94"/>
      <c r="AN279" s="94"/>
      <c r="AO279" s="94"/>
      <c r="AP279" s="94"/>
      <c r="AQ279" s="94"/>
      <c r="AR279" s="94"/>
    </row>
    <row r="280" spans="1:44" ht="12.75" customHeight="1">
      <c r="A280" s="93"/>
      <c r="B280" s="93"/>
      <c r="C280" s="94"/>
      <c r="D280" s="94"/>
      <c r="E280" s="94"/>
      <c r="F280" s="95"/>
      <c r="G280" s="95"/>
      <c r="H280" s="95"/>
      <c r="I280" s="95"/>
      <c r="J280" s="95"/>
      <c r="K280" s="94"/>
      <c r="L280" s="94"/>
      <c r="M280" s="94"/>
      <c r="N280" s="94"/>
      <c r="O280" s="96"/>
      <c r="P280" s="94"/>
      <c r="Q280" s="94"/>
      <c r="R280" s="98"/>
      <c r="S280" s="98"/>
      <c r="T280" s="98"/>
      <c r="U280" s="98"/>
      <c r="V280" s="98"/>
      <c r="W280" s="98"/>
      <c r="X280" s="98"/>
      <c r="Y280" s="98"/>
      <c r="Z280" s="98"/>
      <c r="AA280" s="98"/>
      <c r="AB280" s="98"/>
      <c r="AC280" s="98"/>
      <c r="AD280" s="98"/>
      <c r="AE280" s="98"/>
      <c r="AF280" s="98"/>
      <c r="AG280" s="98"/>
      <c r="AH280" s="98"/>
      <c r="AI280" s="98"/>
      <c r="AJ280" s="98"/>
      <c r="AK280" s="94"/>
      <c r="AL280" s="94"/>
      <c r="AM280" s="94"/>
      <c r="AN280" s="94"/>
      <c r="AO280" s="94"/>
      <c r="AP280" s="94"/>
      <c r="AQ280" s="94"/>
      <c r="AR280" s="94"/>
    </row>
    <row r="281" spans="1:44" ht="12.75" customHeight="1">
      <c r="A281" s="107"/>
      <c r="B281" s="108" t="s">
        <v>194</v>
      </c>
      <c r="C281" s="109"/>
      <c r="D281" s="109"/>
      <c r="E281" s="109"/>
      <c r="F281" s="110"/>
      <c r="G281" s="110"/>
      <c r="H281" s="110"/>
      <c r="I281" s="110"/>
      <c r="J281" s="110"/>
      <c r="K281" s="109"/>
      <c r="L281" s="109"/>
      <c r="M281" s="109"/>
      <c r="N281" s="111"/>
      <c r="O281" s="112"/>
      <c r="P281" s="113"/>
      <c r="Q281" s="109"/>
      <c r="R281" s="114">
        <f t="shared" ref="R281:AA281" si="306">SUM(R279:R280)</f>
        <v>0</v>
      </c>
      <c r="S281" s="114">
        <f t="shared" si="306"/>
        <v>0</v>
      </c>
      <c r="T281" s="114">
        <f t="shared" si="306"/>
        <v>0</v>
      </c>
      <c r="U281" s="114">
        <f t="shared" si="306"/>
        <v>0</v>
      </c>
      <c r="V281" s="114">
        <f t="shared" si="306"/>
        <v>0</v>
      </c>
      <c r="W281" s="114">
        <f t="shared" si="306"/>
        <v>0</v>
      </c>
      <c r="X281" s="114">
        <f t="shared" si="306"/>
        <v>0</v>
      </c>
      <c r="Y281" s="114">
        <f t="shared" si="306"/>
        <v>0</v>
      </c>
      <c r="Z281" s="114">
        <f t="shared" si="306"/>
        <v>0</v>
      </c>
      <c r="AA281" s="114">
        <f t="shared" si="306"/>
        <v>0</v>
      </c>
      <c r="AB281" s="114"/>
      <c r="AC281" s="114"/>
      <c r="AD281" s="114">
        <f t="shared" ref="AD281:AF281" si="307">SUM(AD279:AD280)</f>
        <v>0</v>
      </c>
      <c r="AE281" s="114">
        <f t="shared" si="307"/>
        <v>0</v>
      </c>
      <c r="AF281" s="114">
        <f t="shared" si="307"/>
        <v>0</v>
      </c>
      <c r="AG281" s="114"/>
      <c r="AH281" s="114">
        <f t="shared" ref="AH281:AI281" si="308">SUM(AH279:AH280)</f>
        <v>0</v>
      </c>
      <c r="AI281" s="114">
        <f t="shared" si="308"/>
        <v>0</v>
      </c>
      <c r="AJ281" s="115"/>
      <c r="AK281" s="114">
        <f t="shared" ref="AK281:AL281" si="309">SUM(AK279:AK280)</f>
        <v>0</v>
      </c>
      <c r="AL281" s="114">
        <f t="shared" si="309"/>
        <v>0</v>
      </c>
      <c r="AM281" s="94"/>
      <c r="AN281" s="94"/>
      <c r="AO281" s="94"/>
      <c r="AP281" s="94"/>
      <c r="AQ281" s="94"/>
      <c r="AR281" s="94"/>
    </row>
    <row r="282" spans="1:44" ht="12.75" customHeight="1">
      <c r="A282" s="93"/>
      <c r="B282" s="93"/>
      <c r="C282" s="94"/>
      <c r="D282" s="94"/>
      <c r="E282" s="94"/>
      <c r="F282" s="95"/>
      <c r="G282" s="95"/>
      <c r="H282" s="95"/>
      <c r="I282" s="95"/>
      <c r="J282" s="95"/>
      <c r="K282" s="94"/>
      <c r="L282" s="94"/>
      <c r="M282" s="94"/>
      <c r="N282" s="94"/>
      <c r="O282" s="96"/>
      <c r="P282" s="94"/>
      <c r="Q282" s="94"/>
      <c r="R282" s="98"/>
      <c r="S282" s="98"/>
      <c r="T282" s="98"/>
      <c r="U282" s="98"/>
      <c r="V282" s="98"/>
      <c r="W282" s="98"/>
      <c r="X282" s="98"/>
      <c r="Y282" s="98"/>
      <c r="Z282" s="98"/>
      <c r="AA282" s="98"/>
      <c r="AB282" s="98"/>
      <c r="AC282" s="98"/>
      <c r="AD282" s="98"/>
      <c r="AE282" s="98"/>
      <c r="AF282" s="98"/>
      <c r="AG282" s="98"/>
      <c r="AH282" s="98"/>
      <c r="AI282" s="98"/>
      <c r="AJ282" s="98"/>
      <c r="AK282" s="94"/>
      <c r="AL282" s="94"/>
      <c r="AM282" s="94"/>
      <c r="AN282" s="94"/>
      <c r="AO282" s="94"/>
      <c r="AP282" s="94"/>
      <c r="AQ282" s="94"/>
      <c r="AR282" s="94"/>
    </row>
    <row r="283" spans="1:44" ht="12.75" customHeight="1">
      <c r="A283" s="93"/>
      <c r="B283" s="93" t="s">
        <v>370</v>
      </c>
      <c r="C283" s="94"/>
      <c r="D283" s="94"/>
      <c r="E283" s="94"/>
      <c r="F283" s="95"/>
      <c r="G283" s="95"/>
      <c r="H283" s="95"/>
      <c r="I283" s="95"/>
      <c r="J283" s="95"/>
      <c r="K283" s="94"/>
      <c r="L283" s="94"/>
      <c r="M283" s="94"/>
      <c r="N283" s="94"/>
      <c r="O283" s="96"/>
      <c r="P283" s="94"/>
      <c r="Q283" s="94"/>
      <c r="R283" s="98"/>
      <c r="S283" s="98"/>
      <c r="T283" s="98"/>
      <c r="U283" s="98"/>
      <c r="V283" s="98"/>
      <c r="W283" s="98"/>
      <c r="X283" s="98"/>
      <c r="Y283" s="98"/>
      <c r="Z283" s="98"/>
      <c r="AA283" s="98"/>
      <c r="AB283" s="98"/>
      <c r="AC283" s="98" t="s">
        <v>267</v>
      </c>
      <c r="AD283" s="98"/>
      <c r="AE283" s="98"/>
      <c r="AF283" s="98"/>
      <c r="AG283" s="98"/>
      <c r="AH283" s="98"/>
      <c r="AI283" s="98"/>
      <c r="AJ283" s="98"/>
      <c r="AK283" s="94"/>
      <c r="AL283" s="94"/>
      <c r="AM283" s="94"/>
      <c r="AN283" s="94"/>
      <c r="AO283" s="94"/>
      <c r="AP283" s="94"/>
      <c r="AQ283" s="94"/>
      <c r="AR283" s="94"/>
    </row>
    <row r="284" spans="1:44" ht="12.75" customHeight="1">
      <c r="A284" s="93"/>
      <c r="B284" s="93" t="s">
        <v>371</v>
      </c>
      <c r="C284" s="94" t="s">
        <v>372</v>
      </c>
      <c r="D284" s="94">
        <v>0</v>
      </c>
      <c r="E284" s="94">
        <v>0</v>
      </c>
      <c r="F284" s="95">
        <v>0</v>
      </c>
      <c r="G284" s="95">
        <v>0</v>
      </c>
      <c r="H284" s="95">
        <v>0</v>
      </c>
      <c r="I284" s="95"/>
      <c r="J284" s="95"/>
      <c r="K284" s="94"/>
      <c r="L284" s="94"/>
      <c r="M284" s="94"/>
      <c r="N284" s="94"/>
      <c r="O284" s="96"/>
      <c r="P284" s="94">
        <v>0.1</v>
      </c>
      <c r="Q284" s="94">
        <v>0.1</v>
      </c>
      <c r="R284" s="103">
        <f>(((F284+Q284*2)*(G284+Q284*2))*P284)*E284*D284</f>
        <v>0</v>
      </c>
      <c r="S284" s="103">
        <f>((J284*P284)*E284*D284)</f>
        <v>0</v>
      </c>
      <c r="T284" s="103">
        <f>((((F284+Q284*2)+(G284+Q284*2))*2)*P284)*E284*D284</f>
        <v>0</v>
      </c>
      <c r="U284" s="103">
        <f>((L284*P284)*E284*D284)</f>
        <v>0</v>
      </c>
      <c r="V284" s="103">
        <f t="shared" ref="V284:V285" si="310">(((F284*G284*H284)*E284*D284))</f>
        <v>0</v>
      </c>
      <c r="W284" s="103">
        <f>((K284*H284)*E284*D284)</f>
        <v>0</v>
      </c>
      <c r="X284" s="103">
        <f>((F284*2+G284*2)*H284)*E284*D284</f>
        <v>0</v>
      </c>
      <c r="Y284" s="103">
        <f>((M284*H284)*E284*D284)</f>
        <v>0</v>
      </c>
      <c r="Z284" s="103">
        <f>(R284/P284)+(S284/P284)</f>
        <v>0</v>
      </c>
      <c r="AA284" s="103">
        <f>(T284+U284)</f>
        <v>0</v>
      </c>
      <c r="AB284" s="103"/>
      <c r="AC284" s="103"/>
      <c r="AD284" s="103">
        <f>(((F284*G284)*E284*D284))+K284</f>
        <v>0</v>
      </c>
      <c r="AE284" s="103">
        <f>(X284+Y284)</f>
        <v>0</v>
      </c>
      <c r="AF284" s="103">
        <f>AD284</f>
        <v>0</v>
      </c>
      <c r="AG284" s="103"/>
      <c r="AH284" s="103"/>
      <c r="AI284" s="103"/>
      <c r="AJ284" s="98"/>
      <c r="AK284" s="94"/>
      <c r="AL284" s="94"/>
      <c r="AM284" s="94"/>
      <c r="AN284" s="94"/>
      <c r="AO284" s="94"/>
      <c r="AP284" s="94"/>
      <c r="AQ284" s="94"/>
      <c r="AR284" s="94"/>
    </row>
    <row r="285" spans="1:44" ht="12.75" customHeight="1">
      <c r="A285" s="93"/>
      <c r="B285" s="93" t="s">
        <v>373</v>
      </c>
      <c r="C285" s="94" t="s">
        <v>374</v>
      </c>
      <c r="D285" s="94">
        <v>0</v>
      </c>
      <c r="E285" s="94">
        <v>0</v>
      </c>
      <c r="F285" s="95">
        <v>0</v>
      </c>
      <c r="G285" s="95">
        <v>0</v>
      </c>
      <c r="H285" s="95">
        <v>0</v>
      </c>
      <c r="I285" s="95"/>
      <c r="J285" s="95"/>
      <c r="K285" s="94"/>
      <c r="L285" s="94"/>
      <c r="M285" s="94"/>
      <c r="N285" s="94"/>
      <c r="O285" s="96"/>
      <c r="P285" s="94"/>
      <c r="Q285" s="94"/>
      <c r="R285" s="98"/>
      <c r="S285" s="98"/>
      <c r="T285" s="98"/>
      <c r="U285" s="98"/>
      <c r="V285" s="103">
        <f t="shared" si="310"/>
        <v>0</v>
      </c>
      <c r="W285" s="103">
        <f>((K285*G285*H285)*E285*D285)</f>
        <v>0</v>
      </c>
      <c r="X285" s="98">
        <f>((F285*2)*H285)*E285*D285</f>
        <v>0</v>
      </c>
      <c r="Y285" s="103">
        <f>(((M285*2)*H285)*E285*D285)</f>
        <v>0</v>
      </c>
      <c r="Z285" s="98"/>
      <c r="AA285" s="98"/>
      <c r="AB285" s="98"/>
      <c r="AC285" s="98">
        <v>0.15</v>
      </c>
      <c r="AD285" s="98"/>
      <c r="AE285" s="98">
        <f>((F285*(H285-AC285))*E285*D285)+(M285*(H285-AC285))*E285*D285</f>
        <v>0</v>
      </c>
      <c r="AF285" s="98"/>
      <c r="AG285" s="98"/>
      <c r="AH285" s="98">
        <f>((F285))*E285*D285</f>
        <v>0</v>
      </c>
      <c r="AI285" s="98">
        <f>M285*E285*D285</f>
        <v>0</v>
      </c>
      <c r="AJ285" s="98"/>
      <c r="AK285" s="94"/>
      <c r="AL285" s="94"/>
      <c r="AM285" s="94"/>
      <c r="AN285" s="94"/>
      <c r="AO285" s="94"/>
      <c r="AP285" s="94"/>
      <c r="AQ285" s="94"/>
      <c r="AR285" s="94"/>
    </row>
    <row r="286" spans="1:44" ht="12.75" customHeight="1">
      <c r="A286" s="93"/>
      <c r="B286" s="93"/>
      <c r="C286" s="94"/>
      <c r="D286" s="94"/>
      <c r="E286" s="94"/>
      <c r="F286" s="95"/>
      <c r="G286" s="95"/>
      <c r="H286" s="95"/>
      <c r="I286" s="95"/>
      <c r="J286" s="95"/>
      <c r="K286" s="94"/>
      <c r="L286" s="94"/>
      <c r="M286" s="94"/>
      <c r="N286" s="94"/>
      <c r="O286" s="96"/>
      <c r="P286" s="94"/>
      <c r="Q286" s="94"/>
      <c r="R286" s="98"/>
      <c r="S286" s="98"/>
      <c r="T286" s="98"/>
      <c r="U286" s="98"/>
      <c r="V286" s="98"/>
      <c r="W286" s="98"/>
      <c r="X286" s="98"/>
      <c r="Y286" s="98"/>
      <c r="Z286" s="98"/>
      <c r="AA286" s="98"/>
      <c r="AB286" s="98"/>
      <c r="AC286" s="98"/>
      <c r="AD286" s="98"/>
      <c r="AE286" s="98"/>
      <c r="AF286" s="98"/>
      <c r="AG286" s="98"/>
      <c r="AH286" s="98"/>
      <c r="AI286" s="98"/>
      <c r="AJ286" s="98"/>
      <c r="AK286" s="94"/>
      <c r="AL286" s="94"/>
      <c r="AM286" s="94"/>
      <c r="AN286" s="94"/>
      <c r="AO286" s="94"/>
      <c r="AP286" s="94"/>
      <c r="AQ286" s="94"/>
      <c r="AR286" s="94"/>
    </row>
    <row r="287" spans="1:44" ht="12.75" customHeight="1">
      <c r="A287" s="107"/>
      <c r="B287" s="108" t="s">
        <v>194</v>
      </c>
      <c r="C287" s="109"/>
      <c r="D287" s="109"/>
      <c r="E287" s="109"/>
      <c r="F287" s="110"/>
      <c r="G287" s="110"/>
      <c r="H287" s="110"/>
      <c r="I287" s="110"/>
      <c r="J287" s="110"/>
      <c r="K287" s="109"/>
      <c r="L287" s="109"/>
      <c r="M287" s="109"/>
      <c r="N287" s="111"/>
      <c r="O287" s="112"/>
      <c r="P287" s="113"/>
      <c r="Q287" s="109"/>
      <c r="R287" s="114">
        <f t="shared" ref="R287:AA287" si="311">SUM(R284:R286)</f>
        <v>0</v>
      </c>
      <c r="S287" s="114">
        <f t="shared" si="311"/>
        <v>0</v>
      </c>
      <c r="T287" s="114">
        <f t="shared" si="311"/>
        <v>0</v>
      </c>
      <c r="U287" s="114">
        <f t="shared" si="311"/>
        <v>0</v>
      </c>
      <c r="V287" s="114">
        <f t="shared" si="311"/>
        <v>0</v>
      </c>
      <c r="W287" s="114">
        <f t="shared" si="311"/>
        <v>0</v>
      </c>
      <c r="X287" s="114">
        <f t="shared" si="311"/>
        <v>0</v>
      </c>
      <c r="Y287" s="114">
        <f t="shared" si="311"/>
        <v>0</v>
      </c>
      <c r="Z287" s="114">
        <f t="shared" si="311"/>
        <v>0</v>
      </c>
      <c r="AA287" s="114">
        <f t="shared" si="311"/>
        <v>0</v>
      </c>
      <c r="AB287" s="114"/>
      <c r="AC287" s="114"/>
      <c r="AD287" s="114">
        <f t="shared" ref="AD287:AF287" si="312">SUM(AD284:AD286)</f>
        <v>0</v>
      </c>
      <c r="AE287" s="114">
        <f t="shared" si="312"/>
        <v>0</v>
      </c>
      <c r="AF287" s="114">
        <f t="shared" si="312"/>
        <v>0</v>
      </c>
      <c r="AG287" s="114"/>
      <c r="AH287" s="114">
        <f t="shared" ref="AH287:AI287" si="313">SUM(AH284:AH286)</f>
        <v>0</v>
      </c>
      <c r="AI287" s="114">
        <f t="shared" si="313"/>
        <v>0</v>
      </c>
      <c r="AJ287" s="115"/>
      <c r="AK287" s="114">
        <f t="shared" ref="AK287:AL287" si="314">SUM(AK284:AK286)</f>
        <v>0</v>
      </c>
      <c r="AL287" s="114">
        <f t="shared" si="314"/>
        <v>0</v>
      </c>
      <c r="AM287" s="94"/>
      <c r="AN287" s="94"/>
      <c r="AO287" s="94"/>
      <c r="AP287" s="94"/>
      <c r="AQ287" s="94"/>
      <c r="AR287" s="94"/>
    </row>
    <row r="288" spans="1:44" ht="12.75" customHeight="1">
      <c r="A288" s="87"/>
      <c r="B288" s="87"/>
      <c r="C288" s="88"/>
      <c r="D288" s="88"/>
      <c r="E288" s="88"/>
      <c r="F288" s="89"/>
      <c r="G288" s="89"/>
      <c r="H288" s="89"/>
      <c r="I288" s="89"/>
      <c r="J288" s="89"/>
      <c r="K288" s="88"/>
      <c r="L288" s="88"/>
      <c r="M288" s="88"/>
      <c r="N288" s="88"/>
      <c r="O288" s="90"/>
      <c r="P288" s="88"/>
      <c r="Q288" s="88"/>
      <c r="R288" s="92"/>
      <c r="S288" s="92"/>
      <c r="T288" s="92"/>
      <c r="U288" s="92"/>
      <c r="V288" s="92"/>
      <c r="W288" s="92"/>
      <c r="X288" s="92"/>
      <c r="Y288" s="92"/>
      <c r="Z288" s="92"/>
      <c r="AA288" s="92"/>
      <c r="AB288" s="92"/>
      <c r="AC288" s="92"/>
      <c r="AD288" s="92"/>
      <c r="AE288" s="92"/>
      <c r="AF288" s="92"/>
      <c r="AG288" s="92"/>
      <c r="AH288" s="92"/>
      <c r="AI288" s="92"/>
      <c r="AJ288" s="92"/>
      <c r="AK288" s="88"/>
      <c r="AL288" s="88"/>
      <c r="AM288" s="88"/>
      <c r="AN288" s="88"/>
      <c r="AO288" s="88"/>
      <c r="AP288" s="88"/>
      <c r="AQ288" s="88"/>
      <c r="AR288" s="88"/>
    </row>
    <row r="289" spans="1:44" ht="21">
      <c r="A289" s="87"/>
      <c r="B289" s="335" t="s">
        <v>1144</v>
      </c>
      <c r="C289" s="336"/>
      <c r="D289" s="336"/>
      <c r="E289" s="336"/>
      <c r="F289" s="336"/>
      <c r="G289" s="336"/>
      <c r="H289" s="336"/>
      <c r="I289" s="89"/>
      <c r="J289" s="89"/>
      <c r="K289" s="88"/>
      <c r="L289" s="88"/>
      <c r="M289" s="88"/>
      <c r="N289" s="88"/>
      <c r="O289" s="116"/>
      <c r="P289" s="88"/>
      <c r="Q289" s="88"/>
      <c r="R289" s="92"/>
      <c r="S289" s="92"/>
      <c r="T289" s="92"/>
      <c r="U289" s="92"/>
      <c r="V289" s="92"/>
      <c r="W289" s="92"/>
      <c r="X289" s="92"/>
      <c r="Y289" s="92"/>
      <c r="Z289" s="92"/>
      <c r="AA289" s="92"/>
      <c r="AB289" s="92"/>
      <c r="AC289" s="92"/>
      <c r="AD289" s="92"/>
      <c r="AE289" s="92"/>
      <c r="AF289" s="92"/>
      <c r="AG289" s="92"/>
      <c r="AH289" s="92"/>
      <c r="AI289" s="92"/>
      <c r="AJ289" s="92"/>
      <c r="AK289" s="88"/>
      <c r="AL289" s="88"/>
      <c r="AM289" s="88"/>
      <c r="AN289" s="88"/>
      <c r="AO289" s="88"/>
      <c r="AP289" s="88"/>
      <c r="AQ289" s="88"/>
      <c r="AR289" s="88"/>
    </row>
    <row r="290" spans="1:44" ht="43.2">
      <c r="A290" s="87"/>
      <c r="B290" s="337" t="s">
        <v>1145</v>
      </c>
      <c r="C290" s="337" t="s">
        <v>1146</v>
      </c>
      <c r="D290" s="337" t="s">
        <v>1147</v>
      </c>
      <c r="E290" s="337" t="s">
        <v>1148</v>
      </c>
      <c r="F290" s="337" t="s">
        <v>1149</v>
      </c>
      <c r="G290" s="337" t="s">
        <v>1150</v>
      </c>
      <c r="H290" s="337" t="s">
        <v>1151</v>
      </c>
      <c r="I290" s="89"/>
      <c r="J290" s="89"/>
      <c r="K290" s="88"/>
      <c r="L290" s="88"/>
      <c r="M290" s="88"/>
      <c r="N290" s="88"/>
      <c r="O290" s="116"/>
      <c r="P290" s="88"/>
      <c r="Q290" s="88"/>
      <c r="R290" s="92"/>
      <c r="S290" s="92"/>
      <c r="T290" s="92"/>
      <c r="U290" s="92"/>
      <c r="V290" s="92"/>
      <c r="W290" s="92"/>
      <c r="X290" s="92"/>
      <c r="Y290" s="92"/>
      <c r="Z290" s="92"/>
      <c r="AA290" s="92"/>
      <c r="AB290" s="92"/>
      <c r="AC290" s="92"/>
      <c r="AD290" s="92"/>
      <c r="AE290" s="92"/>
      <c r="AF290" s="92"/>
      <c r="AG290" s="92"/>
      <c r="AH290" s="92"/>
      <c r="AI290" s="92"/>
      <c r="AJ290" s="92"/>
      <c r="AK290" s="88"/>
      <c r="AL290" s="88"/>
      <c r="AM290" s="88"/>
      <c r="AN290" s="88"/>
      <c r="AO290" s="88"/>
      <c r="AP290" s="88"/>
      <c r="AQ290" s="88"/>
      <c r="AR290" s="88"/>
    </row>
    <row r="291" spans="1:44" ht="14.4">
      <c r="A291" s="87"/>
      <c r="B291" s="336" t="s">
        <v>1152</v>
      </c>
      <c r="C291" s="336">
        <v>500</v>
      </c>
      <c r="D291" s="336">
        <f>3.1416*(C291/2)^2/(10^6)</f>
        <v>0.19635</v>
      </c>
      <c r="E291" s="336">
        <v>8</v>
      </c>
      <c r="F291" s="336">
        <f>D291*E291</f>
        <v>1.5708</v>
      </c>
      <c r="G291" s="336">
        <v>39</v>
      </c>
      <c r="H291" s="338">
        <f>F291*G291</f>
        <v>61.261200000000002</v>
      </c>
      <c r="I291" s="89"/>
      <c r="J291" s="89"/>
      <c r="K291" s="88"/>
      <c r="L291" s="88"/>
      <c r="M291" s="88"/>
      <c r="N291" s="88"/>
      <c r="O291" s="116"/>
      <c r="P291" s="88"/>
      <c r="Q291" s="88"/>
      <c r="R291" s="92"/>
      <c r="S291" s="92"/>
      <c r="T291" s="92"/>
      <c r="U291" s="92"/>
      <c r="V291" s="92"/>
      <c r="W291" s="92"/>
      <c r="X291" s="92"/>
      <c r="Y291" s="92"/>
      <c r="Z291" s="92"/>
      <c r="AA291" s="92"/>
      <c r="AB291" s="92"/>
      <c r="AC291" s="92"/>
      <c r="AD291" s="92"/>
      <c r="AE291" s="92"/>
      <c r="AF291" s="92"/>
      <c r="AG291" s="92"/>
      <c r="AH291" s="92"/>
      <c r="AI291" s="92"/>
      <c r="AJ291" s="92"/>
      <c r="AK291" s="88"/>
      <c r="AL291" s="88"/>
      <c r="AM291" s="88"/>
      <c r="AN291" s="88"/>
      <c r="AO291" s="88"/>
      <c r="AP291" s="88"/>
      <c r="AQ291" s="88"/>
      <c r="AR291" s="88"/>
    </row>
    <row r="292" spans="1:44" ht="21">
      <c r="A292" s="87"/>
      <c r="B292" s="335" t="s">
        <v>1154</v>
      </c>
      <c r="C292" s="339"/>
      <c r="D292" s="339"/>
      <c r="E292" s="339"/>
      <c r="F292" s="339"/>
      <c r="G292" s="339"/>
      <c r="H292" s="340"/>
      <c r="I292" s="89"/>
      <c r="J292" s="89"/>
      <c r="K292" s="88"/>
      <c r="L292" s="88"/>
      <c r="M292" s="88"/>
      <c r="N292" s="88"/>
      <c r="O292" s="116"/>
      <c r="P292" s="88"/>
      <c r="Q292" s="88"/>
      <c r="R292" s="92"/>
      <c r="S292" s="92"/>
      <c r="T292" s="92"/>
      <c r="U292" s="92"/>
      <c r="V292" s="92"/>
      <c r="W292" s="92"/>
      <c r="X292" s="92"/>
      <c r="Y292" s="92"/>
      <c r="Z292" s="92"/>
      <c r="AA292" s="92"/>
      <c r="AB292" s="92"/>
      <c r="AC292" s="92"/>
      <c r="AD292" s="92"/>
      <c r="AE292" s="92"/>
      <c r="AF292" s="92"/>
      <c r="AG292" s="92"/>
      <c r="AH292" s="92"/>
      <c r="AI292" s="92"/>
      <c r="AJ292" s="92"/>
      <c r="AK292" s="88"/>
      <c r="AL292" s="88"/>
      <c r="AM292" s="88"/>
      <c r="AN292" s="88"/>
      <c r="AO292" s="88"/>
      <c r="AP292" s="88"/>
      <c r="AQ292" s="88"/>
      <c r="AR292" s="88"/>
    </row>
    <row r="293" spans="1:44" ht="16.2">
      <c r="A293" s="87"/>
      <c r="B293" s="339" t="s">
        <v>1155</v>
      </c>
      <c r="C293" s="94" t="s">
        <v>193</v>
      </c>
      <c r="D293" s="94">
        <v>1</v>
      </c>
      <c r="E293" s="94">
        <v>1</v>
      </c>
      <c r="F293" s="95">
        <v>0.5</v>
      </c>
      <c r="G293" s="95">
        <v>0.7</v>
      </c>
      <c r="H293" s="95">
        <v>22.43</v>
      </c>
      <c r="I293" s="89">
        <f>PRODUCT(D293:H293)</f>
        <v>7.8504999999999994</v>
      </c>
      <c r="J293" s="89"/>
      <c r="K293" s="88"/>
      <c r="L293" s="88"/>
      <c r="M293" s="88"/>
      <c r="N293" s="88"/>
      <c r="O293" s="116"/>
      <c r="P293" s="88"/>
      <c r="Q293" s="88"/>
      <c r="R293" s="92"/>
      <c r="S293" s="92"/>
      <c r="T293" s="92"/>
      <c r="U293" s="92"/>
      <c r="V293" s="92"/>
      <c r="W293" s="92"/>
      <c r="X293" s="92"/>
      <c r="Y293" s="92"/>
      <c r="Z293" s="92"/>
      <c r="AA293" s="92"/>
      <c r="AB293" s="92"/>
      <c r="AC293" s="92"/>
      <c r="AD293" s="92"/>
      <c r="AE293" s="92"/>
      <c r="AF293" s="92"/>
      <c r="AG293" s="92"/>
      <c r="AH293" s="92"/>
      <c r="AI293" s="92"/>
      <c r="AJ293" s="92"/>
      <c r="AK293" s="88"/>
      <c r="AL293" s="88"/>
      <c r="AM293" s="88"/>
      <c r="AN293" s="88"/>
      <c r="AO293" s="88"/>
      <c r="AP293" s="88"/>
      <c r="AQ293" s="88"/>
      <c r="AR293" s="88"/>
    </row>
    <row r="294" spans="1:44" s="348" customFormat="1" ht="14.4">
      <c r="A294" s="341"/>
      <c r="B294" s="336"/>
      <c r="C294" s="342"/>
      <c r="D294" s="342"/>
      <c r="E294" s="342"/>
      <c r="F294" s="343"/>
      <c r="G294" s="343"/>
      <c r="H294" s="343"/>
      <c r="I294" s="344"/>
      <c r="J294" s="344"/>
      <c r="K294" s="345"/>
      <c r="L294" s="345"/>
      <c r="M294" s="345"/>
      <c r="N294" s="345"/>
      <c r="O294" s="346"/>
      <c r="P294" s="345"/>
      <c r="Q294" s="345"/>
      <c r="R294" s="347"/>
      <c r="S294" s="347"/>
      <c r="T294" s="347"/>
      <c r="U294" s="347"/>
      <c r="V294" s="347"/>
      <c r="W294" s="347"/>
      <c r="X294" s="347"/>
      <c r="Y294" s="347"/>
      <c r="Z294" s="347"/>
      <c r="AA294" s="347"/>
      <c r="AB294" s="347"/>
      <c r="AC294" s="347"/>
      <c r="AD294" s="347"/>
      <c r="AE294" s="347"/>
      <c r="AF294" s="347"/>
      <c r="AG294" s="347"/>
      <c r="AH294" s="347"/>
      <c r="AI294" s="347"/>
      <c r="AJ294" s="347"/>
      <c r="AK294" s="345"/>
      <c r="AL294" s="345"/>
      <c r="AM294" s="345"/>
      <c r="AN294" s="345"/>
      <c r="AO294" s="345"/>
      <c r="AP294" s="345"/>
      <c r="AQ294" s="345"/>
      <c r="AR294" s="345"/>
    </row>
    <row r="295" spans="1:44" ht="21">
      <c r="A295" s="87"/>
      <c r="B295" s="335" t="s">
        <v>1156</v>
      </c>
      <c r="C295" s="339"/>
      <c r="D295" s="339"/>
      <c r="E295" s="339"/>
      <c r="F295" s="339"/>
      <c r="G295" s="339"/>
      <c r="H295" s="340"/>
      <c r="I295" s="89"/>
      <c r="J295" s="89"/>
      <c r="K295" s="88"/>
      <c r="L295" s="88"/>
      <c r="M295" s="88"/>
      <c r="N295" s="88"/>
      <c r="O295" s="116"/>
      <c r="P295" s="88"/>
      <c r="Q295" s="88"/>
      <c r="R295" s="92"/>
      <c r="S295" s="92"/>
      <c r="T295" s="92"/>
      <c r="U295" s="92"/>
      <c r="V295" s="92"/>
      <c r="W295" s="92"/>
      <c r="X295" s="92"/>
      <c r="Y295" s="92"/>
      <c r="Z295" s="92"/>
      <c r="AA295" s="92"/>
      <c r="AB295" s="92"/>
      <c r="AC295" s="92"/>
      <c r="AD295" s="92"/>
      <c r="AE295" s="92"/>
      <c r="AF295" s="92"/>
      <c r="AG295" s="92"/>
      <c r="AH295" s="92"/>
      <c r="AI295" s="92"/>
      <c r="AJ295" s="92"/>
      <c r="AK295" s="88"/>
      <c r="AL295" s="88"/>
      <c r="AM295" s="88"/>
      <c r="AN295" s="88"/>
      <c r="AO295" s="88"/>
      <c r="AP295" s="88"/>
      <c r="AQ295" s="88"/>
      <c r="AR295" s="88"/>
    </row>
    <row r="296" spans="1:44" ht="12.75" customHeight="1">
      <c r="A296" s="93"/>
      <c r="B296" s="93" t="s">
        <v>472</v>
      </c>
      <c r="C296" s="46" t="s">
        <v>252</v>
      </c>
      <c r="D296" s="46">
        <v>1</v>
      </c>
      <c r="E296" s="94">
        <v>1</v>
      </c>
      <c r="F296" s="50">
        <v>5.2</v>
      </c>
      <c r="G296" s="50">
        <v>3.98</v>
      </c>
      <c r="H296" s="95">
        <v>0.25</v>
      </c>
      <c r="I296" s="89">
        <f>PRODUCT(D296:H296)</f>
        <v>5.1740000000000004</v>
      </c>
      <c r="J296" s="50"/>
      <c r="K296" s="46"/>
      <c r="L296" s="46"/>
      <c r="M296" s="46"/>
      <c r="N296" s="46"/>
      <c r="O296" s="51"/>
      <c r="P296" s="46"/>
      <c r="Q296" s="46"/>
      <c r="R296" s="118"/>
      <c r="S296" s="118"/>
      <c r="T296" s="118"/>
      <c r="U296" s="118"/>
      <c r="V296" s="119">
        <f t="shared" ref="V296:V297" si="315">PRODUCT(D296:H296)</f>
        <v>5.1740000000000004</v>
      </c>
      <c r="W296" s="119">
        <f t="shared" ref="W296:W297" si="316">((K296*H296)*E296*D296)</f>
        <v>0</v>
      </c>
      <c r="X296" s="119">
        <f t="shared" ref="X296:X297" si="317">((F296*2+G296*2)*H296)*E296*D296</f>
        <v>4.59</v>
      </c>
      <c r="Y296" s="119">
        <f t="shared" ref="Y296:Y297" si="318">((M296*H296)*E296*D296)</f>
        <v>0</v>
      </c>
      <c r="Z296" s="119"/>
      <c r="AA296" s="119"/>
      <c r="AB296" s="119"/>
      <c r="AC296" s="119"/>
      <c r="AD296" s="119"/>
      <c r="AE296" s="119">
        <f t="shared" ref="AE296:AE297" si="319">(X296+Y296)</f>
        <v>4.59</v>
      </c>
      <c r="AF296" s="119">
        <f t="shared" ref="AF296:AF297" si="320">(V296/H296)+(W296/H296)</f>
        <v>20.696000000000002</v>
      </c>
      <c r="AG296" s="118"/>
      <c r="AH296" s="118"/>
      <c r="AI296" s="118"/>
      <c r="AJ296" s="47"/>
      <c r="AK296" s="46"/>
      <c r="AL296" s="46"/>
      <c r="AM296" s="46"/>
      <c r="AN296" s="46"/>
      <c r="AO296" s="46"/>
      <c r="AP296" s="46"/>
      <c r="AQ296" s="46"/>
      <c r="AR296" s="46"/>
    </row>
    <row r="297" spans="1:44" ht="12.75" customHeight="1">
      <c r="A297" s="93"/>
      <c r="B297" s="93" t="s">
        <v>260</v>
      </c>
      <c r="C297" s="46" t="s">
        <v>252</v>
      </c>
      <c r="D297" s="46">
        <v>1</v>
      </c>
      <c r="E297" s="94">
        <v>1</v>
      </c>
      <c r="F297" s="50">
        <f>5.2*2+3.98*2</f>
        <v>18.36</v>
      </c>
      <c r="G297" s="50">
        <v>3.75</v>
      </c>
      <c r="H297" s="95">
        <v>0.3</v>
      </c>
      <c r="I297" s="89">
        <f t="shared" ref="I297" si="321">PRODUCT(D297:H297)</f>
        <v>20.654999999999998</v>
      </c>
      <c r="J297" s="50"/>
      <c r="K297" s="46"/>
      <c r="L297" s="46"/>
      <c r="M297" s="46"/>
      <c r="N297" s="46"/>
      <c r="O297" s="51"/>
      <c r="P297" s="46"/>
      <c r="Q297" s="46"/>
      <c r="R297" s="118"/>
      <c r="S297" s="118"/>
      <c r="T297" s="118"/>
      <c r="U297" s="118"/>
      <c r="V297" s="119">
        <f t="shared" si="315"/>
        <v>20.654999999999998</v>
      </c>
      <c r="W297" s="119">
        <f t="shared" si="316"/>
        <v>0</v>
      </c>
      <c r="X297" s="119">
        <f t="shared" si="317"/>
        <v>13.266</v>
      </c>
      <c r="Y297" s="119">
        <f t="shared" si="318"/>
        <v>0</v>
      </c>
      <c r="Z297" s="119"/>
      <c r="AA297" s="119"/>
      <c r="AB297" s="119"/>
      <c r="AC297" s="119"/>
      <c r="AD297" s="119"/>
      <c r="AE297" s="119">
        <f t="shared" si="319"/>
        <v>13.266</v>
      </c>
      <c r="AF297" s="119">
        <f t="shared" si="320"/>
        <v>68.849999999999994</v>
      </c>
      <c r="AG297" s="118"/>
      <c r="AH297" s="118"/>
      <c r="AI297" s="118"/>
      <c r="AJ297" s="47"/>
      <c r="AK297" s="46"/>
      <c r="AL297" s="46"/>
      <c r="AM297" s="46"/>
      <c r="AN297" s="46"/>
      <c r="AO297" s="46"/>
      <c r="AP297" s="46"/>
      <c r="AQ297" s="46"/>
      <c r="AR297" s="46"/>
    </row>
    <row r="298" spans="1:44" ht="12.75" customHeight="1">
      <c r="A298" s="117"/>
      <c r="B298" s="117"/>
      <c r="C298" s="46"/>
      <c r="D298" s="46"/>
      <c r="E298" s="46"/>
      <c r="F298" s="50"/>
      <c r="G298" s="50"/>
      <c r="H298" s="50"/>
      <c r="I298" s="50"/>
      <c r="J298" s="50"/>
      <c r="K298" s="46"/>
      <c r="L298" s="46"/>
      <c r="M298" s="46"/>
      <c r="N298" s="46"/>
      <c r="O298" s="51"/>
      <c r="P298" s="46"/>
      <c r="Q298" s="46"/>
      <c r="R298" s="47"/>
      <c r="S298" s="47"/>
      <c r="T298" s="47"/>
      <c r="U298" s="47"/>
      <c r="V298" s="47"/>
      <c r="W298" s="47"/>
      <c r="X298" s="47"/>
      <c r="Y298" s="47"/>
      <c r="Z298" s="47"/>
      <c r="AA298" s="47"/>
      <c r="AB298" s="47"/>
      <c r="AC298" s="47"/>
      <c r="AD298" s="47"/>
      <c r="AE298" s="47"/>
      <c r="AF298" s="47"/>
      <c r="AG298" s="47"/>
      <c r="AH298" s="47"/>
      <c r="AI298" s="47"/>
      <c r="AJ298" s="47"/>
      <c r="AK298" s="46"/>
      <c r="AL298" s="46"/>
      <c r="AM298" s="46"/>
      <c r="AN298" s="46"/>
      <c r="AO298" s="46"/>
      <c r="AP298" s="46"/>
      <c r="AQ298" s="46"/>
      <c r="AR298" s="46"/>
    </row>
    <row r="299" spans="1:44" ht="12.75" customHeight="1">
      <c r="A299" s="120"/>
      <c r="B299" s="108" t="s">
        <v>194</v>
      </c>
      <c r="C299" s="60"/>
      <c r="D299" s="60"/>
      <c r="E299" s="60"/>
      <c r="F299" s="63"/>
      <c r="G299" s="63"/>
      <c r="H299" s="63"/>
      <c r="I299" s="63"/>
      <c r="J299" s="63"/>
      <c r="K299" s="60"/>
      <c r="L299" s="60"/>
      <c r="M299" s="60"/>
      <c r="N299" s="62"/>
      <c r="O299" s="121"/>
      <c r="P299" s="122"/>
      <c r="Q299" s="60"/>
      <c r="R299" s="114">
        <f t="shared" ref="R299:AA299" si="322">SUM(R295:R298)</f>
        <v>0</v>
      </c>
      <c r="S299" s="114">
        <f t="shared" si="322"/>
        <v>0</v>
      </c>
      <c r="T299" s="114">
        <f t="shared" si="322"/>
        <v>0</v>
      </c>
      <c r="U299" s="114">
        <f t="shared" si="322"/>
        <v>0</v>
      </c>
      <c r="V299" s="114">
        <f t="shared" si="322"/>
        <v>25.828999999999997</v>
      </c>
      <c r="W299" s="114">
        <f t="shared" si="322"/>
        <v>0</v>
      </c>
      <c r="X299" s="114">
        <f t="shared" si="322"/>
        <v>17.856000000000002</v>
      </c>
      <c r="Y299" s="114">
        <f t="shared" si="322"/>
        <v>0</v>
      </c>
      <c r="Z299" s="114">
        <f t="shared" si="322"/>
        <v>0</v>
      </c>
      <c r="AA299" s="114">
        <f t="shared" si="322"/>
        <v>0</v>
      </c>
      <c r="AB299" s="114"/>
      <c r="AC299" s="114"/>
      <c r="AD299" s="114">
        <f>SUM(AD295:AD298)</f>
        <v>0</v>
      </c>
      <c r="AE299" s="114">
        <f>SUM(AE295:AE298)</f>
        <v>17.856000000000002</v>
      </c>
      <c r="AF299" s="114">
        <f>SUM(AF295:AF298)</f>
        <v>89.545999999999992</v>
      </c>
      <c r="AG299" s="114"/>
      <c r="AH299" s="114"/>
      <c r="AI299" s="114"/>
      <c r="AJ299" s="115"/>
      <c r="AK299" s="114">
        <f>SUM(AK295:AK298)</f>
        <v>0</v>
      </c>
      <c r="AL299" s="114">
        <f>SUM(AL295:AL298)</f>
        <v>0</v>
      </c>
      <c r="AM299" s="46"/>
      <c r="AN299" s="46"/>
      <c r="AO299" s="46"/>
      <c r="AP299" s="46"/>
      <c r="AQ299" s="46"/>
      <c r="AR299" s="46"/>
    </row>
    <row r="300" spans="1:44" s="356" customFormat="1" ht="12.75" customHeight="1">
      <c r="A300" s="349"/>
      <c r="B300" s="349"/>
      <c r="C300" s="350"/>
      <c r="D300" s="350"/>
      <c r="E300" s="350"/>
      <c r="F300" s="351"/>
      <c r="G300" s="351"/>
      <c r="H300" s="351"/>
      <c r="I300" s="351"/>
      <c r="J300" s="351"/>
      <c r="K300" s="350"/>
      <c r="L300" s="350"/>
      <c r="M300" s="350"/>
      <c r="N300" s="350"/>
      <c r="O300" s="352"/>
      <c r="P300" s="350"/>
      <c r="Q300" s="350"/>
      <c r="R300" s="353"/>
      <c r="S300" s="353"/>
      <c r="T300" s="353"/>
      <c r="U300" s="353"/>
      <c r="V300" s="353"/>
      <c r="W300" s="353"/>
      <c r="X300" s="353"/>
      <c r="Y300" s="353"/>
      <c r="Z300" s="353"/>
      <c r="AA300" s="353"/>
      <c r="AB300" s="353"/>
      <c r="AC300" s="353"/>
      <c r="AD300" s="353"/>
      <c r="AE300" s="353"/>
      <c r="AF300" s="353"/>
      <c r="AG300" s="353"/>
      <c r="AH300" s="353"/>
      <c r="AI300" s="353"/>
      <c r="AJ300" s="354"/>
      <c r="AK300" s="353"/>
      <c r="AL300" s="353"/>
      <c r="AM300" s="355"/>
      <c r="AN300" s="355"/>
      <c r="AO300" s="355"/>
      <c r="AP300" s="355"/>
      <c r="AQ300" s="355"/>
      <c r="AR300" s="355"/>
    </row>
    <row r="301" spans="1:44" ht="21">
      <c r="A301" s="87"/>
      <c r="B301" s="335" t="s">
        <v>1157</v>
      </c>
      <c r="C301" s="339"/>
      <c r="D301" s="339"/>
      <c r="E301" s="339"/>
      <c r="F301" s="339"/>
      <c r="G301" s="339"/>
      <c r="H301" s="340"/>
      <c r="I301" s="89"/>
      <c r="J301" s="89"/>
      <c r="K301" s="88"/>
      <c r="L301" s="88"/>
      <c r="M301" s="88"/>
      <c r="N301" s="88"/>
      <c r="O301" s="116"/>
      <c r="P301" s="88"/>
      <c r="Q301" s="88"/>
      <c r="R301" s="92"/>
      <c r="S301" s="92"/>
      <c r="T301" s="92"/>
      <c r="U301" s="92"/>
      <c r="V301" s="92"/>
      <c r="W301" s="92"/>
      <c r="X301" s="92"/>
      <c r="Y301" s="92"/>
      <c r="Z301" s="92"/>
      <c r="AA301" s="92"/>
      <c r="AB301" s="92"/>
      <c r="AC301" s="92"/>
      <c r="AD301" s="92"/>
      <c r="AE301" s="92"/>
      <c r="AF301" s="92"/>
      <c r="AG301" s="92"/>
      <c r="AH301" s="92"/>
      <c r="AI301" s="92"/>
      <c r="AJ301" s="92"/>
      <c r="AK301" s="88"/>
      <c r="AL301" s="88"/>
      <c r="AM301" s="88"/>
      <c r="AN301" s="88"/>
      <c r="AO301" s="88"/>
      <c r="AP301" s="88"/>
      <c r="AQ301" s="88"/>
      <c r="AR301" s="88"/>
    </row>
    <row r="302" spans="1:44" ht="12.75" customHeight="1">
      <c r="A302" s="93"/>
      <c r="B302" s="93" t="s">
        <v>472</v>
      </c>
      <c r="C302" s="46" t="s">
        <v>252</v>
      </c>
      <c r="D302" s="46">
        <v>1</v>
      </c>
      <c r="E302" s="94">
        <v>1</v>
      </c>
      <c r="F302" s="50">
        <v>4.05</v>
      </c>
      <c r="G302" s="50">
        <v>3.98</v>
      </c>
      <c r="H302" s="95">
        <v>0.25</v>
      </c>
      <c r="I302" s="89">
        <f>PRODUCT(D302:H302)</f>
        <v>4.0297499999999999</v>
      </c>
      <c r="J302" s="50"/>
      <c r="K302" s="46"/>
      <c r="L302" s="46"/>
      <c r="M302" s="46"/>
      <c r="N302" s="46"/>
      <c r="O302" s="51"/>
      <c r="P302" s="46"/>
      <c r="Q302" s="46"/>
      <c r="R302" s="118"/>
      <c r="S302" s="118"/>
      <c r="T302" s="118"/>
      <c r="U302" s="118"/>
      <c r="V302" s="119">
        <f t="shared" ref="V302:V303" si="323">PRODUCT(D302:H302)</f>
        <v>4.0297499999999999</v>
      </c>
      <c r="W302" s="119">
        <f t="shared" ref="W302:W303" si="324">((K302*H302)*E302*D302)</f>
        <v>0</v>
      </c>
      <c r="X302" s="119">
        <f t="shared" ref="X302:X303" si="325">((F302*2+G302*2)*H302)*E302*D302</f>
        <v>4.0149999999999997</v>
      </c>
      <c r="Y302" s="119">
        <f t="shared" ref="Y302:Y303" si="326">((M302*H302)*E302*D302)</f>
        <v>0</v>
      </c>
      <c r="Z302" s="119"/>
      <c r="AA302" s="119"/>
      <c r="AB302" s="119"/>
      <c r="AC302" s="119"/>
      <c r="AD302" s="119"/>
      <c r="AE302" s="119">
        <f t="shared" ref="AE302:AE303" si="327">(X302+Y302)</f>
        <v>4.0149999999999997</v>
      </c>
      <c r="AF302" s="119">
        <f t="shared" ref="AF302:AF303" si="328">(V302/H302)+(W302/H302)</f>
        <v>16.119</v>
      </c>
      <c r="AG302" s="118"/>
      <c r="AH302" s="118"/>
      <c r="AI302" s="118"/>
      <c r="AJ302" s="47"/>
      <c r="AK302" s="46"/>
      <c r="AL302" s="46"/>
      <c r="AM302" s="46"/>
      <c r="AN302" s="46"/>
      <c r="AO302" s="46"/>
      <c r="AP302" s="46"/>
      <c r="AQ302" s="46"/>
      <c r="AR302" s="46"/>
    </row>
    <row r="303" spans="1:44" ht="12.75" customHeight="1">
      <c r="A303" s="93"/>
      <c r="B303" s="93" t="s">
        <v>260</v>
      </c>
      <c r="C303" s="46" t="s">
        <v>252</v>
      </c>
      <c r="D303" s="46">
        <v>1</v>
      </c>
      <c r="E303" s="94">
        <v>1</v>
      </c>
      <c r="F303" s="50">
        <f>4.05*2+3.98*2</f>
        <v>16.059999999999999</v>
      </c>
      <c r="G303" s="50">
        <v>3.75</v>
      </c>
      <c r="H303" s="95">
        <v>0.3</v>
      </c>
      <c r="I303" s="89">
        <f t="shared" ref="I303" si="329">PRODUCT(D303:H303)</f>
        <v>18.067499999999999</v>
      </c>
      <c r="J303" s="50"/>
      <c r="K303" s="46"/>
      <c r="L303" s="46"/>
      <c r="M303" s="46"/>
      <c r="N303" s="46"/>
      <c r="O303" s="51"/>
      <c r="P303" s="46"/>
      <c r="Q303" s="46"/>
      <c r="R303" s="118"/>
      <c r="S303" s="118"/>
      <c r="T303" s="118"/>
      <c r="U303" s="118"/>
      <c r="V303" s="119">
        <f t="shared" si="323"/>
        <v>18.067499999999999</v>
      </c>
      <c r="W303" s="119">
        <f t="shared" si="324"/>
        <v>0</v>
      </c>
      <c r="X303" s="119">
        <f t="shared" si="325"/>
        <v>11.885999999999999</v>
      </c>
      <c r="Y303" s="119">
        <f t="shared" si="326"/>
        <v>0</v>
      </c>
      <c r="Z303" s="119"/>
      <c r="AA303" s="119"/>
      <c r="AB303" s="119"/>
      <c r="AC303" s="119"/>
      <c r="AD303" s="119"/>
      <c r="AE303" s="119">
        <f t="shared" si="327"/>
        <v>11.885999999999999</v>
      </c>
      <c r="AF303" s="119">
        <f t="shared" si="328"/>
        <v>60.225000000000001</v>
      </c>
      <c r="AG303" s="118"/>
      <c r="AH303" s="118"/>
      <c r="AI303" s="118"/>
      <c r="AJ303" s="47"/>
      <c r="AK303" s="46"/>
      <c r="AL303" s="46"/>
      <c r="AM303" s="46"/>
      <c r="AN303" s="46"/>
      <c r="AO303" s="46"/>
      <c r="AP303" s="46"/>
      <c r="AQ303" s="46"/>
      <c r="AR303" s="46"/>
    </row>
    <row r="304" spans="1:44" ht="12.75" customHeight="1">
      <c r="A304" s="117"/>
      <c r="B304" s="117"/>
      <c r="C304" s="46"/>
      <c r="D304" s="46"/>
      <c r="E304" s="46"/>
      <c r="F304" s="50"/>
      <c r="G304" s="50"/>
      <c r="H304" s="50"/>
      <c r="I304" s="50"/>
      <c r="J304" s="50"/>
      <c r="K304" s="46"/>
      <c r="L304" s="46"/>
      <c r="M304" s="46"/>
      <c r="N304" s="46"/>
      <c r="O304" s="51"/>
      <c r="P304" s="46"/>
      <c r="Q304" s="46"/>
      <c r="R304" s="47"/>
      <c r="S304" s="47"/>
      <c r="T304" s="47"/>
      <c r="U304" s="47"/>
      <c r="V304" s="47"/>
      <c r="W304" s="47"/>
      <c r="X304" s="47"/>
      <c r="Y304" s="47"/>
      <c r="Z304" s="47"/>
      <c r="AA304" s="47"/>
      <c r="AB304" s="47"/>
      <c r="AC304" s="47"/>
      <c r="AD304" s="47"/>
      <c r="AE304" s="47"/>
      <c r="AF304" s="47"/>
      <c r="AG304" s="47"/>
      <c r="AH304" s="47"/>
      <c r="AI304" s="47"/>
      <c r="AJ304" s="47"/>
      <c r="AK304" s="46"/>
      <c r="AL304" s="46"/>
      <c r="AM304" s="46"/>
      <c r="AN304" s="46"/>
      <c r="AO304" s="46"/>
      <c r="AP304" s="46"/>
      <c r="AQ304" s="46"/>
      <c r="AR304" s="46"/>
    </row>
    <row r="305" spans="1:44" ht="12.75" customHeight="1">
      <c r="A305" s="120"/>
      <c r="B305" s="108" t="s">
        <v>194</v>
      </c>
      <c r="C305" s="60"/>
      <c r="D305" s="60"/>
      <c r="E305" s="60"/>
      <c r="F305" s="63"/>
      <c r="G305" s="63"/>
      <c r="H305" s="63"/>
      <c r="I305" s="63"/>
      <c r="J305" s="63"/>
      <c r="K305" s="60"/>
      <c r="L305" s="60"/>
      <c r="M305" s="60"/>
      <c r="N305" s="62"/>
      <c r="O305" s="121"/>
      <c r="P305" s="122"/>
      <c r="Q305" s="60"/>
      <c r="R305" s="114">
        <f t="shared" ref="R305:AA305" si="330">SUM(R301:R304)</f>
        <v>0</v>
      </c>
      <c r="S305" s="114">
        <f t="shared" si="330"/>
        <v>0</v>
      </c>
      <c r="T305" s="114">
        <f t="shared" si="330"/>
        <v>0</v>
      </c>
      <c r="U305" s="114">
        <f t="shared" si="330"/>
        <v>0</v>
      </c>
      <c r="V305" s="114">
        <f t="shared" si="330"/>
        <v>22.097249999999999</v>
      </c>
      <c r="W305" s="114">
        <f t="shared" si="330"/>
        <v>0</v>
      </c>
      <c r="X305" s="114">
        <f t="shared" si="330"/>
        <v>15.901</v>
      </c>
      <c r="Y305" s="114">
        <f t="shared" si="330"/>
        <v>0</v>
      </c>
      <c r="Z305" s="114">
        <f t="shared" si="330"/>
        <v>0</v>
      </c>
      <c r="AA305" s="114">
        <f t="shared" si="330"/>
        <v>0</v>
      </c>
      <c r="AB305" s="114"/>
      <c r="AC305" s="114"/>
      <c r="AD305" s="114">
        <f>SUM(AD301:AD304)</f>
        <v>0</v>
      </c>
      <c r="AE305" s="114">
        <f>SUM(AE301:AE304)</f>
        <v>15.901</v>
      </c>
      <c r="AF305" s="114">
        <f>SUM(AF301:AF304)</f>
        <v>76.343999999999994</v>
      </c>
      <c r="AG305" s="114"/>
      <c r="AH305" s="114"/>
      <c r="AI305" s="114"/>
      <c r="AJ305" s="115"/>
      <c r="AK305" s="114">
        <f>SUM(AK301:AK304)</f>
        <v>0</v>
      </c>
      <c r="AL305" s="114">
        <f>SUM(AL301:AL304)</f>
        <v>0</v>
      </c>
      <c r="AM305" s="46"/>
      <c r="AN305" s="46"/>
      <c r="AO305" s="46"/>
      <c r="AP305" s="46"/>
      <c r="AQ305" s="46"/>
      <c r="AR305" s="46"/>
    </row>
    <row r="306" spans="1:44" ht="14.4">
      <c r="A306" s="87"/>
      <c r="B306" s="339"/>
      <c r="C306" s="339"/>
      <c r="D306" s="339"/>
      <c r="E306" s="339"/>
      <c r="F306" s="339"/>
      <c r="G306" s="339"/>
      <c r="H306" s="340"/>
      <c r="I306" s="89"/>
      <c r="J306" s="89"/>
      <c r="K306" s="88"/>
      <c r="L306" s="88"/>
      <c r="M306" s="88"/>
      <c r="N306" s="88"/>
      <c r="O306" s="116"/>
      <c r="P306" s="88"/>
      <c r="Q306" s="88"/>
      <c r="R306" s="92"/>
      <c r="S306" s="92"/>
      <c r="T306" s="92"/>
      <c r="U306" s="92"/>
      <c r="V306" s="92"/>
      <c r="W306" s="92"/>
      <c r="X306" s="92"/>
      <c r="Y306" s="92"/>
      <c r="Z306" s="92"/>
      <c r="AA306" s="92"/>
      <c r="AB306" s="92"/>
      <c r="AC306" s="92"/>
      <c r="AD306" s="92"/>
      <c r="AE306" s="92"/>
      <c r="AF306" s="92"/>
      <c r="AG306" s="92"/>
      <c r="AH306" s="92"/>
      <c r="AI306" s="92"/>
      <c r="AJ306" s="92"/>
      <c r="AK306" s="88"/>
      <c r="AL306" s="88"/>
      <c r="AM306" s="88"/>
      <c r="AN306" s="88"/>
      <c r="AO306" s="88"/>
      <c r="AP306" s="88"/>
      <c r="AQ306" s="88"/>
      <c r="AR306" s="88"/>
    </row>
    <row r="307" spans="1:44" ht="12.75" customHeight="1">
      <c r="A307" s="87"/>
      <c r="B307" s="87"/>
      <c r="C307" s="88"/>
      <c r="D307" s="88"/>
      <c r="E307" s="88"/>
      <c r="F307" s="89"/>
      <c r="G307" s="89"/>
      <c r="H307" s="89"/>
      <c r="I307" s="89"/>
      <c r="J307" s="89"/>
      <c r="K307" s="88"/>
      <c r="L307" s="88"/>
      <c r="M307" s="88"/>
      <c r="N307" s="88"/>
      <c r="O307" s="90"/>
      <c r="P307" s="88"/>
      <c r="Q307" s="88"/>
      <c r="R307" s="92"/>
      <c r="S307" s="92"/>
      <c r="T307" s="92"/>
      <c r="U307" s="92"/>
      <c r="V307" s="92"/>
      <c r="W307" s="92"/>
      <c r="X307" s="92"/>
      <c r="Y307" s="92"/>
      <c r="Z307" s="92"/>
      <c r="AA307" s="92"/>
      <c r="AB307" s="92"/>
      <c r="AC307" s="92"/>
      <c r="AD307" s="92"/>
      <c r="AE307" s="92"/>
      <c r="AF307" s="92"/>
      <c r="AG307" s="92"/>
      <c r="AH307" s="92"/>
      <c r="AI307" s="92"/>
      <c r="AJ307" s="92"/>
      <c r="AK307" s="88"/>
      <c r="AL307" s="88"/>
      <c r="AM307" s="88"/>
      <c r="AN307" s="88"/>
      <c r="AO307" s="88"/>
      <c r="AP307" s="88"/>
      <c r="AQ307" s="88"/>
      <c r="AR307" s="88"/>
    </row>
    <row r="308" spans="1:44" ht="12.75" customHeight="1">
      <c r="A308" s="93"/>
      <c r="B308" s="93" t="s">
        <v>375</v>
      </c>
      <c r="C308" s="94"/>
      <c r="D308" s="94"/>
      <c r="E308" s="94"/>
      <c r="F308" s="95"/>
      <c r="G308" s="95"/>
      <c r="H308" s="95"/>
      <c r="I308" s="95"/>
      <c r="J308" s="95"/>
      <c r="K308" s="94"/>
      <c r="L308" s="94"/>
      <c r="M308" s="94"/>
      <c r="N308" s="94"/>
      <c r="O308" s="96"/>
      <c r="P308" s="94"/>
      <c r="Q308" s="94"/>
      <c r="R308" s="98"/>
      <c r="S308" s="98"/>
      <c r="T308" s="98"/>
      <c r="U308" s="98"/>
      <c r="V308" s="98"/>
      <c r="W308" s="98"/>
      <c r="X308" s="98"/>
      <c r="Y308" s="98"/>
      <c r="Z308" s="98"/>
      <c r="AA308" s="98"/>
      <c r="AB308" s="98"/>
      <c r="AC308" s="98"/>
      <c r="AD308" s="98"/>
      <c r="AE308" s="98"/>
      <c r="AF308" s="98"/>
      <c r="AG308" s="98"/>
      <c r="AH308" s="98"/>
      <c r="AI308" s="98"/>
      <c r="AJ308" s="98"/>
      <c r="AK308" s="94"/>
      <c r="AL308" s="94"/>
      <c r="AM308" s="94"/>
      <c r="AN308" s="94"/>
      <c r="AO308" s="94"/>
      <c r="AP308" s="94"/>
      <c r="AQ308" s="94"/>
      <c r="AR308" s="94"/>
    </row>
    <row r="309" spans="1:44" ht="12.75" customHeight="1">
      <c r="A309" s="93"/>
      <c r="B309" s="93" t="s">
        <v>376</v>
      </c>
      <c r="C309" s="94" t="s">
        <v>377</v>
      </c>
      <c r="D309" s="94">
        <v>1</v>
      </c>
      <c r="E309" s="94">
        <v>1</v>
      </c>
      <c r="F309" s="95">
        <f>R31+S31</f>
        <v>165.36490000000001</v>
      </c>
      <c r="G309" s="95"/>
      <c r="H309" s="95"/>
      <c r="I309" s="95">
        <f t="shared" ref="I309:I314" si="331">PRODUCT(D309:H309)</f>
        <v>165.36490000000001</v>
      </c>
      <c r="J309" s="95"/>
      <c r="K309" s="94"/>
      <c r="L309" s="94"/>
      <c r="M309" s="94"/>
      <c r="N309" s="94"/>
      <c r="O309" s="96"/>
      <c r="P309" s="94"/>
      <c r="Q309" s="94"/>
      <c r="R309" s="98"/>
      <c r="S309" s="98"/>
      <c r="T309" s="98"/>
      <c r="U309" s="98"/>
      <c r="V309" s="98"/>
      <c r="W309" s="98"/>
      <c r="X309" s="98"/>
      <c r="Y309" s="98"/>
      <c r="Z309" s="98"/>
      <c r="AA309" s="98"/>
      <c r="AB309" s="98"/>
      <c r="AC309" s="98"/>
      <c r="AD309" s="98"/>
      <c r="AE309" s="98"/>
      <c r="AF309" s="98"/>
      <c r="AG309" s="98"/>
      <c r="AH309" s="98"/>
      <c r="AI309" s="98"/>
      <c r="AJ309" s="98"/>
      <c r="AK309" s="94"/>
      <c r="AL309" s="94"/>
      <c r="AM309" s="94"/>
      <c r="AN309" s="94"/>
      <c r="AO309" s="94"/>
      <c r="AP309" s="94"/>
      <c r="AQ309" s="94"/>
      <c r="AR309" s="94"/>
    </row>
    <row r="310" spans="1:44" ht="12.75" customHeight="1">
      <c r="A310" s="93"/>
      <c r="B310" s="93" t="s">
        <v>378</v>
      </c>
      <c r="C310" s="94" t="s">
        <v>379</v>
      </c>
      <c r="D310" s="94">
        <v>1</v>
      </c>
      <c r="E310" s="94">
        <v>1</v>
      </c>
      <c r="F310" s="95">
        <f>R127+S127</f>
        <v>0</v>
      </c>
      <c r="G310" s="95"/>
      <c r="H310" s="95"/>
      <c r="I310" s="95">
        <f t="shared" si="331"/>
        <v>0</v>
      </c>
      <c r="J310" s="95"/>
      <c r="K310" s="94"/>
      <c r="L310" s="94"/>
      <c r="M310" s="94"/>
      <c r="N310" s="94"/>
      <c r="O310" s="96"/>
      <c r="P310" s="94"/>
      <c r="Q310" s="94"/>
      <c r="R310" s="98"/>
      <c r="S310" s="98"/>
      <c r="T310" s="98"/>
      <c r="U310" s="98"/>
      <c r="V310" s="98"/>
      <c r="W310" s="98"/>
      <c r="X310" s="98"/>
      <c r="Y310" s="98"/>
      <c r="Z310" s="98"/>
      <c r="AA310" s="98"/>
      <c r="AB310" s="98"/>
      <c r="AC310" s="98"/>
      <c r="AD310" s="98"/>
      <c r="AE310" s="98"/>
      <c r="AF310" s="98"/>
      <c r="AG310" s="98"/>
      <c r="AH310" s="98"/>
      <c r="AI310" s="98"/>
      <c r="AJ310" s="98"/>
      <c r="AK310" s="94"/>
      <c r="AL310" s="94"/>
      <c r="AM310" s="94"/>
      <c r="AN310" s="94"/>
      <c r="AO310" s="94"/>
      <c r="AP310" s="94"/>
      <c r="AQ310" s="94"/>
      <c r="AR310" s="94"/>
    </row>
    <row r="311" spans="1:44" ht="12.75" customHeight="1">
      <c r="A311" s="93"/>
      <c r="B311" s="93" t="s">
        <v>380</v>
      </c>
      <c r="C311" s="94" t="s">
        <v>381</v>
      </c>
      <c r="D311" s="94">
        <v>1</v>
      </c>
      <c r="E311" s="94">
        <v>1</v>
      </c>
      <c r="F311" s="95">
        <f>R136+S136</f>
        <v>0</v>
      </c>
      <c r="G311" s="95"/>
      <c r="H311" s="95"/>
      <c r="I311" s="95">
        <f t="shared" si="331"/>
        <v>0</v>
      </c>
      <c r="J311" s="95"/>
      <c r="K311" s="94"/>
      <c r="L311" s="94"/>
      <c r="M311" s="94"/>
      <c r="N311" s="94"/>
      <c r="O311" s="96"/>
      <c r="P311" s="94"/>
      <c r="Q311" s="94"/>
      <c r="R311" s="98"/>
      <c r="S311" s="98"/>
      <c r="T311" s="98"/>
      <c r="U311" s="98"/>
      <c r="V311" s="98"/>
      <c r="W311" s="98"/>
      <c r="X311" s="98"/>
      <c r="Y311" s="98"/>
      <c r="Z311" s="98"/>
      <c r="AA311" s="98"/>
      <c r="AB311" s="98"/>
      <c r="AC311" s="98"/>
      <c r="AD311" s="98"/>
      <c r="AE311" s="98"/>
      <c r="AF311" s="98"/>
      <c r="AG311" s="98"/>
      <c r="AH311" s="98"/>
      <c r="AI311" s="98"/>
      <c r="AJ311" s="98"/>
      <c r="AK311" s="94"/>
      <c r="AL311" s="94"/>
      <c r="AM311" s="94"/>
      <c r="AN311" s="94"/>
      <c r="AO311" s="94"/>
      <c r="AP311" s="94"/>
      <c r="AQ311" s="94"/>
      <c r="AR311" s="94"/>
    </row>
    <row r="312" spans="1:44" ht="12.75" customHeight="1">
      <c r="A312" s="93"/>
      <c r="B312" s="93" t="s">
        <v>135</v>
      </c>
      <c r="C312" s="94" t="s">
        <v>382</v>
      </c>
      <c r="D312" s="94">
        <v>1</v>
      </c>
      <c r="E312" s="94">
        <v>1</v>
      </c>
      <c r="F312" s="95">
        <f>R276+S276</f>
        <v>0</v>
      </c>
      <c r="G312" s="95"/>
      <c r="H312" s="95"/>
      <c r="I312" s="95">
        <f t="shared" si="331"/>
        <v>0</v>
      </c>
      <c r="J312" s="95"/>
      <c r="K312" s="94"/>
      <c r="L312" s="94"/>
      <c r="M312" s="94"/>
      <c r="N312" s="94"/>
      <c r="O312" s="96"/>
      <c r="P312" s="94"/>
      <c r="Q312" s="94"/>
      <c r="R312" s="98"/>
      <c r="S312" s="98"/>
      <c r="T312" s="98"/>
      <c r="U312" s="98"/>
      <c r="V312" s="98"/>
      <c r="W312" s="98"/>
      <c r="X312" s="98"/>
      <c r="Y312" s="98"/>
      <c r="Z312" s="98"/>
      <c r="AA312" s="98"/>
      <c r="AB312" s="98"/>
      <c r="AC312" s="98"/>
      <c r="AD312" s="98"/>
      <c r="AE312" s="98"/>
      <c r="AF312" s="98"/>
      <c r="AG312" s="98"/>
      <c r="AH312" s="98"/>
      <c r="AI312" s="98"/>
      <c r="AJ312" s="98"/>
      <c r="AK312" s="94"/>
      <c r="AL312" s="94"/>
      <c r="AM312" s="94"/>
      <c r="AN312" s="94"/>
      <c r="AO312" s="94"/>
      <c r="AP312" s="94"/>
      <c r="AQ312" s="94"/>
      <c r="AR312" s="94"/>
    </row>
    <row r="313" spans="1:44" ht="12.75" customHeight="1">
      <c r="A313" s="93"/>
      <c r="B313" s="93" t="s">
        <v>368</v>
      </c>
      <c r="C313" s="94" t="s">
        <v>383</v>
      </c>
      <c r="D313" s="94">
        <v>1</v>
      </c>
      <c r="E313" s="94">
        <v>1</v>
      </c>
      <c r="F313" s="95">
        <f>R281+S281</f>
        <v>0</v>
      </c>
      <c r="G313" s="95"/>
      <c r="H313" s="95"/>
      <c r="I313" s="95">
        <f t="shared" si="331"/>
        <v>0</v>
      </c>
      <c r="J313" s="95"/>
      <c r="K313" s="94"/>
      <c r="L313" s="94"/>
      <c r="M313" s="94"/>
      <c r="N313" s="94"/>
      <c r="O313" s="96"/>
      <c r="P313" s="94"/>
      <c r="Q313" s="94"/>
      <c r="R313" s="98"/>
      <c r="S313" s="98"/>
      <c r="T313" s="98"/>
      <c r="U313" s="98"/>
      <c r="V313" s="98"/>
      <c r="W313" s="98"/>
      <c r="X313" s="98"/>
      <c r="Y313" s="98"/>
      <c r="Z313" s="98"/>
      <c r="AA313" s="98"/>
      <c r="AB313" s="98"/>
      <c r="AC313" s="98"/>
      <c r="AD313" s="98"/>
      <c r="AE313" s="98"/>
      <c r="AF313" s="98"/>
      <c r="AG313" s="98"/>
      <c r="AH313" s="98"/>
      <c r="AI313" s="98"/>
      <c r="AJ313" s="98"/>
      <c r="AK313" s="94"/>
      <c r="AL313" s="94"/>
      <c r="AM313" s="94"/>
      <c r="AN313" s="94"/>
      <c r="AO313" s="94"/>
      <c r="AP313" s="94"/>
      <c r="AQ313" s="94"/>
      <c r="AR313" s="94"/>
    </row>
    <row r="314" spans="1:44" ht="12.75" customHeight="1">
      <c r="A314" s="93"/>
      <c r="B314" s="93" t="s">
        <v>384</v>
      </c>
      <c r="C314" s="94" t="s">
        <v>385</v>
      </c>
      <c r="D314" s="94">
        <v>1</v>
      </c>
      <c r="E314" s="94">
        <v>1</v>
      </c>
      <c r="F314" s="95">
        <f>R287+S287</f>
        <v>0</v>
      </c>
      <c r="G314" s="95"/>
      <c r="H314" s="95"/>
      <c r="I314" s="95">
        <f t="shared" si="331"/>
        <v>0</v>
      </c>
      <c r="J314" s="95"/>
      <c r="K314" s="94"/>
      <c r="L314" s="94"/>
      <c r="M314" s="94"/>
      <c r="N314" s="94"/>
      <c r="O314" s="96"/>
      <c r="P314" s="94"/>
      <c r="Q314" s="94"/>
      <c r="R314" s="98"/>
      <c r="S314" s="98"/>
      <c r="T314" s="98"/>
      <c r="U314" s="98"/>
      <c r="V314" s="98"/>
      <c r="W314" s="98"/>
      <c r="X314" s="98"/>
      <c r="Y314" s="98"/>
      <c r="Z314" s="98"/>
      <c r="AA314" s="98"/>
      <c r="AB314" s="98"/>
      <c r="AC314" s="98"/>
      <c r="AD314" s="98"/>
      <c r="AE314" s="98"/>
      <c r="AF314" s="98"/>
      <c r="AG314" s="98"/>
      <c r="AH314" s="98"/>
      <c r="AI314" s="98"/>
      <c r="AJ314" s="98"/>
      <c r="AK314" s="94"/>
      <c r="AL314" s="94"/>
      <c r="AM314" s="94"/>
      <c r="AN314" s="94"/>
      <c r="AO314" s="94"/>
      <c r="AP314" s="94"/>
      <c r="AQ314" s="94"/>
      <c r="AR314" s="94"/>
    </row>
    <row r="315" spans="1:44" ht="12.75" customHeight="1">
      <c r="A315" s="93"/>
      <c r="B315" s="93"/>
      <c r="C315" s="94"/>
      <c r="D315" s="94"/>
      <c r="E315" s="94"/>
      <c r="F315" s="95"/>
      <c r="G315" s="95"/>
      <c r="H315" s="95"/>
      <c r="I315" s="95"/>
      <c r="J315" s="95"/>
      <c r="K315" s="94"/>
      <c r="L315" s="94"/>
      <c r="M315" s="94"/>
      <c r="N315" s="94"/>
      <c r="O315" s="96"/>
      <c r="P315" s="94"/>
      <c r="Q315" s="94"/>
      <c r="R315" s="98"/>
      <c r="S315" s="98"/>
      <c r="T315" s="98"/>
      <c r="U315" s="98"/>
      <c r="V315" s="98"/>
      <c r="W315" s="98"/>
      <c r="X315" s="98"/>
      <c r="Y315" s="98"/>
      <c r="Z315" s="98"/>
      <c r="AA315" s="98"/>
      <c r="AB315" s="98"/>
      <c r="AC315" s="98"/>
      <c r="AD315" s="98"/>
      <c r="AE315" s="98"/>
      <c r="AF315" s="98"/>
      <c r="AG315" s="98"/>
      <c r="AH315" s="98"/>
      <c r="AI315" s="98"/>
      <c r="AJ315" s="98"/>
      <c r="AK315" s="94"/>
      <c r="AL315" s="94"/>
      <c r="AM315" s="94"/>
      <c r="AN315" s="94"/>
      <c r="AO315" s="94"/>
      <c r="AP315" s="94"/>
      <c r="AQ315" s="94"/>
      <c r="AR315" s="94"/>
    </row>
    <row r="316" spans="1:44" ht="12.75" customHeight="1">
      <c r="A316" s="99"/>
      <c r="B316" s="99" t="s">
        <v>194</v>
      </c>
      <c r="C316" s="100"/>
      <c r="D316" s="100"/>
      <c r="E316" s="100"/>
      <c r="F316" s="101"/>
      <c r="G316" s="101"/>
      <c r="H316" s="101"/>
      <c r="I316" s="101">
        <f>SUM(I309:I315)</f>
        <v>165.36490000000001</v>
      </c>
      <c r="J316" s="95"/>
      <c r="K316" s="94"/>
      <c r="L316" s="94"/>
      <c r="M316" s="94"/>
      <c r="N316" s="94"/>
      <c r="O316" s="96"/>
      <c r="P316" s="94"/>
      <c r="Q316" s="94"/>
      <c r="R316" s="98"/>
      <c r="S316" s="98"/>
      <c r="T316" s="98"/>
      <c r="U316" s="98"/>
      <c r="V316" s="98"/>
      <c r="W316" s="98"/>
      <c r="X316" s="98"/>
      <c r="Y316" s="98"/>
      <c r="Z316" s="98"/>
      <c r="AA316" s="98"/>
      <c r="AB316" s="98"/>
      <c r="AC316" s="98"/>
      <c r="AD316" s="98"/>
      <c r="AE316" s="98"/>
      <c r="AF316" s="98"/>
      <c r="AG316" s="98"/>
      <c r="AH316" s="98"/>
      <c r="AI316" s="98"/>
      <c r="AJ316" s="98"/>
      <c r="AK316" s="94"/>
      <c r="AL316" s="94"/>
      <c r="AM316" s="94"/>
      <c r="AN316" s="94"/>
      <c r="AO316" s="94"/>
      <c r="AP316" s="94"/>
      <c r="AQ316" s="94"/>
      <c r="AR316" s="94"/>
    </row>
    <row r="317" spans="1:44" ht="12.75" customHeight="1">
      <c r="A317" s="87"/>
      <c r="B317" s="87"/>
      <c r="C317" s="88"/>
      <c r="D317" s="88"/>
      <c r="E317" s="88"/>
      <c r="F317" s="89"/>
      <c r="G317" s="89"/>
      <c r="H317" s="89"/>
      <c r="I317" s="89"/>
      <c r="J317" s="89"/>
      <c r="K317" s="88"/>
      <c r="L317" s="88"/>
      <c r="M317" s="88"/>
      <c r="N317" s="88"/>
      <c r="O317" s="90"/>
      <c r="P317" s="88"/>
      <c r="Q317" s="88"/>
      <c r="R317" s="92"/>
      <c r="S317" s="92"/>
      <c r="T317" s="92"/>
      <c r="U317" s="92"/>
      <c r="V317" s="92"/>
      <c r="W317" s="92"/>
      <c r="X317" s="92"/>
      <c r="Y317" s="92"/>
      <c r="Z317" s="92"/>
      <c r="AA317" s="92"/>
      <c r="AB317" s="92"/>
      <c r="AC317" s="92"/>
      <c r="AD317" s="92"/>
      <c r="AE317" s="92"/>
      <c r="AF317" s="92"/>
      <c r="AG317" s="92"/>
      <c r="AH317" s="92"/>
      <c r="AI317" s="92"/>
      <c r="AJ317" s="92"/>
      <c r="AK317" s="88"/>
      <c r="AL317" s="88"/>
      <c r="AM317" s="88"/>
      <c r="AN317" s="88"/>
      <c r="AO317" s="88"/>
      <c r="AP317" s="88"/>
      <c r="AQ317" s="88"/>
      <c r="AR317" s="88"/>
    </row>
    <row r="318" spans="1:44" ht="12.75" customHeight="1">
      <c r="A318" s="93"/>
      <c r="B318" s="93" t="s">
        <v>141</v>
      </c>
      <c r="C318" s="94"/>
      <c r="D318" s="94"/>
      <c r="E318" s="94"/>
      <c r="F318" s="95"/>
      <c r="G318" s="95"/>
      <c r="H318" s="95"/>
      <c r="I318" s="95"/>
      <c r="J318" s="95"/>
      <c r="K318" s="94"/>
      <c r="L318" s="94"/>
      <c r="M318" s="94"/>
      <c r="N318" s="94"/>
      <c r="O318" s="96"/>
      <c r="P318" s="94"/>
      <c r="Q318" s="94"/>
      <c r="R318" s="98"/>
      <c r="S318" s="98"/>
      <c r="T318" s="98"/>
      <c r="U318" s="98"/>
      <c r="V318" s="98"/>
      <c r="W318" s="98"/>
      <c r="X318" s="98"/>
      <c r="Y318" s="98"/>
      <c r="Z318" s="98"/>
      <c r="AA318" s="98"/>
      <c r="AB318" s="98"/>
      <c r="AC318" s="98"/>
      <c r="AD318" s="98"/>
      <c r="AE318" s="98"/>
      <c r="AF318" s="98"/>
      <c r="AG318" s="98"/>
      <c r="AH318" s="98"/>
      <c r="AI318" s="98"/>
      <c r="AJ318" s="98"/>
      <c r="AK318" s="94"/>
      <c r="AL318" s="94"/>
      <c r="AM318" s="94"/>
      <c r="AN318" s="94"/>
      <c r="AO318" s="94"/>
      <c r="AP318" s="94"/>
      <c r="AQ318" s="94"/>
      <c r="AR318" s="94"/>
    </row>
    <row r="319" spans="1:44" ht="12.75" customHeight="1">
      <c r="A319" s="93"/>
      <c r="B319" s="93" t="s">
        <v>386</v>
      </c>
      <c r="C319" s="94" t="s">
        <v>387</v>
      </c>
      <c r="D319" s="94">
        <v>1</v>
      </c>
      <c r="E319" s="94">
        <v>1</v>
      </c>
      <c r="F319" s="95">
        <f>V31+W31</f>
        <v>1301.6824000000001</v>
      </c>
      <c r="G319" s="95"/>
      <c r="H319" s="95"/>
      <c r="I319" s="95">
        <f t="shared" ref="I319:I326" si="332">PRODUCT(D319:H319)</f>
        <v>1301.6824000000001</v>
      </c>
      <c r="J319" s="95"/>
      <c r="K319" s="94"/>
      <c r="L319" s="94"/>
      <c r="M319" s="94"/>
      <c r="N319" s="94"/>
      <c r="O319" s="96"/>
      <c r="P319" s="94"/>
      <c r="Q319" s="94"/>
      <c r="R319" s="98"/>
      <c r="S319" s="98"/>
      <c r="T319" s="98"/>
      <c r="U319" s="98"/>
      <c r="V319" s="98"/>
      <c r="W319" s="98"/>
      <c r="X319" s="98"/>
      <c r="Y319" s="98"/>
      <c r="Z319" s="98"/>
      <c r="AA319" s="98"/>
      <c r="AB319" s="98"/>
      <c r="AC319" s="98"/>
      <c r="AD319" s="98"/>
      <c r="AE319" s="98"/>
      <c r="AF319" s="98"/>
      <c r="AG319" s="98"/>
      <c r="AH319" s="98"/>
      <c r="AI319" s="98"/>
      <c r="AJ319" s="98"/>
      <c r="AK319" s="94"/>
      <c r="AL319" s="94"/>
      <c r="AM319" s="94"/>
      <c r="AN319" s="94"/>
      <c r="AO319" s="94"/>
      <c r="AP319" s="94"/>
      <c r="AQ319" s="94"/>
      <c r="AR319" s="94"/>
    </row>
    <row r="320" spans="1:44" ht="12.75" customHeight="1">
      <c r="A320" s="93"/>
      <c r="B320" s="93" t="s">
        <v>388</v>
      </c>
      <c r="C320" s="94" t="s">
        <v>389</v>
      </c>
      <c r="D320" s="94">
        <v>1</v>
      </c>
      <c r="E320" s="94">
        <v>1</v>
      </c>
      <c r="F320" s="95">
        <f>V43+W43</f>
        <v>62.115000000000009</v>
      </c>
      <c r="G320" s="95"/>
      <c r="H320" s="95"/>
      <c r="I320" s="95">
        <f t="shared" si="332"/>
        <v>62.115000000000009</v>
      </c>
      <c r="J320" s="95"/>
      <c r="K320" s="94"/>
      <c r="L320" s="94"/>
      <c r="M320" s="94"/>
      <c r="N320" s="94"/>
      <c r="O320" s="96"/>
      <c r="P320" s="94"/>
      <c r="Q320" s="94"/>
      <c r="R320" s="98"/>
      <c r="S320" s="98"/>
      <c r="T320" s="98"/>
      <c r="U320" s="98"/>
      <c r="V320" s="98"/>
      <c r="W320" s="98"/>
      <c r="X320" s="98"/>
      <c r="Y320" s="98"/>
      <c r="Z320" s="98"/>
      <c r="AA320" s="98"/>
      <c r="AB320" s="98"/>
      <c r="AC320" s="98"/>
      <c r="AD320" s="98"/>
      <c r="AE320" s="98"/>
      <c r="AF320" s="98"/>
      <c r="AG320" s="98"/>
      <c r="AH320" s="98"/>
      <c r="AI320" s="98"/>
      <c r="AJ320" s="98"/>
      <c r="AK320" s="94"/>
      <c r="AL320" s="94"/>
      <c r="AM320" s="94"/>
      <c r="AN320" s="94"/>
      <c r="AO320" s="94"/>
      <c r="AP320" s="94"/>
      <c r="AQ320" s="94"/>
      <c r="AR320" s="94"/>
    </row>
    <row r="321" spans="1:44" ht="12.75" customHeight="1">
      <c r="A321" s="93"/>
      <c r="B321" s="117" t="s">
        <v>390</v>
      </c>
      <c r="C321" s="46" t="s">
        <v>391</v>
      </c>
      <c r="D321" s="46">
        <v>1</v>
      </c>
      <c r="E321" s="46">
        <v>1</v>
      </c>
      <c r="F321" s="50">
        <f>V100+W100</f>
        <v>181.41100000000003</v>
      </c>
      <c r="G321" s="50"/>
      <c r="H321" s="50"/>
      <c r="I321" s="50">
        <f t="shared" si="332"/>
        <v>181.41100000000003</v>
      </c>
      <c r="J321" s="95"/>
      <c r="K321" s="94"/>
      <c r="L321" s="94"/>
      <c r="M321" s="94"/>
      <c r="N321" s="94"/>
      <c r="O321" s="96"/>
      <c r="P321" s="94"/>
      <c r="Q321" s="94"/>
      <c r="R321" s="98"/>
      <c r="S321" s="98"/>
      <c r="T321" s="98"/>
      <c r="U321" s="98"/>
      <c r="V321" s="98"/>
      <c r="W321" s="98"/>
      <c r="X321" s="98"/>
      <c r="Y321" s="98"/>
      <c r="Z321" s="98"/>
      <c r="AA321" s="98"/>
      <c r="AB321" s="98"/>
      <c r="AC321" s="98"/>
      <c r="AD321" s="98"/>
      <c r="AE321" s="98"/>
      <c r="AF321" s="98"/>
      <c r="AG321" s="98"/>
      <c r="AH321" s="98"/>
      <c r="AI321" s="98"/>
      <c r="AJ321" s="98"/>
      <c r="AK321" s="94"/>
      <c r="AL321" s="94"/>
      <c r="AM321" s="94"/>
      <c r="AN321" s="94"/>
      <c r="AO321" s="94"/>
      <c r="AP321" s="94"/>
      <c r="AQ321" s="94"/>
      <c r="AR321" s="94"/>
    </row>
    <row r="322" spans="1:44" ht="12.75" customHeight="1">
      <c r="A322" s="93"/>
      <c r="B322" s="93" t="s">
        <v>392</v>
      </c>
      <c r="C322" s="94" t="s">
        <v>393</v>
      </c>
      <c r="D322" s="94">
        <v>1</v>
      </c>
      <c r="E322" s="94">
        <v>1</v>
      </c>
      <c r="F322" s="95">
        <f>V127+W127</f>
        <v>10.552199999999999</v>
      </c>
      <c r="G322" s="95"/>
      <c r="H322" s="95"/>
      <c r="I322" s="95">
        <f t="shared" si="332"/>
        <v>10.552199999999999</v>
      </c>
      <c r="J322" s="95"/>
      <c r="K322" s="94"/>
      <c r="L322" s="94"/>
      <c r="M322" s="94"/>
      <c r="N322" s="94"/>
      <c r="O322" s="96"/>
      <c r="P322" s="94"/>
      <c r="Q322" s="94"/>
      <c r="R322" s="98"/>
      <c r="S322" s="98"/>
      <c r="T322" s="98"/>
      <c r="U322" s="98"/>
      <c r="V322" s="98"/>
      <c r="W322" s="98"/>
      <c r="X322" s="98"/>
      <c r="Y322" s="98"/>
      <c r="Z322" s="98"/>
      <c r="AA322" s="98"/>
      <c r="AB322" s="98"/>
      <c r="AC322" s="98"/>
      <c r="AD322" s="98"/>
      <c r="AE322" s="98"/>
      <c r="AF322" s="98"/>
      <c r="AG322" s="98"/>
      <c r="AH322" s="98"/>
      <c r="AI322" s="98"/>
      <c r="AJ322" s="98"/>
      <c r="AK322" s="94"/>
      <c r="AL322" s="94"/>
      <c r="AM322" s="94"/>
      <c r="AN322" s="94"/>
      <c r="AO322" s="94"/>
      <c r="AP322" s="94"/>
      <c r="AQ322" s="94"/>
      <c r="AR322" s="94"/>
    </row>
    <row r="323" spans="1:44" ht="12.75" customHeight="1">
      <c r="A323" s="93"/>
      <c r="B323" s="93" t="s">
        <v>135</v>
      </c>
      <c r="C323" s="94" t="s">
        <v>394</v>
      </c>
      <c r="D323" s="94">
        <v>1</v>
      </c>
      <c r="E323" s="94">
        <v>1</v>
      </c>
      <c r="F323" s="95">
        <f>V276+W276</f>
        <v>0</v>
      </c>
      <c r="G323" s="95"/>
      <c r="H323" s="95"/>
      <c r="I323" s="95">
        <f t="shared" si="332"/>
        <v>0</v>
      </c>
      <c r="J323" s="95"/>
      <c r="K323" s="94"/>
      <c r="L323" s="94"/>
      <c r="M323" s="94"/>
      <c r="N323" s="94"/>
      <c r="O323" s="96"/>
      <c r="P323" s="94"/>
      <c r="Q323" s="94"/>
      <c r="R323" s="98"/>
      <c r="S323" s="98"/>
      <c r="T323" s="98"/>
      <c r="U323" s="98"/>
      <c r="V323" s="98"/>
      <c r="W323" s="98"/>
      <c r="X323" s="98"/>
      <c r="Y323" s="98"/>
      <c r="Z323" s="98"/>
      <c r="AA323" s="98"/>
      <c r="AB323" s="98"/>
      <c r="AC323" s="98"/>
      <c r="AD323" s="98"/>
      <c r="AE323" s="98"/>
      <c r="AF323" s="98"/>
      <c r="AG323" s="98"/>
      <c r="AH323" s="98"/>
      <c r="AI323" s="98"/>
      <c r="AJ323" s="98"/>
      <c r="AK323" s="94"/>
      <c r="AL323" s="94"/>
      <c r="AM323" s="94"/>
      <c r="AN323" s="94"/>
      <c r="AO323" s="94"/>
      <c r="AP323" s="94"/>
      <c r="AQ323" s="94"/>
      <c r="AR323" s="94"/>
    </row>
    <row r="324" spans="1:44" ht="12.75" customHeight="1">
      <c r="A324" s="93"/>
      <c r="B324" s="93" t="s">
        <v>368</v>
      </c>
      <c r="C324" s="94" t="s">
        <v>395</v>
      </c>
      <c r="D324" s="94">
        <v>1</v>
      </c>
      <c r="E324" s="94">
        <v>1</v>
      </c>
      <c r="F324" s="95">
        <f>V281+W281</f>
        <v>0</v>
      </c>
      <c r="G324" s="95"/>
      <c r="H324" s="95"/>
      <c r="I324" s="95">
        <f t="shared" si="332"/>
        <v>0</v>
      </c>
      <c r="J324" s="95"/>
      <c r="K324" s="94"/>
      <c r="L324" s="94"/>
      <c r="M324" s="94"/>
      <c r="N324" s="94"/>
      <c r="O324" s="96"/>
      <c r="P324" s="94"/>
      <c r="Q324" s="94"/>
      <c r="R324" s="98"/>
      <c r="S324" s="98"/>
      <c r="T324" s="98"/>
      <c r="U324" s="98"/>
      <c r="V324" s="98"/>
      <c r="W324" s="98"/>
      <c r="X324" s="98"/>
      <c r="Y324" s="98"/>
      <c r="Z324" s="98"/>
      <c r="AA324" s="98"/>
      <c r="AB324" s="98"/>
      <c r="AC324" s="98"/>
      <c r="AD324" s="98"/>
      <c r="AE324" s="98"/>
      <c r="AF324" s="98"/>
      <c r="AG324" s="98"/>
      <c r="AH324" s="98"/>
      <c r="AI324" s="98"/>
      <c r="AJ324" s="98"/>
      <c r="AK324" s="94"/>
      <c r="AL324" s="94"/>
      <c r="AM324" s="94"/>
      <c r="AN324" s="94"/>
      <c r="AO324" s="94"/>
      <c r="AP324" s="94"/>
      <c r="AQ324" s="94"/>
      <c r="AR324" s="94"/>
    </row>
    <row r="325" spans="1:44" ht="12.75" customHeight="1">
      <c r="A325" s="93"/>
      <c r="B325" s="93" t="s">
        <v>384</v>
      </c>
      <c r="C325" s="94" t="s">
        <v>396</v>
      </c>
      <c r="D325" s="94">
        <v>1</v>
      </c>
      <c r="E325" s="94">
        <v>1</v>
      </c>
      <c r="F325" s="95">
        <f>V287+W287</f>
        <v>0</v>
      </c>
      <c r="G325" s="95"/>
      <c r="H325" s="95"/>
      <c r="I325" s="95">
        <f t="shared" si="332"/>
        <v>0</v>
      </c>
      <c r="J325" s="95"/>
      <c r="K325" s="94"/>
      <c r="L325" s="94"/>
      <c r="M325" s="94"/>
      <c r="N325" s="94"/>
      <c r="O325" s="96"/>
      <c r="P325" s="94"/>
      <c r="Q325" s="94"/>
      <c r="R325" s="98"/>
      <c r="S325" s="98"/>
      <c r="T325" s="98"/>
      <c r="U325" s="98"/>
      <c r="V325" s="98"/>
      <c r="W325" s="98"/>
      <c r="X325" s="98"/>
      <c r="Y325" s="98"/>
      <c r="Z325" s="98"/>
      <c r="AA325" s="98"/>
      <c r="AB325" s="98"/>
      <c r="AC325" s="98"/>
      <c r="AD325" s="98"/>
      <c r="AE325" s="98"/>
      <c r="AF325" s="98"/>
      <c r="AG325" s="98"/>
      <c r="AH325" s="98"/>
      <c r="AI325" s="98"/>
      <c r="AJ325" s="98"/>
      <c r="AK325" s="94"/>
      <c r="AL325" s="94"/>
      <c r="AM325" s="94"/>
      <c r="AN325" s="94"/>
      <c r="AO325" s="94"/>
      <c r="AP325" s="94"/>
      <c r="AQ325" s="94"/>
      <c r="AR325" s="94"/>
    </row>
    <row r="326" spans="1:44" ht="12.75" customHeight="1">
      <c r="A326" s="93"/>
      <c r="B326" s="93" t="s">
        <v>337</v>
      </c>
      <c r="C326" s="94" t="s">
        <v>397</v>
      </c>
      <c r="D326" s="94">
        <v>1</v>
      </c>
      <c r="E326" s="94">
        <v>1</v>
      </c>
      <c r="F326" s="95">
        <f>V212+W212</f>
        <v>0</v>
      </c>
      <c r="G326" s="95"/>
      <c r="H326" s="95"/>
      <c r="I326" s="95">
        <f t="shared" si="332"/>
        <v>0</v>
      </c>
      <c r="J326" s="95"/>
      <c r="K326" s="94"/>
      <c r="L326" s="94"/>
      <c r="M326" s="94"/>
      <c r="N326" s="94"/>
      <c r="O326" s="96"/>
      <c r="P326" s="94"/>
      <c r="Q326" s="94"/>
      <c r="R326" s="98"/>
      <c r="S326" s="98"/>
      <c r="T326" s="98"/>
      <c r="U326" s="98"/>
      <c r="V326" s="98"/>
      <c r="W326" s="98"/>
      <c r="X326" s="98"/>
      <c r="Y326" s="98"/>
      <c r="Z326" s="98"/>
      <c r="AA326" s="98"/>
      <c r="AB326" s="98"/>
      <c r="AC326" s="98"/>
      <c r="AD326" s="98"/>
      <c r="AE326" s="98"/>
      <c r="AF326" s="98"/>
      <c r="AG326" s="98"/>
      <c r="AH326" s="98"/>
      <c r="AI326" s="98"/>
      <c r="AJ326" s="98"/>
      <c r="AK326" s="94"/>
      <c r="AL326" s="94"/>
      <c r="AM326" s="94"/>
      <c r="AN326" s="94"/>
      <c r="AO326" s="94"/>
      <c r="AP326" s="94"/>
      <c r="AQ326" s="94"/>
      <c r="AR326" s="94"/>
    </row>
    <row r="327" spans="1:44" ht="12.75" customHeight="1">
      <c r="A327" s="93"/>
      <c r="B327" s="93"/>
      <c r="C327" s="94"/>
      <c r="D327" s="94"/>
      <c r="E327" s="94"/>
      <c r="F327" s="95"/>
      <c r="G327" s="95"/>
      <c r="H327" s="95"/>
      <c r="I327" s="95"/>
      <c r="J327" s="95"/>
      <c r="K327" s="94"/>
      <c r="L327" s="94"/>
      <c r="M327" s="94"/>
      <c r="N327" s="94"/>
      <c r="O327" s="96"/>
      <c r="P327" s="94"/>
      <c r="Q327" s="94"/>
      <c r="R327" s="98"/>
      <c r="S327" s="98"/>
      <c r="T327" s="98"/>
      <c r="U327" s="98"/>
      <c r="V327" s="98"/>
      <c r="W327" s="98"/>
      <c r="X327" s="98"/>
      <c r="Y327" s="98"/>
      <c r="Z327" s="98"/>
      <c r="AA327" s="98"/>
      <c r="AB327" s="98"/>
      <c r="AC327" s="98"/>
      <c r="AD327" s="98"/>
      <c r="AE327" s="98"/>
      <c r="AF327" s="98"/>
      <c r="AG327" s="98"/>
      <c r="AH327" s="98"/>
      <c r="AI327" s="98"/>
      <c r="AJ327" s="98"/>
      <c r="AK327" s="94"/>
      <c r="AL327" s="94"/>
      <c r="AM327" s="94"/>
      <c r="AN327" s="94"/>
      <c r="AO327" s="94"/>
      <c r="AP327" s="94"/>
      <c r="AQ327" s="94"/>
      <c r="AR327" s="94"/>
    </row>
    <row r="328" spans="1:44" ht="12.75" customHeight="1">
      <c r="A328" s="99"/>
      <c r="B328" s="99" t="s">
        <v>194</v>
      </c>
      <c r="C328" s="100"/>
      <c r="D328" s="100"/>
      <c r="E328" s="100"/>
      <c r="F328" s="101"/>
      <c r="G328" s="101"/>
      <c r="H328" s="101"/>
      <c r="I328" s="101">
        <f>SUM(I319:I327)</f>
        <v>1555.7606000000003</v>
      </c>
      <c r="J328" s="95"/>
      <c r="K328" s="94"/>
      <c r="L328" s="94"/>
      <c r="M328" s="94"/>
      <c r="N328" s="94"/>
      <c r="O328" s="96"/>
      <c r="P328" s="94"/>
      <c r="Q328" s="94"/>
      <c r="R328" s="98"/>
      <c r="S328" s="98"/>
      <c r="T328" s="98"/>
      <c r="U328" s="98"/>
      <c r="V328" s="98"/>
      <c r="W328" s="98"/>
      <c r="X328" s="98"/>
      <c r="Y328" s="98"/>
      <c r="Z328" s="98"/>
      <c r="AA328" s="98"/>
      <c r="AB328" s="98"/>
      <c r="AC328" s="98"/>
      <c r="AD328" s="98"/>
      <c r="AE328" s="98"/>
      <c r="AF328" s="98"/>
      <c r="AG328" s="98"/>
      <c r="AH328" s="98"/>
      <c r="AI328" s="98"/>
      <c r="AJ328" s="98"/>
      <c r="AK328" s="94"/>
      <c r="AL328" s="94"/>
      <c r="AM328" s="94"/>
      <c r="AN328" s="94"/>
      <c r="AO328" s="94"/>
      <c r="AP328" s="94"/>
      <c r="AQ328" s="94"/>
      <c r="AR328" s="94"/>
    </row>
    <row r="329" spans="1:44" ht="12.75" customHeight="1">
      <c r="A329" s="93"/>
      <c r="B329" s="93"/>
      <c r="C329" s="94"/>
      <c r="D329" s="94"/>
      <c r="E329" s="94"/>
      <c r="F329" s="95"/>
      <c r="G329" s="95"/>
      <c r="H329" s="95"/>
      <c r="I329" s="95"/>
      <c r="J329" s="95"/>
      <c r="K329" s="94"/>
      <c r="L329" s="94"/>
      <c r="M329" s="94"/>
      <c r="N329" s="94"/>
      <c r="O329" s="96"/>
      <c r="P329" s="94"/>
      <c r="Q329" s="94"/>
      <c r="R329" s="98"/>
      <c r="S329" s="98"/>
      <c r="T329" s="98"/>
      <c r="U329" s="98"/>
      <c r="V329" s="98"/>
      <c r="W329" s="98"/>
      <c r="X329" s="98"/>
      <c r="Y329" s="98"/>
      <c r="Z329" s="98"/>
      <c r="AA329" s="98"/>
      <c r="AB329" s="98"/>
      <c r="AC329" s="98"/>
      <c r="AD329" s="98"/>
      <c r="AE329" s="98"/>
      <c r="AF329" s="98"/>
      <c r="AG329" s="98"/>
      <c r="AH329" s="98"/>
      <c r="AI329" s="98"/>
      <c r="AJ329" s="98"/>
      <c r="AK329" s="94"/>
      <c r="AL329" s="94"/>
      <c r="AM329" s="94"/>
      <c r="AN329" s="94"/>
      <c r="AO329" s="94"/>
      <c r="AP329" s="94"/>
      <c r="AQ329" s="94"/>
      <c r="AR329" s="94"/>
    </row>
    <row r="330" spans="1:44" ht="12.75" customHeight="1">
      <c r="A330" s="93"/>
      <c r="B330" s="93" t="s">
        <v>380</v>
      </c>
      <c r="C330" s="94" t="s">
        <v>398</v>
      </c>
      <c r="D330" s="94">
        <v>1</v>
      </c>
      <c r="E330" s="94">
        <v>1</v>
      </c>
      <c r="F330" s="95">
        <f>V136+W136</f>
        <v>74.056500000000014</v>
      </c>
      <c r="G330" s="95"/>
      <c r="H330" s="95"/>
      <c r="I330" s="95">
        <f>PRODUCT(D330:H330)</f>
        <v>74.056500000000014</v>
      </c>
      <c r="J330" s="95"/>
      <c r="K330" s="94"/>
      <c r="L330" s="94"/>
      <c r="M330" s="94"/>
      <c r="N330" s="94"/>
      <c r="O330" s="96"/>
      <c r="P330" s="94"/>
      <c r="Q330" s="94"/>
      <c r="R330" s="98"/>
      <c r="S330" s="98"/>
      <c r="T330" s="98"/>
      <c r="U330" s="98"/>
      <c r="V330" s="98"/>
      <c r="W330" s="98"/>
      <c r="X330" s="98"/>
      <c r="Y330" s="98"/>
      <c r="Z330" s="98"/>
      <c r="AA330" s="98"/>
      <c r="AB330" s="98"/>
      <c r="AC330" s="98"/>
      <c r="AD330" s="98"/>
      <c r="AE330" s="98"/>
      <c r="AF330" s="98"/>
      <c r="AG330" s="98"/>
      <c r="AH330" s="98"/>
      <c r="AI330" s="98"/>
      <c r="AJ330" s="98"/>
      <c r="AK330" s="94"/>
      <c r="AL330" s="94"/>
      <c r="AM330" s="94"/>
      <c r="AN330" s="94"/>
      <c r="AO330" s="94"/>
      <c r="AP330" s="94"/>
      <c r="AQ330" s="94"/>
      <c r="AR330" s="94"/>
    </row>
    <row r="331" spans="1:44" ht="12.75" customHeight="1">
      <c r="A331" s="93"/>
      <c r="B331" s="93"/>
      <c r="C331" s="94"/>
      <c r="D331" s="94"/>
      <c r="E331" s="94"/>
      <c r="F331" s="95"/>
      <c r="G331" s="95"/>
      <c r="H331" s="95"/>
      <c r="I331" s="95"/>
      <c r="J331" s="95"/>
      <c r="K331" s="94"/>
      <c r="L331" s="94"/>
      <c r="M331" s="94"/>
      <c r="N331" s="94"/>
      <c r="O331" s="96"/>
      <c r="P331" s="94"/>
      <c r="Q331" s="94"/>
      <c r="R331" s="98"/>
      <c r="S331" s="98"/>
      <c r="T331" s="98"/>
      <c r="U331" s="98"/>
      <c r="V331" s="98"/>
      <c r="W331" s="98"/>
      <c r="X331" s="98"/>
      <c r="Y331" s="98"/>
      <c r="Z331" s="98"/>
      <c r="AA331" s="98"/>
      <c r="AB331" s="98"/>
      <c r="AC331" s="98"/>
      <c r="AD331" s="98"/>
      <c r="AE331" s="98"/>
      <c r="AF331" s="98"/>
      <c r="AG331" s="98"/>
      <c r="AH331" s="98"/>
      <c r="AI331" s="98"/>
      <c r="AJ331" s="98"/>
      <c r="AK331" s="94"/>
      <c r="AL331" s="94"/>
      <c r="AM331" s="94"/>
      <c r="AN331" s="94"/>
      <c r="AO331" s="94"/>
      <c r="AP331" s="94"/>
      <c r="AQ331" s="94"/>
      <c r="AR331" s="94"/>
    </row>
    <row r="332" spans="1:44" ht="12.75" customHeight="1">
      <c r="A332" s="99"/>
      <c r="B332" s="99" t="s">
        <v>194</v>
      </c>
      <c r="C332" s="100"/>
      <c r="D332" s="100"/>
      <c r="E332" s="100"/>
      <c r="F332" s="101"/>
      <c r="G332" s="101"/>
      <c r="H332" s="101"/>
      <c r="I332" s="101">
        <f>SUM(I330:I331)</f>
        <v>74.056500000000014</v>
      </c>
      <c r="J332" s="95"/>
      <c r="K332" s="94"/>
      <c r="L332" s="94"/>
      <c r="M332" s="94"/>
      <c r="N332" s="94"/>
      <c r="O332" s="96"/>
      <c r="P332" s="94"/>
      <c r="Q332" s="94"/>
      <c r="R332" s="98"/>
      <c r="S332" s="98"/>
      <c r="T332" s="98"/>
      <c r="U332" s="98"/>
      <c r="V332" s="98"/>
      <c r="W332" s="98"/>
      <c r="X332" s="98"/>
      <c r="Y332" s="98"/>
      <c r="Z332" s="98"/>
      <c r="AA332" s="98"/>
      <c r="AB332" s="98"/>
      <c r="AC332" s="98"/>
      <c r="AD332" s="98"/>
      <c r="AE332" s="98"/>
      <c r="AF332" s="98"/>
      <c r="AG332" s="98"/>
      <c r="AH332" s="98"/>
      <c r="AI332" s="98"/>
      <c r="AJ332" s="98"/>
      <c r="AK332" s="94"/>
      <c r="AL332" s="94"/>
      <c r="AM332" s="94"/>
      <c r="AN332" s="94"/>
      <c r="AO332" s="94"/>
      <c r="AP332" s="94"/>
      <c r="AQ332" s="94"/>
      <c r="AR332" s="94"/>
    </row>
    <row r="333" spans="1:44" ht="12.75" customHeight="1">
      <c r="A333" s="93"/>
      <c r="B333" s="93"/>
      <c r="C333" s="94"/>
      <c r="D333" s="94"/>
      <c r="E333" s="94"/>
      <c r="F333" s="95"/>
      <c r="G333" s="95"/>
      <c r="H333" s="95"/>
      <c r="I333" s="95"/>
      <c r="J333" s="95"/>
      <c r="K333" s="94"/>
      <c r="L333" s="94"/>
      <c r="M333" s="94"/>
      <c r="N333" s="94"/>
      <c r="O333" s="96"/>
      <c r="P333" s="94"/>
      <c r="Q333" s="94"/>
      <c r="R333" s="98"/>
      <c r="S333" s="98"/>
      <c r="T333" s="98"/>
      <c r="U333" s="98"/>
      <c r="V333" s="98"/>
      <c r="W333" s="98"/>
      <c r="X333" s="98"/>
      <c r="Y333" s="98"/>
      <c r="Z333" s="98"/>
      <c r="AA333" s="98"/>
      <c r="AB333" s="98"/>
      <c r="AC333" s="98"/>
      <c r="AD333" s="98"/>
      <c r="AE333" s="98"/>
      <c r="AF333" s="98"/>
      <c r="AG333" s="98"/>
      <c r="AH333" s="98"/>
      <c r="AI333" s="98"/>
      <c r="AJ333" s="98"/>
      <c r="AK333" s="94"/>
      <c r="AL333" s="94"/>
      <c r="AM333" s="94"/>
      <c r="AN333" s="94"/>
      <c r="AO333" s="94"/>
      <c r="AP333" s="94"/>
      <c r="AQ333" s="94"/>
      <c r="AR333" s="94"/>
    </row>
    <row r="334" spans="1:44" ht="12.75" customHeight="1">
      <c r="A334" s="93"/>
      <c r="B334" s="93" t="s">
        <v>399</v>
      </c>
      <c r="C334" s="94"/>
      <c r="D334" s="94"/>
      <c r="E334" s="94"/>
      <c r="F334" s="95"/>
      <c r="G334" s="95"/>
      <c r="H334" s="95"/>
      <c r="I334" s="95"/>
      <c r="J334" s="95"/>
      <c r="K334" s="94"/>
      <c r="L334" s="94"/>
      <c r="M334" s="94"/>
      <c r="N334" s="94"/>
      <c r="O334" s="96"/>
      <c r="P334" s="94"/>
      <c r="Q334" s="94"/>
      <c r="R334" s="98"/>
      <c r="S334" s="98"/>
      <c r="T334" s="98"/>
      <c r="U334" s="98"/>
      <c r="V334" s="98"/>
      <c r="W334" s="98"/>
      <c r="X334" s="98"/>
      <c r="Y334" s="98"/>
      <c r="Z334" s="98"/>
      <c r="AA334" s="98"/>
      <c r="AB334" s="98"/>
      <c r="AC334" s="98"/>
      <c r="AD334" s="98"/>
      <c r="AE334" s="98"/>
      <c r="AF334" s="98"/>
      <c r="AG334" s="98"/>
      <c r="AH334" s="98"/>
      <c r="AI334" s="98"/>
      <c r="AJ334" s="98"/>
      <c r="AK334" s="94"/>
      <c r="AL334" s="94"/>
      <c r="AM334" s="94"/>
      <c r="AN334" s="94"/>
      <c r="AO334" s="94"/>
      <c r="AP334" s="94"/>
      <c r="AQ334" s="94"/>
      <c r="AR334" s="94"/>
    </row>
    <row r="335" spans="1:44" ht="12.75" customHeight="1">
      <c r="A335" s="93"/>
      <c r="B335" s="93" t="s">
        <v>158</v>
      </c>
      <c r="C335" s="94"/>
      <c r="D335" s="94"/>
      <c r="E335" s="94"/>
      <c r="F335" s="95"/>
      <c r="G335" s="95"/>
      <c r="H335" s="95"/>
      <c r="I335" s="95"/>
      <c r="J335" s="95"/>
      <c r="K335" s="94"/>
      <c r="L335" s="94"/>
      <c r="M335" s="94"/>
      <c r="N335" s="94"/>
      <c r="O335" s="96"/>
      <c r="P335" s="94"/>
      <c r="Q335" s="94"/>
      <c r="R335" s="98"/>
      <c r="S335" s="98"/>
      <c r="T335" s="98"/>
      <c r="U335" s="98"/>
      <c r="V335" s="98"/>
      <c r="W335" s="98"/>
      <c r="X335" s="98"/>
      <c r="Y335" s="98"/>
      <c r="Z335" s="98"/>
      <c r="AA335" s="98"/>
      <c r="AB335" s="98"/>
      <c r="AC335" s="98"/>
      <c r="AD335" s="98"/>
      <c r="AE335" s="98"/>
      <c r="AF335" s="98"/>
      <c r="AG335" s="98"/>
      <c r="AH335" s="98"/>
      <c r="AI335" s="98"/>
      <c r="AJ335" s="98"/>
      <c r="AK335" s="94"/>
      <c r="AL335" s="94"/>
      <c r="AM335" s="94"/>
      <c r="AN335" s="94"/>
      <c r="AO335" s="94"/>
      <c r="AP335" s="94"/>
      <c r="AQ335" s="94"/>
      <c r="AR335" s="94"/>
    </row>
    <row r="336" spans="1:44" ht="12.75" customHeight="1">
      <c r="A336" s="93"/>
      <c r="B336" s="93" t="s">
        <v>386</v>
      </c>
      <c r="C336" s="94" t="s">
        <v>400</v>
      </c>
      <c r="D336" s="94">
        <v>1</v>
      </c>
      <c r="E336" s="94">
        <v>1</v>
      </c>
      <c r="F336" s="95">
        <f>T31+U31</f>
        <v>23.286000000000001</v>
      </c>
      <c r="G336" s="95"/>
      <c r="H336" s="95"/>
      <c r="I336" s="95">
        <f t="shared" ref="I336:I340" si="333">PRODUCT(D336:H336)</f>
        <v>23.286000000000001</v>
      </c>
      <c r="J336" s="95"/>
      <c r="K336" s="94"/>
      <c r="L336" s="94"/>
      <c r="M336" s="94"/>
      <c r="N336" s="94"/>
      <c r="O336" s="96"/>
      <c r="P336" s="94"/>
      <c r="Q336" s="94"/>
      <c r="R336" s="98"/>
      <c r="S336" s="98"/>
      <c r="T336" s="98"/>
      <c r="U336" s="98"/>
      <c r="V336" s="98"/>
      <c r="W336" s="98"/>
      <c r="X336" s="98"/>
      <c r="Y336" s="98"/>
      <c r="Z336" s="98"/>
      <c r="AA336" s="98"/>
      <c r="AB336" s="98"/>
      <c r="AC336" s="98"/>
      <c r="AD336" s="98"/>
      <c r="AE336" s="98"/>
      <c r="AF336" s="98"/>
      <c r="AG336" s="98"/>
      <c r="AH336" s="98"/>
      <c r="AI336" s="98"/>
      <c r="AJ336" s="98"/>
      <c r="AK336" s="94"/>
      <c r="AL336" s="94"/>
      <c r="AM336" s="94"/>
      <c r="AN336" s="94"/>
      <c r="AO336" s="94"/>
      <c r="AP336" s="94"/>
      <c r="AQ336" s="94"/>
      <c r="AR336" s="94"/>
    </row>
    <row r="337" spans="1:44" ht="12.75" customHeight="1">
      <c r="A337" s="93"/>
      <c r="B337" s="93" t="s">
        <v>392</v>
      </c>
      <c r="C337" s="94" t="s">
        <v>401</v>
      </c>
      <c r="D337" s="94">
        <v>1</v>
      </c>
      <c r="E337" s="94">
        <v>1</v>
      </c>
      <c r="F337" s="95">
        <f>T127+U127</f>
        <v>0</v>
      </c>
      <c r="G337" s="95"/>
      <c r="H337" s="95"/>
      <c r="I337" s="95">
        <f t="shared" si="333"/>
        <v>0</v>
      </c>
      <c r="J337" s="95"/>
      <c r="K337" s="94"/>
      <c r="L337" s="94"/>
      <c r="M337" s="94"/>
      <c r="N337" s="94"/>
      <c r="O337" s="96"/>
      <c r="P337" s="94"/>
      <c r="Q337" s="94"/>
      <c r="R337" s="98"/>
      <c r="S337" s="98"/>
      <c r="T337" s="98"/>
      <c r="U337" s="98"/>
      <c r="V337" s="98"/>
      <c r="W337" s="98"/>
      <c r="X337" s="98"/>
      <c r="Y337" s="98"/>
      <c r="Z337" s="98"/>
      <c r="AA337" s="98"/>
      <c r="AB337" s="98"/>
      <c r="AC337" s="98"/>
      <c r="AD337" s="98"/>
      <c r="AE337" s="98"/>
      <c r="AF337" s="98"/>
      <c r="AG337" s="98"/>
      <c r="AH337" s="98"/>
      <c r="AI337" s="98"/>
      <c r="AJ337" s="98"/>
      <c r="AK337" s="94"/>
      <c r="AL337" s="94"/>
      <c r="AM337" s="94"/>
      <c r="AN337" s="94"/>
      <c r="AO337" s="94"/>
      <c r="AP337" s="94"/>
      <c r="AQ337" s="94"/>
      <c r="AR337" s="94"/>
    </row>
    <row r="338" spans="1:44" ht="12.75" customHeight="1">
      <c r="A338" s="93"/>
      <c r="B338" s="93" t="s">
        <v>135</v>
      </c>
      <c r="C338" s="94" t="s">
        <v>402</v>
      </c>
      <c r="D338" s="94">
        <v>1</v>
      </c>
      <c r="E338" s="94">
        <v>1</v>
      </c>
      <c r="F338" s="95">
        <f>T276+U276</f>
        <v>0</v>
      </c>
      <c r="G338" s="95"/>
      <c r="H338" s="95"/>
      <c r="I338" s="95">
        <f t="shared" si="333"/>
        <v>0</v>
      </c>
      <c r="J338" s="95"/>
      <c r="K338" s="94"/>
      <c r="L338" s="94"/>
      <c r="M338" s="94"/>
      <c r="N338" s="94"/>
      <c r="O338" s="96"/>
      <c r="P338" s="94"/>
      <c r="Q338" s="94"/>
      <c r="R338" s="98"/>
      <c r="S338" s="98"/>
      <c r="T338" s="98"/>
      <c r="U338" s="98"/>
      <c r="V338" s="98"/>
      <c r="W338" s="98"/>
      <c r="X338" s="98"/>
      <c r="Y338" s="98"/>
      <c r="Z338" s="98"/>
      <c r="AA338" s="98"/>
      <c r="AB338" s="98"/>
      <c r="AC338" s="98"/>
      <c r="AD338" s="98"/>
      <c r="AE338" s="98"/>
      <c r="AF338" s="98"/>
      <c r="AG338" s="98"/>
      <c r="AH338" s="98"/>
      <c r="AI338" s="98"/>
      <c r="AJ338" s="98"/>
      <c r="AK338" s="94"/>
      <c r="AL338" s="94"/>
      <c r="AM338" s="94"/>
      <c r="AN338" s="94"/>
      <c r="AO338" s="94"/>
      <c r="AP338" s="94"/>
      <c r="AQ338" s="94"/>
      <c r="AR338" s="94"/>
    </row>
    <row r="339" spans="1:44" ht="12.75" customHeight="1">
      <c r="A339" s="93"/>
      <c r="B339" s="93" t="s">
        <v>368</v>
      </c>
      <c r="C339" s="94" t="s">
        <v>403</v>
      </c>
      <c r="D339" s="94">
        <v>1</v>
      </c>
      <c r="E339" s="94">
        <v>1</v>
      </c>
      <c r="F339" s="95">
        <f>T281+U281</f>
        <v>0</v>
      </c>
      <c r="G339" s="95"/>
      <c r="H339" s="95"/>
      <c r="I339" s="95">
        <f t="shared" si="333"/>
        <v>0</v>
      </c>
      <c r="J339" s="95"/>
      <c r="K339" s="94"/>
      <c r="L339" s="94"/>
      <c r="M339" s="94"/>
      <c r="N339" s="94"/>
      <c r="O339" s="96"/>
      <c r="P339" s="94"/>
      <c r="Q339" s="94"/>
      <c r="R339" s="98"/>
      <c r="S339" s="98"/>
      <c r="T339" s="98"/>
      <c r="U339" s="98"/>
      <c r="V339" s="98"/>
      <c r="W339" s="98"/>
      <c r="X339" s="98"/>
      <c r="Y339" s="98"/>
      <c r="Z339" s="98"/>
      <c r="AA339" s="98"/>
      <c r="AB339" s="98"/>
      <c r="AC339" s="98"/>
      <c r="AD339" s="98"/>
      <c r="AE339" s="98"/>
      <c r="AF339" s="98"/>
      <c r="AG339" s="98"/>
      <c r="AH339" s="98"/>
      <c r="AI339" s="98"/>
      <c r="AJ339" s="98"/>
      <c r="AK339" s="94"/>
      <c r="AL339" s="94"/>
      <c r="AM339" s="94"/>
      <c r="AN339" s="94"/>
      <c r="AO339" s="94"/>
      <c r="AP339" s="94"/>
      <c r="AQ339" s="94"/>
      <c r="AR339" s="94"/>
    </row>
    <row r="340" spans="1:44" ht="12.75" customHeight="1">
      <c r="A340" s="93"/>
      <c r="B340" s="93" t="s">
        <v>384</v>
      </c>
      <c r="C340" s="94" t="s">
        <v>404</v>
      </c>
      <c r="D340" s="94">
        <v>1</v>
      </c>
      <c r="E340" s="94">
        <v>1</v>
      </c>
      <c r="F340" s="95">
        <f>T287+U287</f>
        <v>0</v>
      </c>
      <c r="G340" s="95"/>
      <c r="H340" s="95"/>
      <c r="I340" s="95">
        <f t="shared" si="333"/>
        <v>0</v>
      </c>
      <c r="J340" s="95"/>
      <c r="K340" s="94"/>
      <c r="L340" s="94"/>
      <c r="M340" s="94"/>
      <c r="N340" s="94"/>
      <c r="O340" s="96"/>
      <c r="P340" s="94"/>
      <c r="Q340" s="94"/>
      <c r="R340" s="98"/>
      <c r="S340" s="98"/>
      <c r="T340" s="98"/>
      <c r="U340" s="98"/>
      <c r="V340" s="98"/>
      <c r="W340" s="98"/>
      <c r="X340" s="98"/>
      <c r="Y340" s="98"/>
      <c r="Z340" s="98"/>
      <c r="AA340" s="98"/>
      <c r="AB340" s="98"/>
      <c r="AC340" s="98"/>
      <c r="AD340" s="98"/>
      <c r="AE340" s="98"/>
      <c r="AF340" s="98"/>
      <c r="AG340" s="98"/>
      <c r="AH340" s="98"/>
      <c r="AI340" s="98"/>
      <c r="AJ340" s="98"/>
      <c r="AK340" s="94"/>
      <c r="AL340" s="94"/>
      <c r="AM340" s="94"/>
      <c r="AN340" s="94"/>
      <c r="AO340" s="94"/>
      <c r="AP340" s="94"/>
      <c r="AQ340" s="94"/>
      <c r="AR340" s="94"/>
    </row>
    <row r="341" spans="1:44" ht="12.75" customHeight="1">
      <c r="A341" s="93"/>
      <c r="B341" s="93"/>
      <c r="C341" s="94"/>
      <c r="D341" s="94"/>
      <c r="E341" s="94"/>
      <c r="F341" s="95"/>
      <c r="G341" s="95"/>
      <c r="H341" s="95"/>
      <c r="I341" s="95"/>
      <c r="J341" s="95"/>
      <c r="K341" s="94"/>
      <c r="L341" s="94"/>
      <c r="M341" s="94"/>
      <c r="N341" s="94"/>
      <c r="O341" s="96"/>
      <c r="P341" s="94"/>
      <c r="Q341" s="94"/>
      <c r="R341" s="98"/>
      <c r="S341" s="98"/>
      <c r="T341" s="98"/>
      <c r="U341" s="98"/>
      <c r="V341" s="98"/>
      <c r="W341" s="98"/>
      <c r="X341" s="98"/>
      <c r="Y341" s="98"/>
      <c r="Z341" s="98"/>
      <c r="AA341" s="98"/>
      <c r="AB341" s="98"/>
      <c r="AC341" s="98"/>
      <c r="AD341" s="98"/>
      <c r="AE341" s="98"/>
      <c r="AF341" s="98"/>
      <c r="AG341" s="98"/>
      <c r="AH341" s="98"/>
      <c r="AI341" s="98"/>
      <c r="AJ341" s="98"/>
      <c r="AK341" s="94"/>
      <c r="AL341" s="94"/>
      <c r="AM341" s="94"/>
      <c r="AN341" s="94"/>
      <c r="AO341" s="94"/>
      <c r="AP341" s="94"/>
      <c r="AQ341" s="94"/>
      <c r="AR341" s="94"/>
    </row>
    <row r="342" spans="1:44" ht="12.75" customHeight="1">
      <c r="A342" s="99"/>
      <c r="B342" s="99" t="s">
        <v>194</v>
      </c>
      <c r="C342" s="100"/>
      <c r="D342" s="100"/>
      <c r="E342" s="100"/>
      <c r="F342" s="101"/>
      <c r="G342" s="101"/>
      <c r="H342" s="101"/>
      <c r="I342" s="101">
        <f>SUM(I336:I341)</f>
        <v>23.286000000000001</v>
      </c>
      <c r="J342" s="95"/>
      <c r="K342" s="94"/>
      <c r="L342" s="94"/>
      <c r="M342" s="94"/>
      <c r="N342" s="94"/>
      <c r="O342" s="96"/>
      <c r="P342" s="94"/>
      <c r="Q342" s="94"/>
      <c r="R342" s="98"/>
      <c r="S342" s="98"/>
      <c r="T342" s="98"/>
      <c r="U342" s="98"/>
      <c r="V342" s="98"/>
      <c r="W342" s="98"/>
      <c r="X342" s="98"/>
      <c r="Y342" s="98"/>
      <c r="Z342" s="98"/>
      <c r="AA342" s="98"/>
      <c r="AB342" s="98"/>
      <c r="AC342" s="98"/>
      <c r="AD342" s="98"/>
      <c r="AE342" s="98"/>
      <c r="AF342" s="98"/>
      <c r="AG342" s="98"/>
      <c r="AH342" s="98"/>
      <c r="AI342" s="98"/>
      <c r="AJ342" s="98"/>
      <c r="AK342" s="94"/>
      <c r="AL342" s="94"/>
      <c r="AM342" s="94"/>
      <c r="AN342" s="94"/>
      <c r="AO342" s="94"/>
      <c r="AP342" s="94"/>
      <c r="AQ342" s="94"/>
      <c r="AR342" s="94"/>
    </row>
    <row r="343" spans="1:44" ht="12.75" customHeight="1">
      <c r="A343" s="87"/>
      <c r="B343" s="87"/>
      <c r="C343" s="88"/>
      <c r="D343" s="88"/>
      <c r="E343" s="88"/>
      <c r="F343" s="89"/>
      <c r="G343" s="89"/>
      <c r="H343" s="89"/>
      <c r="I343" s="89"/>
      <c r="J343" s="89"/>
      <c r="K343" s="88"/>
      <c r="L343" s="88"/>
      <c r="M343" s="88"/>
      <c r="N343" s="88"/>
      <c r="O343" s="90"/>
      <c r="P343" s="88"/>
      <c r="Q343" s="88"/>
      <c r="R343" s="92"/>
      <c r="S343" s="92"/>
      <c r="T343" s="92"/>
      <c r="U343" s="92"/>
      <c r="V343" s="92"/>
      <c r="W343" s="92"/>
      <c r="X343" s="92"/>
      <c r="Y343" s="92"/>
      <c r="Z343" s="92"/>
      <c r="AA343" s="92"/>
      <c r="AB343" s="92"/>
      <c r="AC343" s="92"/>
      <c r="AD343" s="92"/>
      <c r="AE343" s="92"/>
      <c r="AF343" s="92"/>
      <c r="AG343" s="92"/>
      <c r="AH343" s="92"/>
      <c r="AI343" s="92"/>
      <c r="AJ343" s="92"/>
      <c r="AK343" s="88"/>
      <c r="AL343" s="88"/>
      <c r="AM343" s="88"/>
      <c r="AN343" s="88"/>
      <c r="AO343" s="88"/>
      <c r="AP343" s="88"/>
      <c r="AQ343" s="88"/>
      <c r="AR343" s="88"/>
    </row>
    <row r="344" spans="1:44" ht="12.75" customHeight="1">
      <c r="A344" s="93"/>
      <c r="B344" s="93" t="s">
        <v>160</v>
      </c>
      <c r="C344" s="94"/>
      <c r="D344" s="94"/>
      <c r="E344" s="94"/>
      <c r="F344" s="95"/>
      <c r="G344" s="95"/>
      <c r="H344" s="95"/>
      <c r="I344" s="95"/>
      <c r="J344" s="95"/>
      <c r="K344" s="94"/>
      <c r="L344" s="94"/>
      <c r="M344" s="94"/>
      <c r="N344" s="94"/>
      <c r="O344" s="96"/>
      <c r="P344" s="94"/>
      <c r="Q344" s="94"/>
      <c r="R344" s="98"/>
      <c r="S344" s="98"/>
      <c r="T344" s="98"/>
      <c r="U344" s="98"/>
      <c r="V344" s="98"/>
      <c r="W344" s="98"/>
      <c r="X344" s="98"/>
      <c r="Y344" s="98"/>
      <c r="Z344" s="98"/>
      <c r="AA344" s="98"/>
      <c r="AB344" s="98"/>
      <c r="AC344" s="98"/>
      <c r="AD344" s="98"/>
      <c r="AE344" s="98"/>
      <c r="AF344" s="98"/>
      <c r="AG344" s="98"/>
      <c r="AH344" s="98"/>
      <c r="AI344" s="98"/>
      <c r="AJ344" s="98"/>
      <c r="AK344" s="94"/>
      <c r="AL344" s="94"/>
      <c r="AM344" s="94"/>
      <c r="AN344" s="94"/>
      <c r="AO344" s="94"/>
      <c r="AP344" s="94"/>
      <c r="AQ344" s="94"/>
      <c r="AR344" s="94"/>
    </row>
    <row r="345" spans="1:44" ht="12.75" customHeight="1">
      <c r="A345" s="93"/>
      <c r="B345" s="93" t="s">
        <v>386</v>
      </c>
      <c r="C345" s="94" t="s">
        <v>405</v>
      </c>
      <c r="D345" s="94">
        <v>1</v>
      </c>
      <c r="E345" s="94">
        <v>1</v>
      </c>
      <c r="F345" s="95">
        <f>X31+Y31</f>
        <v>184.84800000000001</v>
      </c>
      <c r="G345" s="95"/>
      <c r="H345" s="95"/>
      <c r="I345" s="95">
        <f t="shared" ref="I345:I352" si="334">PRODUCT(D345:H345)</f>
        <v>184.84800000000001</v>
      </c>
      <c r="J345" s="95"/>
      <c r="K345" s="94"/>
      <c r="L345" s="94"/>
      <c r="M345" s="94"/>
      <c r="N345" s="94"/>
      <c r="O345" s="96"/>
      <c r="P345" s="94"/>
      <c r="Q345" s="94"/>
      <c r="R345" s="98"/>
      <c r="S345" s="98"/>
      <c r="T345" s="98"/>
      <c r="U345" s="98"/>
      <c r="V345" s="98"/>
      <c r="W345" s="98"/>
      <c r="X345" s="98"/>
      <c r="Y345" s="98"/>
      <c r="Z345" s="98"/>
      <c r="AA345" s="98"/>
      <c r="AB345" s="98"/>
      <c r="AC345" s="98"/>
      <c r="AD345" s="98"/>
      <c r="AE345" s="98"/>
      <c r="AF345" s="98"/>
      <c r="AG345" s="98"/>
      <c r="AH345" s="98"/>
      <c r="AI345" s="98"/>
      <c r="AJ345" s="98"/>
      <c r="AK345" s="94"/>
      <c r="AL345" s="94"/>
      <c r="AM345" s="94"/>
      <c r="AN345" s="94"/>
      <c r="AO345" s="94"/>
      <c r="AP345" s="94"/>
      <c r="AQ345" s="94"/>
      <c r="AR345" s="94"/>
    </row>
    <row r="346" spans="1:44" ht="12.75" customHeight="1">
      <c r="A346" s="93"/>
      <c r="B346" s="93" t="s">
        <v>406</v>
      </c>
      <c r="C346" s="94" t="s">
        <v>407</v>
      </c>
      <c r="D346" s="94">
        <v>1</v>
      </c>
      <c r="E346" s="94">
        <v>1</v>
      </c>
      <c r="F346" s="95">
        <f>X43+Y43</f>
        <v>448.9500000000001</v>
      </c>
      <c r="G346" s="95"/>
      <c r="H346" s="95"/>
      <c r="I346" s="95">
        <f t="shared" si="334"/>
        <v>448.9500000000001</v>
      </c>
      <c r="J346" s="95"/>
      <c r="K346" s="94"/>
      <c r="L346" s="94"/>
      <c r="M346" s="94"/>
      <c r="N346" s="94"/>
      <c r="O346" s="96"/>
      <c r="P346" s="94"/>
      <c r="Q346" s="94"/>
      <c r="R346" s="98"/>
      <c r="S346" s="98"/>
      <c r="T346" s="98"/>
      <c r="U346" s="98"/>
      <c r="V346" s="98"/>
      <c r="W346" s="98"/>
      <c r="X346" s="98"/>
      <c r="Y346" s="98"/>
      <c r="Z346" s="98"/>
      <c r="AA346" s="98"/>
      <c r="AB346" s="98"/>
      <c r="AC346" s="98"/>
      <c r="AD346" s="98"/>
      <c r="AE346" s="98"/>
      <c r="AF346" s="98"/>
      <c r="AG346" s="98"/>
      <c r="AH346" s="98"/>
      <c r="AI346" s="98"/>
      <c r="AJ346" s="98"/>
      <c r="AK346" s="94"/>
      <c r="AL346" s="94"/>
      <c r="AM346" s="94"/>
      <c r="AN346" s="94"/>
      <c r="AO346" s="94"/>
      <c r="AP346" s="94"/>
      <c r="AQ346" s="94"/>
      <c r="AR346" s="94"/>
    </row>
    <row r="347" spans="1:44" ht="12.75" customHeight="1">
      <c r="A347" s="93"/>
      <c r="B347" s="128" t="s">
        <v>408</v>
      </c>
      <c r="C347" s="94" t="s">
        <v>409</v>
      </c>
      <c r="D347" s="94">
        <v>-1</v>
      </c>
      <c r="E347" s="94">
        <v>1</v>
      </c>
      <c r="F347" s="95">
        <f>(0.3*36)+(0.2*8)</f>
        <v>12.399999999999999</v>
      </c>
      <c r="G347" s="95"/>
      <c r="H347" s="95">
        <v>5.6</v>
      </c>
      <c r="I347" s="95">
        <f t="shared" si="334"/>
        <v>-69.439999999999984</v>
      </c>
      <c r="J347" s="95"/>
      <c r="K347" s="94"/>
      <c r="L347" s="94"/>
      <c r="M347" s="94"/>
      <c r="N347" s="94"/>
      <c r="O347" s="96"/>
      <c r="P347" s="94"/>
      <c r="Q347" s="94"/>
      <c r="R347" s="98"/>
      <c r="S347" s="98"/>
      <c r="T347" s="98"/>
      <c r="U347" s="98"/>
      <c r="V347" s="98"/>
      <c r="W347" s="98"/>
      <c r="X347" s="98"/>
      <c r="Y347" s="98"/>
      <c r="Z347" s="98"/>
      <c r="AA347" s="98"/>
      <c r="AB347" s="98"/>
      <c r="AC347" s="98"/>
      <c r="AD347" s="98"/>
      <c r="AE347" s="98"/>
      <c r="AF347" s="98"/>
      <c r="AG347" s="98"/>
      <c r="AH347" s="98"/>
      <c r="AI347" s="98"/>
      <c r="AJ347" s="98"/>
      <c r="AK347" s="94"/>
      <c r="AL347" s="94"/>
      <c r="AM347" s="94"/>
      <c r="AN347" s="94"/>
      <c r="AO347" s="94"/>
      <c r="AP347" s="94"/>
      <c r="AQ347" s="94"/>
      <c r="AR347" s="94"/>
    </row>
    <row r="348" spans="1:44" ht="12.75" customHeight="1">
      <c r="A348" s="93"/>
      <c r="B348" s="117" t="s">
        <v>68</v>
      </c>
      <c r="C348" s="46" t="s">
        <v>410</v>
      </c>
      <c r="D348" s="46">
        <v>1</v>
      </c>
      <c r="E348" s="46">
        <v>1</v>
      </c>
      <c r="F348" s="50">
        <f>X100+Y100</f>
        <v>1856.9899999999998</v>
      </c>
      <c r="G348" s="50"/>
      <c r="H348" s="50"/>
      <c r="I348" s="50">
        <f t="shared" si="334"/>
        <v>1856.9899999999998</v>
      </c>
      <c r="J348" s="95"/>
      <c r="K348" s="94"/>
      <c r="L348" s="94"/>
      <c r="M348" s="94"/>
      <c r="N348" s="94"/>
      <c r="O348" s="96"/>
      <c r="P348" s="94"/>
      <c r="Q348" s="94"/>
      <c r="R348" s="98"/>
      <c r="S348" s="98"/>
      <c r="T348" s="98"/>
      <c r="U348" s="98"/>
      <c r="V348" s="98"/>
      <c r="W348" s="98"/>
      <c r="X348" s="98"/>
      <c r="Y348" s="98"/>
      <c r="Z348" s="98"/>
      <c r="AA348" s="98"/>
      <c r="AB348" s="98"/>
      <c r="AC348" s="98"/>
      <c r="AD348" s="98"/>
      <c r="AE348" s="98"/>
      <c r="AF348" s="98"/>
      <c r="AG348" s="98"/>
      <c r="AH348" s="98"/>
      <c r="AI348" s="98"/>
      <c r="AJ348" s="98"/>
      <c r="AK348" s="94"/>
      <c r="AL348" s="94"/>
      <c r="AM348" s="94"/>
      <c r="AN348" s="94"/>
      <c r="AO348" s="94"/>
      <c r="AP348" s="94"/>
      <c r="AQ348" s="94"/>
      <c r="AR348" s="94"/>
    </row>
    <row r="349" spans="1:44" ht="12.75" customHeight="1">
      <c r="A349" s="93"/>
      <c r="B349" s="93" t="s">
        <v>392</v>
      </c>
      <c r="C349" s="94" t="s">
        <v>411</v>
      </c>
      <c r="D349" s="94">
        <v>1</v>
      </c>
      <c r="E349" s="94">
        <v>1</v>
      </c>
      <c r="F349" s="95">
        <f>X127+Y127</f>
        <v>63.516000000000005</v>
      </c>
      <c r="G349" s="95"/>
      <c r="H349" s="95"/>
      <c r="I349" s="95">
        <f t="shared" si="334"/>
        <v>63.516000000000005</v>
      </c>
      <c r="J349" s="95"/>
      <c r="K349" s="94"/>
      <c r="L349" s="94"/>
      <c r="M349" s="94"/>
      <c r="N349" s="94"/>
      <c r="O349" s="96"/>
      <c r="P349" s="94"/>
      <c r="Q349" s="94"/>
      <c r="R349" s="98"/>
      <c r="S349" s="98"/>
      <c r="T349" s="98"/>
      <c r="U349" s="98"/>
      <c r="V349" s="98"/>
      <c r="W349" s="98"/>
      <c r="X349" s="98"/>
      <c r="Y349" s="98"/>
      <c r="Z349" s="98"/>
      <c r="AA349" s="98"/>
      <c r="AB349" s="98"/>
      <c r="AC349" s="98"/>
      <c r="AD349" s="98"/>
      <c r="AE349" s="98"/>
      <c r="AF349" s="98"/>
      <c r="AG349" s="98"/>
      <c r="AH349" s="98"/>
      <c r="AI349" s="98"/>
      <c r="AJ349" s="98"/>
      <c r="AK349" s="94"/>
      <c r="AL349" s="94"/>
      <c r="AM349" s="94"/>
      <c r="AN349" s="94"/>
      <c r="AO349" s="94"/>
      <c r="AP349" s="94"/>
      <c r="AQ349" s="94"/>
      <c r="AR349" s="94"/>
    </row>
    <row r="350" spans="1:44" ht="12.75" customHeight="1">
      <c r="A350" s="93"/>
      <c r="B350" s="93" t="s">
        <v>135</v>
      </c>
      <c r="C350" s="94" t="s">
        <v>412</v>
      </c>
      <c r="D350" s="94">
        <v>1</v>
      </c>
      <c r="E350" s="94">
        <v>1</v>
      </c>
      <c r="F350" s="95">
        <f>X276+Y276</f>
        <v>0</v>
      </c>
      <c r="G350" s="95"/>
      <c r="H350" s="95"/>
      <c r="I350" s="95">
        <f t="shared" si="334"/>
        <v>0</v>
      </c>
      <c r="J350" s="95"/>
      <c r="K350" s="94"/>
      <c r="L350" s="94"/>
      <c r="M350" s="94"/>
      <c r="N350" s="94"/>
      <c r="O350" s="96"/>
      <c r="P350" s="94"/>
      <c r="Q350" s="94"/>
      <c r="R350" s="98"/>
      <c r="S350" s="98"/>
      <c r="T350" s="98"/>
      <c r="U350" s="98"/>
      <c r="V350" s="98"/>
      <c r="W350" s="98"/>
      <c r="X350" s="98"/>
      <c r="Y350" s="98"/>
      <c r="Z350" s="98"/>
      <c r="AA350" s="98"/>
      <c r="AB350" s="98"/>
      <c r="AC350" s="98"/>
      <c r="AD350" s="98"/>
      <c r="AE350" s="98"/>
      <c r="AF350" s="98"/>
      <c r="AG350" s="98"/>
      <c r="AH350" s="98"/>
      <c r="AI350" s="98"/>
      <c r="AJ350" s="98"/>
      <c r="AK350" s="94"/>
      <c r="AL350" s="94"/>
      <c r="AM350" s="94"/>
      <c r="AN350" s="94"/>
      <c r="AO350" s="94"/>
      <c r="AP350" s="94"/>
      <c r="AQ350" s="94"/>
      <c r="AR350" s="94"/>
    </row>
    <row r="351" spans="1:44" ht="12.75" customHeight="1">
      <c r="A351" s="93"/>
      <c r="B351" s="93" t="s">
        <v>368</v>
      </c>
      <c r="C351" s="94" t="s">
        <v>413</v>
      </c>
      <c r="D351" s="94">
        <v>1</v>
      </c>
      <c r="E351" s="94">
        <v>1</v>
      </c>
      <c r="F351" s="95">
        <f>X281+Y281</f>
        <v>0</v>
      </c>
      <c r="G351" s="95"/>
      <c r="H351" s="95"/>
      <c r="I351" s="95">
        <f t="shared" si="334"/>
        <v>0</v>
      </c>
      <c r="J351" s="95"/>
      <c r="K351" s="94"/>
      <c r="L351" s="94"/>
      <c r="M351" s="94"/>
      <c r="N351" s="94"/>
      <c r="O351" s="96"/>
      <c r="P351" s="94"/>
      <c r="Q351" s="94"/>
      <c r="R351" s="98"/>
      <c r="S351" s="98"/>
      <c r="T351" s="98"/>
      <c r="U351" s="98"/>
      <c r="V351" s="98"/>
      <c r="W351" s="98"/>
      <c r="X351" s="98"/>
      <c r="Y351" s="98"/>
      <c r="Z351" s="98"/>
      <c r="AA351" s="98"/>
      <c r="AB351" s="98"/>
      <c r="AC351" s="98"/>
      <c r="AD351" s="98"/>
      <c r="AE351" s="98"/>
      <c r="AF351" s="98"/>
      <c r="AG351" s="98"/>
      <c r="AH351" s="98"/>
      <c r="AI351" s="98"/>
      <c r="AJ351" s="98"/>
      <c r="AK351" s="94"/>
      <c r="AL351" s="94"/>
      <c r="AM351" s="94"/>
      <c r="AN351" s="94"/>
      <c r="AO351" s="94"/>
      <c r="AP351" s="94"/>
      <c r="AQ351" s="94"/>
      <c r="AR351" s="94"/>
    </row>
    <row r="352" spans="1:44" ht="12.75" customHeight="1">
      <c r="A352" s="93"/>
      <c r="B352" s="93" t="s">
        <v>384</v>
      </c>
      <c r="C352" s="94" t="s">
        <v>414</v>
      </c>
      <c r="D352" s="94">
        <v>1</v>
      </c>
      <c r="E352" s="94">
        <v>1</v>
      </c>
      <c r="F352" s="95">
        <f>X287+Y287</f>
        <v>0</v>
      </c>
      <c r="G352" s="95"/>
      <c r="H352" s="95"/>
      <c r="I352" s="95">
        <f t="shared" si="334"/>
        <v>0</v>
      </c>
      <c r="J352" s="95"/>
      <c r="K352" s="94"/>
      <c r="L352" s="94"/>
      <c r="M352" s="94"/>
      <c r="N352" s="94"/>
      <c r="O352" s="96"/>
      <c r="P352" s="94"/>
      <c r="Q352" s="94"/>
      <c r="R352" s="98"/>
      <c r="S352" s="98"/>
      <c r="T352" s="98"/>
      <c r="U352" s="98"/>
      <c r="V352" s="98"/>
      <c r="W352" s="98"/>
      <c r="X352" s="98"/>
      <c r="Y352" s="98"/>
      <c r="Z352" s="98"/>
      <c r="AA352" s="98"/>
      <c r="AB352" s="98"/>
      <c r="AC352" s="98"/>
      <c r="AD352" s="98"/>
      <c r="AE352" s="98"/>
      <c r="AF352" s="98"/>
      <c r="AG352" s="98"/>
      <c r="AH352" s="98"/>
      <c r="AI352" s="98"/>
      <c r="AJ352" s="98"/>
      <c r="AK352" s="94"/>
      <c r="AL352" s="94"/>
      <c r="AM352" s="94"/>
      <c r="AN352" s="94"/>
      <c r="AO352" s="94"/>
      <c r="AP352" s="94"/>
      <c r="AQ352" s="94"/>
      <c r="AR352" s="94"/>
    </row>
    <row r="353" spans="1:44" ht="12.75" customHeight="1">
      <c r="A353" s="93"/>
      <c r="B353" s="93"/>
      <c r="C353" s="94"/>
      <c r="D353" s="94"/>
      <c r="E353" s="94"/>
      <c r="F353" s="95"/>
      <c r="G353" s="95"/>
      <c r="H353" s="95"/>
      <c r="I353" s="95"/>
      <c r="J353" s="95"/>
      <c r="K353" s="94"/>
      <c r="L353" s="94"/>
      <c r="M353" s="94"/>
      <c r="N353" s="94"/>
      <c r="O353" s="96"/>
      <c r="P353" s="94"/>
      <c r="Q353" s="94"/>
      <c r="R353" s="98"/>
      <c r="S353" s="98"/>
      <c r="T353" s="98"/>
      <c r="U353" s="98"/>
      <c r="V353" s="98"/>
      <c r="W353" s="98"/>
      <c r="X353" s="98"/>
      <c r="Y353" s="98"/>
      <c r="Z353" s="98"/>
      <c r="AA353" s="98"/>
      <c r="AB353" s="98"/>
      <c r="AC353" s="98"/>
      <c r="AD353" s="98"/>
      <c r="AE353" s="98"/>
      <c r="AF353" s="98"/>
      <c r="AG353" s="98"/>
      <c r="AH353" s="98"/>
      <c r="AI353" s="98"/>
      <c r="AJ353" s="98"/>
      <c r="AK353" s="94"/>
      <c r="AL353" s="94"/>
      <c r="AM353" s="94"/>
      <c r="AN353" s="94"/>
      <c r="AO353" s="94"/>
      <c r="AP353" s="94"/>
      <c r="AQ353" s="94"/>
      <c r="AR353" s="94"/>
    </row>
    <row r="354" spans="1:44" ht="12.75" customHeight="1">
      <c r="A354" s="99"/>
      <c r="B354" s="99" t="s">
        <v>194</v>
      </c>
      <c r="C354" s="100"/>
      <c r="D354" s="100"/>
      <c r="E354" s="100"/>
      <c r="F354" s="101"/>
      <c r="G354" s="101"/>
      <c r="H354" s="101"/>
      <c r="I354" s="101">
        <f>SUM(I345:I353)</f>
        <v>2484.864</v>
      </c>
      <c r="J354" s="95"/>
      <c r="K354" s="94"/>
      <c r="L354" s="94"/>
      <c r="M354" s="94"/>
      <c r="N354" s="94"/>
      <c r="O354" s="96"/>
      <c r="P354" s="94"/>
      <c r="Q354" s="94"/>
      <c r="R354" s="98"/>
      <c r="S354" s="98"/>
      <c r="T354" s="98"/>
      <c r="U354" s="98"/>
      <c r="V354" s="98"/>
      <c r="W354" s="98"/>
      <c r="X354" s="98"/>
      <c r="Y354" s="98"/>
      <c r="Z354" s="98"/>
      <c r="AA354" s="98"/>
      <c r="AB354" s="98"/>
      <c r="AC354" s="98"/>
      <c r="AD354" s="98"/>
      <c r="AE354" s="98"/>
      <c r="AF354" s="98"/>
      <c r="AG354" s="98"/>
      <c r="AH354" s="98"/>
      <c r="AI354" s="98"/>
      <c r="AJ354" s="98"/>
      <c r="AK354" s="94"/>
      <c r="AL354" s="94"/>
      <c r="AM354" s="94"/>
      <c r="AN354" s="94"/>
      <c r="AO354" s="94"/>
      <c r="AP354" s="94"/>
      <c r="AQ354" s="94"/>
      <c r="AR354" s="94"/>
    </row>
    <row r="355" spans="1:44" ht="12.75" customHeight="1">
      <c r="A355" s="93"/>
      <c r="B355" s="93"/>
      <c r="C355" s="94"/>
      <c r="D355" s="94"/>
      <c r="E355" s="94"/>
      <c r="F355" s="95"/>
      <c r="G355" s="95"/>
      <c r="H355" s="95"/>
      <c r="I355" s="95"/>
      <c r="J355" s="95"/>
      <c r="K355" s="94"/>
      <c r="L355" s="94"/>
      <c r="M355" s="94"/>
      <c r="N355" s="94"/>
      <c r="O355" s="96"/>
      <c r="P355" s="94"/>
      <c r="Q355" s="94"/>
      <c r="R355" s="98"/>
      <c r="S355" s="98"/>
      <c r="T355" s="98"/>
      <c r="U355" s="98"/>
      <c r="V355" s="98"/>
      <c r="W355" s="98"/>
      <c r="X355" s="98"/>
      <c r="Y355" s="98"/>
      <c r="Z355" s="98"/>
      <c r="AA355" s="98"/>
      <c r="AB355" s="98"/>
      <c r="AC355" s="98"/>
      <c r="AD355" s="98"/>
      <c r="AE355" s="98"/>
      <c r="AF355" s="98"/>
      <c r="AG355" s="98"/>
      <c r="AH355" s="98"/>
      <c r="AI355" s="98"/>
      <c r="AJ355" s="98"/>
      <c r="AK355" s="94"/>
      <c r="AL355" s="94"/>
      <c r="AM355" s="94"/>
      <c r="AN355" s="94"/>
      <c r="AO355" s="94"/>
      <c r="AP355" s="94"/>
      <c r="AQ355" s="94"/>
      <c r="AR355" s="94"/>
    </row>
    <row r="356" spans="1:44" ht="12.75" customHeight="1">
      <c r="A356" s="93"/>
      <c r="B356" s="93" t="s">
        <v>164</v>
      </c>
      <c r="C356" s="94"/>
      <c r="D356" s="94"/>
      <c r="E356" s="94"/>
      <c r="F356" s="95"/>
      <c r="G356" s="95"/>
      <c r="H356" s="95"/>
      <c r="I356" s="95"/>
      <c r="J356" s="95"/>
      <c r="K356" s="94"/>
      <c r="L356" s="94"/>
      <c r="M356" s="94"/>
      <c r="N356" s="94"/>
      <c r="O356" s="96"/>
      <c r="P356" s="94"/>
      <c r="Q356" s="94"/>
      <c r="R356" s="98"/>
      <c r="S356" s="98"/>
      <c r="T356" s="98"/>
      <c r="U356" s="98"/>
      <c r="V356" s="98"/>
      <c r="W356" s="98"/>
      <c r="X356" s="98"/>
      <c r="Y356" s="98"/>
      <c r="Z356" s="98"/>
      <c r="AA356" s="98"/>
      <c r="AB356" s="98"/>
      <c r="AC356" s="98"/>
      <c r="AD356" s="98"/>
      <c r="AE356" s="98"/>
      <c r="AF356" s="98"/>
      <c r="AG356" s="98"/>
      <c r="AH356" s="98"/>
      <c r="AI356" s="98"/>
      <c r="AJ356" s="98"/>
      <c r="AK356" s="94"/>
      <c r="AL356" s="94"/>
      <c r="AM356" s="94"/>
      <c r="AN356" s="94"/>
      <c r="AO356" s="94"/>
      <c r="AP356" s="94"/>
      <c r="AQ356" s="94"/>
      <c r="AR356" s="94"/>
    </row>
    <row r="357" spans="1:44" ht="12.75" customHeight="1">
      <c r="A357" s="93"/>
      <c r="B357" s="93" t="s">
        <v>415</v>
      </c>
      <c r="C357" s="94" t="s">
        <v>416</v>
      </c>
      <c r="D357" s="94">
        <v>0</v>
      </c>
      <c r="E357" s="94">
        <v>0</v>
      </c>
      <c r="F357" s="95">
        <f>AM136+AN136</f>
        <v>740.56500000000005</v>
      </c>
      <c r="G357" s="95"/>
      <c r="H357" s="95"/>
      <c r="I357" s="95">
        <f>PRODUCT(D357:H357)</f>
        <v>0</v>
      </c>
      <c r="J357" s="95"/>
      <c r="K357" s="94"/>
      <c r="L357" s="94"/>
      <c r="M357" s="94"/>
      <c r="N357" s="94"/>
      <c r="O357" s="96"/>
      <c r="P357" s="94"/>
      <c r="Q357" s="94"/>
      <c r="R357" s="98"/>
      <c r="S357" s="98"/>
      <c r="T357" s="98"/>
      <c r="U357" s="98"/>
      <c r="V357" s="98"/>
      <c r="W357" s="98"/>
      <c r="X357" s="98"/>
      <c r="Y357" s="98"/>
      <c r="Z357" s="98"/>
      <c r="AA357" s="98"/>
      <c r="AB357" s="98"/>
      <c r="AC357" s="98"/>
      <c r="AD357" s="98"/>
      <c r="AE357" s="98"/>
      <c r="AF357" s="98"/>
      <c r="AG357" s="98"/>
      <c r="AH357" s="98"/>
      <c r="AI357" s="98"/>
      <c r="AJ357" s="98"/>
      <c r="AK357" s="94"/>
      <c r="AL357" s="94"/>
      <c r="AM357" s="94"/>
      <c r="AN357" s="94"/>
      <c r="AO357" s="94"/>
      <c r="AP357" s="94"/>
      <c r="AQ357" s="94"/>
      <c r="AR357" s="94"/>
    </row>
    <row r="358" spans="1:44" ht="12.75" customHeight="1">
      <c r="A358" s="93"/>
      <c r="B358" s="93"/>
      <c r="C358" s="94"/>
      <c r="D358" s="94"/>
      <c r="E358" s="94"/>
      <c r="F358" s="95"/>
      <c r="G358" s="95"/>
      <c r="H358" s="95"/>
      <c r="I358" s="95"/>
      <c r="J358" s="95"/>
      <c r="K358" s="94"/>
      <c r="L358" s="94"/>
      <c r="M358" s="94"/>
      <c r="N358" s="94"/>
      <c r="O358" s="96"/>
      <c r="P358" s="94"/>
      <c r="Q358" s="94"/>
      <c r="R358" s="98"/>
      <c r="S358" s="98"/>
      <c r="T358" s="98"/>
      <c r="U358" s="98"/>
      <c r="V358" s="98"/>
      <c r="W358" s="98"/>
      <c r="X358" s="98"/>
      <c r="Y358" s="98"/>
      <c r="Z358" s="98"/>
      <c r="AA358" s="98"/>
      <c r="AB358" s="98"/>
      <c r="AC358" s="98"/>
      <c r="AD358" s="98"/>
      <c r="AE358" s="98"/>
      <c r="AF358" s="98"/>
      <c r="AG358" s="98"/>
      <c r="AH358" s="98"/>
      <c r="AI358" s="98"/>
      <c r="AJ358" s="98"/>
      <c r="AK358" s="94"/>
      <c r="AL358" s="94"/>
      <c r="AM358" s="94"/>
      <c r="AN358" s="94"/>
      <c r="AO358" s="94"/>
      <c r="AP358" s="94"/>
      <c r="AQ358" s="94"/>
      <c r="AR358" s="94"/>
    </row>
    <row r="359" spans="1:44" ht="12.75" customHeight="1">
      <c r="A359" s="99"/>
      <c r="B359" s="99" t="s">
        <v>194</v>
      </c>
      <c r="C359" s="100"/>
      <c r="D359" s="100"/>
      <c r="E359" s="100"/>
      <c r="F359" s="101"/>
      <c r="G359" s="101"/>
      <c r="H359" s="101"/>
      <c r="I359" s="101">
        <f>SUM(I357:I358)</f>
        <v>0</v>
      </c>
      <c r="J359" s="95"/>
      <c r="K359" s="94"/>
      <c r="L359" s="94"/>
      <c r="M359" s="94"/>
      <c r="N359" s="94"/>
      <c r="O359" s="96"/>
      <c r="P359" s="94"/>
      <c r="Q359" s="94"/>
      <c r="R359" s="98"/>
      <c r="S359" s="98"/>
      <c r="T359" s="98"/>
      <c r="U359" s="98"/>
      <c r="V359" s="98"/>
      <c r="W359" s="98"/>
      <c r="X359" s="98"/>
      <c r="Y359" s="98"/>
      <c r="Z359" s="98"/>
      <c r="AA359" s="98"/>
      <c r="AB359" s="98"/>
      <c r="AC359" s="98"/>
      <c r="AD359" s="98"/>
      <c r="AE359" s="98"/>
      <c r="AF359" s="98"/>
      <c r="AG359" s="98"/>
      <c r="AH359" s="98"/>
      <c r="AI359" s="98"/>
      <c r="AJ359" s="98"/>
      <c r="AK359" s="94"/>
      <c r="AL359" s="94"/>
      <c r="AM359" s="94"/>
      <c r="AN359" s="94"/>
      <c r="AO359" s="94"/>
      <c r="AP359" s="94"/>
      <c r="AQ359" s="94"/>
      <c r="AR359" s="94"/>
    </row>
    <row r="360" spans="1:44" ht="12.75" customHeight="1">
      <c r="A360" s="93"/>
      <c r="B360" s="93"/>
      <c r="C360" s="94"/>
      <c r="D360" s="94"/>
      <c r="E360" s="94"/>
      <c r="F360" s="95"/>
      <c r="G360" s="95"/>
      <c r="H360" s="95"/>
      <c r="I360" s="95"/>
      <c r="J360" s="95"/>
      <c r="K360" s="94"/>
      <c r="L360" s="94"/>
      <c r="M360" s="94"/>
      <c r="N360" s="94"/>
      <c r="O360" s="96"/>
      <c r="P360" s="94"/>
      <c r="Q360" s="94"/>
      <c r="R360" s="98"/>
      <c r="S360" s="98"/>
      <c r="T360" s="98"/>
      <c r="U360" s="98"/>
      <c r="V360" s="98"/>
      <c r="W360" s="98"/>
      <c r="X360" s="98"/>
      <c r="Y360" s="98"/>
      <c r="Z360" s="98"/>
      <c r="AA360" s="98"/>
      <c r="AB360" s="98"/>
      <c r="AC360" s="98"/>
      <c r="AD360" s="98"/>
      <c r="AE360" s="98"/>
      <c r="AF360" s="98"/>
      <c r="AG360" s="98"/>
      <c r="AH360" s="98"/>
      <c r="AI360" s="98"/>
      <c r="AJ360" s="98"/>
      <c r="AK360" s="94"/>
      <c r="AL360" s="94"/>
      <c r="AM360" s="94"/>
      <c r="AN360" s="94"/>
      <c r="AO360" s="94"/>
      <c r="AP360" s="94"/>
      <c r="AQ360" s="94"/>
      <c r="AR360" s="94"/>
    </row>
    <row r="361" spans="1:44" ht="12.75" customHeight="1">
      <c r="A361" s="93"/>
      <c r="B361" s="93"/>
      <c r="C361" s="94"/>
      <c r="D361" s="94"/>
      <c r="E361" s="94"/>
      <c r="F361" s="95"/>
      <c r="G361" s="95"/>
      <c r="H361" s="95"/>
      <c r="I361" s="95"/>
      <c r="J361" s="95"/>
      <c r="K361" s="94"/>
      <c r="L361" s="94"/>
      <c r="M361" s="94"/>
      <c r="N361" s="94"/>
      <c r="O361" s="96"/>
      <c r="P361" s="94"/>
      <c r="Q361" s="94"/>
      <c r="R361" s="98"/>
      <c r="S361" s="98"/>
      <c r="T361" s="98"/>
      <c r="U361" s="98"/>
      <c r="V361" s="98"/>
      <c r="W361" s="98"/>
      <c r="X361" s="98"/>
      <c r="Y361" s="98"/>
      <c r="Z361" s="98"/>
      <c r="AA361" s="98"/>
      <c r="AB361" s="98"/>
      <c r="AC361" s="98"/>
      <c r="AD361" s="98"/>
      <c r="AE361" s="98"/>
      <c r="AF361" s="98"/>
      <c r="AG361" s="98"/>
      <c r="AH361" s="98"/>
      <c r="AI361" s="98"/>
      <c r="AJ361" s="98"/>
      <c r="AK361" s="94"/>
      <c r="AL361" s="94"/>
      <c r="AM361" s="94"/>
      <c r="AN361" s="94"/>
      <c r="AO361" s="94"/>
      <c r="AP361" s="94"/>
      <c r="AQ361" s="94"/>
      <c r="AR361" s="94"/>
    </row>
    <row r="362" spans="1:44" ht="12.75" customHeight="1">
      <c r="A362" s="93"/>
      <c r="B362" s="93" t="s">
        <v>417</v>
      </c>
      <c r="C362" s="94" t="s">
        <v>418</v>
      </c>
      <c r="D362" s="94">
        <v>1</v>
      </c>
      <c r="E362" s="94">
        <v>1</v>
      </c>
      <c r="F362" s="95">
        <f>AK127+AL127</f>
        <v>346.69150000000008</v>
      </c>
      <c r="G362" s="95"/>
      <c r="H362" s="95"/>
      <c r="I362" s="95">
        <f>PRODUCT(D362:H362)</f>
        <v>346.69150000000008</v>
      </c>
      <c r="J362" s="95"/>
      <c r="K362" s="94"/>
      <c r="L362" s="94"/>
      <c r="M362" s="94"/>
      <c r="N362" s="94"/>
      <c r="O362" s="96"/>
      <c r="P362" s="94"/>
      <c r="Q362" s="94"/>
      <c r="R362" s="98"/>
      <c r="S362" s="98"/>
      <c r="T362" s="98"/>
      <c r="U362" s="98"/>
      <c r="V362" s="98"/>
      <c r="W362" s="98"/>
      <c r="X362" s="98"/>
      <c r="Y362" s="98"/>
      <c r="Z362" s="98"/>
      <c r="AA362" s="98"/>
      <c r="AB362" s="98"/>
      <c r="AC362" s="98"/>
      <c r="AD362" s="98"/>
      <c r="AE362" s="98"/>
      <c r="AF362" s="98"/>
      <c r="AG362" s="98"/>
      <c r="AH362" s="98"/>
      <c r="AI362" s="98"/>
      <c r="AJ362" s="98"/>
      <c r="AK362" s="94"/>
      <c r="AL362" s="94"/>
      <c r="AM362" s="94"/>
      <c r="AN362" s="94"/>
      <c r="AO362" s="94"/>
      <c r="AP362" s="94"/>
      <c r="AQ362" s="94"/>
      <c r="AR362" s="94"/>
    </row>
    <row r="363" spans="1:44" ht="12.75" customHeight="1">
      <c r="A363" s="93"/>
      <c r="B363" s="93"/>
      <c r="C363" s="94"/>
      <c r="D363" s="94"/>
      <c r="E363" s="94"/>
      <c r="F363" s="95"/>
      <c r="G363" s="95"/>
      <c r="H363" s="95"/>
      <c r="I363" s="95"/>
      <c r="J363" s="95"/>
      <c r="K363" s="94"/>
      <c r="L363" s="94"/>
      <c r="M363" s="94"/>
      <c r="N363" s="94"/>
      <c r="O363" s="96"/>
      <c r="P363" s="94"/>
      <c r="Q363" s="94"/>
      <c r="R363" s="98"/>
      <c r="S363" s="98"/>
      <c r="T363" s="98"/>
      <c r="U363" s="98"/>
      <c r="V363" s="98"/>
      <c r="W363" s="98"/>
      <c r="X363" s="98"/>
      <c r="Y363" s="98"/>
      <c r="Z363" s="98"/>
      <c r="AA363" s="98"/>
      <c r="AB363" s="98"/>
      <c r="AC363" s="98"/>
      <c r="AD363" s="98"/>
      <c r="AE363" s="98"/>
      <c r="AF363" s="98"/>
      <c r="AG363" s="98"/>
      <c r="AH363" s="98"/>
      <c r="AI363" s="98"/>
      <c r="AJ363" s="98"/>
      <c r="AK363" s="94"/>
      <c r="AL363" s="94"/>
      <c r="AM363" s="94"/>
      <c r="AN363" s="94"/>
      <c r="AO363" s="94"/>
      <c r="AP363" s="94"/>
      <c r="AQ363" s="94"/>
      <c r="AR363" s="94"/>
    </row>
    <row r="364" spans="1:44" ht="12.75" customHeight="1">
      <c r="A364" s="99"/>
      <c r="B364" s="99" t="s">
        <v>194</v>
      </c>
      <c r="C364" s="100"/>
      <c r="D364" s="100"/>
      <c r="E364" s="100"/>
      <c r="F364" s="101"/>
      <c r="G364" s="101"/>
      <c r="H364" s="101"/>
      <c r="I364" s="101">
        <f>SUM(I362:I363)</f>
        <v>346.69150000000008</v>
      </c>
      <c r="J364" s="95"/>
      <c r="K364" s="94"/>
      <c r="L364" s="94"/>
      <c r="M364" s="94"/>
      <c r="N364" s="94"/>
      <c r="O364" s="96"/>
      <c r="P364" s="94"/>
      <c r="Q364" s="94"/>
      <c r="R364" s="98"/>
      <c r="S364" s="98"/>
      <c r="T364" s="98"/>
      <c r="U364" s="98"/>
      <c r="V364" s="98"/>
      <c r="W364" s="98"/>
      <c r="X364" s="98"/>
      <c r="Y364" s="98"/>
      <c r="Z364" s="98"/>
      <c r="AA364" s="98"/>
      <c r="AB364" s="98"/>
      <c r="AC364" s="98"/>
      <c r="AD364" s="98"/>
      <c r="AE364" s="98"/>
      <c r="AF364" s="98"/>
      <c r="AG364" s="98"/>
      <c r="AH364" s="98"/>
      <c r="AI364" s="98"/>
      <c r="AJ364" s="98"/>
      <c r="AK364" s="94"/>
      <c r="AL364" s="94"/>
      <c r="AM364" s="94"/>
      <c r="AN364" s="94"/>
      <c r="AO364" s="94"/>
      <c r="AP364" s="94"/>
      <c r="AQ364" s="94"/>
      <c r="AR364" s="94"/>
    </row>
    <row r="365" spans="1:44" ht="12.75" customHeight="1">
      <c r="A365" s="93"/>
      <c r="B365" s="93"/>
      <c r="C365" s="94"/>
      <c r="D365" s="94"/>
      <c r="E365" s="94"/>
      <c r="F365" s="95"/>
      <c r="G365" s="95"/>
      <c r="H365" s="95"/>
      <c r="I365" s="95"/>
      <c r="J365" s="95"/>
      <c r="K365" s="94"/>
      <c r="L365" s="94"/>
      <c r="M365" s="94"/>
      <c r="N365" s="94"/>
      <c r="O365" s="96"/>
      <c r="P365" s="94"/>
      <c r="Q365" s="94"/>
      <c r="R365" s="98"/>
      <c r="S365" s="98"/>
      <c r="T365" s="98"/>
      <c r="U365" s="98"/>
      <c r="V365" s="98"/>
      <c r="W365" s="98"/>
      <c r="X365" s="98"/>
      <c r="Y365" s="98"/>
      <c r="Z365" s="98"/>
      <c r="AA365" s="98"/>
      <c r="AB365" s="98"/>
      <c r="AC365" s="98"/>
      <c r="AD365" s="98"/>
      <c r="AE365" s="98"/>
      <c r="AF365" s="98"/>
      <c r="AG365" s="98"/>
      <c r="AH365" s="98"/>
      <c r="AI365" s="98"/>
      <c r="AJ365" s="98"/>
      <c r="AK365" s="94"/>
      <c r="AL365" s="94"/>
      <c r="AM365" s="94"/>
      <c r="AN365" s="94"/>
      <c r="AO365" s="94"/>
      <c r="AP365" s="94"/>
      <c r="AQ365" s="94"/>
      <c r="AR365" s="94"/>
    </row>
    <row r="366" spans="1:44" ht="12.75" customHeight="1">
      <c r="A366" s="93"/>
      <c r="B366" s="128" t="s">
        <v>419</v>
      </c>
      <c r="C366" s="94"/>
      <c r="D366" s="94"/>
      <c r="E366" s="94"/>
      <c r="F366" s="95"/>
      <c r="G366" s="95"/>
      <c r="H366" s="95"/>
      <c r="I366" s="95"/>
      <c r="J366" s="95"/>
      <c r="K366" s="94"/>
      <c r="L366" s="94"/>
      <c r="M366" s="94"/>
      <c r="N366" s="94"/>
      <c r="O366" s="96"/>
      <c r="P366" s="94"/>
      <c r="Q366" s="94"/>
      <c r="R366" s="98"/>
      <c r="S366" s="98"/>
      <c r="T366" s="98"/>
      <c r="U366" s="98"/>
      <c r="V366" s="98"/>
      <c r="W366" s="98"/>
      <c r="X366" s="98"/>
      <c r="Y366" s="98"/>
      <c r="Z366" s="98"/>
      <c r="AA366" s="98"/>
      <c r="AB366" s="98"/>
      <c r="AC366" s="98"/>
      <c r="AD366" s="98"/>
      <c r="AE366" s="98"/>
      <c r="AF366" s="98"/>
      <c r="AG366" s="98"/>
      <c r="AH366" s="98"/>
      <c r="AI366" s="98"/>
      <c r="AJ366" s="98"/>
      <c r="AK366" s="94"/>
      <c r="AL366" s="94"/>
      <c r="AM366" s="94"/>
      <c r="AN366" s="94"/>
      <c r="AO366" s="94"/>
      <c r="AP366" s="94"/>
      <c r="AQ366" s="94"/>
      <c r="AR366" s="94"/>
    </row>
    <row r="367" spans="1:44" ht="12.75" customHeight="1">
      <c r="A367" s="93"/>
      <c r="B367" s="93" t="s">
        <v>420</v>
      </c>
      <c r="C367" s="94" t="s">
        <v>421</v>
      </c>
      <c r="D367" s="94">
        <v>1</v>
      </c>
      <c r="E367" s="94">
        <v>1</v>
      </c>
      <c r="F367" s="95">
        <f>AE31+AF31</f>
        <v>1811.951</v>
      </c>
      <c r="G367" s="95"/>
      <c r="H367" s="95"/>
      <c r="I367" s="95">
        <f t="shared" ref="I367:I376" si="335">PRODUCT(D367:H367)</f>
        <v>1811.951</v>
      </c>
      <c r="J367" s="95"/>
      <c r="K367" s="94"/>
      <c r="L367" s="94"/>
      <c r="M367" s="94"/>
      <c r="N367" s="94"/>
      <c r="O367" s="96"/>
      <c r="P367" s="94"/>
      <c r="Q367" s="94"/>
      <c r="R367" s="98"/>
      <c r="S367" s="98"/>
      <c r="T367" s="98"/>
      <c r="U367" s="98"/>
      <c r="V367" s="98"/>
      <c r="W367" s="98"/>
      <c r="X367" s="98"/>
      <c r="Y367" s="98"/>
      <c r="Z367" s="98"/>
      <c r="AA367" s="98"/>
      <c r="AB367" s="98"/>
      <c r="AC367" s="98"/>
      <c r="AD367" s="98"/>
      <c r="AE367" s="98"/>
      <c r="AF367" s="98"/>
      <c r="AG367" s="98"/>
      <c r="AH367" s="98"/>
      <c r="AI367" s="98"/>
      <c r="AJ367" s="98"/>
      <c r="AK367" s="94"/>
      <c r="AL367" s="94"/>
      <c r="AM367" s="94"/>
      <c r="AN367" s="94"/>
      <c r="AO367" s="94"/>
      <c r="AP367" s="94"/>
      <c r="AQ367" s="94"/>
      <c r="AR367" s="94"/>
    </row>
    <row r="368" spans="1:44" ht="12.75" customHeight="1">
      <c r="A368" s="93"/>
      <c r="B368" s="93" t="s">
        <v>422</v>
      </c>
      <c r="C368" s="94" t="s">
        <v>423</v>
      </c>
      <c r="D368" s="94">
        <v>1</v>
      </c>
      <c r="E368" s="94">
        <v>1</v>
      </c>
      <c r="F368" s="95">
        <f>+AF31</f>
        <v>1627.1030000000001</v>
      </c>
      <c r="G368" s="95"/>
      <c r="H368" s="95"/>
      <c r="I368" s="95">
        <f t="shared" si="335"/>
        <v>1627.1030000000001</v>
      </c>
      <c r="J368" s="95"/>
      <c r="K368" s="94"/>
      <c r="L368" s="94"/>
      <c r="M368" s="94"/>
      <c r="N368" s="94"/>
      <c r="O368" s="96"/>
      <c r="P368" s="94"/>
      <c r="Q368" s="94"/>
      <c r="R368" s="98"/>
      <c r="S368" s="98"/>
      <c r="T368" s="98"/>
      <c r="U368" s="98"/>
      <c r="V368" s="98"/>
      <c r="W368" s="98"/>
      <c r="X368" s="98"/>
      <c r="Y368" s="98"/>
      <c r="Z368" s="98"/>
      <c r="AA368" s="98"/>
      <c r="AB368" s="98"/>
      <c r="AC368" s="98"/>
      <c r="AD368" s="98"/>
      <c r="AE368" s="98"/>
      <c r="AF368" s="98"/>
      <c r="AG368" s="98"/>
      <c r="AH368" s="98"/>
      <c r="AI368" s="98"/>
      <c r="AJ368" s="98"/>
      <c r="AK368" s="94"/>
      <c r="AL368" s="94"/>
      <c r="AM368" s="94"/>
      <c r="AN368" s="94"/>
      <c r="AO368" s="94"/>
      <c r="AP368" s="94"/>
      <c r="AQ368" s="94"/>
      <c r="AR368" s="94"/>
    </row>
    <row r="369" spans="1:44" ht="12.75" customHeight="1">
      <c r="A369" s="93"/>
      <c r="B369" s="93" t="s">
        <v>406</v>
      </c>
      <c r="C369" s="94" t="s">
        <v>424</v>
      </c>
      <c r="D369" s="94">
        <v>1</v>
      </c>
      <c r="E369" s="94">
        <v>1</v>
      </c>
      <c r="F369" s="95">
        <v>0</v>
      </c>
      <c r="G369" s="95"/>
      <c r="H369" s="95"/>
      <c r="I369" s="95">
        <f t="shared" si="335"/>
        <v>0</v>
      </c>
      <c r="J369" s="95"/>
      <c r="K369" s="94"/>
      <c r="L369" s="94"/>
      <c r="M369" s="94"/>
      <c r="N369" s="94"/>
      <c r="O369" s="96"/>
      <c r="P369" s="94"/>
      <c r="Q369" s="94"/>
      <c r="R369" s="98"/>
      <c r="S369" s="98"/>
      <c r="T369" s="98"/>
      <c r="U369" s="98"/>
      <c r="V369" s="98"/>
      <c r="W369" s="98"/>
      <c r="X369" s="98"/>
      <c r="Y369" s="98"/>
      <c r="Z369" s="98"/>
      <c r="AA369" s="98"/>
      <c r="AB369" s="98"/>
      <c r="AC369" s="98"/>
      <c r="AD369" s="98"/>
      <c r="AE369" s="98"/>
      <c r="AF369" s="98"/>
      <c r="AG369" s="98"/>
      <c r="AH369" s="98"/>
      <c r="AI369" s="98"/>
      <c r="AJ369" s="98"/>
      <c r="AK369" s="94"/>
      <c r="AL369" s="94"/>
      <c r="AM369" s="94"/>
      <c r="AN369" s="94"/>
      <c r="AO369" s="94"/>
      <c r="AP369" s="94"/>
      <c r="AQ369" s="94"/>
      <c r="AR369" s="94"/>
    </row>
    <row r="370" spans="1:44" ht="12.75" customHeight="1">
      <c r="A370" s="93"/>
      <c r="B370" s="117" t="s">
        <v>68</v>
      </c>
      <c r="C370" s="46" t="s">
        <v>425</v>
      </c>
      <c r="D370" s="46">
        <v>1</v>
      </c>
      <c r="E370" s="46">
        <v>1</v>
      </c>
      <c r="F370" s="50">
        <v>121</v>
      </c>
      <c r="G370" s="50"/>
      <c r="H370" s="50">
        <v>5.6</v>
      </c>
      <c r="I370" s="50">
        <f t="shared" si="335"/>
        <v>677.59999999999991</v>
      </c>
      <c r="J370" s="95"/>
      <c r="K370" s="94"/>
      <c r="L370" s="94"/>
      <c r="M370" s="94"/>
      <c r="N370" s="94"/>
      <c r="O370" s="96"/>
      <c r="P370" s="94"/>
      <c r="Q370" s="94"/>
      <c r="R370" s="98"/>
      <c r="S370" s="98"/>
      <c r="T370" s="98"/>
      <c r="U370" s="98"/>
      <c r="V370" s="98"/>
      <c r="W370" s="98"/>
      <c r="X370" s="98"/>
      <c r="Y370" s="98"/>
      <c r="Z370" s="98"/>
      <c r="AA370" s="98"/>
      <c r="AB370" s="98"/>
      <c r="AC370" s="98"/>
      <c r="AD370" s="98"/>
      <c r="AE370" s="98"/>
      <c r="AF370" s="98"/>
      <c r="AG370" s="98"/>
      <c r="AH370" s="98"/>
      <c r="AI370" s="98"/>
      <c r="AJ370" s="98"/>
      <c r="AK370" s="94"/>
      <c r="AL370" s="94"/>
      <c r="AM370" s="94"/>
      <c r="AN370" s="94"/>
      <c r="AO370" s="94"/>
      <c r="AP370" s="94"/>
      <c r="AQ370" s="94"/>
      <c r="AR370" s="94"/>
    </row>
    <row r="371" spans="1:44" ht="12.75" customHeight="1">
      <c r="A371" s="93"/>
      <c r="B371" s="93" t="s">
        <v>392</v>
      </c>
      <c r="C371" s="94" t="s">
        <v>426</v>
      </c>
      <c r="D371" s="94">
        <v>1</v>
      </c>
      <c r="E371" s="94">
        <v>1</v>
      </c>
      <c r="F371" s="95">
        <f>AE127</f>
        <v>47.636999999999993</v>
      </c>
      <c r="G371" s="95"/>
      <c r="H371" s="95"/>
      <c r="I371" s="95">
        <f t="shared" si="335"/>
        <v>47.636999999999993</v>
      </c>
      <c r="J371" s="95"/>
      <c r="K371" s="94"/>
      <c r="L371" s="94"/>
      <c r="M371" s="94"/>
      <c r="N371" s="94"/>
      <c r="O371" s="96"/>
      <c r="P371" s="94"/>
      <c r="Q371" s="94"/>
      <c r="R371" s="98"/>
      <c r="S371" s="98"/>
      <c r="T371" s="98"/>
      <c r="U371" s="98"/>
      <c r="V371" s="98"/>
      <c r="W371" s="98"/>
      <c r="X371" s="98"/>
      <c r="Y371" s="98"/>
      <c r="Z371" s="98"/>
      <c r="AA371" s="98"/>
      <c r="AB371" s="98"/>
      <c r="AC371" s="98"/>
      <c r="AD371" s="98"/>
      <c r="AE371" s="98"/>
      <c r="AF371" s="98"/>
      <c r="AG371" s="98"/>
      <c r="AH371" s="98"/>
      <c r="AI371" s="98"/>
      <c r="AJ371" s="98"/>
      <c r="AK371" s="94"/>
      <c r="AL371" s="94"/>
      <c r="AM371" s="94"/>
      <c r="AN371" s="94"/>
      <c r="AO371" s="94"/>
      <c r="AP371" s="94"/>
      <c r="AQ371" s="94"/>
      <c r="AR371" s="94"/>
    </row>
    <row r="372" spans="1:44" ht="12.75" customHeight="1">
      <c r="A372" s="93"/>
      <c r="B372" s="93" t="s">
        <v>135</v>
      </c>
      <c r="C372" s="94" t="s">
        <v>427</v>
      </c>
      <c r="D372" s="94">
        <v>1</v>
      </c>
      <c r="E372" s="94">
        <v>1</v>
      </c>
      <c r="F372" s="95">
        <f>AE276</f>
        <v>0</v>
      </c>
      <c r="G372" s="95"/>
      <c r="H372" s="95"/>
      <c r="I372" s="95">
        <f t="shared" si="335"/>
        <v>0</v>
      </c>
      <c r="J372" s="95"/>
      <c r="K372" s="94"/>
      <c r="L372" s="94"/>
      <c r="M372" s="94"/>
      <c r="N372" s="94"/>
      <c r="O372" s="96"/>
      <c r="P372" s="94"/>
      <c r="Q372" s="94"/>
      <c r="R372" s="98"/>
      <c r="S372" s="98"/>
      <c r="T372" s="98"/>
      <c r="U372" s="98"/>
      <c r="V372" s="98"/>
      <c r="W372" s="98"/>
      <c r="X372" s="98"/>
      <c r="Y372" s="98"/>
      <c r="Z372" s="98"/>
      <c r="AA372" s="98"/>
      <c r="AB372" s="98"/>
      <c r="AC372" s="98"/>
      <c r="AD372" s="98"/>
      <c r="AE372" s="98"/>
      <c r="AF372" s="98"/>
      <c r="AG372" s="98"/>
      <c r="AH372" s="98"/>
      <c r="AI372" s="98"/>
      <c r="AJ372" s="98"/>
      <c r="AK372" s="94"/>
      <c r="AL372" s="94"/>
      <c r="AM372" s="94"/>
      <c r="AN372" s="94"/>
      <c r="AO372" s="94"/>
      <c r="AP372" s="94"/>
      <c r="AQ372" s="94"/>
      <c r="AR372" s="94"/>
    </row>
    <row r="373" spans="1:44" ht="12.75" customHeight="1">
      <c r="A373" s="93"/>
      <c r="B373" s="93" t="s">
        <v>368</v>
      </c>
      <c r="C373" s="94" t="s">
        <v>428</v>
      </c>
      <c r="D373" s="94">
        <v>1</v>
      </c>
      <c r="E373" s="94">
        <v>1</v>
      </c>
      <c r="F373" s="95">
        <f>AE281</f>
        <v>0</v>
      </c>
      <c r="G373" s="95"/>
      <c r="H373" s="95"/>
      <c r="I373" s="95">
        <f t="shared" si="335"/>
        <v>0</v>
      </c>
      <c r="J373" s="95"/>
      <c r="K373" s="94"/>
      <c r="L373" s="94"/>
      <c r="M373" s="94"/>
      <c r="N373" s="94"/>
      <c r="O373" s="96"/>
      <c r="P373" s="94"/>
      <c r="Q373" s="94"/>
      <c r="R373" s="98"/>
      <c r="S373" s="98"/>
      <c r="T373" s="98"/>
      <c r="U373" s="98"/>
      <c r="V373" s="98"/>
      <c r="W373" s="98"/>
      <c r="X373" s="98"/>
      <c r="Y373" s="98"/>
      <c r="Z373" s="98"/>
      <c r="AA373" s="98"/>
      <c r="AB373" s="98"/>
      <c r="AC373" s="98"/>
      <c r="AD373" s="98"/>
      <c r="AE373" s="98"/>
      <c r="AF373" s="98"/>
      <c r="AG373" s="98"/>
      <c r="AH373" s="98"/>
      <c r="AI373" s="98"/>
      <c r="AJ373" s="98"/>
      <c r="AK373" s="94"/>
      <c r="AL373" s="94"/>
      <c r="AM373" s="94"/>
      <c r="AN373" s="94"/>
      <c r="AO373" s="94"/>
      <c r="AP373" s="94"/>
      <c r="AQ373" s="94"/>
      <c r="AR373" s="94"/>
    </row>
    <row r="374" spans="1:44" ht="12.75" customHeight="1">
      <c r="A374" s="93"/>
      <c r="B374" s="93" t="s">
        <v>384</v>
      </c>
      <c r="C374" s="94" t="s">
        <v>429</v>
      </c>
      <c r="D374" s="94">
        <v>1</v>
      </c>
      <c r="E374" s="94">
        <v>1</v>
      </c>
      <c r="F374" s="95">
        <f>AE287</f>
        <v>0</v>
      </c>
      <c r="G374" s="95"/>
      <c r="H374" s="95"/>
      <c r="I374" s="95">
        <f t="shared" si="335"/>
        <v>0</v>
      </c>
      <c r="J374" s="95"/>
      <c r="K374" s="94"/>
      <c r="L374" s="94"/>
      <c r="M374" s="94"/>
      <c r="N374" s="94"/>
      <c r="O374" s="96"/>
      <c r="P374" s="94"/>
      <c r="Q374" s="94"/>
      <c r="R374" s="98"/>
      <c r="S374" s="98"/>
      <c r="T374" s="98"/>
      <c r="U374" s="98"/>
      <c r="V374" s="98"/>
      <c r="W374" s="98"/>
      <c r="X374" s="98"/>
      <c r="Y374" s="98"/>
      <c r="Z374" s="98"/>
      <c r="AA374" s="98"/>
      <c r="AB374" s="98"/>
      <c r="AC374" s="98"/>
      <c r="AD374" s="98"/>
      <c r="AE374" s="98"/>
      <c r="AF374" s="98"/>
      <c r="AG374" s="98"/>
      <c r="AH374" s="98"/>
      <c r="AI374" s="98"/>
      <c r="AJ374" s="98"/>
      <c r="AK374" s="94"/>
      <c r="AL374" s="94"/>
      <c r="AM374" s="94"/>
      <c r="AN374" s="94"/>
      <c r="AO374" s="94"/>
      <c r="AP374" s="94"/>
      <c r="AQ374" s="94"/>
      <c r="AR374" s="94"/>
    </row>
    <row r="375" spans="1:44" ht="12.75" customHeight="1">
      <c r="A375" s="93"/>
      <c r="B375" s="93" t="s">
        <v>430</v>
      </c>
      <c r="C375" s="94" t="s">
        <v>431</v>
      </c>
      <c r="D375" s="94">
        <v>1</v>
      </c>
      <c r="E375" s="94">
        <v>1</v>
      </c>
      <c r="F375" s="95">
        <f>AF31</f>
        <v>1627.1030000000001</v>
      </c>
      <c r="G375" s="95"/>
      <c r="H375" s="95"/>
      <c r="I375" s="95">
        <f t="shared" si="335"/>
        <v>1627.1030000000001</v>
      </c>
      <c r="J375" s="95"/>
      <c r="K375" s="94"/>
      <c r="L375" s="94"/>
      <c r="M375" s="94"/>
      <c r="N375" s="94"/>
      <c r="O375" s="96"/>
      <c r="P375" s="94"/>
      <c r="Q375" s="94"/>
      <c r="R375" s="98"/>
      <c r="S375" s="98"/>
      <c r="T375" s="98"/>
      <c r="U375" s="98"/>
      <c r="V375" s="98"/>
      <c r="W375" s="98"/>
      <c r="X375" s="98"/>
      <c r="Y375" s="98"/>
      <c r="Z375" s="98"/>
      <c r="AA375" s="98"/>
      <c r="AB375" s="98"/>
      <c r="AC375" s="98"/>
      <c r="AD375" s="98"/>
      <c r="AE375" s="98"/>
      <c r="AF375" s="98"/>
      <c r="AG375" s="98"/>
      <c r="AH375" s="98"/>
      <c r="AI375" s="98"/>
      <c r="AJ375" s="98"/>
      <c r="AK375" s="94"/>
      <c r="AL375" s="94"/>
      <c r="AM375" s="94"/>
      <c r="AN375" s="94"/>
      <c r="AO375" s="94"/>
      <c r="AP375" s="94"/>
      <c r="AQ375" s="94"/>
      <c r="AR375" s="94"/>
    </row>
    <row r="376" spans="1:44" ht="12.75" customHeight="1">
      <c r="A376" s="93"/>
      <c r="B376" s="93" t="s">
        <v>287</v>
      </c>
      <c r="C376" s="94" t="s">
        <v>432</v>
      </c>
      <c r="D376" s="94">
        <v>-1</v>
      </c>
      <c r="E376" s="94">
        <v>1</v>
      </c>
      <c r="F376" s="95">
        <f>AF43</f>
        <v>10.1</v>
      </c>
      <c r="G376" s="95"/>
      <c r="H376" s="95"/>
      <c r="I376" s="95">
        <f t="shared" si="335"/>
        <v>-10.1</v>
      </c>
      <c r="J376" s="95"/>
      <c r="K376" s="94"/>
      <c r="L376" s="94"/>
      <c r="M376" s="94"/>
      <c r="N376" s="94"/>
      <c r="O376" s="96"/>
      <c r="P376" s="94"/>
      <c r="Q376" s="94"/>
      <c r="R376" s="98"/>
      <c r="S376" s="98"/>
      <c r="T376" s="98"/>
      <c r="U376" s="98"/>
      <c r="V376" s="98"/>
      <c r="W376" s="98"/>
      <c r="X376" s="98"/>
      <c r="Y376" s="98"/>
      <c r="Z376" s="98"/>
      <c r="AA376" s="98"/>
      <c r="AB376" s="98"/>
      <c r="AC376" s="98"/>
      <c r="AD376" s="98"/>
      <c r="AE376" s="98"/>
      <c r="AF376" s="98"/>
      <c r="AG376" s="98"/>
      <c r="AH376" s="98"/>
      <c r="AI376" s="98"/>
      <c r="AJ376" s="98"/>
      <c r="AK376" s="94"/>
      <c r="AL376" s="94"/>
      <c r="AM376" s="94"/>
      <c r="AN376" s="94"/>
      <c r="AO376" s="94"/>
      <c r="AP376" s="94"/>
      <c r="AQ376" s="94"/>
      <c r="AR376" s="94"/>
    </row>
    <row r="377" spans="1:44" ht="12.75" customHeight="1">
      <c r="A377" s="93"/>
      <c r="B377" s="93"/>
      <c r="C377" s="94"/>
      <c r="D377" s="94"/>
      <c r="E377" s="94"/>
      <c r="F377" s="95"/>
      <c r="G377" s="95"/>
      <c r="H377" s="95"/>
      <c r="I377" s="95"/>
      <c r="J377" s="95"/>
      <c r="K377" s="94"/>
      <c r="L377" s="94"/>
      <c r="M377" s="94"/>
      <c r="N377" s="94"/>
      <c r="O377" s="96"/>
      <c r="P377" s="94"/>
      <c r="Q377" s="94"/>
      <c r="R377" s="98"/>
      <c r="S377" s="98"/>
      <c r="T377" s="98"/>
      <c r="U377" s="98"/>
      <c r="V377" s="98"/>
      <c r="W377" s="98"/>
      <c r="X377" s="98"/>
      <c r="Y377" s="98"/>
      <c r="Z377" s="98"/>
      <c r="AA377" s="98"/>
      <c r="AB377" s="98"/>
      <c r="AC377" s="98"/>
      <c r="AD377" s="98"/>
      <c r="AE377" s="98"/>
      <c r="AF377" s="98"/>
      <c r="AG377" s="98"/>
      <c r="AH377" s="98"/>
      <c r="AI377" s="98"/>
      <c r="AJ377" s="98"/>
      <c r="AK377" s="94"/>
      <c r="AL377" s="94"/>
      <c r="AM377" s="94"/>
      <c r="AN377" s="94"/>
      <c r="AO377" s="94"/>
      <c r="AP377" s="94"/>
      <c r="AQ377" s="94"/>
      <c r="AR377" s="94"/>
    </row>
    <row r="378" spans="1:44" ht="12.75" customHeight="1">
      <c r="A378" s="99"/>
      <c r="B378" s="99" t="s">
        <v>194</v>
      </c>
      <c r="C378" s="100"/>
      <c r="D378" s="100"/>
      <c r="E378" s="100"/>
      <c r="F378" s="101"/>
      <c r="G378" s="101"/>
      <c r="H378" s="101"/>
      <c r="I378" s="101">
        <f>SUM(I367:I377)</f>
        <v>5781.2939999999999</v>
      </c>
      <c r="J378" s="95"/>
      <c r="K378" s="94"/>
      <c r="L378" s="94"/>
      <c r="M378" s="94"/>
      <c r="N378" s="94"/>
      <c r="O378" s="96"/>
      <c r="P378" s="94"/>
      <c r="Q378" s="94"/>
      <c r="R378" s="98"/>
      <c r="S378" s="98"/>
      <c r="T378" s="98"/>
      <c r="U378" s="98"/>
      <c r="V378" s="98"/>
      <c r="W378" s="98"/>
      <c r="X378" s="98"/>
      <c r="Y378" s="98"/>
      <c r="Z378" s="98"/>
      <c r="AA378" s="98"/>
      <c r="AB378" s="98"/>
      <c r="AC378" s="98"/>
      <c r="AD378" s="98"/>
      <c r="AE378" s="98"/>
      <c r="AF378" s="98"/>
      <c r="AG378" s="98"/>
      <c r="AH378" s="98"/>
      <c r="AI378" s="98"/>
      <c r="AJ378" s="98"/>
      <c r="AK378" s="94"/>
      <c r="AL378" s="94"/>
      <c r="AM378" s="94"/>
      <c r="AN378" s="94"/>
      <c r="AO378" s="94"/>
      <c r="AP378" s="94"/>
      <c r="AQ378" s="94"/>
      <c r="AR378" s="94"/>
    </row>
    <row r="379" spans="1:44" ht="12.75" customHeight="1">
      <c r="A379" s="93"/>
      <c r="B379" s="93"/>
      <c r="C379" s="94"/>
      <c r="D379" s="94"/>
      <c r="E379" s="94"/>
      <c r="F379" s="95"/>
      <c r="G379" s="95"/>
      <c r="H379" s="95"/>
      <c r="I379" s="95"/>
      <c r="J379" s="95"/>
      <c r="K379" s="94"/>
      <c r="L379" s="94"/>
      <c r="M379" s="94"/>
      <c r="N379" s="94"/>
      <c r="O379" s="96"/>
      <c r="P379" s="94"/>
      <c r="Q379" s="94"/>
      <c r="R379" s="98"/>
      <c r="S379" s="98"/>
      <c r="T379" s="98"/>
      <c r="U379" s="98"/>
      <c r="V379" s="98"/>
      <c r="W379" s="98"/>
      <c r="X379" s="98"/>
      <c r="Y379" s="98"/>
      <c r="Z379" s="98"/>
      <c r="AA379" s="98"/>
      <c r="AB379" s="98"/>
      <c r="AC379" s="98"/>
      <c r="AD379" s="98"/>
      <c r="AE379" s="98"/>
      <c r="AF379" s="98"/>
      <c r="AG379" s="98"/>
      <c r="AH379" s="98"/>
      <c r="AI379" s="98"/>
      <c r="AJ379" s="98"/>
      <c r="AK379" s="94"/>
      <c r="AL379" s="94"/>
      <c r="AM379" s="94"/>
      <c r="AN379" s="94"/>
      <c r="AO379" s="94"/>
      <c r="AP379" s="94"/>
      <c r="AQ379" s="94"/>
      <c r="AR379" s="94"/>
    </row>
    <row r="380" spans="1:44" ht="12.75" customHeight="1">
      <c r="A380" s="93"/>
      <c r="B380" s="93" t="s">
        <v>433</v>
      </c>
      <c r="C380" s="94"/>
      <c r="D380" s="94"/>
      <c r="E380" s="94"/>
      <c r="F380" s="95"/>
      <c r="G380" s="95"/>
      <c r="H380" s="95"/>
      <c r="I380" s="95"/>
      <c r="J380" s="95"/>
      <c r="K380" s="94"/>
      <c r="L380" s="94"/>
      <c r="M380" s="94"/>
      <c r="N380" s="94"/>
      <c r="O380" s="96"/>
      <c r="P380" s="94"/>
      <c r="Q380" s="94"/>
      <c r="R380" s="98"/>
      <c r="S380" s="98"/>
      <c r="T380" s="98"/>
      <c r="U380" s="98"/>
      <c r="V380" s="98"/>
      <c r="W380" s="98"/>
      <c r="X380" s="98"/>
      <c r="Y380" s="98"/>
      <c r="Z380" s="98"/>
      <c r="AA380" s="98"/>
      <c r="AB380" s="98"/>
      <c r="AC380" s="98"/>
      <c r="AD380" s="98"/>
      <c r="AE380" s="98"/>
      <c r="AF380" s="98"/>
      <c r="AG380" s="98"/>
      <c r="AH380" s="98"/>
      <c r="AI380" s="98"/>
      <c r="AJ380" s="98"/>
      <c r="AK380" s="94"/>
      <c r="AL380" s="94"/>
      <c r="AM380" s="94"/>
      <c r="AN380" s="94"/>
      <c r="AO380" s="94"/>
      <c r="AP380" s="94"/>
      <c r="AQ380" s="94"/>
      <c r="AR380" s="94"/>
    </row>
    <row r="381" spans="1:44" ht="12.75" customHeight="1">
      <c r="A381" s="93"/>
      <c r="B381" s="93" t="s">
        <v>434</v>
      </c>
      <c r="C381" s="94" t="s">
        <v>435</v>
      </c>
      <c r="D381" s="94">
        <v>1</v>
      </c>
      <c r="E381" s="94">
        <v>2</v>
      </c>
      <c r="F381" s="95">
        <f>AK127+AL127</f>
        <v>346.69150000000008</v>
      </c>
      <c r="G381" s="95"/>
      <c r="H381" s="95"/>
      <c r="I381" s="95">
        <f>PRODUCT(D381:H381)</f>
        <v>693.38300000000015</v>
      </c>
      <c r="J381" s="95"/>
      <c r="K381" s="94"/>
      <c r="L381" s="94"/>
      <c r="M381" s="94"/>
      <c r="N381" s="94"/>
      <c r="O381" s="96"/>
      <c r="P381" s="94"/>
      <c r="Q381" s="94"/>
      <c r="R381" s="98"/>
      <c r="S381" s="98"/>
      <c r="T381" s="98"/>
      <c r="U381" s="98"/>
      <c r="V381" s="98"/>
      <c r="W381" s="98"/>
      <c r="X381" s="98"/>
      <c r="Y381" s="98"/>
      <c r="Z381" s="98"/>
      <c r="AA381" s="98"/>
      <c r="AB381" s="98"/>
      <c r="AC381" s="98"/>
      <c r="AD381" s="98"/>
      <c r="AE381" s="98"/>
      <c r="AF381" s="98"/>
      <c r="AG381" s="98"/>
      <c r="AH381" s="98"/>
      <c r="AI381" s="98"/>
      <c r="AJ381" s="98"/>
      <c r="AK381" s="94"/>
      <c r="AL381" s="94"/>
      <c r="AM381" s="94"/>
      <c r="AN381" s="94"/>
      <c r="AO381" s="94"/>
      <c r="AP381" s="94"/>
      <c r="AQ381" s="94"/>
      <c r="AR381" s="94"/>
    </row>
    <row r="382" spans="1:44" ht="12.75" customHeight="1">
      <c r="A382" s="93"/>
      <c r="B382" s="93"/>
      <c r="C382" s="94"/>
      <c r="D382" s="94"/>
      <c r="E382" s="94"/>
      <c r="F382" s="95"/>
      <c r="G382" s="95"/>
      <c r="H382" s="95"/>
      <c r="I382" s="95"/>
      <c r="J382" s="95"/>
      <c r="K382" s="94"/>
      <c r="L382" s="94"/>
      <c r="M382" s="94"/>
      <c r="N382" s="94"/>
      <c r="O382" s="96"/>
      <c r="P382" s="94"/>
      <c r="Q382" s="94"/>
      <c r="R382" s="98"/>
      <c r="S382" s="98"/>
      <c r="T382" s="98"/>
      <c r="U382" s="98"/>
      <c r="V382" s="98"/>
      <c r="W382" s="98"/>
      <c r="X382" s="98"/>
      <c r="Y382" s="98"/>
      <c r="Z382" s="98"/>
      <c r="AA382" s="98"/>
      <c r="AB382" s="98"/>
      <c r="AC382" s="98"/>
      <c r="AD382" s="98"/>
      <c r="AE382" s="98"/>
      <c r="AF382" s="98"/>
      <c r="AG382" s="98"/>
      <c r="AH382" s="98"/>
      <c r="AI382" s="98"/>
      <c r="AJ382" s="98"/>
      <c r="AK382" s="94"/>
      <c r="AL382" s="94"/>
      <c r="AM382" s="94"/>
      <c r="AN382" s="94"/>
      <c r="AO382" s="94"/>
      <c r="AP382" s="94"/>
      <c r="AQ382" s="94"/>
      <c r="AR382" s="94"/>
    </row>
    <row r="383" spans="1:44" ht="12.75" customHeight="1">
      <c r="A383" s="99"/>
      <c r="B383" s="99" t="s">
        <v>194</v>
      </c>
      <c r="C383" s="100"/>
      <c r="D383" s="100"/>
      <c r="E383" s="100"/>
      <c r="F383" s="101"/>
      <c r="G383" s="101"/>
      <c r="H383" s="101"/>
      <c r="I383" s="101">
        <f>SUM(I381:I382)</f>
        <v>693.38300000000015</v>
      </c>
      <c r="J383" s="95"/>
      <c r="K383" s="94"/>
      <c r="L383" s="94"/>
      <c r="M383" s="94"/>
      <c r="N383" s="94"/>
      <c r="O383" s="96"/>
      <c r="P383" s="94"/>
      <c r="Q383" s="94"/>
      <c r="R383" s="98"/>
      <c r="S383" s="98"/>
      <c r="T383" s="98"/>
      <c r="U383" s="98"/>
      <c r="V383" s="98"/>
      <c r="W383" s="98"/>
      <c r="X383" s="98"/>
      <c r="Y383" s="98"/>
      <c r="Z383" s="98"/>
      <c r="AA383" s="98"/>
      <c r="AB383" s="98"/>
      <c r="AC383" s="98"/>
      <c r="AD383" s="98"/>
      <c r="AE383" s="98"/>
      <c r="AF383" s="98"/>
      <c r="AG383" s="98"/>
      <c r="AH383" s="98"/>
      <c r="AI383" s="98"/>
      <c r="AJ383" s="98"/>
      <c r="AK383" s="94"/>
      <c r="AL383" s="94"/>
      <c r="AM383" s="94"/>
      <c r="AN383" s="94"/>
      <c r="AO383" s="94"/>
      <c r="AP383" s="94"/>
      <c r="AQ383" s="94"/>
      <c r="AR383" s="94"/>
    </row>
    <row r="384" spans="1:44" ht="12.75" customHeight="1">
      <c r="A384" s="93"/>
      <c r="B384" s="93"/>
      <c r="C384" s="94"/>
      <c r="D384" s="94"/>
      <c r="E384" s="94"/>
      <c r="F384" s="95"/>
      <c r="G384" s="95"/>
      <c r="H384" s="95"/>
      <c r="I384" s="95"/>
      <c r="J384" s="95"/>
      <c r="K384" s="94"/>
      <c r="L384" s="94"/>
      <c r="M384" s="94"/>
      <c r="N384" s="94"/>
      <c r="O384" s="96"/>
      <c r="P384" s="94"/>
      <c r="Q384" s="94"/>
      <c r="R384" s="98"/>
      <c r="S384" s="98"/>
      <c r="T384" s="98"/>
      <c r="U384" s="98"/>
      <c r="V384" s="98"/>
      <c r="W384" s="98"/>
      <c r="X384" s="98"/>
      <c r="Y384" s="98"/>
      <c r="Z384" s="98"/>
      <c r="AA384" s="98"/>
      <c r="AB384" s="98"/>
      <c r="AC384" s="98"/>
      <c r="AD384" s="98"/>
      <c r="AE384" s="98"/>
      <c r="AF384" s="98"/>
      <c r="AG384" s="98"/>
      <c r="AH384" s="98"/>
      <c r="AI384" s="98"/>
      <c r="AJ384" s="98"/>
      <c r="AK384" s="94"/>
      <c r="AL384" s="94"/>
      <c r="AM384" s="94"/>
      <c r="AN384" s="94"/>
      <c r="AO384" s="94"/>
      <c r="AP384" s="94"/>
      <c r="AQ384" s="94"/>
      <c r="AR384" s="94"/>
    </row>
    <row r="385" spans="1:44" ht="12.75" customHeight="1">
      <c r="A385" s="93"/>
      <c r="B385" s="93" t="s">
        <v>436</v>
      </c>
      <c r="C385" s="94"/>
      <c r="D385" s="94"/>
      <c r="E385" s="94"/>
      <c r="F385" s="95"/>
      <c r="G385" s="95"/>
      <c r="H385" s="95"/>
      <c r="I385" s="95"/>
      <c r="J385" s="95"/>
      <c r="K385" s="94"/>
      <c r="L385" s="94"/>
      <c r="M385" s="94"/>
      <c r="N385" s="94"/>
      <c r="O385" s="96"/>
      <c r="P385" s="94"/>
      <c r="Q385" s="94"/>
      <c r="R385" s="98"/>
      <c r="S385" s="98"/>
      <c r="T385" s="98"/>
      <c r="U385" s="98"/>
      <c r="V385" s="98"/>
      <c r="W385" s="98"/>
      <c r="X385" s="98"/>
      <c r="Y385" s="98"/>
      <c r="Z385" s="98"/>
      <c r="AA385" s="98"/>
      <c r="AB385" s="98"/>
      <c r="AC385" s="98"/>
      <c r="AD385" s="98"/>
      <c r="AE385" s="98"/>
      <c r="AF385" s="98"/>
      <c r="AG385" s="98"/>
      <c r="AH385" s="98"/>
      <c r="AI385" s="98"/>
      <c r="AJ385" s="98"/>
      <c r="AK385" s="94"/>
      <c r="AL385" s="94"/>
      <c r="AM385" s="94"/>
      <c r="AN385" s="94"/>
      <c r="AO385" s="94"/>
      <c r="AP385" s="94"/>
      <c r="AQ385" s="94"/>
      <c r="AR385" s="94"/>
    </row>
    <row r="386" spans="1:44" ht="12.75" customHeight="1">
      <c r="A386" s="93"/>
      <c r="B386" s="128" t="s">
        <v>437</v>
      </c>
      <c r="C386" s="94" t="s">
        <v>95</v>
      </c>
      <c r="D386" s="94">
        <v>1</v>
      </c>
      <c r="E386" s="94">
        <v>1</v>
      </c>
      <c r="F386" s="95">
        <f>AH136+AI136</f>
        <v>81.73</v>
      </c>
      <c r="G386" s="95"/>
      <c r="H386" s="95"/>
      <c r="I386" s="95">
        <f t="shared" ref="I386:I389" si="336">PRODUCT(D386:H386)</f>
        <v>81.73</v>
      </c>
      <c r="J386" s="95"/>
      <c r="K386" s="94"/>
      <c r="L386" s="94"/>
      <c r="M386" s="94"/>
      <c r="N386" s="94"/>
      <c r="O386" s="96"/>
      <c r="P386" s="94"/>
      <c r="Q386" s="94"/>
      <c r="R386" s="98"/>
      <c r="S386" s="98"/>
      <c r="T386" s="98"/>
      <c r="U386" s="98"/>
      <c r="V386" s="98"/>
      <c r="W386" s="98"/>
      <c r="X386" s="98"/>
      <c r="Y386" s="98"/>
      <c r="Z386" s="98"/>
      <c r="AA386" s="98"/>
      <c r="AB386" s="98"/>
      <c r="AC386" s="98"/>
      <c r="AD386" s="98"/>
      <c r="AE386" s="98"/>
      <c r="AF386" s="98"/>
      <c r="AG386" s="98"/>
      <c r="AH386" s="98"/>
      <c r="AI386" s="98"/>
      <c r="AJ386" s="98"/>
      <c r="AK386" s="94"/>
      <c r="AL386" s="94"/>
      <c r="AM386" s="94"/>
      <c r="AN386" s="94"/>
      <c r="AO386" s="94"/>
      <c r="AP386" s="94"/>
      <c r="AQ386" s="94"/>
      <c r="AR386" s="94"/>
    </row>
    <row r="387" spans="1:44" ht="12.75" customHeight="1">
      <c r="A387" s="93"/>
      <c r="B387" s="93" t="s">
        <v>135</v>
      </c>
      <c r="C387" s="94" t="s">
        <v>95</v>
      </c>
      <c r="D387" s="94">
        <v>1</v>
      </c>
      <c r="E387" s="94">
        <v>1</v>
      </c>
      <c r="F387" s="95">
        <f>AH276+AI276</f>
        <v>0</v>
      </c>
      <c r="G387" s="95"/>
      <c r="H387" s="95"/>
      <c r="I387" s="95">
        <f t="shared" si="336"/>
        <v>0</v>
      </c>
      <c r="J387" s="95"/>
      <c r="K387" s="94"/>
      <c r="L387" s="94"/>
      <c r="M387" s="94"/>
      <c r="N387" s="94"/>
      <c r="O387" s="96"/>
      <c r="P387" s="94"/>
      <c r="Q387" s="94"/>
      <c r="R387" s="98"/>
      <c r="S387" s="98"/>
      <c r="T387" s="98"/>
      <c r="U387" s="98"/>
      <c r="V387" s="98"/>
      <c r="W387" s="98"/>
      <c r="X387" s="98"/>
      <c r="Y387" s="98"/>
      <c r="Z387" s="98"/>
      <c r="AA387" s="98"/>
      <c r="AB387" s="98"/>
      <c r="AC387" s="98"/>
      <c r="AD387" s="98"/>
      <c r="AE387" s="98"/>
      <c r="AF387" s="98"/>
      <c r="AG387" s="98"/>
      <c r="AH387" s="98"/>
      <c r="AI387" s="98"/>
      <c r="AJ387" s="98"/>
      <c r="AK387" s="94"/>
      <c r="AL387" s="94"/>
      <c r="AM387" s="94"/>
      <c r="AN387" s="94"/>
      <c r="AO387" s="94"/>
      <c r="AP387" s="94"/>
      <c r="AQ387" s="94"/>
      <c r="AR387" s="94"/>
    </row>
    <row r="388" spans="1:44" ht="12.75" customHeight="1">
      <c r="A388" s="93"/>
      <c r="B388" s="93" t="s">
        <v>368</v>
      </c>
      <c r="C388" s="94" t="s">
        <v>95</v>
      </c>
      <c r="D388" s="94">
        <v>1</v>
      </c>
      <c r="E388" s="94">
        <v>1</v>
      </c>
      <c r="F388" s="95">
        <f>AH281+AI281</f>
        <v>0</v>
      </c>
      <c r="G388" s="95"/>
      <c r="H388" s="95"/>
      <c r="I388" s="95">
        <f t="shared" si="336"/>
        <v>0</v>
      </c>
      <c r="J388" s="95"/>
      <c r="K388" s="94"/>
      <c r="L388" s="94"/>
      <c r="M388" s="94"/>
      <c r="N388" s="94"/>
      <c r="O388" s="96"/>
      <c r="P388" s="94"/>
      <c r="Q388" s="94"/>
      <c r="R388" s="98"/>
      <c r="S388" s="98"/>
      <c r="T388" s="98"/>
      <c r="U388" s="98"/>
      <c r="V388" s="98"/>
      <c r="W388" s="98"/>
      <c r="X388" s="98"/>
      <c r="Y388" s="98"/>
      <c r="Z388" s="98"/>
      <c r="AA388" s="98"/>
      <c r="AB388" s="98"/>
      <c r="AC388" s="98"/>
      <c r="AD388" s="98"/>
      <c r="AE388" s="98"/>
      <c r="AF388" s="98"/>
      <c r="AG388" s="98"/>
      <c r="AH388" s="98"/>
      <c r="AI388" s="98"/>
      <c r="AJ388" s="98"/>
      <c r="AK388" s="94"/>
      <c r="AL388" s="94"/>
      <c r="AM388" s="94"/>
      <c r="AN388" s="94"/>
      <c r="AO388" s="94"/>
      <c r="AP388" s="94"/>
      <c r="AQ388" s="94"/>
      <c r="AR388" s="94"/>
    </row>
    <row r="389" spans="1:44" ht="12.75" customHeight="1">
      <c r="A389" s="93"/>
      <c r="B389" s="93" t="s">
        <v>384</v>
      </c>
      <c r="C389" s="94" t="s">
        <v>95</v>
      </c>
      <c r="D389" s="94">
        <v>1</v>
      </c>
      <c r="E389" s="94">
        <v>1</v>
      </c>
      <c r="F389" s="95">
        <f>AH287+AI287</f>
        <v>0</v>
      </c>
      <c r="G389" s="95"/>
      <c r="H389" s="95"/>
      <c r="I389" s="95">
        <f t="shared" si="336"/>
        <v>0</v>
      </c>
      <c r="J389" s="95"/>
      <c r="K389" s="94"/>
      <c r="L389" s="94"/>
      <c r="M389" s="94"/>
      <c r="N389" s="94"/>
      <c r="O389" s="96"/>
      <c r="P389" s="94"/>
      <c r="Q389" s="94"/>
      <c r="R389" s="98"/>
      <c r="S389" s="98"/>
      <c r="T389" s="98"/>
      <c r="U389" s="98"/>
      <c r="V389" s="98"/>
      <c r="W389" s="98"/>
      <c r="X389" s="98"/>
      <c r="Y389" s="98"/>
      <c r="Z389" s="98"/>
      <c r="AA389" s="98"/>
      <c r="AB389" s="98"/>
      <c r="AC389" s="98"/>
      <c r="AD389" s="98"/>
      <c r="AE389" s="98"/>
      <c r="AF389" s="98"/>
      <c r="AG389" s="98"/>
      <c r="AH389" s="98"/>
      <c r="AI389" s="98"/>
      <c r="AJ389" s="98"/>
      <c r="AK389" s="94"/>
      <c r="AL389" s="94"/>
      <c r="AM389" s="94"/>
      <c r="AN389" s="94"/>
      <c r="AO389" s="94"/>
      <c r="AP389" s="94"/>
      <c r="AQ389" s="94"/>
      <c r="AR389" s="94"/>
    </row>
    <row r="390" spans="1:44" ht="12.75" customHeight="1">
      <c r="A390" s="93"/>
      <c r="B390" s="93"/>
      <c r="C390" s="94"/>
      <c r="D390" s="94"/>
      <c r="E390" s="94"/>
      <c r="F390" s="95"/>
      <c r="G390" s="95"/>
      <c r="H390" s="95"/>
      <c r="I390" s="95"/>
      <c r="J390" s="95"/>
      <c r="K390" s="94"/>
      <c r="L390" s="94"/>
      <c r="M390" s="94"/>
      <c r="N390" s="94"/>
      <c r="O390" s="96"/>
      <c r="P390" s="94"/>
      <c r="Q390" s="94"/>
      <c r="R390" s="98"/>
      <c r="S390" s="98"/>
      <c r="T390" s="98"/>
      <c r="U390" s="98"/>
      <c r="V390" s="98"/>
      <c r="W390" s="98"/>
      <c r="X390" s="98"/>
      <c r="Y390" s="98"/>
      <c r="Z390" s="98"/>
      <c r="AA390" s="98"/>
      <c r="AB390" s="98"/>
      <c r="AC390" s="98"/>
      <c r="AD390" s="98"/>
      <c r="AE390" s="98"/>
      <c r="AF390" s="98"/>
      <c r="AG390" s="98"/>
      <c r="AH390" s="98"/>
      <c r="AI390" s="98"/>
      <c r="AJ390" s="98"/>
      <c r="AK390" s="94"/>
      <c r="AL390" s="94"/>
      <c r="AM390" s="94"/>
      <c r="AN390" s="94"/>
      <c r="AO390" s="94"/>
      <c r="AP390" s="94"/>
      <c r="AQ390" s="94"/>
      <c r="AR390" s="94"/>
    </row>
    <row r="391" spans="1:44" ht="12.75" customHeight="1">
      <c r="A391" s="99"/>
      <c r="B391" s="99" t="s">
        <v>194</v>
      </c>
      <c r="C391" s="100"/>
      <c r="D391" s="100"/>
      <c r="E391" s="100"/>
      <c r="F391" s="101"/>
      <c r="G391" s="101"/>
      <c r="H391" s="101"/>
      <c r="I391" s="101">
        <f>SUM(I386:I390)</f>
        <v>81.73</v>
      </c>
      <c r="J391" s="95"/>
      <c r="K391" s="94"/>
      <c r="L391" s="94"/>
      <c r="M391" s="94"/>
      <c r="N391" s="94"/>
      <c r="O391" s="96"/>
      <c r="P391" s="94"/>
      <c r="Q391" s="94"/>
      <c r="R391" s="98"/>
      <c r="S391" s="98"/>
      <c r="T391" s="98"/>
      <c r="U391" s="98"/>
      <c r="V391" s="98"/>
      <c r="W391" s="98"/>
      <c r="X391" s="98"/>
      <c r="Y391" s="98"/>
      <c r="Z391" s="98"/>
      <c r="AA391" s="98"/>
      <c r="AB391" s="98"/>
      <c r="AC391" s="98"/>
      <c r="AD391" s="98"/>
      <c r="AE391" s="98"/>
      <c r="AF391" s="98"/>
      <c r="AG391" s="98"/>
      <c r="AH391" s="98"/>
      <c r="AI391" s="98"/>
      <c r="AJ391" s="98"/>
      <c r="AK391" s="94"/>
      <c r="AL391" s="94"/>
      <c r="AM391" s="94"/>
      <c r="AN391" s="94"/>
      <c r="AO391" s="94"/>
      <c r="AP391" s="94"/>
      <c r="AQ391" s="94"/>
      <c r="AR391" s="94"/>
    </row>
    <row r="392" spans="1:44" ht="12.75" customHeight="1">
      <c r="A392" s="87"/>
      <c r="B392" s="87"/>
      <c r="C392" s="88"/>
      <c r="D392" s="88"/>
      <c r="E392" s="88"/>
      <c r="F392" s="89"/>
      <c r="G392" s="89"/>
      <c r="H392" s="89"/>
      <c r="I392" s="89"/>
      <c r="J392" s="89"/>
      <c r="K392" s="88"/>
      <c r="L392" s="88"/>
      <c r="M392" s="88"/>
      <c r="N392" s="88"/>
      <c r="O392" s="90"/>
      <c r="P392" s="88"/>
      <c r="Q392" s="88"/>
      <c r="R392" s="92"/>
      <c r="S392" s="92"/>
      <c r="T392" s="92"/>
      <c r="U392" s="92"/>
      <c r="V392" s="92"/>
      <c r="W392" s="92"/>
      <c r="X392" s="92"/>
      <c r="Y392" s="92"/>
      <c r="Z392" s="92"/>
      <c r="AA392" s="92"/>
      <c r="AB392" s="92"/>
      <c r="AC392" s="92"/>
      <c r="AD392" s="92"/>
      <c r="AE392" s="92"/>
      <c r="AF392" s="92"/>
      <c r="AG392" s="92"/>
      <c r="AH392" s="92"/>
      <c r="AI392" s="92"/>
      <c r="AJ392" s="92"/>
      <c r="AK392" s="88"/>
      <c r="AL392" s="88"/>
      <c r="AM392" s="88"/>
      <c r="AN392" s="88"/>
      <c r="AO392" s="88"/>
      <c r="AP392" s="88"/>
      <c r="AQ392" s="88"/>
      <c r="AR392" s="88"/>
    </row>
    <row r="393" spans="1:44" ht="12.75" customHeight="1">
      <c r="A393" s="93"/>
      <c r="B393" s="93" t="s">
        <v>438</v>
      </c>
      <c r="C393" s="94"/>
      <c r="D393" s="94"/>
      <c r="E393" s="94"/>
      <c r="F393" s="95"/>
      <c r="G393" s="95"/>
      <c r="H393" s="95"/>
      <c r="I393" s="95"/>
      <c r="J393" s="95"/>
      <c r="K393" s="94"/>
      <c r="L393" s="94"/>
      <c r="M393" s="94"/>
      <c r="N393" s="94"/>
      <c r="O393" s="96"/>
      <c r="P393" s="94"/>
      <c r="Q393" s="94"/>
      <c r="R393" s="98"/>
      <c r="S393" s="98"/>
      <c r="T393" s="98"/>
      <c r="U393" s="98"/>
      <c r="V393" s="98"/>
      <c r="W393" s="98"/>
      <c r="X393" s="98"/>
      <c r="Y393" s="98"/>
      <c r="Z393" s="98"/>
      <c r="AA393" s="98"/>
      <c r="AB393" s="98"/>
      <c r="AC393" s="98"/>
      <c r="AD393" s="98"/>
      <c r="AE393" s="98"/>
      <c r="AF393" s="98"/>
      <c r="AG393" s="98"/>
      <c r="AH393" s="98"/>
      <c r="AI393" s="98"/>
      <c r="AJ393" s="98"/>
      <c r="AK393" s="94"/>
      <c r="AL393" s="94"/>
      <c r="AM393" s="94"/>
      <c r="AN393" s="94"/>
      <c r="AO393" s="94"/>
      <c r="AP393" s="94"/>
      <c r="AQ393" s="94"/>
      <c r="AR393" s="94"/>
    </row>
    <row r="394" spans="1:44" ht="12.75" customHeight="1">
      <c r="A394" s="93"/>
      <c r="B394" s="93" t="s">
        <v>439</v>
      </c>
      <c r="C394" s="94" t="s">
        <v>440</v>
      </c>
      <c r="D394" s="94">
        <v>1</v>
      </c>
      <c r="E394" s="94">
        <v>1</v>
      </c>
      <c r="F394" s="95">
        <v>875</v>
      </c>
      <c r="G394" s="95"/>
      <c r="H394" s="95"/>
      <c r="I394" s="95">
        <f>PRODUCT(D394:H394)</f>
        <v>875</v>
      </c>
      <c r="J394" s="95"/>
      <c r="K394" s="94"/>
      <c r="L394" s="94"/>
      <c r="M394" s="94"/>
      <c r="N394" s="94"/>
      <c r="O394" s="96"/>
      <c r="P394" s="94"/>
      <c r="Q394" s="94"/>
      <c r="R394" s="98"/>
      <c r="S394" s="98"/>
      <c r="T394" s="98"/>
      <c r="U394" s="98"/>
      <c r="V394" s="98"/>
      <c r="W394" s="98"/>
      <c r="X394" s="98"/>
      <c r="Y394" s="98"/>
      <c r="Z394" s="98"/>
      <c r="AA394" s="98"/>
      <c r="AB394" s="98"/>
      <c r="AC394" s="98"/>
      <c r="AD394" s="98"/>
      <c r="AE394" s="98"/>
      <c r="AF394" s="98"/>
      <c r="AG394" s="98"/>
      <c r="AH394" s="98"/>
      <c r="AI394" s="98"/>
      <c r="AJ394" s="98"/>
      <c r="AK394" s="94"/>
      <c r="AL394" s="94"/>
      <c r="AM394" s="94"/>
      <c r="AN394" s="94"/>
      <c r="AO394" s="94"/>
      <c r="AP394" s="94"/>
      <c r="AQ394" s="94"/>
      <c r="AR394" s="94"/>
    </row>
    <row r="395" spans="1:44" ht="12.75" customHeight="1">
      <c r="A395" s="93"/>
      <c r="B395" s="93"/>
      <c r="C395" s="94"/>
      <c r="D395" s="94"/>
      <c r="E395" s="94"/>
      <c r="F395" s="95"/>
      <c r="G395" s="95"/>
      <c r="H395" s="95"/>
      <c r="I395" s="95"/>
      <c r="J395" s="95"/>
      <c r="K395" s="94"/>
      <c r="L395" s="94"/>
      <c r="M395" s="94"/>
      <c r="N395" s="94"/>
      <c r="O395" s="96"/>
      <c r="P395" s="94"/>
      <c r="Q395" s="94"/>
      <c r="R395" s="98"/>
      <c r="S395" s="98"/>
      <c r="T395" s="98"/>
      <c r="U395" s="98"/>
      <c r="V395" s="98"/>
      <c r="W395" s="98"/>
      <c r="X395" s="98"/>
      <c r="Y395" s="98"/>
      <c r="Z395" s="98"/>
      <c r="AA395" s="98"/>
      <c r="AB395" s="98"/>
      <c r="AC395" s="98"/>
      <c r="AD395" s="98"/>
      <c r="AE395" s="98"/>
      <c r="AF395" s="98"/>
      <c r="AG395" s="98"/>
      <c r="AH395" s="98"/>
      <c r="AI395" s="98"/>
      <c r="AJ395" s="98"/>
      <c r="AK395" s="94"/>
      <c r="AL395" s="94"/>
      <c r="AM395" s="94"/>
      <c r="AN395" s="94"/>
      <c r="AO395" s="94"/>
      <c r="AP395" s="94"/>
      <c r="AQ395" s="94"/>
      <c r="AR395" s="94"/>
    </row>
    <row r="396" spans="1:44" ht="12.75" customHeight="1">
      <c r="A396" s="99"/>
      <c r="B396" s="99" t="s">
        <v>194</v>
      </c>
      <c r="C396" s="100"/>
      <c r="D396" s="100"/>
      <c r="E396" s="100"/>
      <c r="F396" s="101"/>
      <c r="G396" s="101"/>
      <c r="H396" s="101"/>
      <c r="I396" s="101">
        <f>SUM(I394:I395)</f>
        <v>875</v>
      </c>
      <c r="J396" s="95"/>
      <c r="K396" s="94"/>
      <c r="L396" s="94"/>
      <c r="M396" s="94"/>
      <c r="N396" s="94"/>
      <c r="O396" s="96"/>
      <c r="P396" s="94"/>
      <c r="Q396" s="94"/>
      <c r="R396" s="98"/>
      <c r="S396" s="98"/>
      <c r="T396" s="98"/>
      <c r="U396" s="98"/>
      <c r="V396" s="98"/>
      <c r="W396" s="98"/>
      <c r="X396" s="98"/>
      <c r="Y396" s="98"/>
      <c r="Z396" s="98"/>
      <c r="AA396" s="98"/>
      <c r="AB396" s="98"/>
      <c r="AC396" s="98"/>
      <c r="AD396" s="98"/>
      <c r="AE396" s="98"/>
      <c r="AF396" s="98"/>
      <c r="AG396" s="98"/>
      <c r="AH396" s="98"/>
      <c r="AI396" s="98"/>
      <c r="AJ396" s="98"/>
      <c r="AK396" s="94"/>
      <c r="AL396" s="94"/>
      <c r="AM396" s="94"/>
      <c r="AN396" s="94"/>
      <c r="AO396" s="94"/>
      <c r="AP396" s="94"/>
      <c r="AQ396" s="94"/>
      <c r="AR396" s="94"/>
    </row>
    <row r="397" spans="1:44" ht="12.75" customHeight="1">
      <c r="A397" s="87"/>
      <c r="B397" s="87"/>
      <c r="C397" s="88"/>
      <c r="D397" s="88"/>
      <c r="E397" s="88"/>
      <c r="F397" s="89"/>
      <c r="G397" s="89"/>
      <c r="H397" s="89"/>
      <c r="I397" s="89"/>
      <c r="J397" s="89"/>
      <c r="K397" s="88"/>
      <c r="L397" s="88"/>
      <c r="M397" s="88"/>
      <c r="N397" s="88"/>
      <c r="O397" s="90"/>
      <c r="P397" s="88"/>
      <c r="Q397" s="88"/>
      <c r="R397" s="92"/>
      <c r="S397" s="92"/>
      <c r="T397" s="92"/>
      <c r="U397" s="92"/>
      <c r="V397" s="92"/>
      <c r="W397" s="92"/>
      <c r="X397" s="92"/>
      <c r="Y397" s="92"/>
      <c r="Z397" s="92"/>
      <c r="AA397" s="92"/>
      <c r="AB397" s="92"/>
      <c r="AC397" s="92"/>
      <c r="AD397" s="92"/>
      <c r="AE397" s="92"/>
      <c r="AF397" s="92"/>
      <c r="AG397" s="92"/>
      <c r="AH397" s="92"/>
      <c r="AI397" s="92"/>
      <c r="AJ397" s="92"/>
      <c r="AK397" s="88"/>
      <c r="AL397" s="88"/>
      <c r="AM397" s="88"/>
      <c r="AN397" s="88"/>
      <c r="AO397" s="88"/>
      <c r="AP397" s="88"/>
      <c r="AQ397" s="88"/>
      <c r="AR397" s="88"/>
    </row>
    <row r="398" spans="1:44" ht="12.75" customHeight="1">
      <c r="A398" s="87"/>
      <c r="B398" s="87"/>
      <c r="C398" s="88"/>
      <c r="D398" s="88"/>
      <c r="E398" s="88"/>
      <c r="F398" s="89"/>
      <c r="G398" s="89"/>
      <c r="H398" s="89"/>
      <c r="I398" s="89"/>
      <c r="J398" s="89"/>
      <c r="K398" s="88"/>
      <c r="L398" s="88"/>
      <c r="M398" s="88"/>
      <c r="N398" s="88"/>
      <c r="O398" s="90"/>
      <c r="P398" s="88"/>
      <c r="Q398" s="88"/>
      <c r="R398" s="92"/>
      <c r="S398" s="92"/>
      <c r="T398" s="92"/>
      <c r="U398" s="92"/>
      <c r="V398" s="92"/>
      <c r="W398" s="92"/>
      <c r="X398" s="92"/>
      <c r="Y398" s="92"/>
      <c r="Z398" s="92"/>
      <c r="AA398" s="92"/>
      <c r="AB398" s="92"/>
      <c r="AC398" s="92"/>
      <c r="AD398" s="92"/>
      <c r="AE398" s="92"/>
      <c r="AF398" s="92"/>
      <c r="AG398" s="92"/>
      <c r="AH398" s="92"/>
      <c r="AI398" s="92"/>
      <c r="AJ398" s="92"/>
      <c r="AK398" s="88"/>
      <c r="AL398" s="88"/>
      <c r="AM398" s="88"/>
      <c r="AN398" s="88"/>
      <c r="AO398" s="88"/>
      <c r="AP398" s="88"/>
      <c r="AQ398" s="88"/>
      <c r="AR398" s="88"/>
    </row>
    <row r="399" spans="1:44" ht="12.75" customHeight="1">
      <c r="A399" s="93"/>
      <c r="B399" s="99" t="s">
        <v>441</v>
      </c>
      <c r="C399" s="94"/>
      <c r="D399" s="94"/>
      <c r="E399" s="94"/>
      <c r="F399" s="95"/>
      <c r="G399" s="95"/>
      <c r="H399" s="95"/>
      <c r="I399" s="95"/>
      <c r="J399" s="95"/>
      <c r="K399" s="94"/>
      <c r="L399" s="94"/>
      <c r="M399" s="94"/>
      <c r="N399" s="94"/>
      <c r="O399" s="96"/>
      <c r="P399" s="94"/>
      <c r="Q399" s="94"/>
      <c r="R399" s="98"/>
      <c r="S399" s="98"/>
      <c r="T399" s="98"/>
      <c r="U399" s="98"/>
      <c r="V399" s="98"/>
      <c r="W399" s="98"/>
      <c r="X399" s="98"/>
      <c r="Y399" s="98"/>
      <c r="Z399" s="98"/>
      <c r="AA399" s="98"/>
      <c r="AB399" s="98"/>
      <c r="AC399" s="98"/>
      <c r="AD399" s="98"/>
      <c r="AE399" s="98"/>
      <c r="AF399" s="98"/>
      <c r="AG399" s="98"/>
      <c r="AH399" s="98"/>
      <c r="AI399" s="98"/>
      <c r="AJ399" s="98"/>
      <c r="AK399" s="94"/>
      <c r="AL399" s="94"/>
      <c r="AM399" s="94"/>
      <c r="AN399" s="94"/>
      <c r="AO399" s="94"/>
      <c r="AP399" s="94"/>
      <c r="AQ399" s="94"/>
      <c r="AR399" s="94"/>
    </row>
    <row r="400" spans="1:44" ht="12.75" customHeight="1">
      <c r="A400" s="93"/>
      <c r="B400" s="99" t="s">
        <v>442</v>
      </c>
      <c r="C400" s="94"/>
      <c r="D400" s="94"/>
      <c r="E400" s="94"/>
      <c r="F400" s="95"/>
      <c r="G400" s="95"/>
      <c r="H400" s="95"/>
      <c r="I400" s="95"/>
      <c r="J400" s="95"/>
      <c r="K400" s="94"/>
      <c r="L400" s="94"/>
      <c r="M400" s="94"/>
      <c r="N400" s="94"/>
      <c r="O400" s="96"/>
      <c r="P400" s="94"/>
      <c r="Q400" s="94"/>
      <c r="R400" s="98"/>
      <c r="S400" s="98"/>
      <c r="T400" s="98"/>
      <c r="U400" s="98"/>
      <c r="V400" s="98"/>
      <c r="W400" s="98"/>
      <c r="X400" s="98"/>
      <c r="Y400" s="98"/>
      <c r="Z400" s="98"/>
      <c r="AA400" s="98"/>
      <c r="AB400" s="98"/>
      <c r="AC400" s="98"/>
      <c r="AD400" s="98"/>
      <c r="AE400" s="98"/>
      <c r="AF400" s="98"/>
      <c r="AG400" s="98"/>
      <c r="AH400" s="98"/>
      <c r="AI400" s="98"/>
      <c r="AJ400" s="98"/>
      <c r="AK400" s="94"/>
      <c r="AL400" s="94"/>
      <c r="AM400" s="94"/>
      <c r="AN400" s="94"/>
      <c r="AO400" s="94"/>
      <c r="AP400" s="94"/>
      <c r="AQ400" s="94"/>
      <c r="AR400" s="94"/>
    </row>
    <row r="401" spans="1:44" ht="12.75" customHeight="1">
      <c r="A401" s="93"/>
      <c r="B401" s="93" t="s">
        <v>216</v>
      </c>
      <c r="C401" s="94" t="s">
        <v>443</v>
      </c>
      <c r="D401" s="94">
        <v>1</v>
      </c>
      <c r="E401" s="94">
        <v>11</v>
      </c>
      <c r="F401" s="95">
        <v>0.4</v>
      </c>
      <c r="G401" s="95">
        <v>0.8</v>
      </c>
      <c r="H401" s="95">
        <f t="shared" ref="H401:H406" si="337">4.65-0.3</f>
        <v>4.3500000000000005</v>
      </c>
      <c r="I401" s="95">
        <f t="shared" ref="I401:I406" si="338">PRODUCT(D401:H401)</f>
        <v>15.312000000000005</v>
      </c>
      <c r="J401" s="95"/>
      <c r="K401" s="94"/>
      <c r="L401" s="94"/>
      <c r="M401" s="94"/>
      <c r="N401" s="94"/>
      <c r="O401" s="96"/>
      <c r="P401" s="94"/>
      <c r="Q401" s="94"/>
      <c r="R401" s="98"/>
      <c r="S401" s="98"/>
      <c r="T401" s="98"/>
      <c r="U401" s="98"/>
      <c r="V401" s="98"/>
      <c r="W401" s="98"/>
      <c r="X401" s="103">
        <f t="shared" ref="X401:X406" si="339">((F401*2+G401*2)*H401)*E401*D401</f>
        <v>114.84000000000003</v>
      </c>
      <c r="Y401" s="103">
        <f t="shared" ref="Y401:Y406" si="340">((M401*H401)*E401*D401)</f>
        <v>0</v>
      </c>
      <c r="Z401" s="98"/>
      <c r="AA401" s="98"/>
      <c r="AB401" s="98"/>
      <c r="AC401" s="98"/>
      <c r="AD401" s="98"/>
      <c r="AE401" s="98"/>
      <c r="AF401" s="98"/>
      <c r="AG401" s="98"/>
      <c r="AH401" s="98"/>
      <c r="AI401" s="98"/>
      <c r="AJ401" s="98"/>
      <c r="AK401" s="94"/>
      <c r="AL401" s="94"/>
      <c r="AM401" s="94"/>
      <c r="AN401" s="94"/>
      <c r="AO401" s="94"/>
      <c r="AP401" s="94"/>
      <c r="AQ401" s="94"/>
      <c r="AR401" s="94"/>
    </row>
    <row r="402" spans="1:44" ht="12.75" customHeight="1">
      <c r="A402" s="93"/>
      <c r="B402" s="93" t="s">
        <v>218</v>
      </c>
      <c r="C402" s="94" t="s">
        <v>444</v>
      </c>
      <c r="D402" s="94">
        <v>1</v>
      </c>
      <c r="E402" s="94">
        <v>7</v>
      </c>
      <c r="F402" s="95">
        <v>0.4</v>
      </c>
      <c r="G402" s="95">
        <v>0.8</v>
      </c>
      <c r="H402" s="95">
        <f t="shared" si="337"/>
        <v>4.3500000000000005</v>
      </c>
      <c r="I402" s="95">
        <f t="shared" si="338"/>
        <v>9.7440000000000015</v>
      </c>
      <c r="J402" s="95"/>
      <c r="K402" s="94"/>
      <c r="L402" s="94"/>
      <c r="M402" s="94"/>
      <c r="N402" s="94"/>
      <c r="O402" s="96"/>
      <c r="P402" s="94"/>
      <c r="Q402" s="94"/>
      <c r="R402" s="98"/>
      <c r="S402" s="98"/>
      <c r="T402" s="98"/>
      <c r="U402" s="98"/>
      <c r="V402" s="98"/>
      <c r="W402" s="98"/>
      <c r="X402" s="103">
        <f t="shared" si="339"/>
        <v>73.080000000000027</v>
      </c>
      <c r="Y402" s="103">
        <f t="shared" si="340"/>
        <v>0</v>
      </c>
      <c r="Z402" s="98"/>
      <c r="AA402" s="98"/>
      <c r="AB402" s="98"/>
      <c r="AC402" s="98"/>
      <c r="AD402" s="98"/>
      <c r="AE402" s="98"/>
      <c r="AF402" s="98"/>
      <c r="AG402" s="98"/>
      <c r="AH402" s="98"/>
      <c r="AI402" s="98"/>
      <c r="AJ402" s="98"/>
      <c r="AK402" s="94"/>
      <c r="AL402" s="94"/>
      <c r="AM402" s="94"/>
      <c r="AN402" s="94"/>
      <c r="AO402" s="94"/>
      <c r="AP402" s="94"/>
      <c r="AQ402" s="94"/>
      <c r="AR402" s="94"/>
    </row>
    <row r="403" spans="1:44" ht="12.75" customHeight="1">
      <c r="A403" s="93"/>
      <c r="B403" s="93" t="s">
        <v>220</v>
      </c>
      <c r="C403" s="94" t="s">
        <v>445</v>
      </c>
      <c r="D403" s="94">
        <v>1</v>
      </c>
      <c r="E403" s="94">
        <v>2</v>
      </c>
      <c r="F403" s="95">
        <v>0.4</v>
      </c>
      <c r="G403" s="95">
        <v>0.9</v>
      </c>
      <c r="H403" s="95">
        <f t="shared" si="337"/>
        <v>4.3500000000000005</v>
      </c>
      <c r="I403" s="95">
        <f t="shared" si="338"/>
        <v>3.1320000000000006</v>
      </c>
      <c r="J403" s="95"/>
      <c r="K403" s="94"/>
      <c r="L403" s="94"/>
      <c r="M403" s="94"/>
      <c r="N403" s="94"/>
      <c r="O403" s="96"/>
      <c r="P403" s="94"/>
      <c r="Q403" s="94"/>
      <c r="R403" s="98"/>
      <c r="S403" s="98"/>
      <c r="T403" s="98"/>
      <c r="U403" s="98"/>
      <c r="V403" s="98"/>
      <c r="W403" s="98"/>
      <c r="X403" s="103">
        <f t="shared" si="339"/>
        <v>22.620000000000005</v>
      </c>
      <c r="Y403" s="103">
        <f t="shared" si="340"/>
        <v>0</v>
      </c>
      <c r="Z403" s="98"/>
      <c r="AA403" s="98"/>
      <c r="AB403" s="98"/>
      <c r="AC403" s="98"/>
      <c r="AD403" s="98"/>
      <c r="AE403" s="98"/>
      <c r="AF403" s="98"/>
      <c r="AG403" s="98"/>
      <c r="AH403" s="98"/>
      <c r="AI403" s="98"/>
      <c r="AJ403" s="98"/>
      <c r="AK403" s="94"/>
      <c r="AL403" s="94"/>
      <c r="AM403" s="94"/>
      <c r="AN403" s="94"/>
      <c r="AO403" s="94"/>
      <c r="AP403" s="94"/>
      <c r="AQ403" s="94"/>
      <c r="AR403" s="94"/>
    </row>
    <row r="404" spans="1:44" ht="12.75" customHeight="1">
      <c r="A404" s="93"/>
      <c r="B404" s="93" t="s">
        <v>222</v>
      </c>
      <c r="C404" s="94" t="s">
        <v>446</v>
      </c>
      <c r="D404" s="94">
        <v>1</v>
      </c>
      <c r="E404" s="94">
        <v>2</v>
      </c>
      <c r="F404" s="95">
        <v>0.4</v>
      </c>
      <c r="G404" s="95">
        <v>0.75</v>
      </c>
      <c r="H404" s="95">
        <f t="shared" si="337"/>
        <v>4.3500000000000005</v>
      </c>
      <c r="I404" s="95">
        <f t="shared" si="338"/>
        <v>2.6100000000000008</v>
      </c>
      <c r="J404" s="95"/>
      <c r="K404" s="94"/>
      <c r="L404" s="94"/>
      <c r="M404" s="94"/>
      <c r="N404" s="94"/>
      <c r="O404" s="96"/>
      <c r="P404" s="94"/>
      <c r="Q404" s="94"/>
      <c r="R404" s="98"/>
      <c r="S404" s="98"/>
      <c r="T404" s="98"/>
      <c r="U404" s="98"/>
      <c r="V404" s="98"/>
      <c r="W404" s="98"/>
      <c r="X404" s="103">
        <f t="shared" si="339"/>
        <v>20.010000000000002</v>
      </c>
      <c r="Y404" s="103">
        <f t="shared" si="340"/>
        <v>0</v>
      </c>
      <c r="Z404" s="98"/>
      <c r="AA404" s="98"/>
      <c r="AB404" s="98"/>
      <c r="AC404" s="98"/>
      <c r="AD404" s="98"/>
      <c r="AE404" s="98"/>
      <c r="AF404" s="98"/>
      <c r="AG404" s="98"/>
      <c r="AH404" s="98"/>
      <c r="AI404" s="98"/>
      <c r="AJ404" s="98"/>
      <c r="AK404" s="94"/>
      <c r="AL404" s="94"/>
      <c r="AM404" s="94"/>
      <c r="AN404" s="94"/>
      <c r="AO404" s="94"/>
      <c r="AP404" s="94"/>
      <c r="AQ404" s="94"/>
      <c r="AR404" s="94"/>
    </row>
    <row r="405" spans="1:44" ht="12.75" customHeight="1">
      <c r="A405" s="93"/>
      <c r="B405" s="93" t="s">
        <v>224</v>
      </c>
      <c r="C405" s="94" t="s">
        <v>447</v>
      </c>
      <c r="D405" s="94">
        <v>1</v>
      </c>
      <c r="E405" s="94">
        <v>6</v>
      </c>
      <c r="F405" s="95">
        <v>0.5</v>
      </c>
      <c r="G405" s="95">
        <v>0.9</v>
      </c>
      <c r="H405" s="95">
        <f t="shared" si="337"/>
        <v>4.3500000000000005</v>
      </c>
      <c r="I405" s="95">
        <f t="shared" si="338"/>
        <v>11.745000000000003</v>
      </c>
      <c r="J405" s="95"/>
      <c r="K405" s="94"/>
      <c r="L405" s="94"/>
      <c r="M405" s="94"/>
      <c r="N405" s="94"/>
      <c r="O405" s="96"/>
      <c r="P405" s="94"/>
      <c r="Q405" s="94"/>
      <c r="R405" s="98"/>
      <c r="S405" s="98"/>
      <c r="T405" s="98"/>
      <c r="U405" s="98"/>
      <c r="V405" s="98"/>
      <c r="W405" s="98"/>
      <c r="X405" s="103">
        <f t="shared" si="339"/>
        <v>73.080000000000013</v>
      </c>
      <c r="Y405" s="103">
        <f t="shared" si="340"/>
        <v>0</v>
      </c>
      <c r="Z405" s="98"/>
      <c r="AA405" s="98"/>
      <c r="AB405" s="98"/>
      <c r="AC405" s="98"/>
      <c r="AD405" s="98"/>
      <c r="AE405" s="98"/>
      <c r="AF405" s="98"/>
      <c r="AG405" s="98"/>
      <c r="AH405" s="98"/>
      <c r="AI405" s="98"/>
      <c r="AJ405" s="98"/>
      <c r="AK405" s="94"/>
      <c r="AL405" s="94"/>
      <c r="AM405" s="94"/>
      <c r="AN405" s="94"/>
      <c r="AO405" s="94"/>
      <c r="AP405" s="94"/>
      <c r="AQ405" s="94"/>
      <c r="AR405" s="94"/>
    </row>
    <row r="406" spans="1:44" ht="12.75" customHeight="1">
      <c r="A406" s="93"/>
      <c r="B406" s="93" t="s">
        <v>226</v>
      </c>
      <c r="C406" s="94" t="s">
        <v>448</v>
      </c>
      <c r="D406" s="94">
        <v>1</v>
      </c>
      <c r="E406" s="94">
        <v>2</v>
      </c>
      <c r="F406" s="95">
        <v>0.4</v>
      </c>
      <c r="G406" s="95">
        <v>0.4</v>
      </c>
      <c r="H406" s="95">
        <f t="shared" si="337"/>
        <v>4.3500000000000005</v>
      </c>
      <c r="I406" s="95">
        <f t="shared" si="338"/>
        <v>1.3920000000000003</v>
      </c>
      <c r="J406" s="95"/>
      <c r="K406" s="94"/>
      <c r="L406" s="94"/>
      <c r="M406" s="94"/>
      <c r="N406" s="94"/>
      <c r="O406" s="96"/>
      <c r="P406" s="94"/>
      <c r="Q406" s="94"/>
      <c r="R406" s="98"/>
      <c r="S406" s="98"/>
      <c r="T406" s="98"/>
      <c r="U406" s="98"/>
      <c r="V406" s="98"/>
      <c r="W406" s="98"/>
      <c r="X406" s="103">
        <f t="shared" si="339"/>
        <v>13.920000000000002</v>
      </c>
      <c r="Y406" s="103">
        <f t="shared" si="340"/>
        <v>0</v>
      </c>
      <c r="Z406" s="98"/>
      <c r="AA406" s="98"/>
      <c r="AB406" s="98"/>
      <c r="AC406" s="98"/>
      <c r="AD406" s="98"/>
      <c r="AE406" s="98"/>
      <c r="AF406" s="98"/>
      <c r="AG406" s="98"/>
      <c r="AH406" s="98"/>
      <c r="AI406" s="98"/>
      <c r="AJ406" s="98"/>
      <c r="AK406" s="94"/>
      <c r="AL406" s="94"/>
      <c r="AM406" s="94"/>
      <c r="AN406" s="94"/>
      <c r="AO406" s="94"/>
      <c r="AP406" s="94"/>
      <c r="AQ406" s="94"/>
      <c r="AR406" s="94"/>
    </row>
    <row r="407" spans="1:44" ht="12.75" customHeight="1">
      <c r="A407" s="93"/>
      <c r="B407" s="129" t="s">
        <v>449</v>
      </c>
      <c r="C407" s="94"/>
      <c r="D407" s="94"/>
      <c r="E407" s="94"/>
      <c r="F407" s="95"/>
      <c r="G407" s="95"/>
      <c r="H407" s="95"/>
      <c r="I407" s="95"/>
      <c r="J407" s="95"/>
      <c r="K407" s="94"/>
      <c r="L407" s="94"/>
      <c r="M407" s="94"/>
      <c r="N407" s="94"/>
      <c r="O407" s="96"/>
      <c r="P407" s="94"/>
      <c r="Q407" s="94"/>
      <c r="R407" s="98"/>
      <c r="S407" s="98"/>
      <c r="T407" s="98"/>
      <c r="U407" s="98"/>
      <c r="V407" s="98"/>
      <c r="W407" s="98"/>
      <c r="X407" s="98"/>
      <c r="Y407" s="98"/>
      <c r="Z407" s="98"/>
      <c r="AA407" s="98"/>
      <c r="AB407" s="98"/>
      <c r="AC407" s="98"/>
      <c r="AD407" s="98"/>
      <c r="AE407" s="98"/>
      <c r="AF407" s="98"/>
      <c r="AG407" s="98"/>
      <c r="AH407" s="98"/>
      <c r="AI407" s="98"/>
      <c r="AJ407" s="98"/>
      <c r="AK407" s="94"/>
      <c r="AL407" s="94"/>
      <c r="AM407" s="94"/>
      <c r="AN407" s="94"/>
      <c r="AO407" s="94"/>
      <c r="AP407" s="94"/>
      <c r="AQ407" s="94"/>
      <c r="AR407" s="94"/>
    </row>
    <row r="408" spans="1:44" ht="12.75" customHeight="1">
      <c r="A408" s="93"/>
      <c r="B408" s="93" t="s">
        <v>216</v>
      </c>
      <c r="C408" s="94" t="s">
        <v>450</v>
      </c>
      <c r="D408" s="94">
        <v>1</v>
      </c>
      <c r="E408" s="94">
        <v>55</v>
      </c>
      <c r="F408" s="95">
        <v>0.4</v>
      </c>
      <c r="G408" s="95">
        <v>0.8</v>
      </c>
      <c r="H408" s="95">
        <f t="shared" ref="H408:H413" si="341">4.65-0.3</f>
        <v>4.3500000000000005</v>
      </c>
      <c r="I408" s="95">
        <f t="shared" ref="I408:I413" si="342">PRODUCT(D408:H408)</f>
        <v>76.560000000000016</v>
      </c>
      <c r="J408" s="95"/>
      <c r="K408" s="94"/>
      <c r="L408" s="94"/>
      <c r="M408" s="94"/>
      <c r="N408" s="94"/>
      <c r="O408" s="96"/>
      <c r="P408" s="94"/>
      <c r="Q408" s="94"/>
      <c r="R408" s="98"/>
      <c r="S408" s="98"/>
      <c r="T408" s="98"/>
      <c r="U408" s="98"/>
      <c r="V408" s="98"/>
      <c r="W408" s="98"/>
      <c r="X408" s="103">
        <f t="shared" ref="X408:X413" si="343">((F408*2+G408*2)*H408)*E408*D408</f>
        <v>574.20000000000016</v>
      </c>
      <c r="Y408" s="103">
        <f t="shared" ref="Y408:Y413" si="344">((M408*H408)*E408*D408)</f>
        <v>0</v>
      </c>
      <c r="Z408" s="98"/>
      <c r="AA408" s="98"/>
      <c r="AB408" s="98"/>
      <c r="AC408" s="98"/>
      <c r="AD408" s="98"/>
      <c r="AE408" s="98"/>
      <c r="AF408" s="98"/>
      <c r="AG408" s="98"/>
      <c r="AH408" s="98"/>
      <c r="AI408" s="98"/>
      <c r="AJ408" s="98"/>
      <c r="AK408" s="94"/>
      <c r="AL408" s="94"/>
      <c r="AM408" s="94"/>
      <c r="AN408" s="94"/>
      <c r="AO408" s="94"/>
      <c r="AP408" s="94"/>
      <c r="AQ408" s="94"/>
      <c r="AR408" s="94"/>
    </row>
    <row r="409" spans="1:44" ht="12.75" customHeight="1">
      <c r="A409" s="93"/>
      <c r="B409" s="93" t="s">
        <v>218</v>
      </c>
      <c r="C409" s="94" t="s">
        <v>451</v>
      </c>
      <c r="D409" s="94">
        <v>1</v>
      </c>
      <c r="E409" s="94">
        <v>35</v>
      </c>
      <c r="F409" s="95">
        <v>0.4</v>
      </c>
      <c r="G409" s="95">
        <v>0.8</v>
      </c>
      <c r="H409" s="95">
        <f t="shared" si="341"/>
        <v>4.3500000000000005</v>
      </c>
      <c r="I409" s="95">
        <f t="shared" si="342"/>
        <v>48.720000000000013</v>
      </c>
      <c r="J409" s="95"/>
      <c r="K409" s="94"/>
      <c r="L409" s="94"/>
      <c r="M409" s="94"/>
      <c r="N409" s="94"/>
      <c r="O409" s="96"/>
      <c r="P409" s="94"/>
      <c r="Q409" s="94"/>
      <c r="R409" s="98"/>
      <c r="S409" s="98"/>
      <c r="T409" s="98"/>
      <c r="U409" s="98"/>
      <c r="V409" s="98"/>
      <c r="W409" s="98"/>
      <c r="X409" s="103">
        <f t="shared" si="343"/>
        <v>365.40000000000009</v>
      </c>
      <c r="Y409" s="103">
        <f t="shared" si="344"/>
        <v>0</v>
      </c>
      <c r="Z409" s="98"/>
      <c r="AA409" s="98"/>
      <c r="AB409" s="98"/>
      <c r="AC409" s="98"/>
      <c r="AD409" s="98"/>
      <c r="AE409" s="98"/>
      <c r="AF409" s="98"/>
      <c r="AG409" s="98"/>
      <c r="AH409" s="98"/>
      <c r="AI409" s="98"/>
      <c r="AJ409" s="98"/>
      <c r="AK409" s="94"/>
      <c r="AL409" s="94"/>
      <c r="AM409" s="94"/>
      <c r="AN409" s="94"/>
      <c r="AO409" s="94"/>
      <c r="AP409" s="94"/>
      <c r="AQ409" s="94"/>
      <c r="AR409" s="94"/>
    </row>
    <row r="410" spans="1:44" ht="12.75" customHeight="1">
      <c r="A410" s="93"/>
      <c r="B410" s="93" t="s">
        <v>220</v>
      </c>
      <c r="C410" s="94" t="s">
        <v>452</v>
      </c>
      <c r="D410" s="94">
        <v>1</v>
      </c>
      <c r="E410" s="94">
        <v>10</v>
      </c>
      <c r="F410" s="95">
        <v>0.4</v>
      </c>
      <c r="G410" s="95">
        <v>0.9</v>
      </c>
      <c r="H410" s="95">
        <f t="shared" si="341"/>
        <v>4.3500000000000005</v>
      </c>
      <c r="I410" s="95">
        <f t="shared" si="342"/>
        <v>15.660000000000002</v>
      </c>
      <c r="J410" s="95"/>
      <c r="K410" s="94"/>
      <c r="L410" s="94"/>
      <c r="M410" s="94"/>
      <c r="N410" s="94"/>
      <c r="O410" s="96"/>
      <c r="P410" s="94"/>
      <c r="Q410" s="94"/>
      <c r="R410" s="98"/>
      <c r="S410" s="98"/>
      <c r="T410" s="98"/>
      <c r="U410" s="98"/>
      <c r="V410" s="98"/>
      <c r="W410" s="98"/>
      <c r="X410" s="103">
        <f t="shared" si="343"/>
        <v>113.10000000000002</v>
      </c>
      <c r="Y410" s="103">
        <f t="shared" si="344"/>
        <v>0</v>
      </c>
      <c r="Z410" s="98"/>
      <c r="AA410" s="98"/>
      <c r="AB410" s="98"/>
      <c r="AC410" s="98"/>
      <c r="AD410" s="98"/>
      <c r="AE410" s="98"/>
      <c r="AF410" s="98"/>
      <c r="AG410" s="98"/>
      <c r="AH410" s="98"/>
      <c r="AI410" s="98"/>
      <c r="AJ410" s="98"/>
      <c r="AK410" s="94"/>
      <c r="AL410" s="94"/>
      <c r="AM410" s="94"/>
      <c r="AN410" s="94"/>
      <c r="AO410" s="94"/>
      <c r="AP410" s="94"/>
      <c r="AQ410" s="94"/>
      <c r="AR410" s="94"/>
    </row>
    <row r="411" spans="1:44" ht="12.75" customHeight="1">
      <c r="A411" s="93"/>
      <c r="B411" s="93" t="s">
        <v>222</v>
      </c>
      <c r="C411" s="94" t="s">
        <v>453</v>
      </c>
      <c r="D411" s="94">
        <v>1</v>
      </c>
      <c r="E411" s="94">
        <v>10</v>
      </c>
      <c r="F411" s="95">
        <v>0.4</v>
      </c>
      <c r="G411" s="95">
        <v>0.75</v>
      </c>
      <c r="H411" s="95">
        <f t="shared" si="341"/>
        <v>4.3500000000000005</v>
      </c>
      <c r="I411" s="95">
        <f t="shared" si="342"/>
        <v>13.05</v>
      </c>
      <c r="J411" s="95"/>
      <c r="K411" s="94"/>
      <c r="L411" s="94"/>
      <c r="M411" s="94"/>
      <c r="N411" s="94"/>
      <c r="O411" s="96"/>
      <c r="P411" s="94"/>
      <c r="Q411" s="94"/>
      <c r="R411" s="98"/>
      <c r="S411" s="98"/>
      <c r="T411" s="98"/>
      <c r="U411" s="98"/>
      <c r="V411" s="98"/>
      <c r="W411" s="98"/>
      <c r="X411" s="103">
        <f t="shared" si="343"/>
        <v>100.05000000000001</v>
      </c>
      <c r="Y411" s="103">
        <f t="shared" si="344"/>
        <v>0</v>
      </c>
      <c r="Z411" s="98"/>
      <c r="AA411" s="98"/>
      <c r="AB411" s="98"/>
      <c r="AC411" s="98"/>
      <c r="AD411" s="98"/>
      <c r="AE411" s="98"/>
      <c r="AF411" s="98"/>
      <c r="AG411" s="98"/>
      <c r="AH411" s="98"/>
      <c r="AI411" s="98"/>
      <c r="AJ411" s="98"/>
      <c r="AK411" s="94"/>
      <c r="AL411" s="94"/>
      <c r="AM411" s="94"/>
      <c r="AN411" s="94"/>
      <c r="AO411" s="94"/>
      <c r="AP411" s="94"/>
      <c r="AQ411" s="94"/>
      <c r="AR411" s="94"/>
    </row>
    <row r="412" spans="1:44" ht="12.75" customHeight="1">
      <c r="A412" s="93"/>
      <c r="B412" s="93" t="s">
        <v>224</v>
      </c>
      <c r="C412" s="94" t="s">
        <v>454</v>
      </c>
      <c r="D412" s="94">
        <v>1</v>
      </c>
      <c r="E412" s="94">
        <v>30</v>
      </c>
      <c r="F412" s="95">
        <v>0.5</v>
      </c>
      <c r="G412" s="95">
        <v>0.9</v>
      </c>
      <c r="H412" s="95">
        <f t="shared" si="341"/>
        <v>4.3500000000000005</v>
      </c>
      <c r="I412" s="95">
        <f t="shared" si="342"/>
        <v>58.725000000000009</v>
      </c>
      <c r="J412" s="95"/>
      <c r="K412" s="94"/>
      <c r="L412" s="94"/>
      <c r="M412" s="94"/>
      <c r="N412" s="94"/>
      <c r="O412" s="96"/>
      <c r="P412" s="94"/>
      <c r="Q412" s="94"/>
      <c r="R412" s="98"/>
      <c r="S412" s="98"/>
      <c r="T412" s="98"/>
      <c r="U412" s="98"/>
      <c r="V412" s="98"/>
      <c r="W412" s="98"/>
      <c r="X412" s="103">
        <f t="shared" si="343"/>
        <v>365.40000000000003</v>
      </c>
      <c r="Y412" s="103">
        <f t="shared" si="344"/>
        <v>0</v>
      </c>
      <c r="Z412" s="98"/>
      <c r="AA412" s="98"/>
      <c r="AB412" s="98"/>
      <c r="AC412" s="98"/>
      <c r="AD412" s="98"/>
      <c r="AE412" s="98"/>
      <c r="AF412" s="98"/>
      <c r="AG412" s="98"/>
      <c r="AH412" s="98"/>
      <c r="AI412" s="98"/>
      <c r="AJ412" s="98"/>
      <c r="AK412" s="94"/>
      <c r="AL412" s="94"/>
      <c r="AM412" s="94"/>
      <c r="AN412" s="94"/>
      <c r="AO412" s="94"/>
      <c r="AP412" s="94"/>
      <c r="AQ412" s="94"/>
      <c r="AR412" s="94"/>
    </row>
    <row r="413" spans="1:44" ht="12.75" customHeight="1">
      <c r="A413" s="93"/>
      <c r="B413" s="93" t="s">
        <v>226</v>
      </c>
      <c r="C413" s="94" t="s">
        <v>455</v>
      </c>
      <c r="D413" s="94">
        <v>1</v>
      </c>
      <c r="E413" s="94">
        <v>10</v>
      </c>
      <c r="F413" s="95">
        <v>0.4</v>
      </c>
      <c r="G413" s="95">
        <v>0.4</v>
      </c>
      <c r="H413" s="95">
        <f t="shared" si="341"/>
        <v>4.3500000000000005</v>
      </c>
      <c r="I413" s="95">
        <f t="shared" si="342"/>
        <v>6.9600000000000009</v>
      </c>
      <c r="J413" s="95"/>
      <c r="K413" s="94"/>
      <c r="L413" s="94"/>
      <c r="M413" s="94"/>
      <c r="N413" s="94"/>
      <c r="O413" s="96"/>
      <c r="P413" s="94"/>
      <c r="Q413" s="94"/>
      <c r="R413" s="98"/>
      <c r="S413" s="98"/>
      <c r="T413" s="98"/>
      <c r="U413" s="98"/>
      <c r="V413" s="98"/>
      <c r="W413" s="98"/>
      <c r="X413" s="103">
        <f t="shared" si="343"/>
        <v>69.600000000000009</v>
      </c>
      <c r="Y413" s="103">
        <f t="shared" si="344"/>
        <v>0</v>
      </c>
      <c r="Z413" s="98"/>
      <c r="AA413" s="98"/>
      <c r="AB413" s="98"/>
      <c r="AC413" s="98"/>
      <c r="AD413" s="98"/>
      <c r="AE413" s="98"/>
      <c r="AF413" s="98"/>
      <c r="AG413" s="98"/>
      <c r="AH413" s="98"/>
      <c r="AI413" s="98"/>
      <c r="AJ413" s="98"/>
      <c r="AK413" s="94"/>
      <c r="AL413" s="94"/>
      <c r="AM413" s="94"/>
      <c r="AN413" s="94"/>
      <c r="AO413" s="94"/>
      <c r="AP413" s="94"/>
      <c r="AQ413" s="94"/>
      <c r="AR413" s="94"/>
    </row>
    <row r="414" spans="1:44" ht="12.75" customHeight="1">
      <c r="A414" s="93"/>
      <c r="B414" s="99" t="s">
        <v>456</v>
      </c>
      <c r="C414" s="94"/>
      <c r="D414" s="94"/>
      <c r="E414" s="94"/>
      <c r="F414" s="95"/>
      <c r="G414" s="95"/>
      <c r="H414" s="95"/>
      <c r="I414" s="95"/>
      <c r="J414" s="95"/>
      <c r="K414" s="94"/>
      <c r="L414" s="94"/>
      <c r="M414" s="94"/>
      <c r="N414" s="94"/>
      <c r="O414" s="96"/>
      <c r="P414" s="94"/>
      <c r="Q414" s="94"/>
      <c r="R414" s="98"/>
      <c r="S414" s="98"/>
      <c r="T414" s="98"/>
      <c r="U414" s="98"/>
      <c r="V414" s="98"/>
      <c r="W414" s="98"/>
      <c r="X414" s="98"/>
      <c r="Y414" s="98"/>
      <c r="Z414" s="98"/>
      <c r="AA414" s="98"/>
      <c r="AB414" s="98"/>
      <c r="AC414" s="98"/>
      <c r="AD414" s="98"/>
      <c r="AE414" s="98"/>
      <c r="AF414" s="98"/>
      <c r="AG414" s="98"/>
      <c r="AH414" s="98"/>
      <c r="AI414" s="98"/>
      <c r="AJ414" s="98"/>
      <c r="AK414" s="94"/>
      <c r="AL414" s="94"/>
      <c r="AM414" s="94"/>
      <c r="AN414" s="94"/>
      <c r="AO414" s="94"/>
      <c r="AP414" s="94"/>
      <c r="AQ414" s="94"/>
      <c r="AR414" s="94"/>
    </row>
    <row r="415" spans="1:44" ht="12.75" customHeight="1">
      <c r="A415" s="93"/>
      <c r="B415" s="93" t="s">
        <v>216</v>
      </c>
      <c r="C415" s="94" t="s">
        <v>457</v>
      </c>
      <c r="D415" s="94">
        <v>1</v>
      </c>
      <c r="E415" s="94">
        <v>11</v>
      </c>
      <c r="F415" s="95">
        <v>0.4</v>
      </c>
      <c r="G415" s="95">
        <v>0.8</v>
      </c>
      <c r="H415" s="95">
        <f t="shared" ref="H415:H420" si="345">4.65-0.3</f>
        <v>4.3500000000000005</v>
      </c>
      <c r="I415" s="95">
        <f t="shared" ref="I415:I420" si="346">PRODUCT(D415:H415)</f>
        <v>15.312000000000005</v>
      </c>
      <c r="J415" s="95"/>
      <c r="K415" s="94"/>
      <c r="L415" s="94"/>
      <c r="M415" s="94"/>
      <c r="N415" s="94"/>
      <c r="O415" s="96"/>
      <c r="P415" s="94"/>
      <c r="Q415" s="94"/>
      <c r="R415" s="98"/>
      <c r="S415" s="98"/>
      <c r="T415" s="98"/>
      <c r="U415" s="98"/>
      <c r="V415" s="98"/>
      <c r="W415" s="98"/>
      <c r="X415" s="103">
        <f t="shared" ref="X415:X420" si="347">((F415*2+G415*2)*H415)*E415*D415</f>
        <v>114.84000000000003</v>
      </c>
      <c r="Y415" s="103">
        <f t="shared" ref="Y415:Y420" si="348">((M415*H415)*E415*D415)</f>
        <v>0</v>
      </c>
      <c r="Z415" s="98"/>
      <c r="AA415" s="98"/>
      <c r="AB415" s="98"/>
      <c r="AC415" s="98"/>
      <c r="AD415" s="98"/>
      <c r="AE415" s="98"/>
      <c r="AF415" s="98"/>
      <c r="AG415" s="98"/>
      <c r="AH415" s="98"/>
      <c r="AI415" s="98"/>
      <c r="AJ415" s="98"/>
      <c r="AK415" s="94"/>
      <c r="AL415" s="94"/>
      <c r="AM415" s="94"/>
      <c r="AN415" s="94"/>
      <c r="AO415" s="94"/>
      <c r="AP415" s="94"/>
      <c r="AQ415" s="94"/>
      <c r="AR415" s="94"/>
    </row>
    <row r="416" spans="1:44" ht="12.75" customHeight="1">
      <c r="A416" s="93"/>
      <c r="B416" s="93" t="s">
        <v>218</v>
      </c>
      <c r="C416" s="94" t="s">
        <v>458</v>
      </c>
      <c r="D416" s="94">
        <v>1</v>
      </c>
      <c r="E416" s="94">
        <v>7</v>
      </c>
      <c r="F416" s="95">
        <v>0.4</v>
      </c>
      <c r="G416" s="95">
        <v>0.8</v>
      </c>
      <c r="H416" s="95">
        <f t="shared" si="345"/>
        <v>4.3500000000000005</v>
      </c>
      <c r="I416" s="95">
        <f t="shared" si="346"/>
        <v>9.7440000000000015</v>
      </c>
      <c r="J416" s="95"/>
      <c r="K416" s="94"/>
      <c r="L416" s="94"/>
      <c r="M416" s="94"/>
      <c r="N416" s="94"/>
      <c r="O416" s="96"/>
      <c r="P416" s="94"/>
      <c r="Q416" s="94"/>
      <c r="R416" s="98"/>
      <c r="S416" s="98"/>
      <c r="T416" s="98"/>
      <c r="U416" s="98"/>
      <c r="V416" s="98"/>
      <c r="W416" s="98"/>
      <c r="X416" s="103">
        <f t="shared" si="347"/>
        <v>73.080000000000027</v>
      </c>
      <c r="Y416" s="103">
        <f t="shared" si="348"/>
        <v>0</v>
      </c>
      <c r="Z416" s="98"/>
      <c r="AA416" s="98"/>
      <c r="AB416" s="98"/>
      <c r="AC416" s="98"/>
      <c r="AD416" s="98"/>
      <c r="AE416" s="98"/>
      <c r="AF416" s="98"/>
      <c r="AG416" s="98"/>
      <c r="AH416" s="98"/>
      <c r="AI416" s="98"/>
      <c r="AJ416" s="98"/>
      <c r="AK416" s="94"/>
      <c r="AL416" s="94"/>
      <c r="AM416" s="94"/>
      <c r="AN416" s="94"/>
      <c r="AO416" s="94"/>
      <c r="AP416" s="94"/>
      <c r="AQ416" s="94"/>
      <c r="AR416" s="94"/>
    </row>
    <row r="417" spans="1:44" ht="12.75" customHeight="1">
      <c r="A417" s="93"/>
      <c r="B417" s="93" t="s">
        <v>220</v>
      </c>
      <c r="C417" s="94" t="s">
        <v>459</v>
      </c>
      <c r="D417" s="94">
        <v>1</v>
      </c>
      <c r="E417" s="94">
        <v>2</v>
      </c>
      <c r="F417" s="95">
        <v>0.4</v>
      </c>
      <c r="G417" s="95">
        <v>0.9</v>
      </c>
      <c r="H417" s="95">
        <f t="shared" si="345"/>
        <v>4.3500000000000005</v>
      </c>
      <c r="I417" s="95">
        <f t="shared" si="346"/>
        <v>3.1320000000000006</v>
      </c>
      <c r="J417" s="95"/>
      <c r="K417" s="94"/>
      <c r="L417" s="94"/>
      <c r="M417" s="94"/>
      <c r="N417" s="94"/>
      <c r="O417" s="96"/>
      <c r="P417" s="94"/>
      <c r="Q417" s="94"/>
      <c r="R417" s="98"/>
      <c r="S417" s="98"/>
      <c r="T417" s="98"/>
      <c r="U417" s="98"/>
      <c r="V417" s="98"/>
      <c r="W417" s="98"/>
      <c r="X417" s="103">
        <f t="shared" si="347"/>
        <v>22.620000000000005</v>
      </c>
      <c r="Y417" s="103">
        <f t="shared" si="348"/>
        <v>0</v>
      </c>
      <c r="Z417" s="98"/>
      <c r="AA417" s="98"/>
      <c r="AB417" s="98"/>
      <c r="AC417" s="98"/>
      <c r="AD417" s="98"/>
      <c r="AE417" s="98"/>
      <c r="AF417" s="98"/>
      <c r="AG417" s="98"/>
      <c r="AH417" s="98"/>
      <c r="AI417" s="98"/>
      <c r="AJ417" s="98"/>
      <c r="AK417" s="94"/>
      <c r="AL417" s="94"/>
      <c r="AM417" s="94"/>
      <c r="AN417" s="94"/>
      <c r="AO417" s="94"/>
      <c r="AP417" s="94"/>
      <c r="AQ417" s="94"/>
      <c r="AR417" s="94"/>
    </row>
    <row r="418" spans="1:44" ht="12.75" customHeight="1">
      <c r="A418" s="93"/>
      <c r="B418" s="93" t="s">
        <v>222</v>
      </c>
      <c r="C418" s="94" t="s">
        <v>460</v>
      </c>
      <c r="D418" s="94">
        <v>1</v>
      </c>
      <c r="E418" s="94">
        <v>2</v>
      </c>
      <c r="F418" s="95">
        <v>0.4</v>
      </c>
      <c r="G418" s="95">
        <v>0.75</v>
      </c>
      <c r="H418" s="95">
        <f t="shared" si="345"/>
        <v>4.3500000000000005</v>
      </c>
      <c r="I418" s="95">
        <f t="shared" si="346"/>
        <v>2.6100000000000008</v>
      </c>
      <c r="J418" s="95"/>
      <c r="K418" s="94"/>
      <c r="L418" s="94"/>
      <c r="M418" s="94"/>
      <c r="N418" s="94"/>
      <c r="O418" s="96"/>
      <c r="P418" s="94"/>
      <c r="Q418" s="94"/>
      <c r="R418" s="98"/>
      <c r="S418" s="98"/>
      <c r="T418" s="98"/>
      <c r="U418" s="98"/>
      <c r="V418" s="98"/>
      <c r="W418" s="98"/>
      <c r="X418" s="103">
        <f t="shared" si="347"/>
        <v>20.010000000000002</v>
      </c>
      <c r="Y418" s="103">
        <f t="shared" si="348"/>
        <v>0</v>
      </c>
      <c r="Z418" s="98"/>
      <c r="AA418" s="98"/>
      <c r="AB418" s="98"/>
      <c r="AC418" s="98"/>
      <c r="AD418" s="98"/>
      <c r="AE418" s="98"/>
      <c r="AF418" s="98"/>
      <c r="AG418" s="98"/>
      <c r="AH418" s="98"/>
      <c r="AI418" s="98"/>
      <c r="AJ418" s="98"/>
      <c r="AK418" s="94"/>
      <c r="AL418" s="94"/>
      <c r="AM418" s="94"/>
      <c r="AN418" s="94"/>
      <c r="AO418" s="94"/>
      <c r="AP418" s="94"/>
      <c r="AQ418" s="94"/>
      <c r="AR418" s="94"/>
    </row>
    <row r="419" spans="1:44" ht="12.75" customHeight="1">
      <c r="A419" s="93"/>
      <c r="B419" s="93" t="s">
        <v>224</v>
      </c>
      <c r="C419" s="94" t="s">
        <v>461</v>
      </c>
      <c r="D419" s="94">
        <v>1</v>
      </c>
      <c r="E419" s="94">
        <v>6</v>
      </c>
      <c r="F419" s="95">
        <v>0.5</v>
      </c>
      <c r="G419" s="95">
        <v>0.9</v>
      </c>
      <c r="H419" s="95">
        <f t="shared" si="345"/>
        <v>4.3500000000000005</v>
      </c>
      <c r="I419" s="95">
        <f t="shared" si="346"/>
        <v>11.745000000000003</v>
      </c>
      <c r="J419" s="95"/>
      <c r="K419" s="94"/>
      <c r="L419" s="94"/>
      <c r="M419" s="94"/>
      <c r="N419" s="94"/>
      <c r="O419" s="96"/>
      <c r="P419" s="94"/>
      <c r="Q419" s="94"/>
      <c r="R419" s="98"/>
      <c r="S419" s="98"/>
      <c r="T419" s="98"/>
      <c r="U419" s="98"/>
      <c r="V419" s="98"/>
      <c r="W419" s="98"/>
      <c r="X419" s="103">
        <f t="shared" si="347"/>
        <v>73.080000000000013</v>
      </c>
      <c r="Y419" s="103">
        <f t="shared" si="348"/>
        <v>0</v>
      </c>
      <c r="Z419" s="98"/>
      <c r="AA419" s="98"/>
      <c r="AB419" s="98"/>
      <c r="AC419" s="98"/>
      <c r="AD419" s="98"/>
      <c r="AE419" s="98"/>
      <c r="AF419" s="98"/>
      <c r="AG419" s="98"/>
      <c r="AH419" s="98"/>
      <c r="AI419" s="98"/>
      <c r="AJ419" s="98"/>
      <c r="AK419" s="94"/>
      <c r="AL419" s="94"/>
      <c r="AM419" s="94"/>
      <c r="AN419" s="94"/>
      <c r="AO419" s="94"/>
      <c r="AP419" s="94"/>
      <c r="AQ419" s="94"/>
      <c r="AR419" s="94"/>
    </row>
    <row r="420" spans="1:44" ht="12.75" customHeight="1">
      <c r="A420" s="93"/>
      <c r="B420" s="93" t="s">
        <v>226</v>
      </c>
      <c r="C420" s="94" t="s">
        <v>462</v>
      </c>
      <c r="D420" s="94">
        <v>1</v>
      </c>
      <c r="E420" s="94">
        <v>2</v>
      </c>
      <c r="F420" s="95">
        <v>0.4</v>
      </c>
      <c r="G420" s="95">
        <v>0.4</v>
      </c>
      <c r="H420" s="95">
        <f t="shared" si="345"/>
        <v>4.3500000000000005</v>
      </c>
      <c r="I420" s="95">
        <f t="shared" si="346"/>
        <v>1.3920000000000003</v>
      </c>
      <c r="J420" s="95"/>
      <c r="K420" s="94"/>
      <c r="L420" s="94"/>
      <c r="M420" s="94"/>
      <c r="N420" s="94"/>
      <c r="O420" s="96"/>
      <c r="P420" s="94"/>
      <c r="Q420" s="94"/>
      <c r="R420" s="98"/>
      <c r="S420" s="98"/>
      <c r="T420" s="98"/>
      <c r="U420" s="98"/>
      <c r="V420" s="98"/>
      <c r="W420" s="98"/>
      <c r="X420" s="103">
        <f t="shared" si="347"/>
        <v>13.920000000000002</v>
      </c>
      <c r="Y420" s="103">
        <f t="shared" si="348"/>
        <v>0</v>
      </c>
      <c r="Z420" s="98"/>
      <c r="AA420" s="98"/>
      <c r="AB420" s="98"/>
      <c r="AC420" s="98"/>
      <c r="AD420" s="98"/>
      <c r="AE420" s="98"/>
      <c r="AF420" s="98"/>
      <c r="AG420" s="98"/>
      <c r="AH420" s="98"/>
      <c r="AI420" s="98"/>
      <c r="AJ420" s="98"/>
      <c r="AK420" s="94"/>
      <c r="AL420" s="94"/>
      <c r="AM420" s="94"/>
      <c r="AN420" s="94"/>
      <c r="AO420" s="94"/>
      <c r="AP420" s="94"/>
      <c r="AQ420" s="94"/>
      <c r="AR420" s="94"/>
    </row>
    <row r="421" spans="1:44" ht="12.75" customHeight="1">
      <c r="A421" s="93"/>
      <c r="B421" s="93"/>
      <c r="C421" s="94"/>
      <c r="D421" s="94"/>
      <c r="E421" s="94"/>
      <c r="F421" s="95"/>
      <c r="G421" s="95"/>
      <c r="H421" s="95"/>
      <c r="I421" s="95"/>
      <c r="J421" s="95"/>
      <c r="K421" s="94"/>
      <c r="L421" s="94"/>
      <c r="M421" s="94"/>
      <c r="N421" s="94"/>
      <c r="O421" s="96"/>
      <c r="P421" s="94"/>
      <c r="Q421" s="94"/>
      <c r="R421" s="98"/>
      <c r="S421" s="98"/>
      <c r="T421" s="98"/>
      <c r="U421" s="98"/>
      <c r="V421" s="98"/>
      <c r="W421" s="98"/>
      <c r="X421" s="98"/>
      <c r="Y421" s="98"/>
      <c r="Z421" s="98"/>
      <c r="AA421" s="98"/>
      <c r="AB421" s="98"/>
      <c r="AC421" s="98"/>
      <c r="AD421" s="98"/>
      <c r="AE421" s="98"/>
      <c r="AF421" s="98"/>
      <c r="AG421" s="98"/>
      <c r="AH421" s="98"/>
      <c r="AI421" s="98"/>
      <c r="AJ421" s="98"/>
      <c r="AK421" s="94"/>
      <c r="AL421" s="94"/>
      <c r="AM421" s="94"/>
      <c r="AN421" s="94"/>
      <c r="AO421" s="94"/>
      <c r="AP421" s="94"/>
      <c r="AQ421" s="94"/>
      <c r="AR421" s="94"/>
    </row>
    <row r="422" spans="1:44" ht="12.75" customHeight="1">
      <c r="A422" s="93"/>
      <c r="B422" s="93" t="s">
        <v>249</v>
      </c>
      <c r="C422" s="94"/>
      <c r="D422" s="94"/>
      <c r="E422" s="94"/>
      <c r="F422" s="95"/>
      <c r="G422" s="95"/>
      <c r="H422" s="95"/>
      <c r="I422" s="95"/>
      <c r="J422" s="95"/>
      <c r="K422" s="94"/>
      <c r="L422" s="94"/>
      <c r="M422" s="94"/>
      <c r="N422" s="94"/>
      <c r="O422" s="96"/>
      <c r="P422" s="94"/>
      <c r="Q422" s="94"/>
      <c r="R422" s="98"/>
      <c r="S422" s="98"/>
      <c r="T422" s="98"/>
      <c r="U422" s="98"/>
      <c r="V422" s="98"/>
      <c r="W422" s="98"/>
      <c r="X422" s="98"/>
      <c r="Y422" s="98"/>
      <c r="Z422" s="98"/>
      <c r="AA422" s="98"/>
      <c r="AB422" s="98"/>
      <c r="AC422" s="98"/>
      <c r="AD422" s="98"/>
      <c r="AE422" s="98"/>
      <c r="AF422" s="98"/>
      <c r="AG422" s="98"/>
      <c r="AH422" s="98"/>
      <c r="AI422" s="98"/>
      <c r="AJ422" s="98"/>
      <c r="AK422" s="94"/>
      <c r="AL422" s="94"/>
      <c r="AM422" s="94"/>
      <c r="AN422" s="94"/>
      <c r="AO422" s="94"/>
      <c r="AP422" s="94"/>
      <c r="AQ422" s="94"/>
      <c r="AR422" s="94"/>
    </row>
    <row r="423" spans="1:44" ht="12.75" customHeight="1">
      <c r="A423" s="93"/>
      <c r="B423" s="93" t="s">
        <v>442</v>
      </c>
      <c r="C423" s="94"/>
      <c r="D423" s="94"/>
      <c r="E423" s="94"/>
      <c r="F423" s="95"/>
      <c r="G423" s="95"/>
      <c r="H423" s="95"/>
      <c r="I423" s="95"/>
      <c r="J423" s="95"/>
      <c r="K423" s="94"/>
      <c r="L423" s="94"/>
      <c r="M423" s="94"/>
      <c r="N423" s="94"/>
      <c r="O423" s="96"/>
      <c r="P423" s="94"/>
      <c r="Q423" s="94"/>
      <c r="R423" s="98"/>
      <c r="S423" s="98"/>
      <c r="T423" s="98"/>
      <c r="U423" s="98"/>
      <c r="V423" s="98"/>
      <c r="W423" s="98"/>
      <c r="X423" s="98"/>
      <c r="Y423" s="98"/>
      <c r="Z423" s="98"/>
      <c r="AA423" s="98"/>
      <c r="AB423" s="98"/>
      <c r="AC423" s="98"/>
      <c r="AD423" s="98"/>
      <c r="AE423" s="98"/>
      <c r="AF423" s="98"/>
      <c r="AG423" s="98"/>
      <c r="AH423" s="98"/>
      <c r="AI423" s="98"/>
      <c r="AJ423" s="98"/>
      <c r="AK423" s="94"/>
      <c r="AL423" s="94"/>
      <c r="AM423" s="94"/>
      <c r="AN423" s="94"/>
      <c r="AO423" s="94"/>
      <c r="AP423" s="94"/>
      <c r="AQ423" s="94"/>
      <c r="AR423" s="94"/>
    </row>
    <row r="424" spans="1:44" ht="12.75" customHeight="1">
      <c r="A424" s="93"/>
      <c r="B424" s="93" t="s">
        <v>463</v>
      </c>
      <c r="C424" s="46" t="s">
        <v>464</v>
      </c>
      <c r="D424" s="46">
        <v>1</v>
      </c>
      <c r="E424" s="94">
        <v>1</v>
      </c>
      <c r="F424" s="50">
        <v>13.8</v>
      </c>
      <c r="G424" s="50">
        <v>0.2</v>
      </c>
      <c r="H424" s="95">
        <v>4.75</v>
      </c>
      <c r="I424" s="95">
        <f t="shared" ref="I424:I425" si="349">PRODUCT(D424:H424)</f>
        <v>13.110000000000001</v>
      </c>
      <c r="J424" s="95"/>
      <c r="K424" s="94"/>
      <c r="L424" s="94"/>
      <c r="M424" s="94"/>
      <c r="N424" s="94"/>
      <c r="O424" s="96"/>
      <c r="P424" s="94"/>
      <c r="Q424" s="94"/>
      <c r="R424" s="98"/>
      <c r="S424" s="98"/>
      <c r="T424" s="98"/>
      <c r="U424" s="98"/>
      <c r="V424" s="98"/>
      <c r="W424" s="98"/>
      <c r="X424" s="98">
        <f t="shared" ref="X424:X425" si="350">(((F424*H424)*2)*E424*D424)</f>
        <v>131.1</v>
      </c>
      <c r="Y424" s="98"/>
      <c r="Z424" s="98"/>
      <c r="AA424" s="98"/>
      <c r="AB424" s="98"/>
      <c r="AC424" s="98"/>
      <c r="AD424" s="98"/>
      <c r="AE424" s="98"/>
      <c r="AF424" s="98"/>
      <c r="AG424" s="98"/>
      <c r="AH424" s="98"/>
      <c r="AI424" s="98"/>
      <c r="AJ424" s="98"/>
      <c r="AK424" s="94"/>
      <c r="AL424" s="94"/>
      <c r="AM424" s="94"/>
      <c r="AN424" s="94"/>
      <c r="AO424" s="94"/>
      <c r="AP424" s="94"/>
      <c r="AQ424" s="94"/>
      <c r="AR424" s="94"/>
    </row>
    <row r="425" spans="1:44" ht="12.75" customHeight="1">
      <c r="A425" s="93"/>
      <c r="B425" s="93" t="s">
        <v>198</v>
      </c>
      <c r="C425" s="46" t="s">
        <v>465</v>
      </c>
      <c r="D425" s="46">
        <v>-1</v>
      </c>
      <c r="E425" s="94">
        <v>2</v>
      </c>
      <c r="F425" s="50">
        <v>1.2</v>
      </c>
      <c r="G425" s="50">
        <v>0.2</v>
      </c>
      <c r="H425" s="50">
        <v>2.2000000000000002</v>
      </c>
      <c r="I425" s="95">
        <f t="shared" si="349"/>
        <v>-1.056</v>
      </c>
      <c r="J425" s="95"/>
      <c r="K425" s="94"/>
      <c r="L425" s="94"/>
      <c r="M425" s="94"/>
      <c r="N425" s="94"/>
      <c r="O425" s="96"/>
      <c r="P425" s="94"/>
      <c r="Q425" s="94"/>
      <c r="R425" s="98"/>
      <c r="S425" s="98"/>
      <c r="T425" s="98"/>
      <c r="U425" s="98"/>
      <c r="V425" s="98"/>
      <c r="W425" s="98"/>
      <c r="X425" s="98">
        <f t="shared" si="350"/>
        <v>-10.56</v>
      </c>
      <c r="Y425" s="98"/>
      <c r="Z425" s="98"/>
      <c r="AA425" s="98"/>
      <c r="AB425" s="98"/>
      <c r="AC425" s="98"/>
      <c r="AD425" s="98"/>
      <c r="AE425" s="98"/>
      <c r="AF425" s="98"/>
      <c r="AG425" s="98"/>
      <c r="AH425" s="98"/>
      <c r="AI425" s="98"/>
      <c r="AJ425" s="98"/>
      <c r="AK425" s="94"/>
      <c r="AL425" s="94"/>
      <c r="AM425" s="94"/>
      <c r="AN425" s="94"/>
      <c r="AO425" s="94"/>
      <c r="AP425" s="94"/>
      <c r="AQ425" s="94"/>
      <c r="AR425" s="94"/>
    </row>
    <row r="426" spans="1:44" ht="12.75" customHeight="1">
      <c r="A426" s="93"/>
      <c r="B426" s="93" t="s">
        <v>466</v>
      </c>
      <c r="C426" s="94"/>
      <c r="D426" s="94"/>
      <c r="E426" s="94"/>
      <c r="F426" s="95"/>
      <c r="G426" s="95"/>
      <c r="H426" s="95"/>
      <c r="I426" s="95"/>
      <c r="J426" s="95"/>
      <c r="K426" s="94"/>
      <c r="L426" s="94"/>
      <c r="M426" s="94"/>
      <c r="N426" s="94"/>
      <c r="O426" s="96"/>
      <c r="P426" s="94"/>
      <c r="Q426" s="94"/>
      <c r="R426" s="98"/>
      <c r="S426" s="98"/>
      <c r="T426" s="98"/>
      <c r="U426" s="98"/>
      <c r="V426" s="98"/>
      <c r="W426" s="98"/>
      <c r="X426" s="98"/>
      <c r="Y426" s="98"/>
      <c r="Z426" s="98"/>
      <c r="AA426" s="98"/>
      <c r="AB426" s="98"/>
      <c r="AC426" s="98"/>
      <c r="AD426" s="98"/>
      <c r="AE426" s="98"/>
      <c r="AF426" s="98"/>
      <c r="AG426" s="98"/>
      <c r="AH426" s="98"/>
      <c r="AI426" s="98"/>
      <c r="AJ426" s="98"/>
      <c r="AK426" s="94"/>
      <c r="AL426" s="94"/>
      <c r="AM426" s="94"/>
      <c r="AN426" s="94"/>
      <c r="AO426" s="94"/>
      <c r="AP426" s="94"/>
      <c r="AQ426" s="94"/>
      <c r="AR426" s="94"/>
    </row>
    <row r="427" spans="1:44" ht="12.75" customHeight="1">
      <c r="A427" s="93"/>
      <c r="B427" s="93" t="s">
        <v>463</v>
      </c>
      <c r="C427" s="46" t="s">
        <v>467</v>
      </c>
      <c r="D427" s="46">
        <v>1</v>
      </c>
      <c r="E427" s="94">
        <v>6</v>
      </c>
      <c r="F427" s="50">
        <v>13.8</v>
      </c>
      <c r="G427" s="50">
        <v>0.2</v>
      </c>
      <c r="H427" s="95">
        <v>3.3</v>
      </c>
      <c r="I427" s="95">
        <f t="shared" ref="I427:I428" si="351">PRODUCT(D427:H427)</f>
        <v>54.648000000000003</v>
      </c>
      <c r="J427" s="95"/>
      <c r="K427" s="94"/>
      <c r="L427" s="94"/>
      <c r="M427" s="94"/>
      <c r="N427" s="94"/>
      <c r="O427" s="96"/>
      <c r="P427" s="94"/>
      <c r="Q427" s="94"/>
      <c r="R427" s="98"/>
      <c r="S427" s="98"/>
      <c r="T427" s="98"/>
      <c r="U427" s="98"/>
      <c r="V427" s="98"/>
      <c r="W427" s="98"/>
      <c r="X427" s="98">
        <f t="shared" ref="X427:X428" si="352">(((F427*H427)*2)*E427*D427)</f>
        <v>546.48</v>
      </c>
      <c r="Y427" s="98"/>
      <c r="Z427" s="98"/>
      <c r="AA427" s="98"/>
      <c r="AB427" s="98"/>
      <c r="AC427" s="98"/>
      <c r="AD427" s="98"/>
      <c r="AE427" s="98"/>
      <c r="AF427" s="98"/>
      <c r="AG427" s="98"/>
      <c r="AH427" s="98"/>
      <c r="AI427" s="98"/>
      <c r="AJ427" s="98"/>
      <c r="AK427" s="94"/>
      <c r="AL427" s="94"/>
      <c r="AM427" s="94"/>
      <c r="AN427" s="94"/>
      <c r="AO427" s="94"/>
      <c r="AP427" s="94"/>
      <c r="AQ427" s="94"/>
      <c r="AR427" s="94"/>
    </row>
    <row r="428" spans="1:44" ht="12.75" customHeight="1">
      <c r="A428" s="93"/>
      <c r="B428" s="93" t="s">
        <v>198</v>
      </c>
      <c r="C428" s="46" t="s">
        <v>468</v>
      </c>
      <c r="D428" s="46">
        <v>-1</v>
      </c>
      <c r="E428" s="94">
        <f>2*6</f>
        <v>12</v>
      </c>
      <c r="F428" s="50">
        <v>1.2</v>
      </c>
      <c r="G428" s="50">
        <v>0.2</v>
      </c>
      <c r="H428" s="50">
        <v>2.2000000000000002</v>
      </c>
      <c r="I428" s="95">
        <f t="shared" si="351"/>
        <v>-6.3360000000000003</v>
      </c>
      <c r="J428" s="95"/>
      <c r="K428" s="94"/>
      <c r="L428" s="94"/>
      <c r="M428" s="94"/>
      <c r="N428" s="94"/>
      <c r="O428" s="96"/>
      <c r="P428" s="94"/>
      <c r="Q428" s="94"/>
      <c r="R428" s="98"/>
      <c r="S428" s="98"/>
      <c r="T428" s="98"/>
      <c r="U428" s="98"/>
      <c r="V428" s="98"/>
      <c r="W428" s="98"/>
      <c r="X428" s="98">
        <f t="shared" si="352"/>
        <v>-63.36</v>
      </c>
      <c r="Y428" s="98"/>
      <c r="Z428" s="98"/>
      <c r="AA428" s="98"/>
      <c r="AB428" s="98"/>
      <c r="AC428" s="98"/>
      <c r="AD428" s="98"/>
      <c r="AE428" s="98"/>
      <c r="AF428" s="98"/>
      <c r="AG428" s="98"/>
      <c r="AH428" s="98"/>
      <c r="AI428" s="98"/>
      <c r="AJ428" s="98"/>
      <c r="AK428" s="94"/>
      <c r="AL428" s="94"/>
      <c r="AM428" s="94"/>
      <c r="AN428" s="94"/>
      <c r="AO428" s="94"/>
      <c r="AP428" s="94"/>
      <c r="AQ428" s="94"/>
      <c r="AR428" s="94"/>
    </row>
    <row r="429" spans="1:44" ht="12.75" customHeight="1">
      <c r="A429" s="93"/>
      <c r="B429" s="93" t="s">
        <v>469</v>
      </c>
      <c r="C429" s="94"/>
      <c r="D429" s="94"/>
      <c r="E429" s="94"/>
      <c r="F429" s="95"/>
      <c r="G429" s="95"/>
      <c r="H429" s="95"/>
      <c r="I429" s="95"/>
      <c r="J429" s="95"/>
      <c r="K429" s="94"/>
      <c r="L429" s="94"/>
      <c r="M429" s="94"/>
      <c r="N429" s="94"/>
      <c r="O429" s="96"/>
      <c r="P429" s="94"/>
      <c r="Q429" s="94"/>
      <c r="R429" s="98"/>
      <c r="S429" s="98"/>
      <c r="T429" s="98"/>
      <c r="U429" s="98"/>
      <c r="V429" s="98"/>
      <c r="W429" s="98"/>
      <c r="X429" s="98"/>
      <c r="Y429" s="98"/>
      <c r="Z429" s="98"/>
      <c r="AA429" s="98"/>
      <c r="AB429" s="98"/>
      <c r="AC429" s="98"/>
      <c r="AD429" s="98"/>
      <c r="AE429" s="98"/>
      <c r="AF429" s="98"/>
      <c r="AG429" s="98"/>
      <c r="AH429" s="98"/>
      <c r="AI429" s="98"/>
      <c r="AJ429" s="98"/>
      <c r="AK429" s="94"/>
      <c r="AL429" s="94"/>
      <c r="AM429" s="94"/>
      <c r="AN429" s="94"/>
      <c r="AO429" s="94"/>
      <c r="AP429" s="94"/>
      <c r="AQ429" s="94"/>
      <c r="AR429" s="94"/>
    </row>
    <row r="430" spans="1:44" ht="12.75" customHeight="1">
      <c r="A430" s="93"/>
      <c r="B430" s="93" t="s">
        <v>463</v>
      </c>
      <c r="C430" s="46" t="s">
        <v>470</v>
      </c>
      <c r="D430" s="46">
        <v>1</v>
      </c>
      <c r="E430" s="94">
        <v>1</v>
      </c>
      <c r="F430" s="50">
        <v>13.8</v>
      </c>
      <c r="G430" s="50">
        <v>0.2</v>
      </c>
      <c r="H430" s="95">
        <v>2.85</v>
      </c>
      <c r="I430" s="95">
        <f t="shared" ref="I430:I431" si="353">PRODUCT(D430:H430)</f>
        <v>7.8660000000000005</v>
      </c>
      <c r="J430" s="95"/>
      <c r="K430" s="94"/>
      <c r="L430" s="94"/>
      <c r="M430" s="94"/>
      <c r="N430" s="94"/>
      <c r="O430" s="96"/>
      <c r="P430" s="94"/>
      <c r="Q430" s="94"/>
      <c r="R430" s="98"/>
      <c r="S430" s="98"/>
      <c r="T430" s="98"/>
      <c r="U430" s="98"/>
      <c r="V430" s="98"/>
      <c r="W430" s="98"/>
      <c r="X430" s="98">
        <f t="shared" ref="X430:X431" si="354">(((F430*H430)*2)*E430*D430)</f>
        <v>78.660000000000011</v>
      </c>
      <c r="Y430" s="98"/>
      <c r="Z430" s="98"/>
      <c r="AA430" s="98"/>
      <c r="AB430" s="98"/>
      <c r="AC430" s="98"/>
      <c r="AD430" s="98"/>
      <c r="AE430" s="98"/>
      <c r="AF430" s="98"/>
      <c r="AG430" s="98"/>
      <c r="AH430" s="98"/>
      <c r="AI430" s="98"/>
      <c r="AJ430" s="98"/>
      <c r="AK430" s="94"/>
      <c r="AL430" s="94"/>
      <c r="AM430" s="94"/>
      <c r="AN430" s="94"/>
      <c r="AO430" s="94"/>
      <c r="AP430" s="94"/>
      <c r="AQ430" s="94"/>
      <c r="AR430" s="94"/>
    </row>
    <row r="431" spans="1:44" ht="12.75" customHeight="1">
      <c r="A431" s="93"/>
      <c r="B431" s="93" t="s">
        <v>198</v>
      </c>
      <c r="C431" s="46" t="s">
        <v>471</v>
      </c>
      <c r="D431" s="46">
        <v>-1</v>
      </c>
      <c r="E431" s="94">
        <v>2</v>
      </c>
      <c r="F431" s="50">
        <v>1.2</v>
      </c>
      <c r="G431" s="50">
        <v>0.2</v>
      </c>
      <c r="H431" s="50">
        <v>2.2000000000000002</v>
      </c>
      <c r="I431" s="95">
        <f t="shared" si="353"/>
        <v>-1.056</v>
      </c>
      <c r="J431" s="95"/>
      <c r="K431" s="94"/>
      <c r="L431" s="94"/>
      <c r="M431" s="94"/>
      <c r="N431" s="94"/>
      <c r="O431" s="96"/>
      <c r="P431" s="94"/>
      <c r="Q431" s="94"/>
      <c r="R431" s="98"/>
      <c r="S431" s="98"/>
      <c r="T431" s="98"/>
      <c r="U431" s="98"/>
      <c r="V431" s="98"/>
      <c r="W431" s="98"/>
      <c r="X431" s="98">
        <f t="shared" si="354"/>
        <v>-10.56</v>
      </c>
      <c r="Y431" s="98"/>
      <c r="Z431" s="98"/>
      <c r="AA431" s="98"/>
      <c r="AB431" s="98"/>
      <c r="AC431" s="98"/>
      <c r="AD431" s="98"/>
      <c r="AE431" s="98"/>
      <c r="AF431" s="98"/>
      <c r="AG431" s="98"/>
      <c r="AH431" s="98"/>
      <c r="AI431" s="98"/>
      <c r="AJ431" s="98"/>
      <c r="AK431" s="94"/>
      <c r="AL431" s="94"/>
      <c r="AM431" s="94"/>
      <c r="AN431" s="94"/>
      <c r="AO431" s="94"/>
      <c r="AP431" s="94"/>
      <c r="AQ431" s="94"/>
      <c r="AR431" s="94"/>
    </row>
    <row r="432" spans="1:44" ht="12.75" customHeight="1">
      <c r="A432" s="87"/>
      <c r="B432" s="87"/>
      <c r="C432" s="88"/>
      <c r="D432" s="88"/>
      <c r="E432" s="88"/>
      <c r="F432" s="89"/>
      <c r="G432" s="89"/>
      <c r="H432" s="89"/>
      <c r="I432" s="89"/>
      <c r="J432" s="89"/>
      <c r="K432" s="88"/>
      <c r="L432" s="88"/>
      <c r="M432" s="88"/>
      <c r="N432" s="88"/>
      <c r="O432" s="90"/>
      <c r="P432" s="88"/>
      <c r="Q432" s="88"/>
      <c r="R432" s="92"/>
      <c r="S432" s="92"/>
      <c r="T432" s="92"/>
      <c r="U432" s="92"/>
      <c r="V432" s="92"/>
      <c r="W432" s="92"/>
      <c r="X432" s="92"/>
      <c r="Y432" s="92"/>
      <c r="Z432" s="92"/>
      <c r="AA432" s="92"/>
      <c r="AB432" s="92"/>
      <c r="AC432" s="92"/>
      <c r="AD432" s="92"/>
      <c r="AE432" s="92"/>
      <c r="AF432" s="92"/>
      <c r="AG432" s="92"/>
      <c r="AH432" s="92"/>
      <c r="AI432" s="92"/>
      <c r="AJ432" s="92"/>
      <c r="AK432" s="88"/>
      <c r="AL432" s="88"/>
      <c r="AM432" s="88"/>
      <c r="AN432" s="88"/>
      <c r="AO432" s="88"/>
      <c r="AP432" s="88"/>
      <c r="AQ432" s="88"/>
      <c r="AR432" s="88"/>
    </row>
    <row r="433" spans="1:44" ht="12.75" customHeight="1">
      <c r="A433" s="99"/>
      <c r="B433" s="99" t="s">
        <v>194</v>
      </c>
      <c r="C433" s="100"/>
      <c r="D433" s="100"/>
      <c r="E433" s="100"/>
      <c r="F433" s="101"/>
      <c r="G433" s="101"/>
      <c r="H433" s="101"/>
      <c r="I433" s="101">
        <f>SUM(I424:I432)</f>
        <v>67.176000000000002</v>
      </c>
      <c r="J433" s="89"/>
      <c r="K433" s="88"/>
      <c r="L433" s="88"/>
      <c r="M433" s="88"/>
      <c r="N433" s="88"/>
      <c r="O433" s="90"/>
      <c r="P433" s="88"/>
      <c r="Q433" s="88"/>
      <c r="R433" s="92"/>
      <c r="S433" s="92"/>
      <c r="T433" s="92"/>
      <c r="U433" s="92"/>
      <c r="V433" s="92"/>
      <c r="W433" s="92"/>
      <c r="X433" s="101">
        <f>SUM(X424:X432)</f>
        <v>671.76</v>
      </c>
      <c r="Y433" s="92"/>
      <c r="Z433" s="92"/>
      <c r="AA433" s="92"/>
      <c r="AB433" s="92"/>
      <c r="AC433" s="92"/>
      <c r="AD433" s="92"/>
      <c r="AE433" s="92"/>
      <c r="AF433" s="92"/>
      <c r="AG433" s="92"/>
      <c r="AH433" s="92"/>
      <c r="AI433" s="92"/>
      <c r="AJ433" s="92"/>
      <c r="AK433" s="88"/>
      <c r="AL433" s="88"/>
      <c r="AM433" s="88"/>
      <c r="AN433" s="88"/>
      <c r="AO433" s="88"/>
      <c r="AP433" s="88"/>
      <c r="AQ433" s="88"/>
      <c r="AR433" s="88"/>
    </row>
    <row r="434" spans="1:44" ht="12.75" customHeight="1">
      <c r="A434" s="87"/>
      <c r="B434" s="87"/>
      <c r="C434" s="88"/>
      <c r="D434" s="88"/>
      <c r="E434" s="88"/>
      <c r="F434" s="89"/>
      <c r="G434" s="89"/>
      <c r="H434" s="89"/>
      <c r="I434" s="89"/>
      <c r="J434" s="89"/>
      <c r="K434" s="88"/>
      <c r="L434" s="88"/>
      <c r="M434" s="88"/>
      <c r="N434" s="88"/>
      <c r="O434" s="90"/>
      <c r="P434" s="88"/>
      <c r="Q434" s="88"/>
      <c r="R434" s="92"/>
      <c r="S434" s="92"/>
      <c r="T434" s="92"/>
      <c r="U434" s="92"/>
      <c r="V434" s="92"/>
      <c r="W434" s="92"/>
      <c r="X434" s="92"/>
      <c r="Y434" s="92"/>
      <c r="Z434" s="92"/>
      <c r="AA434" s="92"/>
      <c r="AB434" s="92"/>
      <c r="AC434" s="92"/>
      <c r="AD434" s="92"/>
      <c r="AE434" s="92"/>
      <c r="AF434" s="92"/>
      <c r="AG434" s="92"/>
      <c r="AH434" s="92"/>
      <c r="AI434" s="92"/>
      <c r="AJ434" s="92"/>
      <c r="AK434" s="88"/>
      <c r="AL434" s="88"/>
      <c r="AM434" s="88"/>
      <c r="AN434" s="88"/>
      <c r="AO434" s="88"/>
      <c r="AP434" s="88"/>
      <c r="AQ434" s="88"/>
      <c r="AR434" s="88"/>
    </row>
    <row r="435" spans="1:44" ht="12.75" customHeight="1">
      <c r="A435" s="93"/>
      <c r="B435" s="93" t="s">
        <v>472</v>
      </c>
      <c r="C435" s="94"/>
      <c r="D435" s="94"/>
      <c r="E435" s="94"/>
      <c r="F435" s="95"/>
      <c r="G435" s="95"/>
      <c r="H435" s="95"/>
      <c r="I435" s="95"/>
      <c r="J435" s="95"/>
      <c r="K435" s="94"/>
      <c r="L435" s="94"/>
      <c r="M435" s="94"/>
      <c r="N435" s="94"/>
      <c r="O435" s="96"/>
      <c r="P435" s="94"/>
      <c r="Q435" s="94"/>
      <c r="R435" s="98"/>
      <c r="S435" s="98"/>
      <c r="T435" s="98"/>
      <c r="U435" s="98"/>
      <c r="V435" s="98"/>
      <c r="W435" s="98"/>
      <c r="X435" s="98"/>
      <c r="Y435" s="98"/>
      <c r="Z435" s="98"/>
      <c r="AA435" s="98"/>
      <c r="AB435" s="98"/>
      <c r="AC435" s="98"/>
      <c r="AD435" s="98"/>
      <c r="AE435" s="98"/>
      <c r="AF435" s="98"/>
      <c r="AG435" s="98"/>
      <c r="AH435" s="98"/>
      <c r="AI435" s="98"/>
      <c r="AJ435" s="98"/>
      <c r="AK435" s="94"/>
      <c r="AL435" s="94"/>
      <c r="AM435" s="94"/>
      <c r="AN435" s="94"/>
      <c r="AO435" s="94"/>
      <c r="AP435" s="94"/>
      <c r="AQ435" s="94"/>
      <c r="AR435" s="94"/>
    </row>
    <row r="436" spans="1:44" ht="12.75" customHeight="1">
      <c r="A436" s="93"/>
      <c r="B436" s="93" t="s">
        <v>473</v>
      </c>
      <c r="C436" s="94"/>
      <c r="D436" s="94"/>
      <c r="E436" s="94"/>
      <c r="F436" s="95"/>
      <c r="G436" s="95"/>
      <c r="H436" s="95"/>
      <c r="I436" s="95"/>
      <c r="J436" s="95"/>
      <c r="K436" s="94"/>
      <c r="L436" s="94"/>
      <c r="M436" s="94"/>
      <c r="N436" s="94"/>
      <c r="O436" s="96"/>
      <c r="P436" s="94"/>
      <c r="Q436" s="94"/>
      <c r="R436" s="98"/>
      <c r="S436" s="98"/>
      <c r="T436" s="98"/>
      <c r="U436" s="98"/>
      <c r="V436" s="98"/>
      <c r="W436" s="98"/>
      <c r="X436" s="98"/>
      <c r="Y436" s="98"/>
      <c r="Z436" s="98"/>
      <c r="AA436" s="98"/>
      <c r="AB436" s="98"/>
      <c r="AC436" s="98"/>
      <c r="AD436" s="98"/>
      <c r="AE436" s="98"/>
      <c r="AF436" s="98"/>
      <c r="AG436" s="98"/>
      <c r="AH436" s="98"/>
      <c r="AI436" s="98"/>
      <c r="AJ436" s="98"/>
      <c r="AK436" s="94"/>
      <c r="AL436" s="94"/>
      <c r="AM436" s="94"/>
      <c r="AN436" s="94"/>
      <c r="AO436" s="94"/>
      <c r="AP436" s="94"/>
      <c r="AQ436" s="94"/>
      <c r="AR436" s="94"/>
    </row>
    <row r="437" spans="1:44" ht="12.75" customHeight="1">
      <c r="A437" s="93"/>
      <c r="B437" s="93" t="s">
        <v>474</v>
      </c>
      <c r="C437" s="94" t="s">
        <v>475</v>
      </c>
      <c r="D437" s="94">
        <v>1</v>
      </c>
      <c r="E437" s="94">
        <v>1</v>
      </c>
      <c r="F437" s="95">
        <v>705</v>
      </c>
      <c r="G437" s="95"/>
      <c r="H437" s="95">
        <v>0.25</v>
      </c>
      <c r="I437" s="95">
        <f t="shared" ref="I437:I440" si="355">PRODUCT(D437:H437)</f>
        <v>176.25</v>
      </c>
      <c r="J437" s="95"/>
      <c r="K437" s="94"/>
      <c r="L437" s="94"/>
      <c r="M437" s="94"/>
      <c r="N437" s="94"/>
      <c r="O437" s="96"/>
      <c r="P437" s="94"/>
      <c r="Q437" s="94"/>
      <c r="R437" s="98"/>
      <c r="S437" s="98"/>
      <c r="T437" s="98"/>
      <c r="U437" s="98"/>
      <c r="V437" s="98"/>
      <c r="W437" s="98"/>
      <c r="X437" s="98">
        <f t="shared" ref="X437:X440" si="356">PRODUCT(D437:G437)</f>
        <v>705</v>
      </c>
      <c r="Y437" s="98">
        <f t="shared" ref="Y437:Y440" si="357">(K437*E437*D437)</f>
        <v>0</v>
      </c>
      <c r="Z437" s="98"/>
      <c r="AA437" s="98"/>
      <c r="AB437" s="98"/>
      <c r="AC437" s="98"/>
      <c r="AD437" s="98"/>
      <c r="AE437" s="98"/>
      <c r="AF437" s="98"/>
      <c r="AG437" s="98"/>
      <c r="AH437" s="98"/>
      <c r="AI437" s="98"/>
      <c r="AJ437" s="98"/>
      <c r="AK437" s="94"/>
      <c r="AL437" s="94"/>
      <c r="AM437" s="94"/>
      <c r="AN437" s="94"/>
      <c r="AO437" s="94"/>
      <c r="AP437" s="94"/>
      <c r="AQ437" s="94"/>
      <c r="AR437" s="94"/>
    </row>
    <row r="438" spans="1:44" ht="12.75" customHeight="1">
      <c r="A438" s="93"/>
      <c r="B438" s="93" t="s">
        <v>476</v>
      </c>
      <c r="C438" s="94" t="s">
        <v>477</v>
      </c>
      <c r="D438" s="94">
        <v>1</v>
      </c>
      <c r="E438" s="94">
        <v>1</v>
      </c>
      <c r="F438" s="95">
        <v>48.6</v>
      </c>
      <c r="G438" s="95"/>
      <c r="H438" s="95">
        <v>0.14000000000000001</v>
      </c>
      <c r="I438" s="95">
        <f t="shared" si="355"/>
        <v>6.8040000000000012</v>
      </c>
      <c r="J438" s="95"/>
      <c r="K438" s="94"/>
      <c r="L438" s="94"/>
      <c r="M438" s="94"/>
      <c r="N438" s="94"/>
      <c r="O438" s="96"/>
      <c r="P438" s="94"/>
      <c r="Q438" s="94"/>
      <c r="R438" s="98"/>
      <c r="S438" s="98"/>
      <c r="T438" s="98"/>
      <c r="U438" s="98"/>
      <c r="V438" s="98"/>
      <c r="W438" s="98"/>
      <c r="X438" s="98">
        <f t="shared" si="356"/>
        <v>48.6</v>
      </c>
      <c r="Y438" s="98">
        <f t="shared" si="357"/>
        <v>0</v>
      </c>
      <c r="Z438" s="98"/>
      <c r="AA438" s="98"/>
      <c r="AB438" s="98"/>
      <c r="AC438" s="98"/>
      <c r="AD438" s="98"/>
      <c r="AE438" s="98"/>
      <c r="AF438" s="98"/>
      <c r="AG438" s="98"/>
      <c r="AH438" s="98"/>
      <c r="AI438" s="98"/>
      <c r="AJ438" s="98"/>
      <c r="AK438" s="94"/>
      <c r="AL438" s="94"/>
      <c r="AM438" s="94"/>
      <c r="AN438" s="94"/>
      <c r="AO438" s="94"/>
      <c r="AP438" s="94"/>
      <c r="AQ438" s="94"/>
      <c r="AR438" s="94"/>
    </row>
    <row r="439" spans="1:44" ht="12.75" customHeight="1">
      <c r="A439" s="93"/>
      <c r="B439" s="93" t="s">
        <v>478</v>
      </c>
      <c r="C439" s="94" t="s">
        <v>479</v>
      </c>
      <c r="D439" s="94">
        <v>1</v>
      </c>
      <c r="E439" s="94">
        <v>1</v>
      </c>
      <c r="F439" s="95">
        <v>5.3</v>
      </c>
      <c r="G439" s="95"/>
      <c r="H439" s="95">
        <v>0.16</v>
      </c>
      <c r="I439" s="95">
        <f t="shared" si="355"/>
        <v>0.84799999999999998</v>
      </c>
      <c r="J439" s="95"/>
      <c r="K439" s="94"/>
      <c r="L439" s="94"/>
      <c r="M439" s="94"/>
      <c r="N439" s="94"/>
      <c r="O439" s="96"/>
      <c r="P439" s="94"/>
      <c r="Q439" s="94"/>
      <c r="R439" s="98"/>
      <c r="S439" s="98"/>
      <c r="T439" s="98"/>
      <c r="U439" s="98"/>
      <c r="V439" s="98"/>
      <c r="W439" s="98"/>
      <c r="X439" s="98">
        <f t="shared" si="356"/>
        <v>5.3</v>
      </c>
      <c r="Y439" s="98">
        <f t="shared" si="357"/>
        <v>0</v>
      </c>
      <c r="Z439" s="98"/>
      <c r="AA439" s="98"/>
      <c r="AB439" s="98"/>
      <c r="AC439" s="98"/>
      <c r="AD439" s="98"/>
      <c r="AE439" s="98"/>
      <c r="AF439" s="98"/>
      <c r="AG439" s="98"/>
      <c r="AH439" s="98"/>
      <c r="AI439" s="98"/>
      <c r="AJ439" s="98"/>
      <c r="AK439" s="94"/>
      <c r="AL439" s="94"/>
      <c r="AM439" s="94"/>
      <c r="AN439" s="94"/>
      <c r="AO439" s="94"/>
      <c r="AP439" s="94"/>
      <c r="AQ439" s="94"/>
      <c r="AR439" s="94"/>
    </row>
    <row r="440" spans="1:44" ht="12.75" customHeight="1">
      <c r="A440" s="93"/>
      <c r="B440" s="93" t="s">
        <v>480</v>
      </c>
      <c r="C440" s="94" t="s">
        <v>481</v>
      </c>
      <c r="D440" s="94">
        <v>1</v>
      </c>
      <c r="E440" s="94">
        <v>1</v>
      </c>
      <c r="F440" s="95">
        <v>9.6</v>
      </c>
      <c r="G440" s="95"/>
      <c r="H440" s="95">
        <v>0.18</v>
      </c>
      <c r="I440" s="95">
        <f t="shared" si="355"/>
        <v>1.728</v>
      </c>
      <c r="J440" s="95"/>
      <c r="K440" s="94"/>
      <c r="L440" s="94"/>
      <c r="M440" s="94"/>
      <c r="N440" s="94"/>
      <c r="O440" s="96"/>
      <c r="P440" s="94"/>
      <c r="Q440" s="94"/>
      <c r="R440" s="98"/>
      <c r="S440" s="98"/>
      <c r="T440" s="98"/>
      <c r="U440" s="98"/>
      <c r="V440" s="98"/>
      <c r="W440" s="98"/>
      <c r="X440" s="98">
        <f t="shared" si="356"/>
        <v>9.6</v>
      </c>
      <c r="Y440" s="98">
        <f t="shared" si="357"/>
        <v>0</v>
      </c>
      <c r="Z440" s="98"/>
      <c r="AA440" s="98"/>
      <c r="AB440" s="98"/>
      <c r="AC440" s="98"/>
      <c r="AD440" s="98"/>
      <c r="AE440" s="98"/>
      <c r="AF440" s="98"/>
      <c r="AG440" s="98"/>
      <c r="AH440" s="98"/>
      <c r="AI440" s="98"/>
      <c r="AJ440" s="98"/>
      <c r="AK440" s="94"/>
      <c r="AL440" s="94"/>
      <c r="AM440" s="94"/>
      <c r="AN440" s="94"/>
      <c r="AO440" s="94"/>
      <c r="AP440" s="94"/>
      <c r="AQ440" s="94"/>
      <c r="AR440" s="94"/>
    </row>
    <row r="441" spans="1:44" ht="12.75" customHeight="1">
      <c r="A441" s="93"/>
      <c r="B441" s="93" t="s">
        <v>482</v>
      </c>
      <c r="C441" s="94"/>
      <c r="D441" s="94"/>
      <c r="E441" s="94"/>
      <c r="F441" s="95"/>
      <c r="G441" s="95"/>
      <c r="H441" s="95"/>
      <c r="I441" s="95"/>
      <c r="J441" s="95"/>
      <c r="K441" s="94"/>
      <c r="L441" s="94"/>
      <c r="M441" s="94"/>
      <c r="N441" s="94"/>
      <c r="O441" s="96"/>
      <c r="P441" s="94"/>
      <c r="Q441" s="94"/>
      <c r="R441" s="98"/>
      <c r="S441" s="98"/>
      <c r="T441" s="98"/>
      <c r="U441" s="98"/>
      <c r="V441" s="98"/>
      <c r="W441" s="98"/>
      <c r="X441" s="98"/>
      <c r="Y441" s="98"/>
      <c r="Z441" s="98"/>
      <c r="AA441" s="98"/>
      <c r="AB441" s="98"/>
      <c r="AC441" s="98"/>
      <c r="AD441" s="98"/>
      <c r="AE441" s="98"/>
      <c r="AF441" s="98"/>
      <c r="AG441" s="98"/>
      <c r="AH441" s="98"/>
      <c r="AI441" s="98"/>
      <c r="AJ441" s="98"/>
      <c r="AK441" s="94"/>
      <c r="AL441" s="94"/>
      <c r="AM441" s="94"/>
      <c r="AN441" s="94"/>
      <c r="AO441" s="94"/>
      <c r="AP441" s="94"/>
      <c r="AQ441" s="94"/>
      <c r="AR441" s="94"/>
    </row>
    <row r="442" spans="1:44" ht="12.75" customHeight="1">
      <c r="A442" s="93"/>
      <c r="B442" s="93" t="s">
        <v>483</v>
      </c>
      <c r="C442" s="94" t="s">
        <v>484</v>
      </c>
      <c r="D442" s="94">
        <v>1</v>
      </c>
      <c r="E442" s="94">
        <v>1</v>
      </c>
      <c r="F442" s="95">
        <v>882</v>
      </c>
      <c r="G442" s="95"/>
      <c r="H442" s="95">
        <v>0.27500000000000002</v>
      </c>
      <c r="I442" s="95">
        <f>PRODUCT(D442:H442)</f>
        <v>242.55</v>
      </c>
      <c r="J442" s="95"/>
      <c r="K442" s="94"/>
      <c r="L442" s="94"/>
      <c r="M442" s="94"/>
      <c r="N442" s="94"/>
      <c r="O442" s="96"/>
      <c r="P442" s="94"/>
      <c r="Q442" s="94"/>
      <c r="R442" s="98"/>
      <c r="S442" s="98"/>
      <c r="T442" s="98"/>
      <c r="U442" s="98"/>
      <c r="V442" s="98"/>
      <c r="W442" s="98"/>
      <c r="X442" s="98">
        <f>PRODUCT(D442:G442)</f>
        <v>882</v>
      </c>
      <c r="Y442" s="98">
        <f>(K442*E442*D442)</f>
        <v>0</v>
      </c>
      <c r="Z442" s="98"/>
      <c r="AA442" s="98"/>
      <c r="AB442" s="98"/>
      <c r="AC442" s="98"/>
      <c r="AD442" s="98"/>
      <c r="AE442" s="98"/>
      <c r="AF442" s="98"/>
      <c r="AG442" s="98"/>
      <c r="AH442" s="98"/>
      <c r="AI442" s="98"/>
      <c r="AJ442" s="98"/>
      <c r="AK442" s="94"/>
      <c r="AL442" s="94"/>
      <c r="AM442" s="94"/>
      <c r="AN442" s="94"/>
      <c r="AO442" s="94"/>
      <c r="AP442" s="94"/>
      <c r="AQ442" s="94"/>
      <c r="AR442" s="94"/>
    </row>
    <row r="443" spans="1:44" ht="12.75" customHeight="1">
      <c r="A443" s="93"/>
      <c r="B443" s="93" t="s">
        <v>485</v>
      </c>
      <c r="C443" s="94"/>
      <c r="D443" s="94"/>
      <c r="E443" s="94"/>
      <c r="F443" s="95"/>
      <c r="G443" s="95"/>
      <c r="H443" s="95"/>
      <c r="I443" s="95"/>
      <c r="J443" s="95"/>
      <c r="K443" s="94"/>
      <c r="L443" s="94"/>
      <c r="M443" s="94"/>
      <c r="N443" s="94"/>
      <c r="O443" s="96"/>
      <c r="P443" s="94"/>
      <c r="Q443" s="94"/>
      <c r="R443" s="98"/>
      <c r="S443" s="98"/>
      <c r="T443" s="98"/>
      <c r="U443" s="98"/>
      <c r="V443" s="98"/>
      <c r="W443" s="98"/>
      <c r="X443" s="98"/>
      <c r="Y443" s="98"/>
      <c r="Z443" s="98"/>
      <c r="AA443" s="98"/>
      <c r="AB443" s="98"/>
      <c r="AC443" s="98"/>
      <c r="AD443" s="98"/>
      <c r="AE443" s="98"/>
      <c r="AF443" s="98"/>
      <c r="AG443" s="98"/>
      <c r="AH443" s="98"/>
      <c r="AI443" s="98"/>
      <c r="AJ443" s="98"/>
      <c r="AK443" s="94"/>
      <c r="AL443" s="94"/>
      <c r="AM443" s="94"/>
      <c r="AN443" s="94"/>
      <c r="AO443" s="94"/>
      <c r="AP443" s="94"/>
      <c r="AQ443" s="94"/>
      <c r="AR443" s="94"/>
    </row>
    <row r="444" spans="1:44" ht="12.75" customHeight="1">
      <c r="A444" s="93"/>
      <c r="B444" s="93" t="s">
        <v>483</v>
      </c>
      <c r="C444" s="94" t="s">
        <v>486</v>
      </c>
      <c r="D444" s="94">
        <v>1</v>
      </c>
      <c r="E444" s="94">
        <v>4</v>
      </c>
      <c r="F444" s="95">
        <v>850</v>
      </c>
      <c r="G444" s="95"/>
      <c r="H444" s="95">
        <v>0.27500000000000002</v>
      </c>
      <c r="I444" s="95">
        <f>PRODUCT(D444:H444)</f>
        <v>935.00000000000011</v>
      </c>
      <c r="J444" s="95"/>
      <c r="K444" s="94"/>
      <c r="L444" s="94"/>
      <c r="M444" s="94"/>
      <c r="N444" s="94"/>
      <c r="O444" s="96"/>
      <c r="P444" s="94"/>
      <c r="Q444" s="94"/>
      <c r="R444" s="98"/>
      <c r="S444" s="98"/>
      <c r="T444" s="98"/>
      <c r="U444" s="98"/>
      <c r="V444" s="98"/>
      <c r="W444" s="98"/>
      <c r="X444" s="98">
        <f>PRODUCT(D444:G444)</f>
        <v>3400</v>
      </c>
      <c r="Y444" s="98">
        <f>(K444*E444*D444)</f>
        <v>0</v>
      </c>
      <c r="Z444" s="98"/>
      <c r="AA444" s="98"/>
      <c r="AB444" s="98"/>
      <c r="AC444" s="98"/>
      <c r="AD444" s="98"/>
      <c r="AE444" s="98"/>
      <c r="AF444" s="98"/>
      <c r="AG444" s="98"/>
      <c r="AH444" s="98"/>
      <c r="AI444" s="98"/>
      <c r="AJ444" s="98"/>
      <c r="AK444" s="94"/>
      <c r="AL444" s="94"/>
      <c r="AM444" s="94"/>
      <c r="AN444" s="94"/>
      <c r="AO444" s="94"/>
      <c r="AP444" s="94"/>
      <c r="AQ444" s="94"/>
      <c r="AR444" s="94"/>
    </row>
    <row r="445" spans="1:44" ht="12.75" customHeight="1">
      <c r="A445" s="93"/>
      <c r="B445" s="93" t="s">
        <v>487</v>
      </c>
      <c r="C445" s="94"/>
      <c r="D445" s="94"/>
      <c r="E445" s="94"/>
      <c r="F445" s="95"/>
      <c r="G445" s="95"/>
      <c r="H445" s="95"/>
      <c r="I445" s="95"/>
      <c r="J445" s="95"/>
      <c r="K445" s="94"/>
      <c r="L445" s="94"/>
      <c r="M445" s="94"/>
      <c r="N445" s="94"/>
      <c r="O445" s="96"/>
      <c r="P445" s="94"/>
      <c r="Q445" s="94"/>
      <c r="R445" s="98"/>
      <c r="S445" s="98"/>
      <c r="T445" s="98"/>
      <c r="U445" s="98"/>
      <c r="V445" s="98"/>
      <c r="W445" s="98"/>
      <c r="X445" s="98"/>
      <c r="Y445" s="98"/>
      <c r="Z445" s="98"/>
      <c r="AA445" s="98"/>
      <c r="AB445" s="98"/>
      <c r="AC445" s="98"/>
      <c r="AD445" s="98"/>
      <c r="AE445" s="98"/>
      <c r="AF445" s="98"/>
      <c r="AG445" s="98"/>
      <c r="AH445" s="98"/>
      <c r="AI445" s="98"/>
      <c r="AJ445" s="98"/>
      <c r="AK445" s="94"/>
      <c r="AL445" s="94"/>
      <c r="AM445" s="94"/>
      <c r="AN445" s="94"/>
      <c r="AO445" s="94"/>
      <c r="AP445" s="94"/>
      <c r="AQ445" s="94"/>
      <c r="AR445" s="94"/>
    </row>
    <row r="446" spans="1:44" ht="12.75" customHeight="1">
      <c r="A446" s="93"/>
      <c r="B446" s="93" t="s">
        <v>483</v>
      </c>
      <c r="C446" s="94" t="s">
        <v>488</v>
      </c>
      <c r="D446" s="94">
        <v>1</v>
      </c>
      <c r="E446" s="94">
        <v>1</v>
      </c>
      <c r="F446" s="95">
        <v>850</v>
      </c>
      <c r="G446" s="95"/>
      <c r="H446" s="95">
        <v>0.27500000000000002</v>
      </c>
      <c r="I446" s="95">
        <f>PRODUCT(D446:H446)</f>
        <v>233.75000000000003</v>
      </c>
      <c r="J446" s="95"/>
      <c r="K446" s="94"/>
      <c r="L446" s="94"/>
      <c r="M446" s="94"/>
      <c r="N446" s="94"/>
      <c r="O446" s="96"/>
      <c r="P446" s="94"/>
      <c r="Q446" s="94"/>
      <c r="R446" s="98"/>
      <c r="S446" s="98"/>
      <c r="T446" s="98"/>
      <c r="U446" s="98"/>
      <c r="V446" s="98"/>
      <c r="W446" s="98"/>
      <c r="X446" s="98">
        <f>PRODUCT(D446:G446)</f>
        <v>850</v>
      </c>
      <c r="Y446" s="98">
        <f>(K446*E446*D446)</f>
        <v>0</v>
      </c>
      <c r="Z446" s="98"/>
      <c r="AA446" s="98"/>
      <c r="AB446" s="98"/>
      <c r="AC446" s="98"/>
      <c r="AD446" s="98"/>
      <c r="AE446" s="98"/>
      <c r="AF446" s="98"/>
      <c r="AG446" s="98"/>
      <c r="AH446" s="98"/>
      <c r="AI446" s="98"/>
      <c r="AJ446" s="98"/>
      <c r="AK446" s="94"/>
      <c r="AL446" s="94"/>
      <c r="AM446" s="94"/>
      <c r="AN446" s="94"/>
      <c r="AO446" s="94"/>
      <c r="AP446" s="94"/>
      <c r="AQ446" s="94"/>
      <c r="AR446" s="94"/>
    </row>
    <row r="447" spans="1:44" ht="12.75" customHeight="1">
      <c r="A447" s="93"/>
      <c r="B447" s="93" t="s">
        <v>489</v>
      </c>
      <c r="C447" s="94"/>
      <c r="D447" s="94"/>
      <c r="E447" s="94"/>
      <c r="F447" s="95"/>
      <c r="G447" s="95"/>
      <c r="H447" s="95"/>
      <c r="I447" s="95"/>
      <c r="J447" s="95"/>
      <c r="K447" s="94"/>
      <c r="L447" s="94"/>
      <c r="M447" s="94"/>
      <c r="N447" s="94"/>
      <c r="O447" s="96"/>
      <c r="P447" s="94"/>
      <c r="Q447" s="94"/>
      <c r="R447" s="98"/>
      <c r="S447" s="98"/>
      <c r="T447" s="98"/>
      <c r="U447" s="98"/>
      <c r="V447" s="98"/>
      <c r="W447" s="98"/>
      <c r="X447" s="98"/>
      <c r="Y447" s="98"/>
      <c r="Z447" s="98"/>
      <c r="AA447" s="98"/>
      <c r="AB447" s="98"/>
      <c r="AC447" s="98"/>
      <c r="AD447" s="98"/>
      <c r="AE447" s="98"/>
      <c r="AF447" s="98"/>
      <c r="AG447" s="98"/>
      <c r="AH447" s="98"/>
      <c r="AI447" s="98"/>
      <c r="AJ447" s="98"/>
      <c r="AK447" s="94"/>
      <c r="AL447" s="94"/>
      <c r="AM447" s="94"/>
      <c r="AN447" s="94"/>
      <c r="AO447" s="94"/>
      <c r="AP447" s="94"/>
      <c r="AQ447" s="94"/>
      <c r="AR447" s="94"/>
    </row>
    <row r="448" spans="1:44" ht="12.75" customHeight="1">
      <c r="A448" s="93"/>
      <c r="B448" s="93" t="s">
        <v>490</v>
      </c>
      <c r="C448" s="94" t="s">
        <v>491</v>
      </c>
      <c r="D448" s="94">
        <v>1</v>
      </c>
      <c r="E448" s="94">
        <v>1</v>
      </c>
      <c r="F448" s="95">
        <v>771</v>
      </c>
      <c r="G448" s="95"/>
      <c r="H448" s="95">
        <v>0.26</v>
      </c>
      <c r="I448" s="95">
        <f t="shared" ref="I448:I449" si="358">PRODUCT(D448:H448)</f>
        <v>200.46</v>
      </c>
      <c r="J448" s="95"/>
      <c r="K448" s="94"/>
      <c r="L448" s="94"/>
      <c r="M448" s="94"/>
      <c r="N448" s="94"/>
      <c r="O448" s="96"/>
      <c r="P448" s="94"/>
      <c r="Q448" s="94"/>
      <c r="R448" s="98"/>
      <c r="S448" s="98"/>
      <c r="T448" s="98"/>
      <c r="U448" s="98"/>
      <c r="V448" s="98"/>
      <c r="W448" s="98"/>
      <c r="X448" s="98">
        <f t="shared" ref="X448:X449" si="359">PRODUCT(D448:G448)</f>
        <v>771</v>
      </c>
      <c r="Y448" s="98">
        <f t="shared" ref="Y448:Y449" si="360">(K448*E448*D448)</f>
        <v>0</v>
      </c>
      <c r="Z448" s="98"/>
      <c r="AA448" s="98"/>
      <c r="AB448" s="98"/>
      <c r="AC448" s="98"/>
      <c r="AD448" s="98"/>
      <c r="AE448" s="98"/>
      <c r="AF448" s="98"/>
      <c r="AG448" s="98"/>
      <c r="AH448" s="98"/>
      <c r="AI448" s="98"/>
      <c r="AJ448" s="98"/>
      <c r="AK448" s="94"/>
      <c r="AL448" s="94"/>
      <c r="AM448" s="94"/>
      <c r="AN448" s="94"/>
      <c r="AO448" s="94"/>
      <c r="AP448" s="94"/>
      <c r="AQ448" s="94"/>
      <c r="AR448" s="94"/>
    </row>
    <row r="449" spans="1:44" ht="12.75" customHeight="1">
      <c r="A449" s="93"/>
      <c r="B449" s="93" t="s">
        <v>476</v>
      </c>
      <c r="C449" s="94" t="s">
        <v>492</v>
      </c>
      <c r="D449" s="94">
        <v>1</v>
      </c>
      <c r="E449" s="94">
        <v>1</v>
      </c>
      <c r="F449" s="95">
        <v>11.7</v>
      </c>
      <c r="G449" s="95"/>
      <c r="H449" s="95">
        <v>0.14000000000000001</v>
      </c>
      <c r="I449" s="95">
        <f t="shared" si="358"/>
        <v>1.6380000000000001</v>
      </c>
      <c r="J449" s="95"/>
      <c r="K449" s="94"/>
      <c r="L449" s="94"/>
      <c r="M449" s="94"/>
      <c r="N449" s="94"/>
      <c r="O449" s="96"/>
      <c r="P449" s="94"/>
      <c r="Q449" s="94"/>
      <c r="R449" s="98"/>
      <c r="S449" s="98"/>
      <c r="T449" s="98"/>
      <c r="U449" s="98"/>
      <c r="V449" s="98"/>
      <c r="W449" s="98"/>
      <c r="X449" s="98">
        <f t="shared" si="359"/>
        <v>11.7</v>
      </c>
      <c r="Y449" s="98">
        <f t="shared" si="360"/>
        <v>0</v>
      </c>
      <c r="Z449" s="98"/>
      <c r="AA449" s="98"/>
      <c r="AB449" s="98"/>
      <c r="AC449" s="98"/>
      <c r="AD449" s="98"/>
      <c r="AE449" s="98"/>
      <c r="AF449" s="98"/>
      <c r="AG449" s="98"/>
      <c r="AH449" s="98"/>
      <c r="AI449" s="98"/>
      <c r="AJ449" s="98"/>
      <c r="AK449" s="94"/>
      <c r="AL449" s="94"/>
      <c r="AM449" s="94"/>
      <c r="AN449" s="94"/>
      <c r="AO449" s="94"/>
      <c r="AP449" s="94"/>
      <c r="AQ449" s="94"/>
      <c r="AR449" s="94"/>
    </row>
    <row r="450" spans="1:44" ht="12.75" customHeight="1">
      <c r="A450" s="93"/>
      <c r="B450" s="93" t="s">
        <v>493</v>
      </c>
      <c r="C450" s="94"/>
      <c r="D450" s="94"/>
      <c r="E450" s="94"/>
      <c r="F450" s="95"/>
      <c r="G450" s="95"/>
      <c r="H450" s="95"/>
      <c r="I450" s="95"/>
      <c r="J450" s="95"/>
      <c r="K450" s="94"/>
      <c r="L450" s="94"/>
      <c r="M450" s="94"/>
      <c r="N450" s="94"/>
      <c r="O450" s="96"/>
      <c r="P450" s="94"/>
      <c r="Q450" s="94"/>
      <c r="R450" s="98"/>
      <c r="S450" s="98"/>
      <c r="T450" s="98"/>
      <c r="U450" s="98"/>
      <c r="V450" s="98"/>
      <c r="W450" s="98"/>
      <c r="X450" s="98"/>
      <c r="Y450" s="98"/>
      <c r="Z450" s="98"/>
      <c r="AA450" s="98"/>
      <c r="AB450" s="98"/>
      <c r="AC450" s="98"/>
      <c r="AD450" s="98"/>
      <c r="AE450" s="98"/>
      <c r="AF450" s="98"/>
      <c r="AG450" s="98"/>
      <c r="AH450" s="98"/>
      <c r="AI450" s="98"/>
      <c r="AJ450" s="98"/>
      <c r="AK450" s="94"/>
      <c r="AL450" s="94"/>
      <c r="AM450" s="94"/>
      <c r="AN450" s="94"/>
      <c r="AO450" s="94"/>
      <c r="AP450" s="94"/>
      <c r="AQ450" s="94"/>
      <c r="AR450" s="94"/>
    </row>
    <row r="451" spans="1:44" ht="12.75" customHeight="1">
      <c r="A451" s="93"/>
      <c r="B451" s="93" t="s">
        <v>476</v>
      </c>
      <c r="C451" s="94" t="s">
        <v>494</v>
      </c>
      <c r="D451" s="94">
        <v>1</v>
      </c>
      <c r="E451" s="94">
        <v>1</v>
      </c>
      <c r="F451" s="95">
        <v>12.4</v>
      </c>
      <c r="G451" s="95"/>
      <c r="H451" s="95">
        <v>0.14000000000000001</v>
      </c>
      <c r="I451" s="95">
        <f t="shared" ref="I451:I453" si="361">PRODUCT(D451:H451)</f>
        <v>1.7360000000000002</v>
      </c>
      <c r="J451" s="95"/>
      <c r="K451" s="94"/>
      <c r="L451" s="94"/>
      <c r="M451" s="94"/>
      <c r="N451" s="94"/>
      <c r="O451" s="96"/>
      <c r="P451" s="94"/>
      <c r="Q451" s="94"/>
      <c r="R451" s="98"/>
      <c r="S451" s="98"/>
      <c r="T451" s="98"/>
      <c r="U451" s="98"/>
      <c r="V451" s="98"/>
      <c r="W451" s="98"/>
      <c r="X451" s="98">
        <f t="shared" ref="X451:X453" si="362">PRODUCT(D451:G451)</f>
        <v>12.4</v>
      </c>
      <c r="Y451" s="98">
        <f t="shared" ref="Y451:Y453" si="363">(K451*E451*D451)</f>
        <v>0</v>
      </c>
      <c r="Z451" s="98"/>
      <c r="AA451" s="98"/>
      <c r="AB451" s="98"/>
      <c r="AC451" s="98"/>
      <c r="AD451" s="98"/>
      <c r="AE451" s="98"/>
      <c r="AF451" s="98"/>
      <c r="AG451" s="98"/>
      <c r="AH451" s="98"/>
      <c r="AI451" s="98"/>
      <c r="AJ451" s="98"/>
      <c r="AK451" s="94"/>
      <c r="AL451" s="94"/>
      <c r="AM451" s="94"/>
      <c r="AN451" s="94"/>
      <c r="AO451" s="94"/>
      <c r="AP451" s="94"/>
      <c r="AQ451" s="94"/>
      <c r="AR451" s="94"/>
    </row>
    <row r="452" spans="1:44" ht="12.75" customHeight="1">
      <c r="A452" s="93"/>
      <c r="B452" s="93" t="s">
        <v>495</v>
      </c>
      <c r="C452" s="94" t="s">
        <v>496</v>
      </c>
      <c r="D452" s="94">
        <v>1</v>
      </c>
      <c r="E452" s="94">
        <v>1</v>
      </c>
      <c r="F452" s="95">
        <v>6.6</v>
      </c>
      <c r="G452" s="95"/>
      <c r="H452" s="95">
        <v>0.2</v>
      </c>
      <c r="I452" s="95">
        <f t="shared" si="361"/>
        <v>1.32</v>
      </c>
      <c r="J452" s="95"/>
      <c r="K452" s="94"/>
      <c r="L452" s="94"/>
      <c r="M452" s="94"/>
      <c r="N452" s="94"/>
      <c r="O452" s="96"/>
      <c r="P452" s="94"/>
      <c r="Q452" s="94"/>
      <c r="R452" s="98"/>
      <c r="S452" s="98"/>
      <c r="T452" s="98"/>
      <c r="U452" s="98"/>
      <c r="V452" s="98"/>
      <c r="W452" s="98"/>
      <c r="X452" s="98">
        <f t="shared" si="362"/>
        <v>6.6</v>
      </c>
      <c r="Y452" s="98">
        <f t="shared" si="363"/>
        <v>0</v>
      </c>
      <c r="Z452" s="98"/>
      <c r="AA452" s="98"/>
      <c r="AB452" s="98"/>
      <c r="AC452" s="98"/>
      <c r="AD452" s="98"/>
      <c r="AE452" s="98"/>
      <c r="AF452" s="98"/>
      <c r="AG452" s="98"/>
      <c r="AH452" s="98"/>
      <c r="AI452" s="98"/>
      <c r="AJ452" s="98"/>
      <c r="AK452" s="94"/>
      <c r="AL452" s="94"/>
      <c r="AM452" s="94"/>
      <c r="AN452" s="94"/>
      <c r="AO452" s="94"/>
      <c r="AP452" s="94"/>
      <c r="AQ452" s="94"/>
      <c r="AR452" s="94"/>
    </row>
    <row r="453" spans="1:44" ht="12.75" customHeight="1">
      <c r="A453" s="93"/>
      <c r="B453" s="93" t="s">
        <v>497</v>
      </c>
      <c r="C453" s="94" t="s">
        <v>498</v>
      </c>
      <c r="D453" s="94">
        <v>1</v>
      </c>
      <c r="E453" s="94">
        <v>1</v>
      </c>
      <c r="F453" s="95">
        <v>8.9</v>
      </c>
      <c r="G453" s="95"/>
      <c r="H453" s="95">
        <v>0.22</v>
      </c>
      <c r="I453" s="95">
        <f t="shared" si="361"/>
        <v>1.9580000000000002</v>
      </c>
      <c r="J453" s="95"/>
      <c r="K453" s="94"/>
      <c r="L453" s="94"/>
      <c r="M453" s="94"/>
      <c r="N453" s="94"/>
      <c r="O453" s="96"/>
      <c r="P453" s="94"/>
      <c r="Q453" s="94"/>
      <c r="R453" s="98"/>
      <c r="S453" s="98"/>
      <c r="T453" s="98"/>
      <c r="U453" s="98"/>
      <c r="V453" s="98"/>
      <c r="W453" s="98"/>
      <c r="X453" s="98">
        <f t="shared" si="362"/>
        <v>8.9</v>
      </c>
      <c r="Y453" s="98">
        <f t="shared" si="363"/>
        <v>0</v>
      </c>
      <c r="Z453" s="98"/>
      <c r="AA453" s="98"/>
      <c r="AB453" s="98"/>
      <c r="AC453" s="98"/>
      <c r="AD453" s="98"/>
      <c r="AE453" s="98"/>
      <c r="AF453" s="98"/>
      <c r="AG453" s="98"/>
      <c r="AH453" s="98"/>
      <c r="AI453" s="98"/>
      <c r="AJ453" s="98"/>
      <c r="AK453" s="94"/>
      <c r="AL453" s="94"/>
      <c r="AM453" s="94"/>
      <c r="AN453" s="94"/>
      <c r="AO453" s="94"/>
      <c r="AP453" s="94"/>
      <c r="AQ453" s="94"/>
      <c r="AR453" s="94"/>
    </row>
    <row r="454" spans="1:44" ht="12.75" customHeight="1">
      <c r="A454" s="93"/>
      <c r="B454" s="93"/>
      <c r="C454" s="94"/>
      <c r="D454" s="94"/>
      <c r="E454" s="94"/>
      <c r="F454" s="95"/>
      <c r="G454" s="95"/>
      <c r="H454" s="95"/>
      <c r="I454" s="95"/>
      <c r="J454" s="95"/>
      <c r="K454" s="94"/>
      <c r="L454" s="94"/>
      <c r="M454" s="94"/>
      <c r="N454" s="94"/>
      <c r="O454" s="96"/>
      <c r="P454" s="94"/>
      <c r="Q454" s="94"/>
      <c r="R454" s="98"/>
      <c r="S454" s="98"/>
      <c r="T454" s="98"/>
      <c r="U454" s="98"/>
      <c r="V454" s="98"/>
      <c r="W454" s="98"/>
      <c r="X454" s="98"/>
      <c r="Y454" s="98"/>
      <c r="Z454" s="98"/>
      <c r="AA454" s="98"/>
      <c r="AB454" s="98"/>
      <c r="AC454" s="98"/>
      <c r="AD454" s="98"/>
      <c r="AE454" s="98"/>
      <c r="AF454" s="98"/>
      <c r="AG454" s="98"/>
      <c r="AH454" s="98"/>
      <c r="AI454" s="98"/>
      <c r="AJ454" s="98"/>
      <c r="AK454" s="94"/>
      <c r="AL454" s="94"/>
      <c r="AM454" s="94"/>
      <c r="AN454" s="94"/>
      <c r="AO454" s="94"/>
      <c r="AP454" s="94"/>
      <c r="AQ454" s="94"/>
      <c r="AR454" s="94"/>
    </row>
    <row r="455" spans="1:44" ht="12.75" customHeight="1">
      <c r="A455" s="99"/>
      <c r="B455" s="99" t="s">
        <v>194</v>
      </c>
      <c r="C455" s="100"/>
      <c r="D455" s="100"/>
      <c r="E455" s="100"/>
      <c r="F455" s="101"/>
      <c r="G455" s="101"/>
      <c r="H455" s="101"/>
      <c r="I455" s="101">
        <f>SUM(I437:I454)</f>
        <v>1804.0420000000004</v>
      </c>
      <c r="J455" s="95"/>
      <c r="K455" s="94"/>
      <c r="L455" s="94"/>
      <c r="M455" s="94"/>
      <c r="N455" s="94"/>
      <c r="O455" s="96"/>
      <c r="P455" s="94"/>
      <c r="Q455" s="94"/>
      <c r="R455" s="98"/>
      <c r="S455" s="98"/>
      <c r="T455" s="98"/>
      <c r="U455" s="98"/>
      <c r="V455" s="98"/>
      <c r="W455" s="98"/>
      <c r="X455" s="101">
        <f t="shared" ref="X455:Y455" si="364">SUM(X437:X454)</f>
        <v>6711.0999999999995</v>
      </c>
      <c r="Y455" s="101">
        <f t="shared" si="364"/>
        <v>0</v>
      </c>
      <c r="Z455" s="98"/>
      <c r="AA455" s="98"/>
      <c r="AB455" s="98"/>
      <c r="AC455" s="98"/>
      <c r="AD455" s="98"/>
      <c r="AE455" s="98"/>
      <c r="AF455" s="98"/>
      <c r="AG455" s="98"/>
      <c r="AH455" s="98"/>
      <c r="AI455" s="98"/>
      <c r="AJ455" s="98"/>
      <c r="AK455" s="94"/>
      <c r="AL455" s="94"/>
      <c r="AM455" s="94"/>
      <c r="AN455" s="94"/>
      <c r="AO455" s="94"/>
      <c r="AP455" s="94"/>
      <c r="AQ455" s="94"/>
      <c r="AR455" s="94"/>
    </row>
    <row r="456" spans="1:44" ht="12.75" customHeight="1">
      <c r="A456" s="87"/>
      <c r="B456" s="87"/>
      <c r="C456" s="88"/>
      <c r="D456" s="88"/>
      <c r="E456" s="88"/>
      <c r="F456" s="89"/>
      <c r="G456" s="89"/>
      <c r="H456" s="89"/>
      <c r="I456" s="89"/>
      <c r="J456" s="89"/>
      <c r="K456" s="88"/>
      <c r="L456" s="88"/>
      <c r="M456" s="88"/>
      <c r="N456" s="88"/>
      <c r="O456" s="90"/>
      <c r="P456" s="88"/>
      <c r="Q456" s="88"/>
      <c r="R456" s="92"/>
      <c r="S456" s="92"/>
      <c r="T456" s="92"/>
      <c r="U456" s="92"/>
      <c r="V456" s="92"/>
      <c r="W456" s="92"/>
      <c r="X456" s="92"/>
      <c r="Y456" s="92"/>
      <c r="Z456" s="92"/>
      <c r="AA456" s="92"/>
      <c r="AB456" s="92"/>
      <c r="AC456" s="92"/>
      <c r="AD456" s="92"/>
      <c r="AE456" s="92"/>
      <c r="AF456" s="92"/>
      <c r="AG456" s="92"/>
      <c r="AH456" s="92"/>
      <c r="AI456" s="92"/>
      <c r="AJ456" s="92"/>
      <c r="AK456" s="88"/>
      <c r="AL456" s="88"/>
      <c r="AM456" s="88"/>
      <c r="AN456" s="88"/>
      <c r="AO456" s="88"/>
      <c r="AP456" s="88"/>
      <c r="AQ456" s="88"/>
      <c r="AR456" s="88"/>
    </row>
    <row r="457" spans="1:44" ht="12.75" customHeight="1">
      <c r="A457" s="93"/>
      <c r="B457" s="93" t="s">
        <v>499</v>
      </c>
      <c r="C457" s="94"/>
      <c r="D457" s="94"/>
      <c r="E457" s="94"/>
      <c r="F457" s="95"/>
      <c r="G457" s="95"/>
      <c r="H457" s="95"/>
      <c r="I457" s="95"/>
      <c r="J457" s="95"/>
      <c r="K457" s="94"/>
      <c r="L457" s="94"/>
      <c r="M457" s="94"/>
      <c r="N457" s="94"/>
      <c r="O457" s="96"/>
      <c r="P457" s="94"/>
      <c r="Q457" s="94"/>
      <c r="R457" s="98"/>
      <c r="S457" s="98"/>
      <c r="T457" s="98"/>
      <c r="U457" s="98"/>
      <c r="V457" s="98"/>
      <c r="W457" s="98"/>
      <c r="X457" s="98"/>
      <c r="Y457" s="98"/>
      <c r="Z457" s="98"/>
      <c r="AA457" s="98"/>
      <c r="AB457" s="98"/>
      <c r="AC457" s="98"/>
      <c r="AD457" s="98"/>
      <c r="AE457" s="98"/>
      <c r="AF457" s="98"/>
      <c r="AG457" s="98"/>
      <c r="AH457" s="98"/>
      <c r="AI457" s="98"/>
      <c r="AJ457" s="98"/>
      <c r="AK457" s="94"/>
      <c r="AL457" s="94"/>
      <c r="AM457" s="94"/>
      <c r="AN457" s="94"/>
      <c r="AO457" s="94"/>
      <c r="AP457" s="94"/>
      <c r="AQ457" s="94"/>
      <c r="AR457" s="94"/>
    </row>
    <row r="458" spans="1:44" ht="12.75" customHeight="1">
      <c r="A458" s="93"/>
      <c r="B458" s="93" t="s">
        <v>500</v>
      </c>
      <c r="C458" s="94" t="s">
        <v>501</v>
      </c>
      <c r="D458" s="94">
        <v>1</v>
      </c>
      <c r="E458" s="94">
        <v>1</v>
      </c>
      <c r="F458" s="95"/>
      <c r="G458" s="95"/>
      <c r="H458" s="95"/>
      <c r="I458" s="95">
        <f>'D&amp;W'!AF28</f>
        <v>43.430999999999983</v>
      </c>
      <c r="J458" s="95"/>
      <c r="K458" s="94"/>
      <c r="L458" s="94"/>
      <c r="M458" s="94"/>
      <c r="N458" s="94"/>
      <c r="O458" s="96"/>
      <c r="P458" s="94"/>
      <c r="Q458" s="94"/>
      <c r="R458" s="98"/>
      <c r="S458" s="98"/>
      <c r="T458" s="98"/>
      <c r="U458" s="98"/>
      <c r="V458" s="98"/>
      <c r="W458" s="98"/>
      <c r="X458" s="98">
        <f>((F458*(H458+G458+H458)))*E458*D458</f>
        <v>0</v>
      </c>
      <c r="Y458" s="98">
        <f>((M458*(H458+G458+H458)))*E458*D458</f>
        <v>0</v>
      </c>
      <c r="Z458" s="98"/>
      <c r="AA458" s="98"/>
      <c r="AB458" s="98"/>
      <c r="AC458" s="98"/>
      <c r="AD458" s="98"/>
      <c r="AE458" s="98"/>
      <c r="AF458" s="98"/>
      <c r="AG458" s="98"/>
      <c r="AH458" s="98"/>
      <c r="AI458" s="98"/>
      <c r="AJ458" s="98"/>
      <c r="AK458" s="94"/>
      <c r="AL458" s="94"/>
      <c r="AM458" s="94"/>
      <c r="AN458" s="94"/>
      <c r="AO458" s="94"/>
      <c r="AP458" s="94"/>
      <c r="AQ458" s="94"/>
      <c r="AR458" s="94"/>
    </row>
    <row r="459" spans="1:44" ht="12.75" customHeight="1">
      <c r="A459" s="93"/>
      <c r="B459" s="93"/>
      <c r="C459" s="94"/>
      <c r="D459" s="94"/>
      <c r="E459" s="94"/>
      <c r="F459" s="95"/>
      <c r="G459" s="95"/>
      <c r="H459" s="95"/>
      <c r="I459" s="95"/>
      <c r="J459" s="95"/>
      <c r="K459" s="94"/>
      <c r="L459" s="94"/>
      <c r="M459" s="94"/>
      <c r="N459" s="94"/>
      <c r="O459" s="96"/>
      <c r="P459" s="94"/>
      <c r="Q459" s="94"/>
      <c r="R459" s="98"/>
      <c r="S459" s="98"/>
      <c r="T459" s="98"/>
      <c r="U459" s="98"/>
      <c r="V459" s="98"/>
      <c r="W459" s="98"/>
      <c r="X459" s="98"/>
      <c r="Y459" s="98"/>
      <c r="Z459" s="98"/>
      <c r="AA459" s="98"/>
      <c r="AB459" s="98"/>
      <c r="AC459" s="98"/>
      <c r="AD459" s="98"/>
      <c r="AE459" s="98"/>
      <c r="AF459" s="98"/>
      <c r="AG459" s="98"/>
      <c r="AH459" s="98"/>
      <c r="AI459" s="98"/>
      <c r="AJ459" s="98"/>
      <c r="AK459" s="94"/>
      <c r="AL459" s="94"/>
      <c r="AM459" s="94"/>
      <c r="AN459" s="94"/>
      <c r="AO459" s="94"/>
      <c r="AP459" s="94"/>
      <c r="AQ459" s="94"/>
      <c r="AR459" s="94"/>
    </row>
    <row r="460" spans="1:44" ht="12.75" customHeight="1">
      <c r="A460" s="99"/>
      <c r="B460" s="99" t="s">
        <v>194</v>
      </c>
      <c r="C460" s="100"/>
      <c r="D460" s="100"/>
      <c r="E460" s="100"/>
      <c r="F460" s="101"/>
      <c r="G460" s="101"/>
      <c r="H460" s="101"/>
      <c r="I460" s="101">
        <f>SUM(I458:I459)</f>
        <v>43.430999999999983</v>
      </c>
      <c r="J460" s="95"/>
      <c r="K460" s="94"/>
      <c r="L460" s="94"/>
      <c r="M460" s="94"/>
      <c r="N460" s="94"/>
      <c r="O460" s="96"/>
      <c r="P460" s="94"/>
      <c r="Q460" s="94"/>
      <c r="R460" s="98"/>
      <c r="S460" s="98"/>
      <c r="T460" s="98"/>
      <c r="U460" s="98"/>
      <c r="V460" s="98"/>
      <c r="W460" s="98"/>
      <c r="X460" s="101">
        <f t="shared" ref="X460:Y460" si="365">SUM(X458:X459)</f>
        <v>0</v>
      </c>
      <c r="Y460" s="101">
        <f t="shared" si="365"/>
        <v>0</v>
      </c>
      <c r="Z460" s="98"/>
      <c r="AA460" s="98"/>
      <c r="AB460" s="98"/>
      <c r="AC460" s="98"/>
      <c r="AD460" s="98"/>
      <c r="AE460" s="98"/>
      <c r="AF460" s="98"/>
      <c r="AG460" s="98"/>
      <c r="AH460" s="98"/>
      <c r="AI460" s="98"/>
      <c r="AJ460" s="98"/>
      <c r="AK460" s="94"/>
      <c r="AL460" s="94"/>
      <c r="AM460" s="94"/>
      <c r="AN460" s="94"/>
      <c r="AO460" s="94"/>
      <c r="AP460" s="94"/>
      <c r="AQ460" s="94"/>
      <c r="AR460" s="94"/>
    </row>
    <row r="461" spans="1:44" ht="12.75" customHeight="1">
      <c r="A461" s="87"/>
      <c r="B461" s="87"/>
      <c r="C461" s="88"/>
      <c r="D461" s="88"/>
      <c r="E461" s="88"/>
      <c r="F461" s="89"/>
      <c r="G461" s="89"/>
      <c r="H461" s="89"/>
      <c r="I461" s="89"/>
      <c r="J461" s="89"/>
      <c r="K461" s="88"/>
      <c r="L461" s="88"/>
      <c r="M461" s="88"/>
      <c r="N461" s="88"/>
      <c r="O461" s="90"/>
      <c r="P461" s="88"/>
      <c r="Q461" s="88"/>
      <c r="R461" s="92"/>
      <c r="S461" s="92"/>
      <c r="T461" s="92"/>
      <c r="U461" s="92"/>
      <c r="V461" s="92"/>
      <c r="W461" s="92"/>
      <c r="X461" s="92"/>
      <c r="Y461" s="92"/>
      <c r="Z461" s="92"/>
      <c r="AA461" s="92"/>
      <c r="AB461" s="92"/>
      <c r="AC461" s="92"/>
      <c r="AD461" s="92"/>
      <c r="AE461" s="92"/>
      <c r="AF461" s="92"/>
      <c r="AG461" s="92"/>
      <c r="AH461" s="92"/>
      <c r="AI461" s="92"/>
      <c r="AJ461" s="92"/>
      <c r="AK461" s="88"/>
      <c r="AL461" s="88"/>
      <c r="AM461" s="88"/>
      <c r="AN461" s="88"/>
      <c r="AO461" s="88"/>
      <c r="AP461" s="88"/>
      <c r="AQ461" s="88"/>
      <c r="AR461" s="88"/>
    </row>
    <row r="462" spans="1:44" ht="12.75" customHeight="1">
      <c r="A462" s="93"/>
      <c r="B462" s="93" t="s">
        <v>502</v>
      </c>
      <c r="C462" s="94"/>
      <c r="D462" s="94"/>
      <c r="E462" s="94"/>
      <c r="F462" s="95"/>
      <c r="G462" s="95"/>
      <c r="H462" s="95"/>
      <c r="I462" s="95"/>
      <c r="J462" s="95"/>
      <c r="K462" s="94"/>
      <c r="L462" s="94"/>
      <c r="M462" s="94"/>
      <c r="N462" s="94"/>
      <c r="O462" s="96"/>
      <c r="P462" s="94"/>
      <c r="Q462" s="94"/>
      <c r="R462" s="98"/>
      <c r="S462" s="98"/>
      <c r="T462" s="98"/>
      <c r="U462" s="98"/>
      <c r="V462" s="98"/>
      <c r="W462" s="98"/>
      <c r="X462" s="98"/>
      <c r="Y462" s="98"/>
      <c r="Z462" s="98"/>
      <c r="AA462" s="98"/>
      <c r="AB462" s="98"/>
      <c r="AC462" s="98"/>
      <c r="AD462" s="98"/>
      <c r="AE462" s="98"/>
      <c r="AF462" s="98"/>
      <c r="AG462" s="98"/>
      <c r="AH462" s="98"/>
      <c r="AI462" s="98"/>
      <c r="AJ462" s="98"/>
      <c r="AK462" s="94"/>
      <c r="AL462" s="94"/>
      <c r="AM462" s="94"/>
      <c r="AN462" s="94"/>
      <c r="AO462" s="94"/>
      <c r="AP462" s="94"/>
      <c r="AQ462" s="94"/>
      <c r="AR462" s="94"/>
    </row>
    <row r="463" spans="1:44" ht="12.75" customHeight="1">
      <c r="A463" s="93"/>
      <c r="B463" s="93" t="s">
        <v>503</v>
      </c>
      <c r="C463" s="94"/>
      <c r="D463" s="94"/>
      <c r="E463" s="94"/>
      <c r="F463" s="95"/>
      <c r="G463" s="95"/>
      <c r="H463" s="95"/>
      <c r="I463" s="95"/>
      <c r="J463" s="95"/>
      <c r="K463" s="94"/>
      <c r="L463" s="94"/>
      <c r="M463" s="94"/>
      <c r="N463" s="94"/>
      <c r="O463" s="96"/>
      <c r="P463" s="94"/>
      <c r="Q463" s="94"/>
      <c r="R463" s="98"/>
      <c r="S463" s="98"/>
      <c r="T463" s="98"/>
      <c r="U463" s="98"/>
      <c r="V463" s="98"/>
      <c r="W463" s="98"/>
      <c r="X463" s="98"/>
      <c r="Y463" s="98"/>
      <c r="Z463" s="98"/>
      <c r="AA463" s="98"/>
      <c r="AB463" s="98"/>
      <c r="AC463" s="98"/>
      <c r="AD463" s="98"/>
      <c r="AE463" s="98"/>
      <c r="AF463" s="98"/>
      <c r="AG463" s="98"/>
      <c r="AH463" s="98"/>
      <c r="AI463" s="98"/>
      <c r="AJ463" s="98"/>
      <c r="AK463" s="94"/>
      <c r="AL463" s="94"/>
      <c r="AM463" s="94"/>
      <c r="AN463" s="94"/>
      <c r="AO463" s="94"/>
      <c r="AP463" s="94"/>
      <c r="AQ463" s="94"/>
      <c r="AR463" s="94"/>
    </row>
    <row r="464" spans="1:44" ht="12.75" customHeight="1">
      <c r="A464" s="93"/>
      <c r="B464" s="93" t="s">
        <v>504</v>
      </c>
      <c r="C464" s="94" t="s">
        <v>505</v>
      </c>
      <c r="D464" s="94">
        <v>1</v>
      </c>
      <c r="E464" s="94">
        <v>2</v>
      </c>
      <c r="F464" s="95">
        <f>0.35*36</f>
        <v>12.6</v>
      </c>
      <c r="G464" s="95">
        <v>1.2</v>
      </c>
      <c r="H464" s="95">
        <v>0.25</v>
      </c>
      <c r="I464" s="95">
        <f t="shared" ref="I464:I468" si="366">PRODUCT(D464:H464)</f>
        <v>7.56</v>
      </c>
      <c r="J464" s="95"/>
      <c r="K464" s="94"/>
      <c r="L464" s="94"/>
      <c r="M464" s="94"/>
      <c r="N464" s="94"/>
      <c r="O464" s="96"/>
      <c r="P464" s="94"/>
      <c r="Q464" s="94"/>
      <c r="R464" s="98"/>
      <c r="S464" s="98"/>
      <c r="T464" s="98"/>
      <c r="U464" s="98"/>
      <c r="V464" s="98"/>
      <c r="W464" s="98"/>
      <c r="X464" s="98">
        <f>PRODUCT(D464:G464)</f>
        <v>30.24</v>
      </c>
      <c r="Y464" s="98"/>
      <c r="Z464" s="98"/>
      <c r="AA464" s="98"/>
      <c r="AB464" s="98"/>
      <c r="AC464" s="98"/>
      <c r="AD464" s="98"/>
      <c r="AE464" s="98"/>
      <c r="AF464" s="98"/>
      <c r="AG464" s="98"/>
      <c r="AH464" s="98"/>
      <c r="AI464" s="98"/>
      <c r="AJ464" s="98"/>
      <c r="AK464" s="94"/>
      <c r="AL464" s="94"/>
      <c r="AM464" s="94"/>
      <c r="AN464" s="94"/>
      <c r="AO464" s="94"/>
      <c r="AP464" s="94"/>
      <c r="AQ464" s="94"/>
      <c r="AR464" s="94"/>
    </row>
    <row r="465" spans="1:44" ht="12.75" customHeight="1">
      <c r="A465" s="93"/>
      <c r="B465" s="93" t="s">
        <v>135</v>
      </c>
      <c r="C465" s="94" t="s">
        <v>506</v>
      </c>
      <c r="D465" s="94">
        <v>1</v>
      </c>
      <c r="E465" s="94">
        <v>2</v>
      </c>
      <c r="F465" s="95">
        <f>36*G464</f>
        <v>43.199999999999996</v>
      </c>
      <c r="G465" s="95">
        <f>0.5*0.3</f>
        <v>0.15</v>
      </c>
      <c r="H465" s="95">
        <v>0.15</v>
      </c>
      <c r="I465" s="95">
        <f t="shared" si="366"/>
        <v>1.9439999999999997</v>
      </c>
      <c r="J465" s="95"/>
      <c r="K465" s="94"/>
      <c r="L465" s="94"/>
      <c r="M465" s="94"/>
      <c r="N465" s="94"/>
      <c r="O465" s="96"/>
      <c r="P465" s="94"/>
      <c r="Q465" s="94"/>
      <c r="R465" s="98"/>
      <c r="S465" s="98"/>
      <c r="T465" s="98"/>
      <c r="U465" s="98"/>
      <c r="V465" s="98"/>
      <c r="W465" s="98"/>
      <c r="X465" s="98">
        <f>(((F465*H465*E465)))</f>
        <v>12.959999999999999</v>
      </c>
      <c r="Y465" s="98"/>
      <c r="Z465" s="98"/>
      <c r="AA465" s="98"/>
      <c r="AB465" s="98"/>
      <c r="AC465" s="98"/>
      <c r="AD465" s="98"/>
      <c r="AE465" s="98"/>
      <c r="AF465" s="98"/>
      <c r="AG465" s="98"/>
      <c r="AH465" s="98"/>
      <c r="AI465" s="98"/>
      <c r="AJ465" s="98"/>
      <c r="AK465" s="94"/>
      <c r="AL465" s="94"/>
      <c r="AM465" s="94"/>
      <c r="AN465" s="94"/>
      <c r="AO465" s="94"/>
      <c r="AP465" s="94"/>
      <c r="AQ465" s="94"/>
      <c r="AR465" s="94"/>
    </row>
    <row r="466" spans="1:44" ht="12.75" customHeight="1">
      <c r="A466" s="93"/>
      <c r="B466" s="93" t="s">
        <v>507</v>
      </c>
      <c r="C466" s="94" t="s">
        <v>508</v>
      </c>
      <c r="D466" s="94">
        <v>1</v>
      </c>
      <c r="E466" s="94">
        <v>2</v>
      </c>
      <c r="F466" s="95">
        <v>1.2</v>
      </c>
      <c r="G466" s="95">
        <v>1.2</v>
      </c>
      <c r="H466" s="95">
        <v>0.25</v>
      </c>
      <c r="I466" s="95">
        <f t="shared" si="366"/>
        <v>0.72</v>
      </c>
      <c r="J466" s="95"/>
      <c r="K466" s="94"/>
      <c r="L466" s="94"/>
      <c r="M466" s="94"/>
      <c r="N466" s="94"/>
      <c r="O466" s="96"/>
      <c r="P466" s="94"/>
      <c r="Q466" s="94"/>
      <c r="R466" s="98"/>
      <c r="S466" s="98"/>
      <c r="T466" s="98"/>
      <c r="U466" s="98"/>
      <c r="V466" s="98"/>
      <c r="W466" s="98"/>
      <c r="X466" s="98">
        <f t="shared" ref="X466:X468" si="367">PRODUCT(D466:G466)</f>
        <v>2.88</v>
      </c>
      <c r="Y466" s="98"/>
      <c r="Z466" s="98"/>
      <c r="AA466" s="98"/>
      <c r="AB466" s="98"/>
      <c r="AC466" s="98"/>
      <c r="AD466" s="98"/>
      <c r="AE466" s="98"/>
      <c r="AF466" s="98"/>
      <c r="AG466" s="98"/>
      <c r="AH466" s="98"/>
      <c r="AI466" s="98"/>
      <c r="AJ466" s="98"/>
      <c r="AK466" s="94"/>
      <c r="AL466" s="94"/>
      <c r="AM466" s="94"/>
      <c r="AN466" s="94"/>
      <c r="AO466" s="94"/>
      <c r="AP466" s="94"/>
      <c r="AQ466" s="94"/>
      <c r="AR466" s="94"/>
    </row>
    <row r="467" spans="1:44" ht="12.75" customHeight="1">
      <c r="A467" s="93"/>
      <c r="B467" s="93" t="s">
        <v>509</v>
      </c>
      <c r="C467" s="94" t="s">
        <v>510</v>
      </c>
      <c r="D467" s="94">
        <v>1</v>
      </c>
      <c r="E467" s="94">
        <v>2</v>
      </c>
      <c r="F467" s="95">
        <v>2.4</v>
      </c>
      <c r="G467" s="95">
        <v>1.2</v>
      </c>
      <c r="H467" s="95">
        <v>0.25</v>
      </c>
      <c r="I467" s="95">
        <f t="shared" si="366"/>
        <v>1.44</v>
      </c>
      <c r="J467" s="95"/>
      <c r="K467" s="94"/>
      <c r="L467" s="94"/>
      <c r="M467" s="94"/>
      <c r="N467" s="94"/>
      <c r="O467" s="96"/>
      <c r="P467" s="94"/>
      <c r="Q467" s="94"/>
      <c r="R467" s="98"/>
      <c r="S467" s="98"/>
      <c r="T467" s="98"/>
      <c r="U467" s="98"/>
      <c r="V467" s="98"/>
      <c r="W467" s="98"/>
      <c r="X467" s="98">
        <f t="shared" si="367"/>
        <v>5.76</v>
      </c>
      <c r="Y467" s="98"/>
      <c r="Z467" s="98"/>
      <c r="AA467" s="98"/>
      <c r="AB467" s="98"/>
      <c r="AC467" s="98"/>
      <c r="AD467" s="98"/>
      <c r="AE467" s="98"/>
      <c r="AF467" s="98"/>
      <c r="AG467" s="98"/>
      <c r="AH467" s="98"/>
      <c r="AI467" s="98"/>
      <c r="AJ467" s="98"/>
      <c r="AK467" s="94"/>
      <c r="AL467" s="94"/>
      <c r="AM467" s="94"/>
      <c r="AN467" s="94"/>
      <c r="AO467" s="94"/>
      <c r="AP467" s="94"/>
      <c r="AQ467" s="94"/>
      <c r="AR467" s="94"/>
    </row>
    <row r="468" spans="1:44" ht="12.75" customHeight="1">
      <c r="A468" s="93"/>
      <c r="B468" s="93" t="s">
        <v>511</v>
      </c>
      <c r="C468" s="94" t="s">
        <v>512</v>
      </c>
      <c r="D468" s="94">
        <v>1</v>
      </c>
      <c r="E468" s="94">
        <v>2</v>
      </c>
      <c r="F468" s="95">
        <v>4.5</v>
      </c>
      <c r="G468" s="95">
        <v>1.2</v>
      </c>
      <c r="H468" s="95">
        <v>0.25</v>
      </c>
      <c r="I468" s="95">
        <f t="shared" si="366"/>
        <v>2.6999999999999997</v>
      </c>
      <c r="J468" s="95"/>
      <c r="K468" s="94"/>
      <c r="L468" s="94"/>
      <c r="M468" s="94"/>
      <c r="N468" s="94"/>
      <c r="O468" s="96"/>
      <c r="P468" s="94"/>
      <c r="Q468" s="94"/>
      <c r="R468" s="98"/>
      <c r="S468" s="98"/>
      <c r="T468" s="98"/>
      <c r="U468" s="98"/>
      <c r="V468" s="98"/>
      <c r="W468" s="98"/>
      <c r="X468" s="98">
        <f t="shared" si="367"/>
        <v>10.799999999999999</v>
      </c>
      <c r="Y468" s="98"/>
      <c r="Z468" s="98"/>
      <c r="AA468" s="98"/>
      <c r="AB468" s="98"/>
      <c r="AC468" s="98"/>
      <c r="AD468" s="98"/>
      <c r="AE468" s="98"/>
      <c r="AF468" s="98"/>
      <c r="AG468" s="98"/>
      <c r="AH468" s="98"/>
      <c r="AI468" s="98"/>
      <c r="AJ468" s="98"/>
      <c r="AK468" s="94"/>
      <c r="AL468" s="94"/>
      <c r="AM468" s="94"/>
      <c r="AN468" s="94"/>
      <c r="AO468" s="94"/>
      <c r="AP468" s="94"/>
      <c r="AQ468" s="94"/>
      <c r="AR468" s="94"/>
    </row>
    <row r="469" spans="1:44" ht="12.75" customHeight="1">
      <c r="A469" s="93"/>
      <c r="B469" s="93" t="s">
        <v>442</v>
      </c>
      <c r="C469" s="94"/>
      <c r="D469" s="94"/>
      <c r="E469" s="94"/>
      <c r="F469" s="95"/>
      <c r="G469" s="95"/>
      <c r="H469" s="95"/>
      <c r="I469" s="95"/>
      <c r="J469" s="95"/>
      <c r="K469" s="94"/>
      <c r="L469" s="94"/>
      <c r="M469" s="94"/>
      <c r="N469" s="94"/>
      <c r="O469" s="96"/>
      <c r="P469" s="94"/>
      <c r="Q469" s="94"/>
      <c r="R469" s="98"/>
      <c r="S469" s="98"/>
      <c r="T469" s="98"/>
      <c r="U469" s="98"/>
      <c r="V469" s="98"/>
      <c r="W469" s="98"/>
      <c r="X469" s="98"/>
      <c r="Y469" s="98"/>
      <c r="Z469" s="98"/>
      <c r="AA469" s="98"/>
      <c r="AB469" s="98"/>
      <c r="AC469" s="98"/>
      <c r="AD469" s="98"/>
      <c r="AE469" s="98"/>
      <c r="AF469" s="98"/>
      <c r="AG469" s="98"/>
      <c r="AH469" s="98"/>
      <c r="AI469" s="98"/>
      <c r="AJ469" s="98"/>
      <c r="AK469" s="94"/>
      <c r="AL469" s="94"/>
      <c r="AM469" s="94"/>
      <c r="AN469" s="94"/>
      <c r="AO469" s="94"/>
      <c r="AP469" s="94"/>
      <c r="AQ469" s="94"/>
      <c r="AR469" s="94"/>
    </row>
    <row r="470" spans="1:44" ht="12.75" customHeight="1">
      <c r="A470" s="93"/>
      <c r="B470" s="93" t="s">
        <v>504</v>
      </c>
      <c r="C470" s="94" t="s">
        <v>513</v>
      </c>
      <c r="D470" s="94">
        <v>6</v>
      </c>
      <c r="E470" s="94">
        <v>2</v>
      </c>
      <c r="F470" s="95">
        <f>0.35*26</f>
        <v>9.1</v>
      </c>
      <c r="G470" s="95">
        <v>1.25</v>
      </c>
      <c r="H470" s="95">
        <v>0.25</v>
      </c>
      <c r="I470" s="95">
        <f t="shared" ref="I470:I472" si="368">PRODUCT(D470:H470)</f>
        <v>34.125</v>
      </c>
      <c r="J470" s="95"/>
      <c r="K470" s="94"/>
      <c r="L470" s="94"/>
      <c r="M470" s="94"/>
      <c r="N470" s="94"/>
      <c r="O470" s="96"/>
      <c r="P470" s="94"/>
      <c r="Q470" s="94"/>
      <c r="R470" s="98"/>
      <c r="S470" s="98"/>
      <c r="T470" s="98"/>
      <c r="U470" s="98"/>
      <c r="V470" s="98"/>
      <c r="W470" s="98"/>
      <c r="X470" s="98">
        <f>PRODUCT(D470:G470)</f>
        <v>136.5</v>
      </c>
      <c r="Y470" s="98"/>
      <c r="Z470" s="98"/>
      <c r="AA470" s="98"/>
      <c r="AB470" s="98"/>
      <c r="AC470" s="98"/>
      <c r="AD470" s="98"/>
      <c r="AE470" s="98"/>
      <c r="AF470" s="98"/>
      <c r="AG470" s="98"/>
      <c r="AH470" s="98"/>
      <c r="AI470" s="98"/>
      <c r="AJ470" s="98"/>
      <c r="AK470" s="94"/>
      <c r="AL470" s="94"/>
      <c r="AM470" s="94"/>
      <c r="AN470" s="94"/>
      <c r="AO470" s="94"/>
      <c r="AP470" s="94"/>
      <c r="AQ470" s="94"/>
      <c r="AR470" s="94"/>
    </row>
    <row r="471" spans="1:44" ht="12.75" customHeight="1">
      <c r="A471" s="93"/>
      <c r="B471" s="93" t="s">
        <v>135</v>
      </c>
      <c r="C471" s="94" t="s">
        <v>514</v>
      </c>
      <c r="D471" s="94">
        <v>6</v>
      </c>
      <c r="E471" s="94">
        <v>2</v>
      </c>
      <c r="F471" s="95">
        <f>26*G470</f>
        <v>32.5</v>
      </c>
      <c r="G471" s="95">
        <f>0.5*0.3</f>
        <v>0.15</v>
      </c>
      <c r="H471" s="95">
        <v>0.15</v>
      </c>
      <c r="I471" s="95">
        <f t="shared" si="368"/>
        <v>8.7750000000000004</v>
      </c>
      <c r="J471" s="95"/>
      <c r="K471" s="94"/>
      <c r="L471" s="94"/>
      <c r="M471" s="94"/>
      <c r="N471" s="94"/>
      <c r="O471" s="96"/>
      <c r="P471" s="94"/>
      <c r="Q471" s="94"/>
      <c r="R471" s="98"/>
      <c r="S471" s="98"/>
      <c r="T471" s="98"/>
      <c r="U471" s="98"/>
      <c r="V471" s="98"/>
      <c r="W471" s="98"/>
      <c r="X471" s="98">
        <f>(((F471*H471*E471)))</f>
        <v>9.75</v>
      </c>
      <c r="Y471" s="98"/>
      <c r="Z471" s="98"/>
      <c r="AA471" s="98"/>
      <c r="AB471" s="98"/>
      <c r="AC471" s="98"/>
      <c r="AD471" s="98"/>
      <c r="AE471" s="98"/>
      <c r="AF471" s="98"/>
      <c r="AG471" s="98"/>
      <c r="AH471" s="98"/>
      <c r="AI471" s="98"/>
      <c r="AJ471" s="98"/>
      <c r="AK471" s="94"/>
      <c r="AL471" s="94"/>
      <c r="AM471" s="94"/>
      <c r="AN471" s="94"/>
      <c r="AO471" s="94"/>
      <c r="AP471" s="94"/>
      <c r="AQ471" s="94"/>
      <c r="AR471" s="94"/>
    </row>
    <row r="472" spans="1:44" ht="12.75" customHeight="1">
      <c r="A472" s="93"/>
      <c r="B472" s="93" t="s">
        <v>515</v>
      </c>
      <c r="C472" s="94" t="s">
        <v>516</v>
      </c>
      <c r="D472" s="94">
        <v>6</v>
      </c>
      <c r="E472" s="94">
        <f>8*2</f>
        <v>16</v>
      </c>
      <c r="F472" s="95">
        <v>1.25</v>
      </c>
      <c r="G472" s="95">
        <v>1.25</v>
      </c>
      <c r="H472" s="95">
        <v>0.25</v>
      </c>
      <c r="I472" s="95">
        <f t="shared" si="368"/>
        <v>37.5</v>
      </c>
      <c r="J472" s="95"/>
      <c r="K472" s="94"/>
      <c r="L472" s="94"/>
      <c r="M472" s="94"/>
      <c r="N472" s="94"/>
      <c r="O472" s="96"/>
      <c r="P472" s="94"/>
      <c r="Q472" s="94"/>
      <c r="R472" s="98"/>
      <c r="S472" s="98"/>
      <c r="T472" s="98"/>
      <c r="U472" s="98"/>
      <c r="V472" s="98"/>
      <c r="W472" s="98"/>
      <c r="X472" s="98">
        <f>PRODUCT(D472:G472)</f>
        <v>150</v>
      </c>
      <c r="Y472" s="98"/>
      <c r="Z472" s="98"/>
      <c r="AA472" s="98"/>
      <c r="AB472" s="98"/>
      <c r="AC472" s="98"/>
      <c r="AD472" s="98"/>
      <c r="AE472" s="98"/>
      <c r="AF472" s="98"/>
      <c r="AG472" s="98"/>
      <c r="AH472" s="98"/>
      <c r="AI472" s="98"/>
      <c r="AJ472" s="98"/>
      <c r="AK472" s="94"/>
      <c r="AL472" s="94"/>
      <c r="AM472" s="94"/>
      <c r="AN472" s="94"/>
      <c r="AO472" s="94"/>
      <c r="AP472" s="94"/>
      <c r="AQ472" s="94"/>
      <c r="AR472" s="94"/>
    </row>
    <row r="473" spans="1:44" ht="12.75" customHeight="1">
      <c r="A473" s="93"/>
      <c r="B473" s="93" t="s">
        <v>469</v>
      </c>
      <c r="C473" s="94"/>
      <c r="D473" s="94"/>
      <c r="E473" s="94"/>
      <c r="F473" s="95"/>
      <c r="G473" s="95"/>
      <c r="H473" s="95"/>
      <c r="I473" s="95"/>
      <c r="J473" s="95"/>
      <c r="K473" s="94"/>
      <c r="L473" s="94"/>
      <c r="M473" s="94"/>
      <c r="N473" s="94"/>
      <c r="O473" s="96"/>
      <c r="P473" s="94"/>
      <c r="Q473" s="94"/>
      <c r="R473" s="98"/>
      <c r="S473" s="98"/>
      <c r="T473" s="98"/>
      <c r="U473" s="98"/>
      <c r="V473" s="98"/>
      <c r="W473" s="98"/>
      <c r="X473" s="98"/>
      <c r="Y473" s="98"/>
      <c r="Z473" s="98"/>
      <c r="AA473" s="98"/>
      <c r="AB473" s="98"/>
      <c r="AC473" s="98"/>
      <c r="AD473" s="98"/>
      <c r="AE473" s="98"/>
      <c r="AF473" s="98"/>
      <c r="AG473" s="98"/>
      <c r="AH473" s="98"/>
      <c r="AI473" s="98"/>
      <c r="AJ473" s="98"/>
      <c r="AK473" s="94"/>
      <c r="AL473" s="94"/>
      <c r="AM473" s="94"/>
      <c r="AN473" s="94"/>
      <c r="AO473" s="94"/>
      <c r="AP473" s="94"/>
      <c r="AQ473" s="94"/>
      <c r="AR473" s="94"/>
    </row>
    <row r="474" spans="1:44" ht="12.75" customHeight="1">
      <c r="A474" s="93"/>
      <c r="B474" s="93" t="s">
        <v>504</v>
      </c>
      <c r="C474" s="94" t="s">
        <v>517</v>
      </c>
      <c r="D474" s="94">
        <v>1</v>
      </c>
      <c r="E474" s="94">
        <v>2</v>
      </c>
      <c r="F474" s="95">
        <f>0.35*26</f>
        <v>9.1</v>
      </c>
      <c r="G474" s="95">
        <v>1.25</v>
      </c>
      <c r="H474" s="95">
        <v>0.25</v>
      </c>
      <c r="I474" s="95">
        <f t="shared" ref="I474:I476" si="369">PRODUCT(D474:H474)</f>
        <v>5.6875</v>
      </c>
      <c r="J474" s="95"/>
      <c r="K474" s="94"/>
      <c r="L474" s="94"/>
      <c r="M474" s="94"/>
      <c r="N474" s="94"/>
      <c r="O474" s="96"/>
      <c r="P474" s="94"/>
      <c r="Q474" s="94"/>
      <c r="R474" s="98"/>
      <c r="S474" s="98"/>
      <c r="T474" s="98"/>
      <c r="U474" s="98"/>
      <c r="V474" s="98"/>
      <c r="W474" s="98"/>
      <c r="X474" s="98">
        <f>PRODUCT(D474:G474)</f>
        <v>22.75</v>
      </c>
      <c r="Y474" s="98"/>
      <c r="Z474" s="98"/>
      <c r="AA474" s="98"/>
      <c r="AB474" s="98"/>
      <c r="AC474" s="98"/>
      <c r="AD474" s="98"/>
      <c r="AE474" s="98"/>
      <c r="AF474" s="98"/>
      <c r="AG474" s="98"/>
      <c r="AH474" s="98"/>
      <c r="AI474" s="98"/>
      <c r="AJ474" s="98"/>
      <c r="AK474" s="94"/>
      <c r="AL474" s="94"/>
      <c r="AM474" s="94"/>
      <c r="AN474" s="94"/>
      <c r="AO474" s="94"/>
      <c r="AP474" s="94"/>
      <c r="AQ474" s="94"/>
      <c r="AR474" s="94"/>
    </row>
    <row r="475" spans="1:44" ht="12.75" customHeight="1">
      <c r="A475" s="93"/>
      <c r="B475" s="93" t="s">
        <v>135</v>
      </c>
      <c r="C475" s="94" t="s">
        <v>518</v>
      </c>
      <c r="D475" s="94">
        <v>1</v>
      </c>
      <c r="E475" s="94">
        <v>2</v>
      </c>
      <c r="F475" s="95">
        <f>26*G474</f>
        <v>32.5</v>
      </c>
      <c r="G475" s="95">
        <f>0.5*0.3</f>
        <v>0.15</v>
      </c>
      <c r="H475" s="95">
        <v>0.15</v>
      </c>
      <c r="I475" s="95">
        <f t="shared" si="369"/>
        <v>1.4624999999999999</v>
      </c>
      <c r="J475" s="95"/>
      <c r="K475" s="94"/>
      <c r="L475" s="94"/>
      <c r="M475" s="94"/>
      <c r="N475" s="94"/>
      <c r="O475" s="96"/>
      <c r="P475" s="94"/>
      <c r="Q475" s="94"/>
      <c r="R475" s="98"/>
      <c r="S475" s="98"/>
      <c r="T475" s="98"/>
      <c r="U475" s="98"/>
      <c r="V475" s="98"/>
      <c r="W475" s="98"/>
      <c r="X475" s="98">
        <f>(((F475*H475*E475)))</f>
        <v>9.75</v>
      </c>
      <c r="Y475" s="98"/>
      <c r="Z475" s="98"/>
      <c r="AA475" s="98"/>
      <c r="AB475" s="98"/>
      <c r="AC475" s="98"/>
      <c r="AD475" s="98"/>
      <c r="AE475" s="98"/>
      <c r="AF475" s="98"/>
      <c r="AG475" s="98"/>
      <c r="AH475" s="98"/>
      <c r="AI475" s="98"/>
      <c r="AJ475" s="98"/>
      <c r="AK475" s="94"/>
      <c r="AL475" s="94"/>
      <c r="AM475" s="94"/>
      <c r="AN475" s="94"/>
      <c r="AO475" s="94"/>
      <c r="AP475" s="94"/>
      <c r="AQ475" s="94"/>
      <c r="AR475" s="94"/>
    </row>
    <row r="476" spans="1:44" ht="12.75" customHeight="1">
      <c r="A476" s="93"/>
      <c r="B476" s="93" t="s">
        <v>515</v>
      </c>
      <c r="C476" s="94" t="s">
        <v>519</v>
      </c>
      <c r="D476" s="94">
        <v>1</v>
      </c>
      <c r="E476" s="94">
        <f>8*2</f>
        <v>16</v>
      </c>
      <c r="F476" s="95">
        <v>1.25</v>
      </c>
      <c r="G476" s="95">
        <v>1.25</v>
      </c>
      <c r="H476" s="95">
        <v>0.25</v>
      </c>
      <c r="I476" s="95">
        <f t="shared" si="369"/>
        <v>6.25</v>
      </c>
      <c r="J476" s="95"/>
      <c r="K476" s="94"/>
      <c r="L476" s="94"/>
      <c r="M476" s="94"/>
      <c r="N476" s="94"/>
      <c r="O476" s="96"/>
      <c r="P476" s="94"/>
      <c r="Q476" s="94"/>
      <c r="R476" s="98"/>
      <c r="S476" s="98"/>
      <c r="T476" s="98"/>
      <c r="U476" s="98"/>
      <c r="V476" s="98"/>
      <c r="W476" s="98"/>
      <c r="X476" s="98">
        <f>PRODUCT(D476:G476)</f>
        <v>25</v>
      </c>
      <c r="Y476" s="98"/>
      <c r="Z476" s="98"/>
      <c r="AA476" s="98"/>
      <c r="AB476" s="98"/>
      <c r="AC476" s="98"/>
      <c r="AD476" s="98"/>
      <c r="AE476" s="98"/>
      <c r="AF476" s="98"/>
      <c r="AG476" s="98"/>
      <c r="AH476" s="98"/>
      <c r="AI476" s="98"/>
      <c r="AJ476" s="98"/>
      <c r="AK476" s="94"/>
      <c r="AL476" s="94"/>
      <c r="AM476" s="94"/>
      <c r="AN476" s="94"/>
      <c r="AO476" s="94"/>
      <c r="AP476" s="94"/>
      <c r="AQ476" s="94"/>
      <c r="AR476" s="94"/>
    </row>
    <row r="477" spans="1:44" ht="12.75" customHeight="1">
      <c r="A477" s="87"/>
      <c r="B477" s="87"/>
      <c r="C477" s="94"/>
      <c r="D477" s="88"/>
      <c r="E477" s="88"/>
      <c r="F477" s="89"/>
      <c r="G477" s="89"/>
      <c r="H477" s="89"/>
      <c r="I477" s="95"/>
      <c r="J477" s="89"/>
      <c r="K477" s="88"/>
      <c r="L477" s="88"/>
      <c r="M477" s="88"/>
      <c r="N477" s="88"/>
      <c r="O477" s="90"/>
      <c r="P477" s="88"/>
      <c r="Q477" s="88"/>
      <c r="R477" s="92"/>
      <c r="S477" s="92"/>
      <c r="T477" s="92"/>
      <c r="U477" s="92"/>
      <c r="V477" s="92"/>
      <c r="W477" s="92"/>
      <c r="X477" s="92"/>
      <c r="Y477" s="92"/>
      <c r="Z477" s="92"/>
      <c r="AA477" s="92"/>
      <c r="AB477" s="92"/>
      <c r="AC477" s="92"/>
      <c r="AD477" s="92"/>
      <c r="AE477" s="92"/>
      <c r="AF477" s="92"/>
      <c r="AG477" s="92"/>
      <c r="AH477" s="92"/>
      <c r="AI477" s="92"/>
      <c r="AJ477" s="92"/>
      <c r="AK477" s="88"/>
      <c r="AL477" s="88"/>
      <c r="AM477" s="88"/>
      <c r="AN477" s="88"/>
      <c r="AO477" s="88"/>
      <c r="AP477" s="88"/>
      <c r="AQ477" s="88"/>
      <c r="AR477" s="88"/>
    </row>
    <row r="478" spans="1:44" ht="12.75" customHeight="1">
      <c r="A478" s="99"/>
      <c r="B478" s="99" t="s">
        <v>194</v>
      </c>
      <c r="C478" s="100"/>
      <c r="D478" s="100"/>
      <c r="E478" s="100"/>
      <c r="F478" s="101"/>
      <c r="G478" s="101"/>
      <c r="H478" s="101"/>
      <c r="I478" s="101">
        <f>SUM(I464:I477)</f>
        <v>108.164</v>
      </c>
      <c r="J478" s="89"/>
      <c r="K478" s="88"/>
      <c r="L478" s="88"/>
      <c r="M478" s="88"/>
      <c r="N478" s="88"/>
      <c r="O478" s="90"/>
      <c r="P478" s="88"/>
      <c r="Q478" s="88"/>
      <c r="R478" s="92"/>
      <c r="S478" s="92"/>
      <c r="T478" s="92"/>
      <c r="U478" s="92"/>
      <c r="V478" s="92"/>
      <c r="W478" s="92"/>
      <c r="X478" s="101">
        <f>SUM(X464:X477)</f>
        <v>416.39</v>
      </c>
      <c r="Y478" s="92"/>
      <c r="Z478" s="92"/>
      <c r="AA478" s="92"/>
      <c r="AB478" s="92"/>
      <c r="AC478" s="92"/>
      <c r="AD478" s="92"/>
      <c r="AE478" s="92"/>
      <c r="AF478" s="92"/>
      <c r="AG478" s="92"/>
      <c r="AH478" s="92"/>
      <c r="AI478" s="92"/>
      <c r="AJ478" s="92"/>
      <c r="AK478" s="88"/>
      <c r="AL478" s="88"/>
      <c r="AM478" s="88"/>
      <c r="AN478" s="88"/>
      <c r="AO478" s="88"/>
      <c r="AP478" s="88"/>
      <c r="AQ478" s="88"/>
      <c r="AR478" s="88"/>
    </row>
    <row r="479" spans="1:44" ht="12.75" customHeight="1">
      <c r="A479" s="87"/>
      <c r="B479" s="87"/>
      <c r="C479" s="88"/>
      <c r="D479" s="88"/>
      <c r="E479" s="88"/>
      <c r="F479" s="89"/>
      <c r="G479" s="89"/>
      <c r="H479" s="89"/>
      <c r="I479" s="89"/>
      <c r="J479" s="89"/>
      <c r="K479" s="88"/>
      <c r="L479" s="88"/>
      <c r="M479" s="88"/>
      <c r="N479" s="88"/>
      <c r="O479" s="90"/>
      <c r="P479" s="88"/>
      <c r="Q479" s="88"/>
      <c r="R479" s="92"/>
      <c r="S479" s="92"/>
      <c r="T479" s="92"/>
      <c r="U479" s="92"/>
      <c r="V479" s="92"/>
      <c r="W479" s="92"/>
      <c r="X479" s="92"/>
      <c r="Y479" s="92"/>
      <c r="Z479" s="92"/>
      <c r="AA479" s="92"/>
      <c r="AB479" s="92"/>
      <c r="AC479" s="92"/>
      <c r="AD479" s="92"/>
      <c r="AE479" s="92"/>
      <c r="AF479" s="92"/>
      <c r="AG479" s="92"/>
      <c r="AH479" s="92"/>
      <c r="AI479" s="92"/>
      <c r="AJ479" s="92"/>
      <c r="AK479" s="88"/>
      <c r="AL479" s="88"/>
      <c r="AM479" s="88"/>
      <c r="AN479" s="88"/>
      <c r="AO479" s="88"/>
      <c r="AP479" s="88"/>
      <c r="AQ479" s="88"/>
      <c r="AR479" s="88"/>
    </row>
    <row r="480" spans="1:44" ht="12.75" customHeight="1">
      <c r="A480" s="93"/>
      <c r="B480" s="93" t="s">
        <v>520</v>
      </c>
      <c r="C480" s="94"/>
      <c r="D480" s="94"/>
      <c r="E480" s="94"/>
      <c r="F480" s="95"/>
      <c r="G480" s="95"/>
      <c r="H480" s="95"/>
      <c r="I480" s="95"/>
      <c r="J480" s="95"/>
      <c r="K480" s="94"/>
      <c r="L480" s="94"/>
      <c r="M480" s="94"/>
      <c r="N480" s="94"/>
      <c r="O480" s="96"/>
      <c r="P480" s="94"/>
      <c r="Q480" s="94"/>
      <c r="R480" s="98"/>
      <c r="S480" s="98"/>
      <c r="T480" s="98"/>
      <c r="U480" s="98"/>
      <c r="V480" s="98"/>
      <c r="W480" s="98"/>
      <c r="X480" s="98"/>
      <c r="Y480" s="98"/>
      <c r="Z480" s="98"/>
      <c r="AA480" s="98"/>
      <c r="AB480" s="98"/>
      <c r="AC480" s="98"/>
      <c r="AD480" s="98"/>
      <c r="AE480" s="98"/>
      <c r="AF480" s="98"/>
      <c r="AG480" s="98"/>
      <c r="AH480" s="98"/>
      <c r="AI480" s="98"/>
      <c r="AJ480" s="98"/>
      <c r="AK480" s="94"/>
      <c r="AL480" s="94"/>
      <c r="AM480" s="94"/>
      <c r="AN480" s="94"/>
      <c r="AO480" s="94"/>
      <c r="AP480" s="94"/>
      <c r="AQ480" s="94"/>
      <c r="AR480" s="94"/>
    </row>
    <row r="481" spans="1:44" ht="12.75" customHeight="1">
      <c r="A481" s="93"/>
      <c r="B481" s="93" t="s">
        <v>521</v>
      </c>
      <c r="C481" s="94" t="s">
        <v>522</v>
      </c>
      <c r="D481" s="94">
        <v>1</v>
      </c>
      <c r="E481" s="94">
        <v>1</v>
      </c>
      <c r="F481" s="95">
        <v>110</v>
      </c>
      <c r="G481" s="95"/>
      <c r="H481" s="95">
        <v>0.4</v>
      </c>
      <c r="I481" s="95">
        <f t="shared" ref="I481:I483" si="370">PRODUCT(D481:H481)</f>
        <v>44</v>
      </c>
      <c r="J481" s="95"/>
      <c r="K481" s="94"/>
      <c r="L481" s="94"/>
      <c r="M481" s="94"/>
      <c r="N481" s="94"/>
      <c r="O481" s="96"/>
      <c r="P481" s="94"/>
      <c r="Q481" s="94"/>
      <c r="R481" s="98"/>
      <c r="S481" s="98"/>
      <c r="T481" s="98"/>
      <c r="U481" s="98"/>
      <c r="V481" s="98"/>
      <c r="W481" s="98"/>
      <c r="X481" s="98"/>
      <c r="Y481" s="98"/>
      <c r="Z481" s="98"/>
      <c r="AA481" s="98"/>
      <c r="AB481" s="98"/>
      <c r="AC481" s="98"/>
      <c r="AD481" s="98"/>
      <c r="AE481" s="98"/>
      <c r="AF481" s="98"/>
      <c r="AG481" s="98"/>
      <c r="AH481" s="98"/>
      <c r="AI481" s="98"/>
      <c r="AJ481" s="98"/>
      <c r="AK481" s="94"/>
      <c r="AL481" s="94"/>
      <c r="AM481" s="94"/>
      <c r="AN481" s="94"/>
      <c r="AO481" s="94"/>
      <c r="AP481" s="94"/>
      <c r="AQ481" s="94"/>
      <c r="AR481" s="94"/>
    </row>
    <row r="482" spans="1:44" ht="12.75" customHeight="1">
      <c r="A482" s="93"/>
      <c r="B482" s="93" t="s">
        <v>523</v>
      </c>
      <c r="C482" s="94" t="s">
        <v>524</v>
      </c>
      <c r="D482" s="94">
        <v>1</v>
      </c>
      <c r="E482" s="94">
        <v>5</v>
      </c>
      <c r="F482" s="95">
        <v>1.2</v>
      </c>
      <c r="G482" s="95">
        <v>1.2</v>
      </c>
      <c r="H482" s="95">
        <v>0.2</v>
      </c>
      <c r="I482" s="95">
        <f t="shared" si="370"/>
        <v>1.44</v>
      </c>
      <c r="J482" s="95"/>
      <c r="K482" s="94"/>
      <c r="L482" s="94"/>
      <c r="M482" s="94"/>
      <c r="N482" s="94"/>
      <c r="O482" s="96"/>
      <c r="P482" s="94"/>
      <c r="Q482" s="94"/>
      <c r="R482" s="98"/>
      <c r="S482" s="98"/>
      <c r="T482" s="98"/>
      <c r="U482" s="98"/>
      <c r="V482" s="98"/>
      <c r="W482" s="98"/>
      <c r="X482" s="98"/>
      <c r="Y482" s="98"/>
      <c r="Z482" s="98"/>
      <c r="AA482" s="98"/>
      <c r="AB482" s="98"/>
      <c r="AC482" s="98"/>
      <c r="AD482" s="98"/>
      <c r="AE482" s="98"/>
      <c r="AF482" s="98"/>
      <c r="AG482" s="98"/>
      <c r="AH482" s="98"/>
      <c r="AI482" s="98"/>
      <c r="AJ482" s="98"/>
      <c r="AK482" s="94"/>
      <c r="AL482" s="94"/>
      <c r="AM482" s="94"/>
      <c r="AN482" s="94"/>
      <c r="AO482" s="94"/>
      <c r="AP482" s="94"/>
      <c r="AQ482" s="94"/>
      <c r="AR482" s="94"/>
    </row>
    <row r="483" spans="1:44" ht="12.75" customHeight="1">
      <c r="A483" s="93"/>
      <c r="B483" s="93" t="s">
        <v>525</v>
      </c>
      <c r="C483" s="94" t="s">
        <v>526</v>
      </c>
      <c r="D483" s="94">
        <v>1</v>
      </c>
      <c r="E483" s="94">
        <v>1</v>
      </c>
      <c r="F483" s="95">
        <v>10</v>
      </c>
      <c r="G483" s="95">
        <v>0.2</v>
      </c>
      <c r="H483" s="95">
        <v>1</v>
      </c>
      <c r="I483" s="95">
        <f t="shared" si="370"/>
        <v>2</v>
      </c>
      <c r="J483" s="95"/>
      <c r="K483" s="94"/>
      <c r="L483" s="94"/>
      <c r="M483" s="94"/>
      <c r="N483" s="94"/>
      <c r="O483" s="96"/>
      <c r="P483" s="94"/>
      <c r="Q483" s="94"/>
      <c r="R483" s="98"/>
      <c r="S483" s="98"/>
      <c r="T483" s="98"/>
      <c r="U483" s="98"/>
      <c r="V483" s="98"/>
      <c r="W483" s="98"/>
      <c r="X483" s="98"/>
      <c r="Y483" s="98"/>
      <c r="Z483" s="98"/>
      <c r="AA483" s="98"/>
      <c r="AB483" s="98"/>
      <c r="AC483" s="98"/>
      <c r="AD483" s="98"/>
      <c r="AE483" s="98"/>
      <c r="AF483" s="98"/>
      <c r="AG483" s="98"/>
      <c r="AH483" s="98"/>
      <c r="AI483" s="98"/>
      <c r="AJ483" s="98"/>
      <c r="AK483" s="94"/>
      <c r="AL483" s="94"/>
      <c r="AM483" s="94"/>
      <c r="AN483" s="94"/>
      <c r="AO483" s="94"/>
      <c r="AP483" s="94"/>
      <c r="AQ483" s="94"/>
      <c r="AR483" s="94"/>
    </row>
    <row r="484" spans="1:44" ht="12.75" customHeight="1">
      <c r="A484" s="93"/>
      <c r="B484" s="93"/>
      <c r="C484" s="94"/>
      <c r="D484" s="94"/>
      <c r="E484" s="94"/>
      <c r="F484" s="95"/>
      <c r="G484" s="95"/>
      <c r="H484" s="95"/>
      <c r="I484" s="95"/>
      <c r="J484" s="95"/>
      <c r="K484" s="94"/>
      <c r="L484" s="94"/>
      <c r="M484" s="94"/>
      <c r="N484" s="94"/>
      <c r="O484" s="96"/>
      <c r="P484" s="94"/>
      <c r="Q484" s="94"/>
      <c r="R484" s="98"/>
      <c r="S484" s="98"/>
      <c r="T484" s="98"/>
      <c r="U484" s="98"/>
      <c r="V484" s="98"/>
      <c r="W484" s="98"/>
      <c r="X484" s="98"/>
      <c r="Y484" s="98"/>
      <c r="Z484" s="98"/>
      <c r="AA484" s="98"/>
      <c r="AB484" s="98"/>
      <c r="AC484" s="98"/>
      <c r="AD484" s="98"/>
      <c r="AE484" s="98"/>
      <c r="AF484" s="98"/>
      <c r="AG484" s="98"/>
      <c r="AH484" s="98"/>
      <c r="AI484" s="98"/>
      <c r="AJ484" s="98"/>
      <c r="AK484" s="94"/>
      <c r="AL484" s="94"/>
      <c r="AM484" s="94"/>
      <c r="AN484" s="94"/>
      <c r="AO484" s="94"/>
      <c r="AP484" s="94"/>
      <c r="AQ484" s="94"/>
      <c r="AR484" s="94"/>
    </row>
    <row r="485" spans="1:44" ht="12.75" customHeight="1">
      <c r="A485" s="99"/>
      <c r="B485" s="99" t="s">
        <v>194</v>
      </c>
      <c r="C485" s="100"/>
      <c r="D485" s="100"/>
      <c r="E485" s="100"/>
      <c r="F485" s="101"/>
      <c r="G485" s="101"/>
      <c r="H485" s="101"/>
      <c r="I485" s="101">
        <f>SUM(I481:I484)</f>
        <v>47.44</v>
      </c>
      <c r="J485" s="95"/>
      <c r="K485" s="94"/>
      <c r="L485" s="94"/>
      <c r="M485" s="94"/>
      <c r="N485" s="94"/>
      <c r="O485" s="96"/>
      <c r="P485" s="94"/>
      <c r="Q485" s="94"/>
      <c r="R485" s="98"/>
      <c r="S485" s="98"/>
      <c r="T485" s="98"/>
      <c r="U485" s="98"/>
      <c r="V485" s="98"/>
      <c r="W485" s="98"/>
      <c r="X485" s="98"/>
      <c r="Y485" s="98"/>
      <c r="Z485" s="98"/>
      <c r="AA485" s="98"/>
      <c r="AB485" s="98"/>
      <c r="AC485" s="98"/>
      <c r="AD485" s="98"/>
      <c r="AE485" s="98"/>
      <c r="AF485" s="98"/>
      <c r="AG485" s="98"/>
      <c r="AH485" s="98"/>
      <c r="AI485" s="98"/>
      <c r="AJ485" s="98"/>
      <c r="AK485" s="94"/>
      <c r="AL485" s="94"/>
      <c r="AM485" s="94"/>
      <c r="AN485" s="94"/>
      <c r="AO485" s="94"/>
      <c r="AP485" s="94"/>
      <c r="AQ485" s="94"/>
      <c r="AR485" s="94"/>
    </row>
    <row r="486" spans="1:44" ht="12.75" customHeight="1">
      <c r="A486" s="87"/>
      <c r="B486" s="87"/>
      <c r="C486" s="88"/>
      <c r="D486" s="88"/>
      <c r="E486" s="88"/>
      <c r="F486" s="89"/>
      <c r="G486" s="89"/>
      <c r="H486" s="89"/>
      <c r="I486" s="89"/>
      <c r="J486" s="89"/>
      <c r="K486" s="88"/>
      <c r="L486" s="88"/>
      <c r="M486" s="88"/>
      <c r="N486" s="88"/>
      <c r="O486" s="90"/>
      <c r="P486" s="88"/>
      <c r="Q486" s="88"/>
      <c r="R486" s="92"/>
      <c r="S486" s="92"/>
      <c r="T486" s="92"/>
      <c r="U486" s="92"/>
      <c r="V486" s="92"/>
      <c r="W486" s="92"/>
      <c r="X486" s="92"/>
      <c r="Y486" s="92"/>
      <c r="Z486" s="92"/>
      <c r="AA486" s="92"/>
      <c r="AB486" s="92"/>
      <c r="AC486" s="92"/>
      <c r="AD486" s="92"/>
      <c r="AE486" s="92"/>
      <c r="AF486" s="92"/>
      <c r="AG486" s="92"/>
      <c r="AH486" s="92"/>
      <c r="AI486" s="92"/>
      <c r="AJ486" s="92"/>
      <c r="AK486" s="88"/>
      <c r="AL486" s="88"/>
      <c r="AM486" s="88"/>
      <c r="AN486" s="88"/>
      <c r="AO486" s="88"/>
      <c r="AP486" s="88"/>
      <c r="AQ486" s="88"/>
      <c r="AR486" s="88"/>
    </row>
    <row r="487" spans="1:44" ht="12.75" customHeight="1">
      <c r="A487" s="87"/>
      <c r="B487" s="87"/>
      <c r="C487" s="88"/>
      <c r="D487" s="88"/>
      <c r="E487" s="88"/>
      <c r="F487" s="89"/>
      <c r="G487" s="89"/>
      <c r="H487" s="89"/>
      <c r="I487" s="89"/>
      <c r="J487" s="89"/>
      <c r="K487" s="88"/>
      <c r="L487" s="88"/>
      <c r="M487" s="88"/>
      <c r="N487" s="88"/>
      <c r="O487" s="90"/>
      <c r="P487" s="88"/>
      <c r="Q487" s="88"/>
      <c r="R487" s="92"/>
      <c r="S487" s="92"/>
      <c r="T487" s="92"/>
      <c r="U487" s="92"/>
      <c r="V487" s="92"/>
      <c r="W487" s="92"/>
      <c r="X487" s="92"/>
      <c r="Y487" s="92"/>
      <c r="Z487" s="92"/>
      <c r="AA487" s="92"/>
      <c r="AB487" s="92"/>
      <c r="AC487" s="92"/>
      <c r="AD487" s="92"/>
      <c r="AE487" s="92"/>
      <c r="AF487" s="92"/>
      <c r="AG487" s="92"/>
      <c r="AH487" s="92"/>
      <c r="AI487" s="92"/>
      <c r="AJ487" s="92"/>
      <c r="AK487" s="88"/>
      <c r="AL487" s="88"/>
      <c r="AM487" s="88"/>
      <c r="AN487" s="88"/>
      <c r="AO487" s="88"/>
      <c r="AP487" s="88"/>
      <c r="AQ487" s="88"/>
      <c r="AR487" s="88"/>
    </row>
    <row r="488" spans="1:44" ht="12.75" customHeight="1">
      <c r="A488" s="93"/>
      <c r="B488" s="93" t="s">
        <v>527</v>
      </c>
      <c r="C488" s="94"/>
      <c r="D488" s="94"/>
      <c r="E488" s="94"/>
      <c r="F488" s="95"/>
      <c r="G488" s="95"/>
      <c r="H488" s="95"/>
      <c r="I488" s="95"/>
      <c r="J488" s="95"/>
      <c r="K488" s="94"/>
      <c r="L488" s="94"/>
      <c r="M488" s="94"/>
      <c r="N488" s="94"/>
      <c r="O488" s="96"/>
      <c r="P488" s="94"/>
      <c r="Q488" s="94"/>
      <c r="R488" s="98"/>
      <c r="S488" s="98"/>
      <c r="T488" s="98"/>
      <c r="U488" s="98"/>
      <c r="V488" s="98"/>
      <c r="W488" s="98"/>
      <c r="X488" s="98"/>
      <c r="Y488" s="98"/>
      <c r="Z488" s="98"/>
      <c r="AA488" s="98"/>
      <c r="AB488" s="98"/>
      <c r="AC488" s="98"/>
      <c r="AD488" s="98"/>
      <c r="AE488" s="98"/>
      <c r="AF488" s="98"/>
      <c r="AG488" s="98"/>
      <c r="AH488" s="98"/>
      <c r="AI488" s="98"/>
      <c r="AJ488" s="98"/>
      <c r="AK488" s="94"/>
      <c r="AL488" s="94"/>
      <c r="AM488" s="94"/>
      <c r="AN488" s="94"/>
      <c r="AO488" s="94"/>
      <c r="AP488" s="94"/>
      <c r="AQ488" s="94"/>
      <c r="AR488" s="94"/>
    </row>
    <row r="489" spans="1:44" ht="12.75" customHeight="1">
      <c r="A489" s="93"/>
      <c r="B489" s="93" t="s">
        <v>442</v>
      </c>
      <c r="C489" s="94" t="s">
        <v>105</v>
      </c>
      <c r="D489" s="94">
        <v>1</v>
      </c>
      <c r="E489" s="94">
        <v>1</v>
      </c>
      <c r="F489" s="95">
        <v>1.8</v>
      </c>
      <c r="G489" s="95"/>
      <c r="H489" s="95"/>
      <c r="I489" s="95">
        <f t="shared" ref="I489:I491" si="371">PRODUCT(D489:H489)</f>
        <v>1.8</v>
      </c>
      <c r="J489" s="95"/>
      <c r="K489" s="94"/>
      <c r="L489" s="94"/>
      <c r="M489" s="94"/>
      <c r="N489" s="94"/>
      <c r="O489" s="96"/>
      <c r="P489" s="94"/>
      <c r="Q489" s="94"/>
      <c r="R489" s="98"/>
      <c r="S489" s="98"/>
      <c r="T489" s="98"/>
      <c r="U489" s="98"/>
      <c r="V489" s="98"/>
      <c r="W489" s="98"/>
      <c r="X489" s="98"/>
      <c r="Y489" s="98"/>
      <c r="Z489" s="98"/>
      <c r="AA489" s="98"/>
      <c r="AB489" s="98"/>
      <c r="AC489" s="98"/>
      <c r="AD489" s="98"/>
      <c r="AE489" s="98"/>
      <c r="AF489" s="98"/>
      <c r="AG489" s="98"/>
      <c r="AH489" s="98"/>
      <c r="AI489" s="98"/>
      <c r="AJ489" s="98"/>
      <c r="AK489" s="94"/>
      <c r="AL489" s="94"/>
      <c r="AM489" s="94"/>
      <c r="AN489" s="94"/>
      <c r="AO489" s="94"/>
      <c r="AP489" s="94"/>
      <c r="AQ489" s="94"/>
      <c r="AR489" s="94"/>
    </row>
    <row r="490" spans="1:44" ht="12.75" customHeight="1">
      <c r="A490" s="93"/>
      <c r="B490" s="93" t="s">
        <v>528</v>
      </c>
      <c r="C490" s="94" t="s">
        <v>105</v>
      </c>
      <c r="D490" s="94">
        <v>1</v>
      </c>
      <c r="E490" s="94">
        <v>1</v>
      </c>
      <c r="F490" s="95">
        <v>52.5</v>
      </c>
      <c r="G490" s="95"/>
      <c r="H490" s="95"/>
      <c r="I490" s="95">
        <f t="shared" si="371"/>
        <v>52.5</v>
      </c>
      <c r="J490" s="95"/>
      <c r="K490" s="94"/>
      <c r="L490" s="94"/>
      <c r="M490" s="94"/>
      <c r="N490" s="94"/>
      <c r="O490" s="96"/>
      <c r="P490" s="94"/>
      <c r="Q490" s="94"/>
      <c r="R490" s="98"/>
      <c r="S490" s="98"/>
      <c r="T490" s="98"/>
      <c r="U490" s="98"/>
      <c r="V490" s="98"/>
      <c r="W490" s="98"/>
      <c r="X490" s="98"/>
      <c r="Y490" s="98"/>
      <c r="Z490" s="98"/>
      <c r="AA490" s="98"/>
      <c r="AB490" s="98"/>
      <c r="AC490" s="98"/>
      <c r="AD490" s="98"/>
      <c r="AE490" s="98"/>
      <c r="AF490" s="98"/>
      <c r="AG490" s="98"/>
      <c r="AH490" s="98"/>
      <c r="AI490" s="98"/>
      <c r="AJ490" s="98"/>
      <c r="AK490" s="94"/>
      <c r="AL490" s="94"/>
      <c r="AM490" s="94"/>
      <c r="AN490" s="94"/>
      <c r="AO490" s="94"/>
      <c r="AP490" s="94"/>
      <c r="AQ490" s="94"/>
      <c r="AR490" s="94"/>
    </row>
    <row r="491" spans="1:44" ht="12.75" customHeight="1">
      <c r="A491" s="93"/>
      <c r="B491" s="93" t="s">
        <v>487</v>
      </c>
      <c r="C491" s="94" t="s">
        <v>105</v>
      </c>
      <c r="D491" s="94">
        <v>1</v>
      </c>
      <c r="E491" s="94">
        <v>1</v>
      </c>
      <c r="F491" s="95">
        <f>52.5-3.8-3.8</f>
        <v>44.900000000000006</v>
      </c>
      <c r="G491" s="95"/>
      <c r="H491" s="95"/>
      <c r="I491" s="95">
        <f t="shared" si="371"/>
        <v>44.900000000000006</v>
      </c>
      <c r="J491" s="95"/>
      <c r="K491" s="94"/>
      <c r="L491" s="94"/>
      <c r="M491" s="94"/>
      <c r="N491" s="94"/>
      <c r="O491" s="96"/>
      <c r="P491" s="94"/>
      <c r="Q491" s="94"/>
      <c r="R491" s="98"/>
      <c r="S491" s="98"/>
      <c r="T491" s="98"/>
      <c r="U491" s="98"/>
      <c r="V491" s="98"/>
      <c r="W491" s="98"/>
      <c r="X491" s="98"/>
      <c r="Y491" s="98"/>
      <c r="Z491" s="98"/>
      <c r="AA491" s="98"/>
      <c r="AB491" s="98"/>
      <c r="AC491" s="98"/>
      <c r="AD491" s="98"/>
      <c r="AE491" s="98"/>
      <c r="AF491" s="98"/>
      <c r="AG491" s="98"/>
      <c r="AH491" s="98"/>
      <c r="AI491" s="98"/>
      <c r="AJ491" s="98"/>
      <c r="AK491" s="94"/>
      <c r="AL491" s="94"/>
      <c r="AM491" s="94"/>
      <c r="AN491" s="94"/>
      <c r="AO491" s="94"/>
      <c r="AP491" s="94"/>
      <c r="AQ491" s="94"/>
      <c r="AR491" s="94"/>
    </row>
    <row r="492" spans="1:44" ht="12.75" customHeight="1">
      <c r="A492" s="93"/>
      <c r="B492" s="93"/>
      <c r="C492" s="94"/>
      <c r="D492" s="94"/>
      <c r="E492" s="94"/>
      <c r="F492" s="95"/>
      <c r="G492" s="95"/>
      <c r="H492" s="95"/>
      <c r="I492" s="95"/>
      <c r="J492" s="95"/>
      <c r="K492" s="94"/>
      <c r="L492" s="94"/>
      <c r="M492" s="94"/>
      <c r="N492" s="94"/>
      <c r="O492" s="96"/>
      <c r="P492" s="94"/>
      <c r="Q492" s="94"/>
      <c r="R492" s="98"/>
      <c r="S492" s="98"/>
      <c r="T492" s="98"/>
      <c r="U492" s="98"/>
      <c r="V492" s="98"/>
      <c r="W492" s="98"/>
      <c r="X492" s="98"/>
      <c r="Y492" s="98"/>
      <c r="Z492" s="98"/>
      <c r="AA492" s="98"/>
      <c r="AB492" s="98"/>
      <c r="AC492" s="98"/>
      <c r="AD492" s="98"/>
      <c r="AE492" s="98"/>
      <c r="AF492" s="98"/>
      <c r="AG492" s="98"/>
      <c r="AH492" s="98"/>
      <c r="AI492" s="98"/>
      <c r="AJ492" s="98"/>
      <c r="AK492" s="94"/>
      <c r="AL492" s="94"/>
      <c r="AM492" s="94"/>
      <c r="AN492" s="94"/>
      <c r="AO492" s="94"/>
      <c r="AP492" s="94"/>
      <c r="AQ492" s="94"/>
      <c r="AR492" s="94"/>
    </row>
    <row r="493" spans="1:44" ht="12.75" customHeight="1">
      <c r="A493" s="99"/>
      <c r="B493" s="99" t="s">
        <v>194</v>
      </c>
      <c r="C493" s="100"/>
      <c r="D493" s="100"/>
      <c r="E493" s="100"/>
      <c r="F493" s="101"/>
      <c r="G493" s="101"/>
      <c r="H493" s="101"/>
      <c r="I493" s="101">
        <f>SUM(I489:I492)</f>
        <v>99.2</v>
      </c>
      <c r="J493" s="95"/>
      <c r="K493" s="94"/>
      <c r="L493" s="94"/>
      <c r="M493" s="94"/>
      <c r="N493" s="94"/>
      <c r="O493" s="96"/>
      <c r="P493" s="94"/>
      <c r="Q493" s="94"/>
      <c r="R493" s="98"/>
      <c r="S493" s="98"/>
      <c r="T493" s="98"/>
      <c r="U493" s="98"/>
      <c r="V493" s="98"/>
      <c r="W493" s="98"/>
      <c r="X493" s="98"/>
      <c r="Y493" s="98"/>
      <c r="Z493" s="98"/>
      <c r="AA493" s="98"/>
      <c r="AB493" s="98"/>
      <c r="AC493" s="98"/>
      <c r="AD493" s="98"/>
      <c r="AE493" s="98"/>
      <c r="AF493" s="98"/>
      <c r="AG493" s="98"/>
      <c r="AH493" s="98"/>
      <c r="AI493" s="98"/>
      <c r="AJ493" s="98"/>
      <c r="AK493" s="94"/>
      <c r="AL493" s="94"/>
      <c r="AM493" s="94"/>
      <c r="AN493" s="94"/>
      <c r="AO493" s="94"/>
      <c r="AP493" s="94"/>
      <c r="AQ493" s="94"/>
      <c r="AR493" s="94"/>
    </row>
    <row r="494" spans="1:44" ht="12.75" customHeight="1">
      <c r="A494" s="87"/>
      <c r="B494" s="87"/>
      <c r="C494" s="88"/>
      <c r="D494" s="88"/>
      <c r="E494" s="88"/>
      <c r="F494" s="89"/>
      <c r="G494" s="89"/>
      <c r="H494" s="89"/>
      <c r="I494" s="89"/>
      <c r="J494" s="89"/>
      <c r="K494" s="88"/>
      <c r="L494" s="88"/>
      <c r="M494" s="88"/>
      <c r="N494" s="88"/>
      <c r="O494" s="90"/>
      <c r="P494" s="88"/>
      <c r="Q494" s="88"/>
      <c r="R494" s="92"/>
      <c r="S494" s="92"/>
      <c r="T494" s="92"/>
      <c r="U494" s="92"/>
      <c r="V494" s="92"/>
      <c r="W494" s="92"/>
      <c r="X494" s="92"/>
      <c r="Y494" s="92"/>
      <c r="Z494" s="92"/>
      <c r="AA494" s="92"/>
      <c r="AB494" s="92"/>
      <c r="AC494" s="92"/>
      <c r="AD494" s="92"/>
      <c r="AE494" s="92"/>
      <c r="AF494" s="92"/>
      <c r="AG494" s="92"/>
      <c r="AH494" s="92"/>
      <c r="AI494" s="92"/>
      <c r="AJ494" s="92"/>
      <c r="AK494" s="88"/>
      <c r="AL494" s="88"/>
      <c r="AM494" s="88"/>
      <c r="AN494" s="88"/>
      <c r="AO494" s="88"/>
      <c r="AP494" s="88"/>
      <c r="AQ494" s="88"/>
      <c r="AR494" s="88"/>
    </row>
    <row r="495" spans="1:44" ht="12.75" customHeight="1">
      <c r="A495" s="87"/>
      <c r="B495" s="87"/>
      <c r="C495" s="88"/>
      <c r="D495" s="88"/>
      <c r="E495" s="88"/>
      <c r="F495" s="89"/>
      <c r="G495" s="89"/>
      <c r="H495" s="89"/>
      <c r="I495" s="89"/>
      <c r="J495" s="89"/>
      <c r="K495" s="88"/>
      <c r="L495" s="88"/>
      <c r="M495" s="88"/>
      <c r="N495" s="88"/>
      <c r="O495" s="90"/>
      <c r="P495" s="88"/>
      <c r="Q495" s="88"/>
      <c r="R495" s="92"/>
      <c r="S495" s="92"/>
      <c r="T495" s="92"/>
      <c r="U495" s="92"/>
      <c r="V495" s="92"/>
      <c r="W495" s="92"/>
      <c r="X495" s="92"/>
      <c r="Y495" s="92"/>
      <c r="Z495" s="92"/>
      <c r="AA495" s="92"/>
      <c r="AB495" s="92"/>
      <c r="AC495" s="92"/>
      <c r="AD495" s="92"/>
      <c r="AE495" s="92"/>
      <c r="AF495" s="92"/>
      <c r="AG495" s="92"/>
      <c r="AH495" s="92"/>
      <c r="AI495" s="92"/>
      <c r="AJ495" s="92"/>
      <c r="AK495" s="88"/>
      <c r="AL495" s="88"/>
      <c r="AM495" s="88"/>
      <c r="AN495" s="88"/>
      <c r="AO495" s="88"/>
      <c r="AP495" s="88"/>
      <c r="AQ495" s="88"/>
      <c r="AR495" s="88"/>
    </row>
    <row r="496" spans="1:44" ht="12.75" customHeight="1">
      <c r="A496" s="93"/>
      <c r="B496" s="93" t="s">
        <v>529</v>
      </c>
      <c r="C496" s="94"/>
      <c r="D496" s="94"/>
      <c r="E496" s="94"/>
      <c r="F496" s="95"/>
      <c r="G496" s="95"/>
      <c r="H496" s="95"/>
      <c r="I496" s="95"/>
      <c r="J496" s="95"/>
      <c r="K496" s="94"/>
      <c r="L496" s="94"/>
      <c r="M496" s="94"/>
      <c r="N496" s="94"/>
      <c r="O496" s="96"/>
      <c r="P496" s="94"/>
      <c r="Q496" s="94"/>
      <c r="R496" s="98"/>
      <c r="S496" s="98"/>
      <c r="T496" s="98"/>
      <c r="U496" s="98"/>
      <c r="V496" s="98"/>
      <c r="W496" s="98"/>
      <c r="X496" s="98"/>
      <c r="Y496" s="98"/>
      <c r="Z496" s="98"/>
      <c r="AA496" s="98"/>
      <c r="AB496" s="98"/>
      <c r="AC496" s="98"/>
      <c r="AD496" s="98"/>
      <c r="AE496" s="98"/>
      <c r="AF496" s="98"/>
      <c r="AG496" s="98"/>
      <c r="AH496" s="98"/>
      <c r="AI496" s="98"/>
      <c r="AJ496" s="98"/>
      <c r="AK496" s="94"/>
      <c r="AL496" s="94"/>
      <c r="AM496" s="94"/>
      <c r="AN496" s="94"/>
      <c r="AO496" s="94"/>
      <c r="AP496" s="94"/>
      <c r="AQ496" s="94"/>
      <c r="AR496" s="94"/>
    </row>
    <row r="497" spans="1:44" ht="12.75" customHeight="1">
      <c r="A497" s="93"/>
      <c r="B497" s="93" t="s">
        <v>530</v>
      </c>
      <c r="C497" s="94" t="s">
        <v>105</v>
      </c>
      <c r="D497" s="94">
        <v>1</v>
      </c>
      <c r="E497" s="94">
        <v>1</v>
      </c>
      <c r="F497" s="95">
        <v>35</v>
      </c>
      <c r="G497" s="95"/>
      <c r="H497" s="95"/>
      <c r="I497" s="95">
        <f t="shared" ref="I497:I500" si="372">PRODUCT(D497:H497)</f>
        <v>35</v>
      </c>
      <c r="J497" s="95"/>
      <c r="K497" s="94"/>
      <c r="L497" s="94"/>
      <c r="M497" s="94"/>
      <c r="N497" s="94"/>
      <c r="O497" s="96"/>
      <c r="P497" s="94"/>
      <c r="Q497" s="94"/>
      <c r="R497" s="98"/>
      <c r="S497" s="98"/>
      <c r="T497" s="98"/>
      <c r="U497" s="98"/>
      <c r="V497" s="98"/>
      <c r="W497" s="98"/>
      <c r="X497" s="98"/>
      <c r="Y497" s="98"/>
      <c r="Z497" s="98"/>
      <c r="AA497" s="98"/>
      <c r="AB497" s="98"/>
      <c r="AC497" s="98"/>
      <c r="AD497" s="98"/>
      <c r="AE497" s="98"/>
      <c r="AF497" s="98"/>
      <c r="AG497" s="98"/>
      <c r="AH497" s="98"/>
      <c r="AI497" s="98"/>
      <c r="AJ497" s="98"/>
      <c r="AK497" s="94"/>
      <c r="AL497" s="94"/>
      <c r="AM497" s="94"/>
      <c r="AN497" s="94"/>
      <c r="AO497" s="94"/>
      <c r="AP497" s="94"/>
      <c r="AQ497" s="94"/>
      <c r="AR497" s="94"/>
    </row>
    <row r="498" spans="1:44" ht="12.75" customHeight="1">
      <c r="A498" s="93"/>
      <c r="B498" s="93" t="s">
        <v>531</v>
      </c>
      <c r="C498" s="94" t="s">
        <v>105</v>
      </c>
      <c r="D498" s="94">
        <v>1</v>
      </c>
      <c r="E498" s="94">
        <v>1</v>
      </c>
      <c r="F498" s="95">
        <v>7.5</v>
      </c>
      <c r="G498" s="95"/>
      <c r="H498" s="95"/>
      <c r="I498" s="95">
        <f t="shared" si="372"/>
        <v>7.5</v>
      </c>
      <c r="J498" s="95"/>
      <c r="K498" s="94"/>
      <c r="L498" s="94"/>
      <c r="M498" s="94"/>
      <c r="N498" s="94"/>
      <c r="O498" s="96"/>
      <c r="P498" s="94"/>
      <c r="Q498" s="94"/>
      <c r="R498" s="98"/>
      <c r="S498" s="98"/>
      <c r="T498" s="98"/>
      <c r="U498" s="98"/>
      <c r="V498" s="98"/>
      <c r="W498" s="98"/>
      <c r="X498" s="98"/>
      <c r="Y498" s="98"/>
      <c r="Z498" s="98"/>
      <c r="AA498" s="98"/>
      <c r="AB498" s="98"/>
      <c r="AC498" s="98"/>
      <c r="AD498" s="98"/>
      <c r="AE498" s="98"/>
      <c r="AF498" s="98"/>
      <c r="AG498" s="98"/>
      <c r="AH498" s="98"/>
      <c r="AI498" s="98"/>
      <c r="AJ498" s="98"/>
      <c r="AK498" s="94"/>
      <c r="AL498" s="94"/>
      <c r="AM498" s="94"/>
      <c r="AN498" s="94"/>
      <c r="AO498" s="94"/>
      <c r="AP498" s="94"/>
      <c r="AQ498" s="94"/>
      <c r="AR498" s="94"/>
    </row>
    <row r="499" spans="1:44" ht="12.75" customHeight="1">
      <c r="A499" s="93"/>
      <c r="B499" s="93" t="s">
        <v>532</v>
      </c>
      <c r="C499" s="94" t="s">
        <v>105</v>
      </c>
      <c r="D499" s="94">
        <v>1</v>
      </c>
      <c r="E499" s="94">
        <v>1</v>
      </c>
      <c r="F499" s="95">
        <v>0</v>
      </c>
      <c r="G499" s="95"/>
      <c r="H499" s="95"/>
      <c r="I499" s="95">
        <f t="shared" si="372"/>
        <v>0</v>
      </c>
      <c r="J499" s="95"/>
      <c r="K499" s="94"/>
      <c r="L499" s="94"/>
      <c r="M499" s="94"/>
      <c r="N499" s="94"/>
      <c r="O499" s="96"/>
      <c r="P499" s="94"/>
      <c r="Q499" s="94"/>
      <c r="R499" s="98"/>
      <c r="S499" s="98"/>
      <c r="T499" s="98"/>
      <c r="U499" s="98"/>
      <c r="V499" s="98"/>
      <c r="W499" s="98"/>
      <c r="X499" s="98"/>
      <c r="Y499" s="98"/>
      <c r="Z499" s="98"/>
      <c r="AA499" s="98"/>
      <c r="AB499" s="98"/>
      <c r="AC499" s="98"/>
      <c r="AD499" s="98"/>
      <c r="AE499" s="98"/>
      <c r="AF499" s="98"/>
      <c r="AG499" s="98"/>
      <c r="AH499" s="98"/>
      <c r="AI499" s="98"/>
      <c r="AJ499" s="98"/>
      <c r="AK499" s="94"/>
      <c r="AL499" s="94"/>
      <c r="AM499" s="94"/>
      <c r="AN499" s="94"/>
      <c r="AO499" s="94"/>
      <c r="AP499" s="94"/>
      <c r="AQ499" s="94"/>
      <c r="AR499" s="94"/>
    </row>
    <row r="500" spans="1:44" ht="12.75" customHeight="1">
      <c r="A500" s="93"/>
      <c r="B500" s="93" t="s">
        <v>533</v>
      </c>
      <c r="C500" s="94" t="s">
        <v>105</v>
      </c>
      <c r="D500" s="94">
        <v>1</v>
      </c>
      <c r="E500" s="94">
        <v>1</v>
      </c>
      <c r="F500" s="95">
        <v>35</v>
      </c>
      <c r="G500" s="95"/>
      <c r="H500" s="95"/>
      <c r="I500" s="95">
        <f t="shared" si="372"/>
        <v>35</v>
      </c>
      <c r="J500" s="95"/>
      <c r="K500" s="94"/>
      <c r="L500" s="94"/>
      <c r="M500" s="94"/>
      <c r="N500" s="94"/>
      <c r="O500" s="96"/>
      <c r="P500" s="94"/>
      <c r="Q500" s="94"/>
      <c r="R500" s="98"/>
      <c r="S500" s="98"/>
      <c r="T500" s="98"/>
      <c r="U500" s="98"/>
      <c r="V500" s="98"/>
      <c r="W500" s="98"/>
      <c r="X500" s="98"/>
      <c r="Y500" s="98"/>
      <c r="Z500" s="98"/>
      <c r="AA500" s="98"/>
      <c r="AB500" s="98"/>
      <c r="AC500" s="98"/>
      <c r="AD500" s="98"/>
      <c r="AE500" s="98"/>
      <c r="AF500" s="98"/>
      <c r="AG500" s="98"/>
      <c r="AH500" s="98"/>
      <c r="AI500" s="98"/>
      <c r="AJ500" s="98"/>
      <c r="AK500" s="94"/>
      <c r="AL500" s="94"/>
      <c r="AM500" s="94"/>
      <c r="AN500" s="94"/>
      <c r="AO500" s="94"/>
      <c r="AP500" s="94"/>
      <c r="AQ500" s="94"/>
      <c r="AR500" s="94"/>
    </row>
    <row r="501" spans="1:44" ht="12.75" customHeight="1">
      <c r="A501" s="87"/>
      <c r="B501" s="87"/>
      <c r="C501" s="88"/>
      <c r="D501" s="88"/>
      <c r="E501" s="88"/>
      <c r="F501" s="89"/>
      <c r="G501" s="89"/>
      <c r="H501" s="89"/>
      <c r="I501" s="89"/>
      <c r="J501" s="89"/>
      <c r="K501" s="88"/>
      <c r="L501" s="88"/>
      <c r="M501" s="88"/>
      <c r="N501" s="88"/>
      <c r="O501" s="90"/>
      <c r="P501" s="88"/>
      <c r="Q501" s="88"/>
      <c r="R501" s="92"/>
      <c r="S501" s="92"/>
      <c r="T501" s="92"/>
      <c r="U501" s="92"/>
      <c r="V501" s="92"/>
      <c r="W501" s="92"/>
      <c r="X501" s="92"/>
      <c r="Y501" s="92"/>
      <c r="Z501" s="92"/>
      <c r="AA501" s="92"/>
      <c r="AB501" s="92"/>
      <c r="AC501" s="92"/>
      <c r="AD501" s="92"/>
      <c r="AE501" s="92"/>
      <c r="AF501" s="92"/>
      <c r="AG501" s="92"/>
      <c r="AH501" s="92"/>
      <c r="AI501" s="92"/>
      <c r="AJ501" s="92"/>
      <c r="AK501" s="88"/>
      <c r="AL501" s="88"/>
      <c r="AM501" s="88"/>
      <c r="AN501" s="88"/>
      <c r="AO501" s="88"/>
      <c r="AP501" s="88"/>
      <c r="AQ501" s="88"/>
      <c r="AR501" s="88"/>
    </row>
    <row r="502" spans="1:44" ht="12.75" customHeight="1">
      <c r="A502" s="99"/>
      <c r="B502" s="99" t="s">
        <v>194</v>
      </c>
      <c r="C502" s="100"/>
      <c r="D502" s="100"/>
      <c r="E502" s="100"/>
      <c r="F502" s="101"/>
      <c r="G502" s="101"/>
      <c r="H502" s="101"/>
      <c r="I502" s="101">
        <f>SUM(I497:I501)</f>
        <v>77.5</v>
      </c>
      <c r="J502" s="89"/>
      <c r="K502" s="88"/>
      <c r="L502" s="88"/>
      <c r="M502" s="88"/>
      <c r="N502" s="88"/>
      <c r="O502" s="90"/>
      <c r="P502" s="88"/>
      <c r="Q502" s="88"/>
      <c r="R502" s="92"/>
      <c r="S502" s="92"/>
      <c r="T502" s="92"/>
      <c r="U502" s="92"/>
      <c r="V502" s="92"/>
      <c r="W502" s="92"/>
      <c r="X502" s="92"/>
      <c r="Y502" s="92"/>
      <c r="Z502" s="92"/>
      <c r="AA502" s="92"/>
      <c r="AB502" s="92"/>
      <c r="AC502" s="92"/>
      <c r="AD502" s="92"/>
      <c r="AE502" s="92"/>
      <c r="AF502" s="92"/>
      <c r="AG502" s="92"/>
      <c r="AH502" s="92"/>
      <c r="AI502" s="92"/>
      <c r="AJ502" s="92"/>
      <c r="AK502" s="88"/>
      <c r="AL502" s="88"/>
      <c r="AM502" s="88"/>
      <c r="AN502" s="88"/>
      <c r="AO502" s="88"/>
      <c r="AP502" s="88"/>
      <c r="AQ502" s="88"/>
      <c r="AR502" s="88"/>
    </row>
    <row r="503" spans="1:44" ht="12.75" customHeight="1">
      <c r="A503" s="87"/>
      <c r="B503" s="87"/>
      <c r="C503" s="88"/>
      <c r="D503" s="88"/>
      <c r="E503" s="88"/>
      <c r="F503" s="89"/>
      <c r="G503" s="89"/>
      <c r="H503" s="89"/>
      <c r="I503" s="89"/>
      <c r="J503" s="89"/>
      <c r="K503" s="88"/>
      <c r="L503" s="88"/>
      <c r="M503" s="88"/>
      <c r="N503" s="88"/>
      <c r="O503" s="90"/>
      <c r="P503" s="88"/>
      <c r="Q503" s="88"/>
      <c r="R503" s="92"/>
      <c r="S503" s="92"/>
      <c r="T503" s="92"/>
      <c r="U503" s="92"/>
      <c r="V503" s="92"/>
      <c r="W503" s="92"/>
      <c r="X503" s="92"/>
      <c r="Y503" s="92"/>
      <c r="Z503" s="92"/>
      <c r="AA503" s="92"/>
      <c r="AB503" s="92"/>
      <c r="AC503" s="92"/>
      <c r="AD503" s="92"/>
      <c r="AE503" s="92"/>
      <c r="AF503" s="92"/>
      <c r="AG503" s="92"/>
      <c r="AH503" s="92"/>
      <c r="AI503" s="92"/>
      <c r="AJ503" s="92"/>
      <c r="AK503" s="88"/>
      <c r="AL503" s="88"/>
      <c r="AM503" s="88"/>
      <c r="AN503" s="88"/>
      <c r="AO503" s="88"/>
      <c r="AP503" s="88"/>
      <c r="AQ503" s="88"/>
      <c r="AR503" s="88"/>
    </row>
    <row r="504" spans="1:44" ht="12.75" customHeight="1">
      <c r="A504" s="93"/>
      <c r="B504" s="93" t="s">
        <v>534</v>
      </c>
      <c r="C504" s="94"/>
      <c r="D504" s="94"/>
      <c r="E504" s="94"/>
      <c r="F504" s="95"/>
      <c r="G504" s="95"/>
      <c r="H504" s="95"/>
      <c r="I504" s="95"/>
      <c r="J504" s="95"/>
      <c r="K504" s="94"/>
      <c r="L504" s="94"/>
      <c r="M504" s="94"/>
      <c r="N504" s="94"/>
      <c r="O504" s="96"/>
      <c r="P504" s="94"/>
      <c r="Q504" s="94"/>
      <c r="R504" s="98"/>
      <c r="S504" s="98"/>
      <c r="T504" s="98"/>
      <c r="U504" s="98"/>
      <c r="V504" s="98"/>
      <c r="W504" s="98"/>
      <c r="X504" s="98"/>
      <c r="Y504" s="98"/>
      <c r="Z504" s="98"/>
      <c r="AA504" s="98"/>
      <c r="AB504" s="98"/>
      <c r="AC504" s="98"/>
      <c r="AD504" s="98"/>
      <c r="AE504" s="98"/>
      <c r="AF504" s="98"/>
      <c r="AG504" s="98"/>
      <c r="AH504" s="98"/>
      <c r="AI504" s="98"/>
      <c r="AJ504" s="98"/>
      <c r="AK504" s="94"/>
      <c r="AL504" s="94"/>
      <c r="AM504" s="94"/>
      <c r="AN504" s="94"/>
      <c r="AO504" s="94"/>
      <c r="AP504" s="94"/>
      <c r="AQ504" s="94"/>
      <c r="AR504" s="94"/>
    </row>
    <row r="505" spans="1:44" ht="12.75" customHeight="1">
      <c r="A505" s="93"/>
      <c r="B505" s="93" t="s">
        <v>530</v>
      </c>
      <c r="C505" s="94" t="s">
        <v>105</v>
      </c>
      <c r="D505" s="94">
        <v>1</v>
      </c>
      <c r="E505" s="94">
        <v>8</v>
      </c>
      <c r="F505" s="95">
        <v>2</v>
      </c>
      <c r="G505" s="95"/>
      <c r="H505" s="95"/>
      <c r="I505" s="95">
        <f t="shared" ref="I505:I508" si="373">PRODUCT(D505:H505)</f>
        <v>16</v>
      </c>
      <c r="J505" s="95"/>
      <c r="K505" s="94"/>
      <c r="L505" s="94"/>
      <c r="M505" s="94"/>
      <c r="N505" s="94"/>
      <c r="O505" s="96"/>
      <c r="P505" s="94"/>
      <c r="Q505" s="94"/>
      <c r="R505" s="98"/>
      <c r="S505" s="98"/>
      <c r="T505" s="98"/>
      <c r="U505" s="98"/>
      <c r="V505" s="98"/>
      <c r="W505" s="98"/>
      <c r="X505" s="98"/>
      <c r="Y505" s="98"/>
      <c r="Z505" s="98"/>
      <c r="AA505" s="98"/>
      <c r="AB505" s="98"/>
      <c r="AC505" s="98"/>
      <c r="AD505" s="98"/>
      <c r="AE505" s="98"/>
      <c r="AF505" s="98"/>
      <c r="AG505" s="98"/>
      <c r="AH505" s="98"/>
      <c r="AI505" s="98"/>
      <c r="AJ505" s="98"/>
      <c r="AK505" s="94"/>
      <c r="AL505" s="94"/>
      <c r="AM505" s="94"/>
      <c r="AN505" s="94"/>
      <c r="AO505" s="94"/>
      <c r="AP505" s="94"/>
      <c r="AQ505" s="94"/>
      <c r="AR505" s="94"/>
    </row>
    <row r="506" spans="1:44" ht="12.75" customHeight="1">
      <c r="A506" s="93"/>
      <c r="B506" s="93" t="s">
        <v>531</v>
      </c>
      <c r="C506" s="94" t="s">
        <v>105</v>
      </c>
      <c r="D506" s="94">
        <v>1</v>
      </c>
      <c r="E506" s="94">
        <v>0</v>
      </c>
      <c r="F506" s="95">
        <v>0</v>
      </c>
      <c r="G506" s="95"/>
      <c r="H506" s="95"/>
      <c r="I506" s="95">
        <f t="shared" si="373"/>
        <v>0</v>
      </c>
      <c r="J506" s="95"/>
      <c r="K506" s="94"/>
      <c r="L506" s="94"/>
      <c r="M506" s="94"/>
      <c r="N506" s="94"/>
      <c r="O506" s="96"/>
      <c r="P506" s="94"/>
      <c r="Q506" s="94"/>
      <c r="R506" s="98"/>
      <c r="S506" s="98"/>
      <c r="T506" s="98"/>
      <c r="U506" s="98"/>
      <c r="V506" s="98"/>
      <c r="W506" s="98"/>
      <c r="X506" s="98"/>
      <c r="Y506" s="98"/>
      <c r="Z506" s="98"/>
      <c r="AA506" s="98"/>
      <c r="AB506" s="98"/>
      <c r="AC506" s="98"/>
      <c r="AD506" s="98"/>
      <c r="AE506" s="98"/>
      <c r="AF506" s="98"/>
      <c r="AG506" s="98"/>
      <c r="AH506" s="98"/>
      <c r="AI506" s="98"/>
      <c r="AJ506" s="98"/>
      <c r="AK506" s="94"/>
      <c r="AL506" s="94"/>
      <c r="AM506" s="94"/>
      <c r="AN506" s="94"/>
      <c r="AO506" s="94"/>
      <c r="AP506" s="94"/>
      <c r="AQ506" s="94"/>
      <c r="AR506" s="94"/>
    </row>
    <row r="507" spans="1:44" ht="12.75" customHeight="1">
      <c r="A507" s="93"/>
      <c r="B507" s="93" t="s">
        <v>532</v>
      </c>
      <c r="C507" s="94" t="s">
        <v>105</v>
      </c>
      <c r="D507" s="94">
        <v>1</v>
      </c>
      <c r="E507" s="94">
        <v>0</v>
      </c>
      <c r="F507" s="95">
        <v>0</v>
      </c>
      <c r="G507" s="95"/>
      <c r="H507" s="95"/>
      <c r="I507" s="95">
        <f t="shared" si="373"/>
        <v>0</v>
      </c>
      <c r="J507" s="95"/>
      <c r="K507" s="94"/>
      <c r="L507" s="94"/>
      <c r="M507" s="94"/>
      <c r="N507" s="94"/>
      <c r="O507" s="96"/>
      <c r="P507" s="94"/>
      <c r="Q507" s="94"/>
      <c r="R507" s="98"/>
      <c r="S507" s="98"/>
      <c r="T507" s="98"/>
      <c r="U507" s="98"/>
      <c r="V507" s="98"/>
      <c r="W507" s="98"/>
      <c r="X507" s="98"/>
      <c r="Y507" s="98"/>
      <c r="Z507" s="98"/>
      <c r="AA507" s="98"/>
      <c r="AB507" s="98"/>
      <c r="AC507" s="98"/>
      <c r="AD507" s="98"/>
      <c r="AE507" s="98"/>
      <c r="AF507" s="98"/>
      <c r="AG507" s="98"/>
      <c r="AH507" s="98"/>
      <c r="AI507" s="98"/>
      <c r="AJ507" s="98"/>
      <c r="AK507" s="94"/>
      <c r="AL507" s="94"/>
      <c r="AM507" s="94"/>
      <c r="AN507" s="94"/>
      <c r="AO507" s="94"/>
      <c r="AP507" s="94"/>
      <c r="AQ507" s="94"/>
      <c r="AR507" s="94"/>
    </row>
    <row r="508" spans="1:44" ht="12.75" customHeight="1">
      <c r="A508" s="93"/>
      <c r="B508" s="93" t="s">
        <v>533</v>
      </c>
      <c r="C508" s="94" t="s">
        <v>105</v>
      </c>
      <c r="D508" s="94">
        <v>1</v>
      </c>
      <c r="E508" s="94">
        <v>8</v>
      </c>
      <c r="F508" s="95">
        <v>2</v>
      </c>
      <c r="G508" s="95"/>
      <c r="H508" s="95"/>
      <c r="I508" s="95">
        <f t="shared" si="373"/>
        <v>16</v>
      </c>
      <c r="J508" s="95"/>
      <c r="K508" s="94"/>
      <c r="L508" s="94"/>
      <c r="M508" s="94"/>
      <c r="N508" s="94"/>
      <c r="O508" s="96"/>
      <c r="P508" s="94"/>
      <c r="Q508" s="94"/>
      <c r="R508" s="98"/>
      <c r="S508" s="98"/>
      <c r="T508" s="98"/>
      <c r="U508" s="98"/>
      <c r="V508" s="98"/>
      <c r="W508" s="98"/>
      <c r="X508" s="98"/>
      <c r="Y508" s="98"/>
      <c r="Z508" s="98"/>
      <c r="AA508" s="98"/>
      <c r="AB508" s="98"/>
      <c r="AC508" s="98"/>
      <c r="AD508" s="98"/>
      <c r="AE508" s="98"/>
      <c r="AF508" s="98"/>
      <c r="AG508" s="98"/>
      <c r="AH508" s="98"/>
      <c r="AI508" s="98"/>
      <c r="AJ508" s="98"/>
      <c r="AK508" s="94"/>
      <c r="AL508" s="94"/>
      <c r="AM508" s="94"/>
      <c r="AN508" s="94"/>
      <c r="AO508" s="94"/>
      <c r="AP508" s="94"/>
      <c r="AQ508" s="94"/>
      <c r="AR508" s="94"/>
    </row>
    <row r="509" spans="1:44" ht="12.75" customHeight="1">
      <c r="A509" s="87"/>
      <c r="B509" s="87"/>
      <c r="C509" s="88"/>
      <c r="D509" s="88"/>
      <c r="E509" s="88"/>
      <c r="F509" s="89"/>
      <c r="G509" s="89"/>
      <c r="H509" s="89"/>
      <c r="I509" s="89"/>
      <c r="J509" s="89"/>
      <c r="K509" s="88"/>
      <c r="L509" s="88"/>
      <c r="M509" s="88"/>
      <c r="N509" s="88"/>
      <c r="O509" s="90"/>
      <c r="P509" s="88"/>
      <c r="Q509" s="88"/>
      <c r="R509" s="92"/>
      <c r="S509" s="92"/>
      <c r="T509" s="92"/>
      <c r="U509" s="92"/>
      <c r="V509" s="92"/>
      <c r="W509" s="92"/>
      <c r="X509" s="92"/>
      <c r="Y509" s="92"/>
      <c r="Z509" s="92"/>
      <c r="AA509" s="92"/>
      <c r="AB509" s="92"/>
      <c r="AC509" s="92"/>
      <c r="AD509" s="92"/>
      <c r="AE509" s="92"/>
      <c r="AF509" s="92"/>
      <c r="AG509" s="92"/>
      <c r="AH509" s="92"/>
      <c r="AI509" s="92"/>
      <c r="AJ509" s="92"/>
      <c r="AK509" s="88"/>
      <c r="AL509" s="88"/>
      <c r="AM509" s="88"/>
      <c r="AN509" s="88"/>
      <c r="AO509" s="88"/>
      <c r="AP509" s="88"/>
      <c r="AQ509" s="88"/>
      <c r="AR509" s="88"/>
    </row>
    <row r="510" spans="1:44" ht="12.75" customHeight="1">
      <c r="A510" s="99"/>
      <c r="B510" s="99" t="s">
        <v>194</v>
      </c>
      <c r="C510" s="100"/>
      <c r="D510" s="100"/>
      <c r="E510" s="100"/>
      <c r="F510" s="101"/>
      <c r="G510" s="101"/>
      <c r="H510" s="101"/>
      <c r="I510" s="101">
        <f>SUM(I505:I509)</f>
        <v>32</v>
      </c>
      <c r="J510" s="89"/>
      <c r="K510" s="88"/>
      <c r="L510" s="88"/>
      <c r="M510" s="88"/>
      <c r="N510" s="88"/>
      <c r="O510" s="90"/>
      <c r="P510" s="88"/>
      <c r="Q510" s="88"/>
      <c r="R510" s="92"/>
      <c r="S510" s="92"/>
      <c r="T510" s="92"/>
      <c r="U510" s="92"/>
      <c r="V510" s="92"/>
      <c r="W510" s="92"/>
      <c r="X510" s="92"/>
      <c r="Y510" s="92"/>
      <c r="Z510" s="92"/>
      <c r="AA510" s="92"/>
      <c r="AB510" s="92"/>
      <c r="AC510" s="92"/>
      <c r="AD510" s="92"/>
      <c r="AE510" s="92"/>
      <c r="AF510" s="92"/>
      <c r="AG510" s="92"/>
      <c r="AH510" s="92"/>
      <c r="AI510" s="92"/>
      <c r="AJ510" s="92"/>
      <c r="AK510" s="88"/>
      <c r="AL510" s="88"/>
      <c r="AM510" s="88"/>
      <c r="AN510" s="88"/>
      <c r="AO510" s="88"/>
      <c r="AP510" s="88"/>
      <c r="AQ510" s="88"/>
      <c r="AR510" s="88"/>
    </row>
    <row r="511" spans="1:44" ht="12.75" customHeight="1">
      <c r="A511" s="87"/>
      <c r="B511" s="87"/>
      <c r="C511" s="88"/>
      <c r="D511" s="88"/>
      <c r="E511" s="88"/>
      <c r="F511" s="89"/>
      <c r="G511" s="89"/>
      <c r="H511" s="89"/>
      <c r="I511" s="89"/>
      <c r="J511" s="89"/>
      <c r="K511" s="88"/>
      <c r="L511" s="88"/>
      <c r="M511" s="88"/>
      <c r="N511" s="88"/>
      <c r="O511" s="90"/>
      <c r="P511" s="88"/>
      <c r="Q511" s="88"/>
      <c r="R511" s="92"/>
      <c r="S511" s="92"/>
      <c r="T511" s="92"/>
      <c r="U511" s="92"/>
      <c r="V511" s="92"/>
      <c r="W511" s="92"/>
      <c r="X511" s="92"/>
      <c r="Y511" s="92"/>
      <c r="Z511" s="92"/>
      <c r="AA511" s="92"/>
      <c r="AB511" s="92"/>
      <c r="AC511" s="92"/>
      <c r="AD511" s="92"/>
      <c r="AE511" s="92"/>
      <c r="AF511" s="92"/>
      <c r="AG511" s="92"/>
      <c r="AH511" s="92"/>
      <c r="AI511" s="92"/>
      <c r="AJ511" s="92"/>
      <c r="AK511" s="88"/>
      <c r="AL511" s="88"/>
      <c r="AM511" s="88"/>
      <c r="AN511" s="88"/>
      <c r="AO511" s="88"/>
      <c r="AP511" s="88"/>
      <c r="AQ511" s="88"/>
      <c r="AR511" s="88"/>
    </row>
    <row r="512" spans="1:44" ht="12.75" customHeight="1">
      <c r="A512" s="93"/>
      <c r="B512" s="128" t="s">
        <v>108</v>
      </c>
      <c r="C512" s="94"/>
      <c r="D512" s="94"/>
      <c r="E512" s="94"/>
      <c r="F512" s="95"/>
      <c r="G512" s="95"/>
      <c r="H512" s="95"/>
      <c r="I512" s="95"/>
      <c r="J512" s="95"/>
      <c r="K512" s="94"/>
      <c r="L512" s="94"/>
      <c r="M512" s="94"/>
      <c r="N512" s="94"/>
      <c r="O512" s="96"/>
      <c r="P512" s="94"/>
      <c r="Q512" s="94"/>
      <c r="R512" s="98"/>
      <c r="S512" s="98"/>
      <c r="T512" s="98"/>
      <c r="U512" s="98"/>
      <c r="V512" s="98"/>
      <c r="W512" s="98"/>
      <c r="X512" s="98"/>
      <c r="Y512" s="98"/>
      <c r="Z512" s="98"/>
      <c r="AA512" s="98"/>
      <c r="AB512" s="98"/>
      <c r="AC512" s="98"/>
      <c r="AD512" s="98"/>
      <c r="AE512" s="98"/>
      <c r="AF512" s="98"/>
      <c r="AG512" s="98"/>
      <c r="AH512" s="98"/>
      <c r="AI512" s="98"/>
      <c r="AJ512" s="98"/>
      <c r="AK512" s="94"/>
      <c r="AL512" s="94"/>
      <c r="AM512" s="94"/>
      <c r="AN512" s="94"/>
      <c r="AO512" s="94"/>
      <c r="AP512" s="94"/>
      <c r="AQ512" s="94"/>
      <c r="AR512" s="94"/>
    </row>
    <row r="513" spans="1:44" ht="12.75" customHeight="1">
      <c r="A513" s="93"/>
      <c r="B513" s="93" t="s">
        <v>534</v>
      </c>
      <c r="C513" s="94"/>
      <c r="D513" s="94"/>
      <c r="E513" s="94"/>
      <c r="F513" s="95"/>
      <c r="G513" s="95"/>
      <c r="H513" s="95"/>
      <c r="I513" s="95"/>
      <c r="J513" s="95"/>
      <c r="K513" s="94"/>
      <c r="L513" s="94"/>
      <c r="M513" s="94"/>
      <c r="N513" s="94"/>
      <c r="O513" s="96"/>
      <c r="P513" s="94"/>
      <c r="Q513" s="94"/>
      <c r="R513" s="98"/>
      <c r="S513" s="98"/>
      <c r="T513" s="98"/>
      <c r="U513" s="98"/>
      <c r="V513" s="98"/>
      <c r="W513" s="98"/>
      <c r="X513" s="98"/>
      <c r="Y513" s="98"/>
      <c r="Z513" s="98"/>
      <c r="AA513" s="98"/>
      <c r="AB513" s="98"/>
      <c r="AC513" s="98"/>
      <c r="AD513" s="98"/>
      <c r="AE513" s="98"/>
      <c r="AF513" s="98"/>
      <c r="AG513" s="98"/>
      <c r="AH513" s="98"/>
      <c r="AI513" s="98"/>
      <c r="AJ513" s="98"/>
      <c r="AK513" s="94"/>
      <c r="AL513" s="94"/>
      <c r="AM513" s="94"/>
      <c r="AN513" s="94"/>
      <c r="AO513" s="94"/>
      <c r="AP513" s="94"/>
      <c r="AQ513" s="94"/>
      <c r="AR513" s="94"/>
    </row>
    <row r="514" spans="1:44" ht="12.75" customHeight="1">
      <c r="A514" s="93"/>
      <c r="B514" s="93" t="s">
        <v>530</v>
      </c>
      <c r="C514" s="94" t="s">
        <v>105</v>
      </c>
      <c r="D514" s="94">
        <v>1</v>
      </c>
      <c r="E514" s="94">
        <v>14</v>
      </c>
      <c r="F514" s="95">
        <v>2</v>
      </c>
      <c r="G514" s="95"/>
      <c r="H514" s="95"/>
      <c r="I514" s="95">
        <f t="shared" ref="I514:I517" si="374">PRODUCT(D514:H514)</f>
        <v>28</v>
      </c>
      <c r="J514" s="95"/>
      <c r="K514" s="94"/>
      <c r="L514" s="94"/>
      <c r="M514" s="94"/>
      <c r="N514" s="94"/>
      <c r="O514" s="96"/>
      <c r="P514" s="94"/>
      <c r="Q514" s="94"/>
      <c r="R514" s="98"/>
      <c r="S514" s="98"/>
      <c r="T514" s="98"/>
      <c r="U514" s="98"/>
      <c r="V514" s="98"/>
      <c r="W514" s="98"/>
      <c r="X514" s="98"/>
      <c r="Y514" s="98"/>
      <c r="Z514" s="98"/>
      <c r="AA514" s="98"/>
      <c r="AB514" s="98"/>
      <c r="AC514" s="98"/>
      <c r="AD514" s="98"/>
      <c r="AE514" s="98"/>
      <c r="AF514" s="98"/>
      <c r="AG514" s="98"/>
      <c r="AH514" s="98"/>
      <c r="AI514" s="98"/>
      <c r="AJ514" s="98"/>
      <c r="AK514" s="94"/>
      <c r="AL514" s="94"/>
      <c r="AM514" s="94"/>
      <c r="AN514" s="94"/>
      <c r="AO514" s="94"/>
      <c r="AP514" s="94"/>
      <c r="AQ514" s="94"/>
      <c r="AR514" s="94"/>
    </row>
    <row r="515" spans="1:44" ht="12.75" customHeight="1">
      <c r="A515" s="93"/>
      <c r="B515" s="93" t="s">
        <v>531</v>
      </c>
      <c r="C515" s="94" t="s">
        <v>105</v>
      </c>
      <c r="D515" s="94">
        <v>1</v>
      </c>
      <c r="E515" s="94">
        <v>0</v>
      </c>
      <c r="F515" s="95">
        <v>0</v>
      </c>
      <c r="G515" s="95"/>
      <c r="H515" s="95"/>
      <c r="I515" s="95">
        <f t="shared" si="374"/>
        <v>0</v>
      </c>
      <c r="J515" s="95"/>
      <c r="K515" s="94"/>
      <c r="L515" s="94"/>
      <c r="M515" s="94"/>
      <c r="N515" s="94"/>
      <c r="O515" s="96"/>
      <c r="P515" s="94"/>
      <c r="Q515" s="94"/>
      <c r="R515" s="98"/>
      <c r="S515" s="98"/>
      <c r="T515" s="98"/>
      <c r="U515" s="98"/>
      <c r="V515" s="98"/>
      <c r="W515" s="98"/>
      <c r="X515" s="98"/>
      <c r="Y515" s="98"/>
      <c r="Z515" s="98"/>
      <c r="AA515" s="98"/>
      <c r="AB515" s="98"/>
      <c r="AC515" s="98"/>
      <c r="AD515" s="98"/>
      <c r="AE515" s="98"/>
      <c r="AF515" s="98"/>
      <c r="AG515" s="98"/>
      <c r="AH515" s="98"/>
      <c r="AI515" s="98"/>
      <c r="AJ515" s="98"/>
      <c r="AK515" s="94"/>
      <c r="AL515" s="94"/>
      <c r="AM515" s="94"/>
      <c r="AN515" s="94"/>
      <c r="AO515" s="94"/>
      <c r="AP515" s="94"/>
      <c r="AQ515" s="94"/>
      <c r="AR515" s="94"/>
    </row>
    <row r="516" spans="1:44" ht="12.75" customHeight="1">
      <c r="A516" s="93"/>
      <c r="B516" s="93" t="s">
        <v>532</v>
      </c>
      <c r="C516" s="94" t="s">
        <v>105</v>
      </c>
      <c r="D516" s="94">
        <v>1</v>
      </c>
      <c r="E516" s="94">
        <v>0</v>
      </c>
      <c r="F516" s="95">
        <v>0</v>
      </c>
      <c r="G516" s="95"/>
      <c r="H516" s="95"/>
      <c r="I516" s="95">
        <f t="shared" si="374"/>
        <v>0</v>
      </c>
      <c r="J516" s="95"/>
      <c r="K516" s="94"/>
      <c r="L516" s="94"/>
      <c r="M516" s="94"/>
      <c r="N516" s="94"/>
      <c r="O516" s="96"/>
      <c r="P516" s="94"/>
      <c r="Q516" s="94"/>
      <c r="R516" s="98"/>
      <c r="S516" s="98"/>
      <c r="T516" s="98"/>
      <c r="U516" s="98"/>
      <c r="V516" s="98"/>
      <c r="W516" s="98"/>
      <c r="X516" s="98"/>
      <c r="Y516" s="98"/>
      <c r="Z516" s="98"/>
      <c r="AA516" s="98"/>
      <c r="AB516" s="98"/>
      <c r="AC516" s="98"/>
      <c r="AD516" s="98"/>
      <c r="AE516" s="98"/>
      <c r="AF516" s="98"/>
      <c r="AG516" s="98"/>
      <c r="AH516" s="98"/>
      <c r="AI516" s="98"/>
      <c r="AJ516" s="98"/>
      <c r="AK516" s="94"/>
      <c r="AL516" s="94"/>
      <c r="AM516" s="94"/>
      <c r="AN516" s="94"/>
      <c r="AO516" s="94"/>
      <c r="AP516" s="94"/>
      <c r="AQ516" s="94"/>
      <c r="AR516" s="94"/>
    </row>
    <row r="517" spans="1:44" ht="12.75" customHeight="1">
      <c r="A517" s="93"/>
      <c r="B517" s="93" t="s">
        <v>533</v>
      </c>
      <c r="C517" s="94" t="s">
        <v>105</v>
      </c>
      <c r="D517" s="94">
        <v>1</v>
      </c>
      <c r="E517" s="94">
        <v>14</v>
      </c>
      <c r="F517" s="95">
        <v>2</v>
      </c>
      <c r="G517" s="95"/>
      <c r="H517" s="95"/>
      <c r="I517" s="95">
        <f t="shared" si="374"/>
        <v>28</v>
      </c>
      <c r="J517" s="95"/>
      <c r="K517" s="94"/>
      <c r="L517" s="94"/>
      <c r="M517" s="94"/>
      <c r="N517" s="94"/>
      <c r="O517" s="96"/>
      <c r="P517" s="94"/>
      <c r="Q517" s="94"/>
      <c r="R517" s="98"/>
      <c r="S517" s="98"/>
      <c r="T517" s="98"/>
      <c r="U517" s="98"/>
      <c r="V517" s="98"/>
      <c r="W517" s="98"/>
      <c r="X517" s="98"/>
      <c r="Y517" s="98"/>
      <c r="Z517" s="98"/>
      <c r="AA517" s="98"/>
      <c r="AB517" s="98"/>
      <c r="AC517" s="98"/>
      <c r="AD517" s="98"/>
      <c r="AE517" s="98"/>
      <c r="AF517" s="98"/>
      <c r="AG517" s="98"/>
      <c r="AH517" s="98"/>
      <c r="AI517" s="98"/>
      <c r="AJ517" s="98"/>
      <c r="AK517" s="94"/>
      <c r="AL517" s="94"/>
      <c r="AM517" s="94"/>
      <c r="AN517" s="94"/>
      <c r="AO517" s="94"/>
      <c r="AP517" s="94"/>
      <c r="AQ517" s="94"/>
      <c r="AR517" s="94"/>
    </row>
    <row r="518" spans="1:44" ht="12.75" customHeight="1">
      <c r="A518" s="93"/>
      <c r="B518" s="93"/>
      <c r="C518" s="94"/>
      <c r="D518" s="94"/>
      <c r="E518" s="94"/>
      <c r="F518" s="95"/>
      <c r="G518" s="95"/>
      <c r="H518" s="95"/>
      <c r="I518" s="95"/>
      <c r="J518" s="95"/>
      <c r="K518" s="94"/>
      <c r="L518" s="94"/>
      <c r="M518" s="94"/>
      <c r="N518" s="94"/>
      <c r="O518" s="96"/>
      <c r="P518" s="94"/>
      <c r="Q518" s="94"/>
      <c r="R518" s="98"/>
      <c r="S518" s="98"/>
      <c r="T518" s="98"/>
      <c r="U518" s="98"/>
      <c r="V518" s="98"/>
      <c r="W518" s="98"/>
      <c r="X518" s="98"/>
      <c r="Y518" s="98"/>
      <c r="Z518" s="98"/>
      <c r="AA518" s="98"/>
      <c r="AB518" s="98"/>
      <c r="AC518" s="98"/>
      <c r="AD518" s="98"/>
      <c r="AE518" s="98"/>
      <c r="AF518" s="98"/>
      <c r="AG518" s="98"/>
      <c r="AH518" s="98"/>
      <c r="AI518" s="98"/>
      <c r="AJ518" s="98"/>
      <c r="AK518" s="94"/>
      <c r="AL518" s="94"/>
      <c r="AM518" s="94"/>
      <c r="AN518" s="94"/>
      <c r="AO518" s="94"/>
      <c r="AP518" s="94"/>
      <c r="AQ518" s="94"/>
      <c r="AR518" s="94"/>
    </row>
    <row r="519" spans="1:44" ht="12.75" customHeight="1">
      <c r="A519" s="99"/>
      <c r="B519" s="99" t="s">
        <v>194</v>
      </c>
      <c r="C519" s="100"/>
      <c r="D519" s="100"/>
      <c r="E519" s="100"/>
      <c r="F519" s="101"/>
      <c r="G519" s="101"/>
      <c r="H519" s="101"/>
      <c r="I519" s="101">
        <f>SUM(I514:I518)*3</f>
        <v>168</v>
      </c>
      <c r="J519" s="95"/>
      <c r="K519" s="94"/>
      <c r="L519" s="94"/>
      <c r="M519" s="94"/>
      <c r="N519" s="94"/>
      <c r="O519" s="96"/>
      <c r="P519" s="94"/>
      <c r="Q519" s="94"/>
      <c r="R519" s="98"/>
      <c r="S519" s="98"/>
      <c r="T519" s="98"/>
      <c r="U519" s="98"/>
      <c r="V519" s="98"/>
      <c r="W519" s="98"/>
      <c r="X519" s="98"/>
      <c r="Y519" s="98"/>
      <c r="Z519" s="98"/>
      <c r="AA519" s="98"/>
      <c r="AB519" s="98"/>
      <c r="AC519" s="98"/>
      <c r="AD519" s="98"/>
      <c r="AE519" s="98"/>
      <c r="AF519" s="98"/>
      <c r="AG519" s="98"/>
      <c r="AH519" s="98"/>
      <c r="AI519" s="98"/>
      <c r="AJ519" s="98"/>
      <c r="AK519" s="94"/>
      <c r="AL519" s="94"/>
      <c r="AM519" s="94"/>
      <c r="AN519" s="94"/>
      <c r="AO519" s="94"/>
      <c r="AP519" s="94"/>
      <c r="AQ519" s="94"/>
      <c r="AR519" s="94"/>
    </row>
    <row r="520" spans="1:44" ht="12.75" customHeight="1">
      <c r="A520" s="87"/>
      <c r="B520" s="87"/>
      <c r="C520" s="88"/>
      <c r="D520" s="88"/>
      <c r="E520" s="88"/>
      <c r="F520" s="89"/>
      <c r="G520" s="89"/>
      <c r="H520" s="89"/>
      <c r="I520" s="89"/>
      <c r="J520" s="89"/>
      <c r="K520" s="88"/>
      <c r="L520" s="88"/>
      <c r="M520" s="88"/>
      <c r="N520" s="88"/>
      <c r="O520" s="90"/>
      <c r="P520" s="88"/>
      <c r="Q520" s="88"/>
      <c r="R520" s="92"/>
      <c r="S520" s="92"/>
      <c r="T520" s="92"/>
      <c r="U520" s="92"/>
      <c r="V520" s="92"/>
      <c r="W520" s="92"/>
      <c r="X520" s="92"/>
      <c r="Y520" s="92"/>
      <c r="Z520" s="92"/>
      <c r="AA520" s="92"/>
      <c r="AB520" s="92"/>
      <c r="AC520" s="92"/>
      <c r="AD520" s="92"/>
      <c r="AE520" s="92"/>
      <c r="AF520" s="92"/>
      <c r="AG520" s="92"/>
      <c r="AH520" s="92"/>
      <c r="AI520" s="92"/>
      <c r="AJ520" s="92"/>
      <c r="AK520" s="88"/>
      <c r="AL520" s="88"/>
      <c r="AM520" s="88"/>
      <c r="AN520" s="88"/>
      <c r="AO520" s="88"/>
      <c r="AP520" s="88"/>
      <c r="AQ520" s="88"/>
      <c r="AR520" s="88"/>
    </row>
    <row r="521" spans="1:44" ht="12.75" customHeight="1">
      <c r="A521" s="93"/>
      <c r="B521" s="128" t="s">
        <v>535</v>
      </c>
      <c r="C521" s="94"/>
      <c r="D521" s="94"/>
      <c r="E521" s="94"/>
      <c r="F521" s="95"/>
      <c r="G521" s="95"/>
      <c r="H521" s="95"/>
      <c r="I521" s="95"/>
      <c r="J521" s="95"/>
      <c r="K521" s="94"/>
      <c r="L521" s="94"/>
      <c r="M521" s="94"/>
      <c r="N521" s="94"/>
      <c r="O521" s="96"/>
      <c r="P521" s="94"/>
      <c r="Q521" s="94"/>
      <c r="R521" s="98"/>
      <c r="S521" s="98"/>
      <c r="T521" s="98"/>
      <c r="U521" s="98"/>
      <c r="V521" s="98"/>
      <c r="W521" s="98"/>
      <c r="X521" s="98"/>
      <c r="Y521" s="98"/>
      <c r="Z521" s="98"/>
      <c r="AA521" s="98"/>
      <c r="AB521" s="98"/>
      <c r="AC521" s="98"/>
      <c r="AD521" s="98"/>
      <c r="AE521" s="98"/>
      <c r="AF521" s="98"/>
      <c r="AG521" s="98"/>
      <c r="AH521" s="98"/>
      <c r="AI521" s="98"/>
      <c r="AJ521" s="98"/>
      <c r="AK521" s="94"/>
      <c r="AL521" s="94"/>
      <c r="AM521" s="94"/>
      <c r="AN521" s="94"/>
      <c r="AO521" s="94"/>
      <c r="AP521" s="94"/>
      <c r="AQ521" s="94"/>
      <c r="AR521" s="94"/>
    </row>
    <row r="522" spans="1:44" ht="12.75" customHeight="1">
      <c r="A522" s="93"/>
      <c r="B522" s="93" t="s">
        <v>536</v>
      </c>
      <c r="C522" s="46" t="s">
        <v>537</v>
      </c>
      <c r="D522" s="94">
        <v>1</v>
      </c>
      <c r="E522" s="94">
        <v>1</v>
      </c>
      <c r="F522" s="95">
        <f>784-32</f>
        <v>752</v>
      </c>
      <c r="G522" s="95"/>
      <c r="H522" s="95"/>
      <c r="I522" s="50">
        <f>PRODUCT(D522:H522)</f>
        <v>752</v>
      </c>
      <c r="J522" s="95"/>
      <c r="K522" s="94"/>
      <c r="L522" s="94"/>
      <c r="M522" s="94"/>
      <c r="N522" s="94"/>
      <c r="O522" s="96"/>
      <c r="P522" s="94"/>
      <c r="Q522" s="94"/>
      <c r="R522" s="98"/>
      <c r="S522" s="98"/>
      <c r="T522" s="98"/>
      <c r="U522" s="98"/>
      <c r="V522" s="98"/>
      <c r="W522" s="98"/>
      <c r="X522" s="98"/>
      <c r="Y522" s="98"/>
      <c r="Z522" s="98"/>
      <c r="AA522" s="98"/>
      <c r="AB522" s="98"/>
      <c r="AC522" s="98"/>
      <c r="AD522" s="98"/>
      <c r="AE522" s="98"/>
      <c r="AF522" s="98"/>
      <c r="AG522" s="98"/>
      <c r="AH522" s="98"/>
      <c r="AI522" s="98"/>
      <c r="AJ522" s="98"/>
      <c r="AK522" s="94"/>
      <c r="AL522" s="94"/>
      <c r="AM522" s="94"/>
      <c r="AN522" s="94"/>
      <c r="AO522" s="94"/>
      <c r="AP522" s="94"/>
      <c r="AQ522" s="94"/>
      <c r="AR522" s="94"/>
    </row>
    <row r="523" spans="1:44" ht="12.75" customHeight="1">
      <c r="A523" s="93"/>
      <c r="B523" s="93"/>
      <c r="C523" s="94"/>
      <c r="D523" s="94"/>
      <c r="E523" s="94"/>
      <c r="F523" s="95"/>
      <c r="G523" s="95"/>
      <c r="H523" s="95"/>
      <c r="I523" s="95"/>
      <c r="J523" s="95"/>
      <c r="K523" s="94"/>
      <c r="L523" s="94"/>
      <c r="M523" s="94"/>
      <c r="N523" s="94"/>
      <c r="O523" s="96"/>
      <c r="P523" s="94"/>
      <c r="Q523" s="94"/>
      <c r="R523" s="98"/>
      <c r="S523" s="98"/>
      <c r="T523" s="98"/>
      <c r="U523" s="98"/>
      <c r="V523" s="98"/>
      <c r="W523" s="98"/>
      <c r="X523" s="98"/>
      <c r="Y523" s="98"/>
      <c r="Z523" s="98"/>
      <c r="AA523" s="98"/>
      <c r="AB523" s="98"/>
      <c r="AC523" s="98"/>
      <c r="AD523" s="98"/>
      <c r="AE523" s="98"/>
      <c r="AF523" s="98"/>
      <c r="AG523" s="98"/>
      <c r="AH523" s="98"/>
      <c r="AI523" s="98"/>
      <c r="AJ523" s="98"/>
      <c r="AK523" s="94"/>
      <c r="AL523" s="94"/>
      <c r="AM523" s="94"/>
      <c r="AN523" s="94"/>
      <c r="AO523" s="94"/>
      <c r="AP523" s="94"/>
      <c r="AQ523" s="94"/>
      <c r="AR523" s="94"/>
    </row>
    <row r="524" spans="1:44" ht="12.75" customHeight="1">
      <c r="A524" s="99"/>
      <c r="B524" s="99" t="s">
        <v>194</v>
      </c>
      <c r="C524" s="100"/>
      <c r="D524" s="100"/>
      <c r="E524" s="100"/>
      <c r="F524" s="101"/>
      <c r="G524" s="101"/>
      <c r="H524" s="101"/>
      <c r="I524" s="101">
        <f>SUM(I522:I523)</f>
        <v>752</v>
      </c>
      <c r="J524" s="95"/>
      <c r="K524" s="94"/>
      <c r="L524" s="94"/>
      <c r="M524" s="94"/>
      <c r="N524" s="94"/>
      <c r="O524" s="96"/>
      <c r="P524" s="94"/>
      <c r="Q524" s="94"/>
      <c r="R524" s="98"/>
      <c r="S524" s="98"/>
      <c r="T524" s="98"/>
      <c r="U524" s="98"/>
      <c r="V524" s="98"/>
      <c r="W524" s="98"/>
      <c r="X524" s="98"/>
      <c r="Y524" s="98"/>
      <c r="Z524" s="98"/>
      <c r="AA524" s="98"/>
      <c r="AB524" s="98"/>
      <c r="AC524" s="98"/>
      <c r="AD524" s="98"/>
      <c r="AE524" s="98"/>
      <c r="AF524" s="98"/>
      <c r="AG524" s="98"/>
      <c r="AH524" s="98"/>
      <c r="AI524" s="98"/>
      <c r="AJ524" s="98"/>
      <c r="AK524" s="94"/>
      <c r="AL524" s="94"/>
      <c r="AM524" s="94"/>
      <c r="AN524" s="94"/>
      <c r="AO524" s="94"/>
      <c r="AP524" s="94"/>
      <c r="AQ524" s="94"/>
      <c r="AR524" s="94"/>
    </row>
    <row r="525" spans="1:44" ht="12.75" customHeight="1">
      <c r="A525" s="93"/>
      <c r="B525" s="93"/>
      <c r="C525" s="94"/>
      <c r="D525" s="94"/>
      <c r="E525" s="94"/>
      <c r="F525" s="95"/>
      <c r="G525" s="95"/>
      <c r="H525" s="95"/>
      <c r="I525" s="95"/>
      <c r="J525" s="95"/>
      <c r="K525" s="94"/>
      <c r="L525" s="94"/>
      <c r="M525" s="94"/>
      <c r="N525" s="94"/>
      <c r="O525" s="96"/>
      <c r="P525" s="94"/>
      <c r="Q525" s="94"/>
      <c r="R525" s="98"/>
      <c r="S525" s="98"/>
      <c r="T525" s="98"/>
      <c r="U525" s="98"/>
      <c r="V525" s="98"/>
      <c r="W525" s="98"/>
      <c r="X525" s="98"/>
      <c r="Y525" s="98"/>
      <c r="Z525" s="98"/>
      <c r="AA525" s="98"/>
      <c r="AB525" s="98"/>
      <c r="AC525" s="98"/>
      <c r="AD525" s="98"/>
      <c r="AE525" s="98"/>
      <c r="AF525" s="98"/>
      <c r="AG525" s="98"/>
      <c r="AH525" s="98"/>
      <c r="AI525" s="98"/>
      <c r="AJ525" s="98"/>
      <c r="AK525" s="94"/>
      <c r="AL525" s="94"/>
      <c r="AM525" s="94"/>
      <c r="AN525" s="94"/>
      <c r="AO525" s="94"/>
      <c r="AP525" s="94"/>
      <c r="AQ525" s="94"/>
      <c r="AR525" s="94"/>
    </row>
    <row r="526" spans="1:44" ht="12.75" customHeight="1">
      <c r="A526" s="93"/>
      <c r="B526" s="130" t="s">
        <v>538</v>
      </c>
      <c r="C526" s="46" t="s">
        <v>539</v>
      </c>
      <c r="D526" s="94">
        <v>1</v>
      </c>
      <c r="E526" s="94">
        <v>1</v>
      </c>
      <c r="F526" s="95">
        <f>33+199</f>
        <v>232</v>
      </c>
      <c r="G526" s="95"/>
      <c r="H526" s="95">
        <v>0.35</v>
      </c>
      <c r="I526" s="50">
        <f t="shared" ref="I526:I527" si="375">PRODUCT(D526:H526)</f>
        <v>81.199999999999989</v>
      </c>
      <c r="J526" s="95"/>
      <c r="K526" s="94"/>
      <c r="L526" s="94"/>
      <c r="M526" s="94"/>
      <c r="N526" s="94"/>
      <c r="O526" s="96"/>
      <c r="P526" s="94"/>
      <c r="Q526" s="94"/>
      <c r="R526" s="98"/>
      <c r="S526" s="98"/>
      <c r="T526" s="98"/>
      <c r="U526" s="98"/>
      <c r="V526" s="98"/>
      <c r="W526" s="98"/>
      <c r="X526" s="98"/>
      <c r="Y526" s="98"/>
      <c r="Z526" s="98"/>
      <c r="AA526" s="98"/>
      <c r="AB526" s="98"/>
      <c r="AC526" s="98"/>
      <c r="AD526" s="98"/>
      <c r="AE526" s="98"/>
      <c r="AF526" s="98"/>
      <c r="AG526" s="98"/>
      <c r="AH526" s="98"/>
      <c r="AI526" s="98"/>
      <c r="AJ526" s="98"/>
      <c r="AK526" s="94"/>
      <c r="AL526" s="94"/>
      <c r="AM526" s="94"/>
      <c r="AN526" s="94"/>
      <c r="AO526" s="94"/>
      <c r="AP526" s="94"/>
      <c r="AQ526" s="94"/>
      <c r="AR526" s="94"/>
    </row>
    <row r="527" spans="1:44" ht="12.75" customHeight="1">
      <c r="A527" s="93"/>
      <c r="B527" s="130" t="s">
        <v>540</v>
      </c>
      <c r="C527" s="46" t="s">
        <v>541</v>
      </c>
      <c r="D527" s="94">
        <v>1</v>
      </c>
      <c r="E527" s="94">
        <v>1</v>
      </c>
      <c r="F527" s="95">
        <v>60</v>
      </c>
      <c r="G527" s="95"/>
      <c r="H527" s="95">
        <v>0.35</v>
      </c>
      <c r="I527" s="50">
        <f t="shared" si="375"/>
        <v>21</v>
      </c>
      <c r="J527" s="95"/>
      <c r="K527" s="94"/>
      <c r="L527" s="94"/>
      <c r="M527" s="94"/>
      <c r="N527" s="94"/>
      <c r="O527" s="96"/>
      <c r="P527" s="94"/>
      <c r="Q527" s="94"/>
      <c r="R527" s="98"/>
      <c r="S527" s="98"/>
      <c r="T527" s="98"/>
      <c r="U527" s="98"/>
      <c r="V527" s="98"/>
      <c r="W527" s="98"/>
      <c r="X527" s="98"/>
      <c r="Y527" s="98"/>
      <c r="Z527" s="98"/>
      <c r="AA527" s="98"/>
      <c r="AB527" s="98"/>
      <c r="AC527" s="98"/>
      <c r="AD527" s="98"/>
      <c r="AE527" s="98"/>
      <c r="AF527" s="98"/>
      <c r="AG527" s="98"/>
      <c r="AH527" s="98"/>
      <c r="AI527" s="98"/>
      <c r="AJ527" s="98"/>
      <c r="AK527" s="94"/>
      <c r="AL527" s="94"/>
      <c r="AM527" s="94"/>
      <c r="AN527" s="94"/>
      <c r="AO527" s="94"/>
      <c r="AP527" s="94"/>
      <c r="AQ527" s="94"/>
      <c r="AR527" s="94"/>
    </row>
    <row r="528" spans="1:44" ht="12.75" customHeight="1">
      <c r="A528" s="93"/>
      <c r="B528" s="93"/>
      <c r="C528" s="94"/>
      <c r="D528" s="94"/>
      <c r="E528" s="94"/>
      <c r="F528" s="95"/>
      <c r="G528" s="95"/>
      <c r="H528" s="95"/>
      <c r="I528" s="95"/>
      <c r="J528" s="95"/>
      <c r="K528" s="94"/>
      <c r="L528" s="94"/>
      <c r="M528" s="94"/>
      <c r="N528" s="94"/>
      <c r="O528" s="96"/>
      <c r="P528" s="94"/>
      <c r="Q528" s="94"/>
      <c r="R528" s="98"/>
      <c r="S528" s="98"/>
      <c r="T528" s="98"/>
      <c r="U528" s="98"/>
      <c r="V528" s="98"/>
      <c r="W528" s="98"/>
      <c r="X528" s="98"/>
      <c r="Y528" s="98"/>
      <c r="Z528" s="98"/>
      <c r="AA528" s="98"/>
      <c r="AB528" s="98"/>
      <c r="AC528" s="98"/>
      <c r="AD528" s="98"/>
      <c r="AE528" s="98"/>
      <c r="AF528" s="98"/>
      <c r="AG528" s="98"/>
      <c r="AH528" s="98"/>
      <c r="AI528" s="98"/>
      <c r="AJ528" s="98"/>
      <c r="AK528" s="94"/>
      <c r="AL528" s="94"/>
      <c r="AM528" s="94"/>
      <c r="AN528" s="94"/>
      <c r="AO528" s="94"/>
      <c r="AP528" s="94"/>
      <c r="AQ528" s="94"/>
      <c r="AR528" s="94"/>
    </row>
    <row r="529" spans="1:44" ht="12.75" customHeight="1">
      <c r="A529" s="99"/>
      <c r="B529" s="99" t="s">
        <v>194</v>
      </c>
      <c r="C529" s="100"/>
      <c r="D529" s="100"/>
      <c r="E529" s="100"/>
      <c r="F529" s="101"/>
      <c r="G529" s="101"/>
      <c r="H529" s="101"/>
      <c r="I529" s="101">
        <f>SUM(I526:I528)</f>
        <v>102.19999999999999</v>
      </c>
      <c r="J529" s="95"/>
      <c r="K529" s="94"/>
      <c r="L529" s="94"/>
      <c r="M529" s="94"/>
      <c r="N529" s="94"/>
      <c r="O529" s="96"/>
      <c r="P529" s="94"/>
      <c r="Q529" s="94"/>
      <c r="R529" s="98"/>
      <c r="S529" s="98"/>
      <c r="T529" s="98"/>
      <c r="U529" s="98"/>
      <c r="V529" s="98"/>
      <c r="W529" s="98"/>
      <c r="X529" s="98"/>
      <c r="Y529" s="98"/>
      <c r="Z529" s="98"/>
      <c r="AA529" s="98"/>
      <c r="AB529" s="98"/>
      <c r="AC529" s="98"/>
      <c r="AD529" s="98"/>
      <c r="AE529" s="98"/>
      <c r="AF529" s="98"/>
      <c r="AG529" s="98"/>
      <c r="AH529" s="98"/>
      <c r="AI529" s="98"/>
      <c r="AJ529" s="98"/>
      <c r="AK529" s="94"/>
      <c r="AL529" s="94"/>
      <c r="AM529" s="94"/>
      <c r="AN529" s="94"/>
      <c r="AO529" s="94"/>
      <c r="AP529" s="94"/>
      <c r="AQ529" s="94"/>
      <c r="AR529" s="94"/>
    </row>
    <row r="530" spans="1:44" ht="12.75" customHeight="1">
      <c r="A530" s="87"/>
      <c r="B530" s="87"/>
      <c r="C530" s="88"/>
      <c r="D530" s="88"/>
      <c r="E530" s="88"/>
      <c r="F530" s="89"/>
      <c r="G530" s="89"/>
      <c r="H530" s="89"/>
      <c r="I530" s="89"/>
      <c r="J530" s="89"/>
      <c r="K530" s="88"/>
      <c r="L530" s="88"/>
      <c r="M530" s="88"/>
      <c r="N530" s="88"/>
      <c r="O530" s="90"/>
      <c r="P530" s="88"/>
      <c r="Q530" s="88"/>
      <c r="R530" s="92"/>
      <c r="S530" s="92"/>
      <c r="T530" s="92"/>
      <c r="U530" s="92"/>
      <c r="V530" s="92"/>
      <c r="W530" s="92"/>
      <c r="X530" s="92"/>
      <c r="Y530" s="92"/>
      <c r="Z530" s="92"/>
      <c r="AA530" s="92"/>
      <c r="AB530" s="92"/>
      <c r="AC530" s="92"/>
      <c r="AD530" s="92"/>
      <c r="AE530" s="92"/>
      <c r="AF530" s="92"/>
      <c r="AG530" s="92"/>
      <c r="AH530" s="92"/>
      <c r="AI530" s="92"/>
      <c r="AJ530" s="92"/>
      <c r="AK530" s="88"/>
      <c r="AL530" s="88"/>
      <c r="AM530" s="88"/>
      <c r="AN530" s="88"/>
      <c r="AO530" s="88"/>
      <c r="AP530" s="88"/>
      <c r="AQ530" s="88"/>
      <c r="AR530" s="88"/>
    </row>
    <row r="531" spans="1:44" ht="12.75" customHeight="1">
      <c r="A531" s="93"/>
      <c r="B531" s="93" t="s">
        <v>542</v>
      </c>
      <c r="C531" s="94"/>
      <c r="D531" s="94"/>
      <c r="E531" s="94"/>
      <c r="F531" s="95"/>
      <c r="G531" s="95"/>
      <c r="H531" s="95"/>
      <c r="I531" s="95"/>
      <c r="J531" s="95"/>
      <c r="K531" s="94"/>
      <c r="L531" s="94"/>
      <c r="M531" s="94"/>
      <c r="N531" s="94"/>
      <c r="O531" s="96"/>
      <c r="P531" s="94"/>
      <c r="Q531" s="94"/>
      <c r="R531" s="98"/>
      <c r="S531" s="98"/>
      <c r="T531" s="98"/>
      <c r="U531" s="98"/>
      <c r="V531" s="98"/>
      <c r="W531" s="98"/>
      <c r="X531" s="98"/>
      <c r="Y531" s="98"/>
      <c r="Z531" s="98"/>
      <c r="AA531" s="98"/>
      <c r="AB531" s="98"/>
      <c r="AC531" s="98"/>
      <c r="AD531" s="98"/>
      <c r="AE531" s="98"/>
      <c r="AF531" s="98"/>
      <c r="AG531" s="98"/>
      <c r="AH531" s="98"/>
      <c r="AI531" s="98"/>
      <c r="AJ531" s="98"/>
      <c r="AK531" s="94"/>
      <c r="AL531" s="94"/>
      <c r="AM531" s="94"/>
      <c r="AN531" s="94"/>
      <c r="AO531" s="94"/>
      <c r="AP531" s="94"/>
      <c r="AQ531" s="94"/>
      <c r="AR531" s="94"/>
    </row>
    <row r="532" spans="1:44" ht="12.75" customHeight="1">
      <c r="A532" s="93"/>
      <c r="B532" s="93" t="s">
        <v>543</v>
      </c>
      <c r="C532" s="94" t="s">
        <v>95</v>
      </c>
      <c r="D532" s="94">
        <v>1</v>
      </c>
      <c r="E532" s="94">
        <v>1</v>
      </c>
      <c r="F532" s="95">
        <v>4</v>
      </c>
      <c r="G532" s="95"/>
      <c r="H532" s="95"/>
      <c r="I532" s="50">
        <f>PRODUCT(D532:H532)</f>
        <v>4</v>
      </c>
      <c r="J532" s="95"/>
      <c r="K532" s="94"/>
      <c r="L532" s="94"/>
      <c r="M532" s="94"/>
      <c r="N532" s="94"/>
      <c r="O532" s="96"/>
      <c r="P532" s="94"/>
      <c r="Q532" s="94"/>
      <c r="R532" s="98"/>
      <c r="S532" s="98"/>
      <c r="T532" s="98"/>
      <c r="U532" s="98"/>
      <c r="V532" s="98"/>
      <c r="W532" s="98"/>
      <c r="X532" s="98"/>
      <c r="Y532" s="98"/>
      <c r="Z532" s="98"/>
      <c r="AA532" s="98"/>
      <c r="AB532" s="98"/>
      <c r="AC532" s="98"/>
      <c r="AD532" s="98"/>
      <c r="AE532" s="98"/>
      <c r="AF532" s="98"/>
      <c r="AG532" s="98"/>
      <c r="AH532" s="98"/>
      <c r="AI532" s="98"/>
      <c r="AJ532" s="98"/>
      <c r="AK532" s="94"/>
      <c r="AL532" s="94"/>
      <c r="AM532" s="94"/>
      <c r="AN532" s="94"/>
      <c r="AO532" s="94"/>
      <c r="AP532" s="94"/>
      <c r="AQ532" s="94"/>
      <c r="AR532" s="94"/>
    </row>
    <row r="533" spans="1:44" ht="12.75" customHeight="1">
      <c r="A533" s="93"/>
      <c r="B533" s="93"/>
      <c r="C533" s="94"/>
      <c r="D533" s="94"/>
      <c r="E533" s="94"/>
      <c r="F533" s="95"/>
      <c r="G533" s="95"/>
      <c r="H533" s="95"/>
      <c r="I533" s="95"/>
      <c r="J533" s="95"/>
      <c r="K533" s="94"/>
      <c r="L533" s="94"/>
      <c r="M533" s="94"/>
      <c r="N533" s="94"/>
      <c r="O533" s="96"/>
      <c r="P533" s="94"/>
      <c r="Q533" s="94"/>
      <c r="R533" s="98"/>
      <c r="S533" s="98"/>
      <c r="T533" s="98"/>
      <c r="U533" s="98"/>
      <c r="V533" s="98"/>
      <c r="W533" s="98"/>
      <c r="X533" s="98"/>
      <c r="Y533" s="98"/>
      <c r="Z533" s="98"/>
      <c r="AA533" s="98"/>
      <c r="AB533" s="98"/>
      <c r="AC533" s="98"/>
      <c r="AD533" s="98"/>
      <c r="AE533" s="98"/>
      <c r="AF533" s="98"/>
      <c r="AG533" s="98"/>
      <c r="AH533" s="98"/>
      <c r="AI533" s="98"/>
      <c r="AJ533" s="98"/>
      <c r="AK533" s="94"/>
      <c r="AL533" s="94"/>
      <c r="AM533" s="94"/>
      <c r="AN533" s="94"/>
      <c r="AO533" s="94"/>
      <c r="AP533" s="94"/>
      <c r="AQ533" s="94"/>
      <c r="AR533" s="94"/>
    </row>
    <row r="534" spans="1:44" ht="12.75" customHeight="1">
      <c r="A534" s="99"/>
      <c r="B534" s="99" t="s">
        <v>194</v>
      </c>
      <c r="C534" s="100"/>
      <c r="D534" s="100"/>
      <c r="E534" s="100"/>
      <c r="F534" s="101"/>
      <c r="G534" s="101"/>
      <c r="H534" s="101"/>
      <c r="I534" s="101">
        <f>SUM(I531:I533)</f>
        <v>4</v>
      </c>
      <c r="J534" s="95"/>
      <c r="K534" s="94"/>
      <c r="L534" s="94"/>
      <c r="M534" s="94"/>
      <c r="N534" s="94"/>
      <c r="O534" s="96"/>
      <c r="P534" s="94"/>
      <c r="Q534" s="94"/>
      <c r="R534" s="98"/>
      <c r="S534" s="98"/>
      <c r="T534" s="98"/>
      <c r="U534" s="98"/>
      <c r="V534" s="98"/>
      <c r="W534" s="98"/>
      <c r="X534" s="98"/>
      <c r="Y534" s="98"/>
      <c r="Z534" s="98"/>
      <c r="AA534" s="98"/>
      <c r="AB534" s="98"/>
      <c r="AC534" s="98"/>
      <c r="AD534" s="98"/>
      <c r="AE534" s="98"/>
      <c r="AF534" s="98"/>
      <c r="AG534" s="98"/>
      <c r="AH534" s="98"/>
      <c r="AI534" s="98"/>
      <c r="AJ534" s="98"/>
      <c r="AK534" s="94"/>
      <c r="AL534" s="94"/>
      <c r="AM534" s="94"/>
      <c r="AN534" s="94"/>
      <c r="AO534" s="94"/>
      <c r="AP534" s="94"/>
      <c r="AQ534" s="94"/>
      <c r="AR534" s="94"/>
    </row>
    <row r="535" spans="1:44" ht="12.75" customHeight="1">
      <c r="A535" s="87"/>
      <c r="B535" s="87"/>
      <c r="C535" s="88"/>
      <c r="D535" s="88"/>
      <c r="E535" s="88"/>
      <c r="F535" s="89"/>
      <c r="G535" s="89"/>
      <c r="H535" s="89"/>
      <c r="I535" s="89"/>
      <c r="J535" s="89"/>
      <c r="K535" s="88"/>
      <c r="L535" s="88"/>
      <c r="M535" s="88"/>
      <c r="N535" s="88"/>
      <c r="O535" s="90"/>
      <c r="P535" s="88"/>
      <c r="Q535" s="88"/>
      <c r="R535" s="92"/>
      <c r="S535" s="92"/>
      <c r="T535" s="92"/>
      <c r="U535" s="92"/>
      <c r="V535" s="92"/>
      <c r="W535" s="92"/>
      <c r="X535" s="92"/>
      <c r="Y535" s="92"/>
      <c r="Z535" s="92"/>
      <c r="AA535" s="92"/>
      <c r="AB535" s="92"/>
      <c r="AC535" s="92"/>
      <c r="AD535" s="92"/>
      <c r="AE535" s="92"/>
      <c r="AF535" s="92"/>
      <c r="AG535" s="92"/>
      <c r="AH535" s="92"/>
      <c r="AI535" s="92"/>
      <c r="AJ535" s="92"/>
      <c r="AK535" s="88"/>
      <c r="AL535" s="88"/>
      <c r="AM535" s="88"/>
      <c r="AN535" s="88"/>
      <c r="AO535" s="88"/>
      <c r="AP535" s="88"/>
      <c r="AQ535" s="88"/>
      <c r="AR535" s="88"/>
    </row>
    <row r="536" spans="1:44" ht="12.75" customHeight="1">
      <c r="A536" s="93"/>
      <c r="B536" s="93" t="s">
        <v>544</v>
      </c>
      <c r="C536" s="94"/>
      <c r="D536" s="94"/>
      <c r="E536" s="94"/>
      <c r="F536" s="95"/>
      <c r="G536" s="95"/>
      <c r="H536" s="95"/>
      <c r="I536" s="95"/>
      <c r="J536" s="95"/>
      <c r="K536" s="94"/>
      <c r="L536" s="94"/>
      <c r="M536" s="94"/>
      <c r="N536" s="94"/>
      <c r="O536" s="96"/>
      <c r="P536" s="94"/>
      <c r="Q536" s="94"/>
      <c r="R536" s="98"/>
      <c r="S536" s="98"/>
      <c r="T536" s="98"/>
      <c r="U536" s="98"/>
      <c r="V536" s="98"/>
      <c r="W536" s="98"/>
      <c r="X536" s="98"/>
      <c r="Y536" s="98"/>
      <c r="Z536" s="98"/>
      <c r="AA536" s="98"/>
      <c r="AB536" s="98"/>
      <c r="AC536" s="98"/>
      <c r="AD536" s="98"/>
      <c r="AE536" s="98"/>
      <c r="AF536" s="98"/>
      <c r="AG536" s="98"/>
      <c r="AH536" s="98"/>
      <c r="AI536" s="98"/>
      <c r="AJ536" s="98"/>
      <c r="AK536" s="94"/>
      <c r="AL536" s="94"/>
      <c r="AM536" s="94"/>
      <c r="AN536" s="94"/>
      <c r="AO536" s="94"/>
      <c r="AP536" s="94"/>
      <c r="AQ536" s="94"/>
      <c r="AR536" s="94"/>
    </row>
    <row r="537" spans="1:44" ht="12.75" customHeight="1">
      <c r="A537" s="93"/>
      <c r="B537" s="93" t="s">
        <v>545</v>
      </c>
      <c r="C537" s="94" t="s">
        <v>95</v>
      </c>
      <c r="D537" s="94">
        <v>1</v>
      </c>
      <c r="E537" s="94">
        <v>5</v>
      </c>
      <c r="F537" s="95">
        <v>26</v>
      </c>
      <c r="G537" s="95"/>
      <c r="H537" s="95"/>
      <c r="I537" s="50">
        <f t="shared" ref="I537:I538" si="376">PRODUCT(D537:H537)</f>
        <v>130</v>
      </c>
      <c r="J537" s="95"/>
      <c r="K537" s="94"/>
      <c r="L537" s="94"/>
      <c r="M537" s="94"/>
      <c r="N537" s="94"/>
      <c r="O537" s="96"/>
      <c r="P537" s="94"/>
      <c r="Q537" s="94"/>
      <c r="R537" s="98"/>
      <c r="S537" s="98"/>
      <c r="T537" s="98"/>
      <c r="U537" s="98"/>
      <c r="V537" s="98"/>
      <c r="W537" s="98"/>
      <c r="X537" s="98"/>
      <c r="Y537" s="98"/>
      <c r="Z537" s="98"/>
      <c r="AA537" s="98"/>
      <c r="AB537" s="98"/>
      <c r="AC537" s="98"/>
      <c r="AD537" s="98"/>
      <c r="AE537" s="98"/>
      <c r="AF537" s="98"/>
      <c r="AG537" s="98"/>
      <c r="AH537" s="98"/>
      <c r="AI537" s="98"/>
      <c r="AJ537" s="98"/>
      <c r="AK537" s="94"/>
      <c r="AL537" s="94"/>
      <c r="AM537" s="94"/>
      <c r="AN537" s="94"/>
      <c r="AO537" s="94"/>
      <c r="AP537" s="94"/>
      <c r="AQ537" s="94"/>
      <c r="AR537" s="94"/>
    </row>
    <row r="538" spans="1:44" ht="12.75" customHeight="1">
      <c r="A538" s="93"/>
      <c r="B538" s="93" t="s">
        <v>487</v>
      </c>
      <c r="C538" s="94" t="s">
        <v>95</v>
      </c>
      <c r="D538" s="94">
        <v>1</v>
      </c>
      <c r="E538" s="94">
        <v>1</v>
      </c>
      <c r="F538" s="95">
        <f>26-3</f>
        <v>23</v>
      </c>
      <c r="G538" s="95"/>
      <c r="H538" s="95"/>
      <c r="I538" s="50">
        <f t="shared" si="376"/>
        <v>23</v>
      </c>
      <c r="J538" s="95"/>
      <c r="K538" s="94"/>
      <c r="L538" s="94"/>
      <c r="M538" s="94"/>
      <c r="N538" s="94"/>
      <c r="O538" s="96"/>
      <c r="P538" s="94"/>
      <c r="Q538" s="94"/>
      <c r="R538" s="98"/>
      <c r="S538" s="98"/>
      <c r="T538" s="98"/>
      <c r="U538" s="98"/>
      <c r="V538" s="98"/>
      <c r="W538" s="98"/>
      <c r="X538" s="98"/>
      <c r="Y538" s="98"/>
      <c r="Z538" s="98"/>
      <c r="AA538" s="98"/>
      <c r="AB538" s="98"/>
      <c r="AC538" s="98"/>
      <c r="AD538" s="98"/>
      <c r="AE538" s="98"/>
      <c r="AF538" s="98"/>
      <c r="AG538" s="98"/>
      <c r="AH538" s="98"/>
      <c r="AI538" s="98"/>
      <c r="AJ538" s="98"/>
      <c r="AK538" s="94"/>
      <c r="AL538" s="94"/>
      <c r="AM538" s="94"/>
      <c r="AN538" s="94"/>
      <c r="AO538" s="94"/>
      <c r="AP538" s="94"/>
      <c r="AQ538" s="94"/>
      <c r="AR538" s="94"/>
    </row>
    <row r="539" spans="1:44" ht="12.75" customHeight="1">
      <c r="A539" s="93"/>
      <c r="B539" s="93"/>
      <c r="C539" s="94"/>
      <c r="D539" s="94"/>
      <c r="E539" s="94"/>
      <c r="F539" s="95"/>
      <c r="G539" s="95"/>
      <c r="H539" s="95"/>
      <c r="I539" s="95"/>
      <c r="J539" s="95"/>
      <c r="K539" s="94"/>
      <c r="L539" s="94"/>
      <c r="M539" s="94"/>
      <c r="N539" s="94"/>
      <c r="O539" s="96"/>
      <c r="P539" s="94"/>
      <c r="Q539" s="94"/>
      <c r="R539" s="98"/>
      <c r="S539" s="98"/>
      <c r="T539" s="98"/>
      <c r="U539" s="98"/>
      <c r="V539" s="98"/>
      <c r="W539" s="98"/>
      <c r="X539" s="98"/>
      <c r="Y539" s="98"/>
      <c r="Z539" s="98"/>
      <c r="AA539" s="98"/>
      <c r="AB539" s="98"/>
      <c r="AC539" s="98"/>
      <c r="AD539" s="98"/>
      <c r="AE539" s="98"/>
      <c r="AF539" s="98"/>
      <c r="AG539" s="98"/>
      <c r="AH539" s="98"/>
      <c r="AI539" s="98"/>
      <c r="AJ539" s="98"/>
      <c r="AK539" s="94"/>
      <c r="AL539" s="94"/>
      <c r="AM539" s="94"/>
      <c r="AN539" s="94"/>
      <c r="AO539" s="94"/>
      <c r="AP539" s="94"/>
      <c r="AQ539" s="94"/>
      <c r="AR539" s="94"/>
    </row>
    <row r="540" spans="1:44" ht="12.75" customHeight="1">
      <c r="A540" s="99"/>
      <c r="B540" s="99" t="s">
        <v>194</v>
      </c>
      <c r="C540" s="100"/>
      <c r="D540" s="100"/>
      <c r="E540" s="100"/>
      <c r="F540" s="101"/>
      <c r="G540" s="101"/>
      <c r="H540" s="101"/>
      <c r="I540" s="101">
        <f>SUM(I537:I539)</f>
        <v>153</v>
      </c>
      <c r="J540" s="95"/>
      <c r="K540" s="94"/>
      <c r="L540" s="94"/>
      <c r="M540" s="94"/>
      <c r="N540" s="94"/>
      <c r="O540" s="96"/>
      <c r="P540" s="94"/>
      <c r="Q540" s="94"/>
      <c r="R540" s="98"/>
      <c r="S540" s="98"/>
      <c r="T540" s="98"/>
      <c r="U540" s="98"/>
      <c r="V540" s="98"/>
      <c r="W540" s="98"/>
      <c r="X540" s="98"/>
      <c r="Y540" s="98"/>
      <c r="Z540" s="98"/>
      <c r="AA540" s="98"/>
      <c r="AB540" s="98"/>
      <c r="AC540" s="98"/>
      <c r="AD540" s="98"/>
      <c r="AE540" s="98"/>
      <c r="AF540" s="98"/>
      <c r="AG540" s="98"/>
      <c r="AH540" s="98"/>
      <c r="AI540" s="98"/>
      <c r="AJ540" s="98"/>
      <c r="AK540" s="94"/>
      <c r="AL540" s="94"/>
      <c r="AM540" s="94"/>
      <c r="AN540" s="94"/>
      <c r="AO540" s="94"/>
      <c r="AP540" s="94"/>
      <c r="AQ540" s="94"/>
      <c r="AR540" s="94"/>
    </row>
    <row r="541" spans="1:44" ht="12.75" customHeight="1">
      <c r="A541" s="93"/>
      <c r="B541" s="93"/>
      <c r="C541" s="94"/>
      <c r="D541" s="94"/>
      <c r="E541" s="94"/>
      <c r="F541" s="95"/>
      <c r="G541" s="95"/>
      <c r="H541" s="95"/>
      <c r="I541" s="95"/>
      <c r="J541" s="95"/>
      <c r="K541" s="94"/>
      <c r="L541" s="94"/>
      <c r="M541" s="94"/>
      <c r="N541" s="94"/>
      <c r="O541" s="96"/>
      <c r="P541" s="94"/>
      <c r="Q541" s="94"/>
      <c r="R541" s="98"/>
      <c r="S541" s="98"/>
      <c r="T541" s="98"/>
      <c r="U541" s="98"/>
      <c r="V541" s="98"/>
      <c r="W541" s="98"/>
      <c r="X541" s="98"/>
      <c r="Y541" s="98"/>
      <c r="Z541" s="98"/>
      <c r="AA541" s="98"/>
      <c r="AB541" s="98"/>
      <c r="AC541" s="98"/>
      <c r="AD541" s="98"/>
      <c r="AE541" s="98"/>
      <c r="AF541" s="98"/>
      <c r="AG541" s="98"/>
      <c r="AH541" s="98"/>
      <c r="AI541" s="98"/>
      <c r="AJ541" s="98"/>
      <c r="AK541" s="94"/>
      <c r="AL541" s="94"/>
      <c r="AM541" s="94"/>
      <c r="AN541" s="94"/>
      <c r="AO541" s="94"/>
      <c r="AP541" s="94"/>
      <c r="AQ541" s="94"/>
      <c r="AR541" s="94"/>
    </row>
    <row r="542" spans="1:44" ht="12.75" customHeight="1">
      <c r="A542" s="87"/>
      <c r="B542" s="87"/>
      <c r="C542" s="88"/>
      <c r="D542" s="88"/>
      <c r="E542" s="88"/>
      <c r="F542" s="89"/>
      <c r="G542" s="89"/>
      <c r="H542" s="89"/>
      <c r="I542" s="89"/>
      <c r="J542" s="89"/>
      <c r="K542" s="88"/>
      <c r="L542" s="88"/>
      <c r="M542" s="88"/>
      <c r="N542" s="88"/>
      <c r="O542" s="90"/>
      <c r="P542" s="88"/>
      <c r="Q542" s="88"/>
      <c r="R542" s="92"/>
      <c r="S542" s="92"/>
      <c r="T542" s="92"/>
      <c r="U542" s="92"/>
      <c r="V542" s="92"/>
      <c r="W542" s="92"/>
      <c r="X542" s="92"/>
      <c r="Y542" s="92"/>
      <c r="Z542" s="92"/>
      <c r="AA542" s="92"/>
      <c r="AB542" s="92"/>
      <c r="AC542" s="92"/>
      <c r="AD542" s="92"/>
      <c r="AE542" s="92"/>
      <c r="AF542" s="92"/>
      <c r="AG542" s="92"/>
      <c r="AH542" s="92"/>
      <c r="AI542" s="92"/>
      <c r="AJ542" s="92"/>
      <c r="AK542" s="88"/>
      <c r="AL542" s="88"/>
      <c r="AM542" s="88"/>
      <c r="AN542" s="88"/>
      <c r="AO542" s="88"/>
      <c r="AP542" s="88"/>
      <c r="AQ542" s="88"/>
      <c r="AR542" s="88"/>
    </row>
    <row r="543" spans="1:44" ht="12.75" customHeight="1">
      <c r="A543" s="93"/>
      <c r="B543" s="93" t="s">
        <v>546</v>
      </c>
      <c r="C543" s="94"/>
      <c r="D543" s="94"/>
      <c r="E543" s="94"/>
      <c r="F543" s="95"/>
      <c r="G543" s="95"/>
      <c r="H543" s="95"/>
      <c r="I543" s="95"/>
      <c r="J543" s="95"/>
      <c r="K543" s="94"/>
      <c r="L543" s="94"/>
      <c r="M543" s="94"/>
      <c r="N543" s="94"/>
      <c r="O543" s="96"/>
      <c r="P543" s="94"/>
      <c r="Q543" s="94"/>
      <c r="R543" s="98"/>
      <c r="S543" s="98"/>
      <c r="T543" s="98"/>
      <c r="U543" s="98"/>
      <c r="V543" s="98"/>
      <c r="W543" s="98"/>
      <c r="X543" s="98"/>
      <c r="Y543" s="98"/>
      <c r="Z543" s="98"/>
      <c r="AA543" s="98"/>
      <c r="AB543" s="98"/>
      <c r="AC543" s="98"/>
      <c r="AD543" s="98"/>
      <c r="AE543" s="98"/>
      <c r="AF543" s="98"/>
      <c r="AG543" s="98"/>
      <c r="AH543" s="98"/>
      <c r="AI543" s="98"/>
      <c r="AJ543" s="98"/>
      <c r="AK543" s="94"/>
      <c r="AL543" s="94"/>
      <c r="AM543" s="94"/>
      <c r="AN543" s="94"/>
      <c r="AO543" s="94"/>
      <c r="AP543" s="94"/>
      <c r="AQ543" s="94"/>
      <c r="AR543" s="94"/>
    </row>
    <row r="544" spans="1:44" ht="12.75" customHeight="1">
      <c r="A544" s="93"/>
      <c r="B544" s="93" t="s">
        <v>547</v>
      </c>
      <c r="C544" s="46" t="s">
        <v>548</v>
      </c>
      <c r="D544" s="94">
        <v>1</v>
      </c>
      <c r="E544" s="94">
        <v>1</v>
      </c>
      <c r="F544" s="95">
        <v>705</v>
      </c>
      <c r="G544" s="95"/>
      <c r="H544" s="95"/>
      <c r="I544" s="50">
        <f t="shared" ref="I544:I547" si="377">PRODUCT(D544:H544)</f>
        <v>705</v>
      </c>
      <c r="J544" s="95"/>
      <c r="K544" s="94"/>
      <c r="L544" s="94"/>
      <c r="M544" s="94"/>
      <c r="N544" s="94"/>
      <c r="O544" s="96"/>
      <c r="P544" s="94"/>
      <c r="Q544" s="94"/>
      <c r="R544" s="98"/>
      <c r="S544" s="98"/>
      <c r="T544" s="98"/>
      <c r="U544" s="98"/>
      <c r="V544" s="98"/>
      <c r="W544" s="98"/>
      <c r="X544" s="98"/>
      <c r="Y544" s="98"/>
      <c r="Z544" s="98"/>
      <c r="AA544" s="98"/>
      <c r="AB544" s="98"/>
      <c r="AC544" s="98"/>
      <c r="AD544" s="98"/>
      <c r="AE544" s="98"/>
      <c r="AF544" s="98"/>
      <c r="AG544" s="98"/>
      <c r="AH544" s="98"/>
      <c r="AI544" s="98"/>
      <c r="AJ544" s="98"/>
      <c r="AK544" s="94"/>
      <c r="AL544" s="94"/>
      <c r="AM544" s="94"/>
      <c r="AN544" s="94"/>
      <c r="AO544" s="94"/>
      <c r="AP544" s="94"/>
      <c r="AQ544" s="94"/>
      <c r="AR544" s="94"/>
    </row>
    <row r="545" spans="1:44" ht="12.75" customHeight="1">
      <c r="A545" s="93"/>
      <c r="B545" s="93" t="s">
        <v>442</v>
      </c>
      <c r="C545" s="46" t="s">
        <v>549</v>
      </c>
      <c r="D545" s="94">
        <v>1</v>
      </c>
      <c r="E545" s="94">
        <v>1</v>
      </c>
      <c r="F545" s="95">
        <v>881</v>
      </c>
      <c r="G545" s="95"/>
      <c r="H545" s="95"/>
      <c r="I545" s="50">
        <f t="shared" si="377"/>
        <v>881</v>
      </c>
      <c r="J545" s="95"/>
      <c r="K545" s="94"/>
      <c r="L545" s="94"/>
      <c r="M545" s="94"/>
      <c r="N545" s="94"/>
      <c r="O545" s="96"/>
      <c r="P545" s="94"/>
      <c r="Q545" s="94"/>
      <c r="R545" s="98"/>
      <c r="S545" s="98"/>
      <c r="T545" s="98"/>
      <c r="U545" s="98"/>
      <c r="V545" s="98"/>
      <c r="W545" s="98"/>
      <c r="X545" s="98"/>
      <c r="Y545" s="98"/>
      <c r="Z545" s="98"/>
      <c r="AA545" s="98"/>
      <c r="AB545" s="98"/>
      <c r="AC545" s="98"/>
      <c r="AD545" s="98"/>
      <c r="AE545" s="98"/>
      <c r="AF545" s="98"/>
      <c r="AG545" s="98"/>
      <c r="AH545" s="98"/>
      <c r="AI545" s="98"/>
      <c r="AJ545" s="98"/>
      <c r="AK545" s="94"/>
      <c r="AL545" s="94"/>
      <c r="AM545" s="94"/>
      <c r="AN545" s="94"/>
      <c r="AO545" s="94"/>
      <c r="AP545" s="94"/>
      <c r="AQ545" s="94"/>
      <c r="AR545" s="94"/>
    </row>
    <row r="546" spans="1:44" ht="12.75" customHeight="1">
      <c r="A546" s="93"/>
      <c r="B546" s="93" t="s">
        <v>550</v>
      </c>
      <c r="C546" s="46" t="s">
        <v>551</v>
      </c>
      <c r="D546" s="94">
        <v>1</v>
      </c>
      <c r="E546" s="94">
        <v>5</v>
      </c>
      <c r="F546" s="95">
        <v>849</v>
      </c>
      <c r="G546" s="95"/>
      <c r="H546" s="95"/>
      <c r="I546" s="50">
        <f t="shared" si="377"/>
        <v>4245</v>
      </c>
      <c r="J546" s="95"/>
      <c r="K546" s="94"/>
      <c r="L546" s="94"/>
      <c r="M546" s="94"/>
      <c r="N546" s="94"/>
      <c r="O546" s="96"/>
      <c r="P546" s="94"/>
      <c r="Q546" s="94"/>
      <c r="R546" s="98"/>
      <c r="S546" s="98"/>
      <c r="T546" s="98"/>
      <c r="U546" s="98"/>
      <c r="V546" s="98"/>
      <c r="W546" s="98"/>
      <c r="X546" s="98"/>
      <c r="Y546" s="98"/>
      <c r="Z546" s="98"/>
      <c r="AA546" s="98"/>
      <c r="AB546" s="98"/>
      <c r="AC546" s="98"/>
      <c r="AD546" s="98"/>
      <c r="AE546" s="98"/>
      <c r="AF546" s="98"/>
      <c r="AG546" s="98"/>
      <c r="AH546" s="98"/>
      <c r="AI546" s="98"/>
      <c r="AJ546" s="98"/>
      <c r="AK546" s="94"/>
      <c r="AL546" s="94"/>
      <c r="AM546" s="94"/>
      <c r="AN546" s="94"/>
      <c r="AO546" s="94"/>
      <c r="AP546" s="94"/>
      <c r="AQ546" s="94"/>
      <c r="AR546" s="94"/>
    </row>
    <row r="547" spans="1:44" ht="12.75" customHeight="1">
      <c r="A547" s="93"/>
      <c r="B547" s="93" t="s">
        <v>487</v>
      </c>
      <c r="C547" s="46" t="s">
        <v>552</v>
      </c>
      <c r="D547" s="94">
        <v>1</v>
      </c>
      <c r="E547" s="94">
        <v>1</v>
      </c>
      <c r="F547" s="95">
        <v>770</v>
      </c>
      <c r="G547" s="95"/>
      <c r="H547" s="95"/>
      <c r="I547" s="50">
        <f t="shared" si="377"/>
        <v>770</v>
      </c>
      <c r="J547" s="95"/>
      <c r="K547" s="94"/>
      <c r="L547" s="94"/>
      <c r="M547" s="94"/>
      <c r="N547" s="94"/>
      <c r="O547" s="96"/>
      <c r="P547" s="94"/>
      <c r="Q547" s="94"/>
      <c r="R547" s="98"/>
      <c r="S547" s="98"/>
      <c r="T547" s="98"/>
      <c r="U547" s="98"/>
      <c r="V547" s="98"/>
      <c r="W547" s="98"/>
      <c r="X547" s="98"/>
      <c r="Y547" s="98"/>
      <c r="Z547" s="98"/>
      <c r="AA547" s="98"/>
      <c r="AB547" s="98"/>
      <c r="AC547" s="98"/>
      <c r="AD547" s="98"/>
      <c r="AE547" s="98"/>
      <c r="AF547" s="98"/>
      <c r="AG547" s="98"/>
      <c r="AH547" s="98"/>
      <c r="AI547" s="98"/>
      <c r="AJ547" s="98"/>
      <c r="AK547" s="94"/>
      <c r="AL547" s="94"/>
      <c r="AM547" s="94"/>
      <c r="AN547" s="94"/>
      <c r="AO547" s="94"/>
      <c r="AP547" s="94"/>
      <c r="AQ547" s="94"/>
      <c r="AR547" s="94"/>
    </row>
    <row r="548" spans="1:44" ht="12.75" customHeight="1">
      <c r="A548" s="93"/>
      <c r="B548" s="93"/>
      <c r="C548" s="94"/>
      <c r="D548" s="94"/>
      <c r="E548" s="94"/>
      <c r="F548" s="95"/>
      <c r="G548" s="95"/>
      <c r="H548" s="95"/>
      <c r="I548" s="95"/>
      <c r="J548" s="95"/>
      <c r="K548" s="94"/>
      <c r="L548" s="94"/>
      <c r="M548" s="94"/>
      <c r="N548" s="94"/>
      <c r="O548" s="96"/>
      <c r="P548" s="94"/>
      <c r="Q548" s="94"/>
      <c r="R548" s="98"/>
      <c r="S548" s="98"/>
      <c r="T548" s="98"/>
      <c r="U548" s="98"/>
      <c r="V548" s="98"/>
      <c r="W548" s="98"/>
      <c r="X548" s="98"/>
      <c r="Y548" s="98"/>
      <c r="Z548" s="98"/>
      <c r="AA548" s="98"/>
      <c r="AB548" s="98"/>
      <c r="AC548" s="98"/>
      <c r="AD548" s="98"/>
      <c r="AE548" s="98"/>
      <c r="AF548" s="98"/>
      <c r="AG548" s="98"/>
      <c r="AH548" s="98"/>
      <c r="AI548" s="98"/>
      <c r="AJ548" s="98"/>
      <c r="AK548" s="94"/>
      <c r="AL548" s="94"/>
      <c r="AM548" s="94"/>
      <c r="AN548" s="94"/>
      <c r="AO548" s="94"/>
      <c r="AP548" s="94"/>
      <c r="AQ548" s="94"/>
      <c r="AR548" s="94"/>
    </row>
    <row r="549" spans="1:44" ht="12.75" customHeight="1">
      <c r="A549" s="99"/>
      <c r="B549" s="99" t="s">
        <v>194</v>
      </c>
      <c r="C549" s="100"/>
      <c r="D549" s="100"/>
      <c r="E549" s="100"/>
      <c r="F549" s="101"/>
      <c r="G549" s="101"/>
      <c r="H549" s="101"/>
      <c r="I549" s="101">
        <f>SUM(I544:I548)</f>
        <v>6601</v>
      </c>
      <c r="J549" s="95"/>
      <c r="K549" s="94"/>
      <c r="L549" s="94"/>
      <c r="M549" s="94"/>
      <c r="N549" s="94"/>
      <c r="O549" s="96"/>
      <c r="P549" s="94"/>
      <c r="Q549" s="94"/>
      <c r="R549" s="98"/>
      <c r="S549" s="98"/>
      <c r="T549" s="98"/>
      <c r="U549" s="98"/>
      <c r="V549" s="98"/>
      <c r="W549" s="98"/>
      <c r="X549" s="98"/>
      <c r="Y549" s="98"/>
      <c r="Z549" s="98"/>
      <c r="AA549" s="98"/>
      <c r="AB549" s="98"/>
      <c r="AC549" s="98"/>
      <c r="AD549" s="98"/>
      <c r="AE549" s="98"/>
      <c r="AF549" s="98"/>
      <c r="AG549" s="98"/>
      <c r="AH549" s="98"/>
      <c r="AI549" s="98"/>
      <c r="AJ549" s="98"/>
      <c r="AK549" s="94"/>
      <c r="AL549" s="94"/>
      <c r="AM549" s="94"/>
      <c r="AN549" s="94"/>
      <c r="AO549" s="94"/>
      <c r="AP549" s="94"/>
      <c r="AQ549" s="94"/>
      <c r="AR549" s="94"/>
    </row>
    <row r="550" spans="1:44" ht="12.75" customHeight="1">
      <c r="A550" s="87"/>
      <c r="B550" s="87"/>
      <c r="C550" s="88"/>
      <c r="D550" s="88"/>
      <c r="E550" s="88"/>
      <c r="F550" s="89"/>
      <c r="G550" s="89"/>
      <c r="H550" s="89"/>
      <c r="I550" s="89"/>
      <c r="J550" s="89"/>
      <c r="K550" s="88"/>
      <c r="L550" s="88"/>
      <c r="M550" s="88"/>
      <c r="N550" s="88"/>
      <c r="O550" s="90"/>
      <c r="P550" s="88"/>
      <c r="Q550" s="88"/>
      <c r="R550" s="92"/>
      <c r="S550" s="92"/>
      <c r="T550" s="92"/>
      <c r="U550" s="92"/>
      <c r="V550" s="92"/>
      <c r="W550" s="92"/>
      <c r="X550" s="92"/>
      <c r="Y550" s="92"/>
      <c r="Z550" s="92"/>
      <c r="AA550" s="92"/>
      <c r="AB550" s="92"/>
      <c r="AC550" s="92"/>
      <c r="AD550" s="92"/>
      <c r="AE550" s="92"/>
      <c r="AF550" s="92"/>
      <c r="AG550" s="92"/>
      <c r="AH550" s="92"/>
      <c r="AI550" s="92"/>
      <c r="AJ550" s="92"/>
      <c r="AK550" s="88"/>
      <c r="AL550" s="88"/>
      <c r="AM550" s="88"/>
      <c r="AN550" s="88"/>
      <c r="AO550" s="88"/>
      <c r="AP550" s="88"/>
      <c r="AQ550" s="88"/>
      <c r="AR550" s="88"/>
    </row>
    <row r="551" spans="1:44" ht="12.75" customHeight="1">
      <c r="A551" s="93"/>
      <c r="B551" s="93" t="s">
        <v>553</v>
      </c>
      <c r="C551" s="94"/>
      <c r="D551" s="94"/>
      <c r="E551" s="94"/>
      <c r="F551" s="95"/>
      <c r="G551" s="95"/>
      <c r="H551" s="95"/>
      <c r="I551" s="95"/>
      <c r="J551" s="95"/>
      <c r="K551" s="94"/>
      <c r="L551" s="94"/>
      <c r="M551" s="94"/>
      <c r="N551" s="94"/>
      <c r="O551" s="96"/>
      <c r="P551" s="94"/>
      <c r="Q551" s="94"/>
      <c r="R551" s="98"/>
      <c r="S551" s="98"/>
      <c r="T551" s="98"/>
      <c r="U551" s="98"/>
      <c r="V551" s="98"/>
      <c r="W551" s="98"/>
      <c r="X551" s="98"/>
      <c r="Y551" s="98"/>
      <c r="Z551" s="98"/>
      <c r="AA551" s="98"/>
      <c r="AB551" s="98"/>
      <c r="AC551" s="98"/>
      <c r="AD551" s="98"/>
      <c r="AE551" s="98"/>
      <c r="AF551" s="98"/>
      <c r="AG551" s="98"/>
      <c r="AH551" s="98"/>
      <c r="AI551" s="98"/>
      <c r="AJ551" s="98"/>
      <c r="AK551" s="94"/>
      <c r="AL551" s="94"/>
      <c r="AM551" s="94"/>
      <c r="AN551" s="94"/>
      <c r="AO551" s="94"/>
      <c r="AP551" s="94"/>
      <c r="AQ551" s="94"/>
      <c r="AR551" s="94"/>
    </row>
    <row r="552" spans="1:44" ht="12.75" customHeight="1">
      <c r="A552" s="93"/>
      <c r="B552" s="93" t="s">
        <v>554</v>
      </c>
      <c r="C552" s="94"/>
      <c r="D552" s="94"/>
      <c r="E552" s="94"/>
      <c r="F552" s="95"/>
      <c r="G552" s="95"/>
      <c r="H552" s="95"/>
      <c r="I552" s="95"/>
      <c r="J552" s="95"/>
      <c r="K552" s="94"/>
      <c r="L552" s="94"/>
      <c r="M552" s="94"/>
      <c r="N552" s="94"/>
      <c r="O552" s="96"/>
      <c r="P552" s="94"/>
      <c r="Q552" s="94"/>
      <c r="R552" s="98"/>
      <c r="S552" s="98"/>
      <c r="T552" s="98"/>
      <c r="U552" s="98"/>
      <c r="V552" s="98"/>
      <c r="W552" s="98"/>
      <c r="X552" s="98"/>
      <c r="Y552" s="98"/>
      <c r="Z552" s="98"/>
      <c r="AA552" s="98"/>
      <c r="AB552" s="98"/>
      <c r="AC552" s="98"/>
      <c r="AD552" s="98"/>
      <c r="AE552" s="98"/>
      <c r="AF552" s="98"/>
      <c r="AG552" s="98"/>
      <c r="AH552" s="98"/>
      <c r="AI552" s="98"/>
      <c r="AJ552" s="98"/>
      <c r="AK552" s="94"/>
      <c r="AL552" s="94"/>
      <c r="AM552" s="94"/>
      <c r="AN552" s="94"/>
      <c r="AO552" s="94"/>
      <c r="AP552" s="94"/>
      <c r="AQ552" s="94"/>
      <c r="AR552" s="94"/>
    </row>
    <row r="553" spans="1:44" ht="12.75" customHeight="1">
      <c r="A553" s="93"/>
      <c r="B553" s="93" t="s">
        <v>555</v>
      </c>
      <c r="C553" s="46" t="s">
        <v>105</v>
      </c>
      <c r="D553" s="94">
        <v>1</v>
      </c>
      <c r="E553" s="94">
        <v>1</v>
      </c>
      <c r="F553" s="95">
        <f>1.2+0.35*16+1.2+16</f>
        <v>24</v>
      </c>
      <c r="G553" s="95"/>
      <c r="H553" s="95"/>
      <c r="I553" s="50">
        <f t="shared" ref="I553:I557" si="378">PRODUCT(D553:H553)</f>
        <v>24</v>
      </c>
      <c r="J553" s="95"/>
      <c r="K553" s="94"/>
      <c r="L553" s="94"/>
      <c r="M553" s="94"/>
      <c r="N553" s="94"/>
      <c r="O553" s="96"/>
      <c r="P553" s="94"/>
      <c r="Q553" s="94"/>
      <c r="R553" s="98"/>
      <c r="S553" s="98"/>
      <c r="T553" s="98"/>
      <c r="U553" s="98"/>
      <c r="V553" s="98"/>
      <c r="W553" s="98"/>
      <c r="X553" s="98"/>
      <c r="Y553" s="98"/>
      <c r="Z553" s="98"/>
      <c r="AA553" s="98"/>
      <c r="AB553" s="98"/>
      <c r="AC553" s="98"/>
      <c r="AD553" s="98"/>
      <c r="AE553" s="98"/>
      <c r="AF553" s="98"/>
      <c r="AG553" s="98"/>
      <c r="AH553" s="98"/>
      <c r="AI553" s="98"/>
      <c r="AJ553" s="98"/>
      <c r="AK553" s="94"/>
      <c r="AL553" s="94"/>
      <c r="AM553" s="94"/>
      <c r="AN553" s="94"/>
      <c r="AO553" s="94"/>
      <c r="AP553" s="94"/>
      <c r="AQ553" s="94"/>
      <c r="AR553" s="94"/>
    </row>
    <row r="554" spans="1:44" ht="12.75" customHeight="1">
      <c r="A554" s="93"/>
      <c r="B554" s="93" t="s">
        <v>555</v>
      </c>
      <c r="C554" s="46" t="s">
        <v>105</v>
      </c>
      <c r="D554" s="94">
        <v>1</v>
      </c>
      <c r="E554" s="94">
        <v>1</v>
      </c>
      <c r="F554" s="95">
        <f>1.2+0.35*40+1.2</f>
        <v>16.399999999999999</v>
      </c>
      <c r="G554" s="95"/>
      <c r="H554" s="95"/>
      <c r="I554" s="50">
        <f t="shared" si="378"/>
        <v>16.399999999999999</v>
      </c>
      <c r="J554" s="95"/>
      <c r="K554" s="94"/>
      <c r="L554" s="94"/>
      <c r="M554" s="94"/>
      <c r="N554" s="94"/>
      <c r="O554" s="96"/>
      <c r="P554" s="94"/>
      <c r="Q554" s="94"/>
      <c r="R554" s="98"/>
      <c r="S554" s="98"/>
      <c r="T554" s="98"/>
      <c r="U554" s="98"/>
      <c r="V554" s="98"/>
      <c r="W554" s="98"/>
      <c r="X554" s="98"/>
      <c r="Y554" s="98"/>
      <c r="Z554" s="98"/>
      <c r="AA554" s="98"/>
      <c r="AB554" s="98"/>
      <c r="AC554" s="98"/>
      <c r="AD554" s="98"/>
      <c r="AE554" s="98"/>
      <c r="AF554" s="98"/>
      <c r="AG554" s="98"/>
      <c r="AH554" s="98"/>
      <c r="AI554" s="98"/>
      <c r="AJ554" s="98"/>
      <c r="AK554" s="94"/>
      <c r="AL554" s="94"/>
      <c r="AM554" s="94"/>
      <c r="AN554" s="94"/>
      <c r="AO554" s="94"/>
      <c r="AP554" s="94"/>
      <c r="AQ554" s="94"/>
      <c r="AR554" s="94"/>
    </row>
    <row r="555" spans="1:44" ht="12.75" customHeight="1">
      <c r="A555" s="99"/>
      <c r="B555" s="117" t="s">
        <v>442</v>
      </c>
      <c r="C555" s="46" t="s">
        <v>105</v>
      </c>
      <c r="D555" s="94">
        <v>2</v>
      </c>
      <c r="E555" s="46">
        <v>2</v>
      </c>
      <c r="F555" s="50">
        <f>0.35*30+1</f>
        <v>11.5</v>
      </c>
      <c r="G555" s="50"/>
      <c r="H555" s="50"/>
      <c r="I555" s="50">
        <f t="shared" si="378"/>
        <v>46</v>
      </c>
      <c r="J555" s="95"/>
      <c r="K555" s="94"/>
      <c r="L555" s="94"/>
      <c r="M555" s="94"/>
      <c r="N555" s="94"/>
      <c r="O555" s="96"/>
      <c r="P555" s="94"/>
      <c r="Q555" s="94"/>
      <c r="R555" s="98"/>
      <c r="S555" s="98"/>
      <c r="T555" s="98"/>
      <c r="U555" s="98"/>
      <c r="V555" s="98"/>
      <c r="W555" s="98"/>
      <c r="X555" s="98"/>
      <c r="Y555" s="98"/>
      <c r="Z555" s="98"/>
      <c r="AA555" s="98"/>
      <c r="AB555" s="98"/>
      <c r="AC555" s="98"/>
      <c r="AD555" s="98"/>
      <c r="AE555" s="98"/>
      <c r="AF555" s="98"/>
      <c r="AG555" s="98"/>
      <c r="AH555" s="98"/>
      <c r="AI555" s="98"/>
      <c r="AJ555" s="98"/>
      <c r="AK555" s="94"/>
      <c r="AL555" s="94"/>
      <c r="AM555" s="94"/>
      <c r="AN555" s="94"/>
      <c r="AO555" s="94"/>
      <c r="AP555" s="94"/>
      <c r="AQ555" s="94"/>
      <c r="AR555" s="94"/>
    </row>
    <row r="556" spans="1:44" ht="12.75" customHeight="1">
      <c r="A556" s="93"/>
      <c r="B556" s="93" t="s">
        <v>556</v>
      </c>
      <c r="C556" s="46" t="s">
        <v>105</v>
      </c>
      <c r="D556" s="94">
        <v>2</v>
      </c>
      <c r="E556" s="46">
        <v>6</v>
      </c>
      <c r="F556" s="95">
        <f t="shared" ref="F556:F557" si="379">0.35*22+1</f>
        <v>8.6999999999999993</v>
      </c>
      <c r="G556" s="95"/>
      <c r="H556" s="95"/>
      <c r="I556" s="50">
        <f t="shared" si="378"/>
        <v>104.39999999999999</v>
      </c>
      <c r="J556" s="95"/>
      <c r="K556" s="94"/>
      <c r="L556" s="94"/>
      <c r="M556" s="94"/>
      <c r="N556" s="94"/>
      <c r="O556" s="96"/>
      <c r="P556" s="94"/>
      <c r="Q556" s="94"/>
      <c r="R556" s="98"/>
      <c r="S556" s="98"/>
      <c r="T556" s="98"/>
      <c r="U556" s="98"/>
      <c r="V556" s="98"/>
      <c r="W556" s="98"/>
      <c r="X556" s="98"/>
      <c r="Y556" s="98"/>
      <c r="Z556" s="98"/>
      <c r="AA556" s="98"/>
      <c r="AB556" s="98"/>
      <c r="AC556" s="98"/>
      <c r="AD556" s="98"/>
      <c r="AE556" s="98"/>
      <c r="AF556" s="98"/>
      <c r="AG556" s="98"/>
      <c r="AH556" s="98"/>
      <c r="AI556" s="98"/>
      <c r="AJ556" s="98"/>
      <c r="AK556" s="94"/>
      <c r="AL556" s="94"/>
      <c r="AM556" s="94"/>
      <c r="AN556" s="94"/>
      <c r="AO556" s="94"/>
      <c r="AP556" s="94"/>
      <c r="AQ556" s="94"/>
      <c r="AR556" s="94"/>
    </row>
    <row r="557" spans="1:44" ht="12.75" customHeight="1">
      <c r="A557" s="93"/>
      <c r="B557" s="93" t="s">
        <v>556</v>
      </c>
      <c r="C557" s="46" t="s">
        <v>105</v>
      </c>
      <c r="D557" s="94">
        <v>1</v>
      </c>
      <c r="E557" s="46">
        <v>1</v>
      </c>
      <c r="F557" s="95">
        <f t="shared" si="379"/>
        <v>8.6999999999999993</v>
      </c>
      <c r="G557" s="95"/>
      <c r="H557" s="95"/>
      <c r="I557" s="50">
        <f t="shared" si="378"/>
        <v>8.6999999999999993</v>
      </c>
      <c r="J557" s="95"/>
      <c r="K557" s="94"/>
      <c r="L557" s="94"/>
      <c r="M557" s="94"/>
      <c r="N557" s="94"/>
      <c r="O557" s="96"/>
      <c r="P557" s="94"/>
      <c r="Q557" s="94"/>
      <c r="R557" s="98"/>
      <c r="S557" s="98"/>
      <c r="T557" s="98"/>
      <c r="U557" s="98"/>
      <c r="V557" s="98"/>
      <c r="W557" s="98"/>
      <c r="X557" s="98"/>
      <c r="Y557" s="98"/>
      <c r="Z557" s="98"/>
      <c r="AA557" s="98"/>
      <c r="AB557" s="98"/>
      <c r="AC557" s="98"/>
      <c r="AD557" s="98"/>
      <c r="AE557" s="98"/>
      <c r="AF557" s="98"/>
      <c r="AG557" s="98"/>
      <c r="AH557" s="98"/>
      <c r="AI557" s="98"/>
      <c r="AJ557" s="98"/>
      <c r="AK557" s="94"/>
      <c r="AL557" s="94"/>
      <c r="AM557" s="94"/>
      <c r="AN557" s="94"/>
      <c r="AO557" s="94"/>
      <c r="AP557" s="94"/>
      <c r="AQ557" s="94"/>
      <c r="AR557" s="94"/>
    </row>
    <row r="558" spans="1:44" ht="12.75" customHeight="1">
      <c r="A558" s="93"/>
      <c r="B558" s="93"/>
      <c r="C558" s="94"/>
      <c r="D558" s="94"/>
      <c r="E558" s="94"/>
      <c r="F558" s="95"/>
      <c r="G558" s="95"/>
      <c r="H558" s="95"/>
      <c r="I558" s="95"/>
      <c r="J558" s="95"/>
      <c r="K558" s="94"/>
      <c r="L558" s="94"/>
      <c r="M558" s="94"/>
      <c r="N558" s="94"/>
      <c r="O558" s="96"/>
      <c r="P558" s="94"/>
      <c r="Q558" s="94"/>
      <c r="R558" s="98"/>
      <c r="S558" s="98"/>
      <c r="T558" s="98"/>
      <c r="U558" s="98"/>
      <c r="V558" s="98"/>
      <c r="W558" s="98"/>
      <c r="X558" s="98"/>
      <c r="Y558" s="98"/>
      <c r="Z558" s="98"/>
      <c r="AA558" s="98"/>
      <c r="AB558" s="98"/>
      <c r="AC558" s="98"/>
      <c r="AD558" s="98"/>
      <c r="AE558" s="98"/>
      <c r="AF558" s="98"/>
      <c r="AG558" s="98"/>
      <c r="AH558" s="98"/>
      <c r="AI558" s="98"/>
      <c r="AJ558" s="98"/>
      <c r="AK558" s="94"/>
      <c r="AL558" s="94"/>
      <c r="AM558" s="94"/>
      <c r="AN558" s="94"/>
      <c r="AO558" s="94"/>
      <c r="AP558" s="94"/>
      <c r="AQ558" s="94"/>
      <c r="AR558" s="94"/>
    </row>
    <row r="559" spans="1:44" ht="12.75" customHeight="1">
      <c r="A559" s="99"/>
      <c r="B559" s="99" t="s">
        <v>194</v>
      </c>
      <c r="C559" s="100"/>
      <c r="D559" s="100"/>
      <c r="E559" s="100"/>
      <c r="F559" s="101"/>
      <c r="G559" s="101"/>
      <c r="H559" s="101"/>
      <c r="I559" s="101">
        <f>SUM(I553:I558)</f>
        <v>199.5</v>
      </c>
      <c r="J559" s="95"/>
      <c r="K559" s="94"/>
      <c r="L559" s="94"/>
      <c r="M559" s="94"/>
      <c r="N559" s="94"/>
      <c r="O559" s="96"/>
      <c r="P559" s="94"/>
      <c r="Q559" s="94"/>
      <c r="R559" s="98"/>
      <c r="S559" s="98"/>
      <c r="T559" s="98"/>
      <c r="U559" s="98"/>
      <c r="V559" s="98"/>
      <c r="W559" s="98"/>
      <c r="X559" s="98"/>
      <c r="Y559" s="98"/>
      <c r="Z559" s="98"/>
      <c r="AA559" s="98"/>
      <c r="AB559" s="98"/>
      <c r="AC559" s="98"/>
      <c r="AD559" s="98"/>
      <c r="AE559" s="98"/>
      <c r="AF559" s="98"/>
      <c r="AG559" s="98"/>
      <c r="AH559" s="98"/>
      <c r="AI559" s="98"/>
      <c r="AJ559" s="98"/>
      <c r="AK559" s="94"/>
      <c r="AL559" s="94"/>
      <c r="AM559" s="94"/>
      <c r="AN559" s="94"/>
      <c r="AO559" s="94"/>
      <c r="AP559" s="94"/>
      <c r="AQ559" s="94"/>
      <c r="AR559" s="94"/>
    </row>
    <row r="560" spans="1:44" ht="12.75" customHeight="1">
      <c r="A560" s="87"/>
      <c r="B560" s="87"/>
      <c r="C560" s="88"/>
      <c r="D560" s="88"/>
      <c r="E560" s="88"/>
      <c r="F560" s="89"/>
      <c r="G560" s="89"/>
      <c r="H560" s="89"/>
      <c r="I560" s="89"/>
      <c r="J560" s="89"/>
      <c r="K560" s="88"/>
      <c r="L560" s="88"/>
      <c r="M560" s="88"/>
      <c r="N560" s="88"/>
      <c r="O560" s="90"/>
      <c r="P560" s="88"/>
      <c r="Q560" s="88"/>
      <c r="R560" s="92"/>
      <c r="S560" s="92"/>
      <c r="T560" s="92"/>
      <c r="U560" s="92"/>
      <c r="V560" s="92"/>
      <c r="W560" s="92"/>
      <c r="X560" s="92"/>
      <c r="Y560" s="92"/>
      <c r="Z560" s="92"/>
      <c r="AA560" s="92"/>
      <c r="AB560" s="92"/>
      <c r="AC560" s="92"/>
      <c r="AD560" s="92"/>
      <c r="AE560" s="92"/>
      <c r="AF560" s="92"/>
      <c r="AG560" s="92"/>
      <c r="AH560" s="92"/>
      <c r="AI560" s="92"/>
      <c r="AJ560" s="92"/>
      <c r="AK560" s="88"/>
      <c r="AL560" s="88"/>
      <c r="AM560" s="88"/>
      <c r="AN560" s="88"/>
      <c r="AO560" s="88"/>
      <c r="AP560" s="88"/>
      <c r="AQ560" s="88"/>
      <c r="AR560" s="88"/>
    </row>
    <row r="561" spans="1:44" ht="12.75" customHeight="1">
      <c r="A561" s="93"/>
      <c r="B561" s="93" t="s">
        <v>557</v>
      </c>
      <c r="C561" s="94"/>
      <c r="D561" s="94"/>
      <c r="E561" s="94"/>
      <c r="F561" s="95"/>
      <c r="G561" s="95"/>
      <c r="H561" s="95"/>
      <c r="I561" s="95"/>
      <c r="J561" s="95"/>
      <c r="K561" s="94"/>
      <c r="L561" s="94"/>
      <c r="M561" s="94"/>
      <c r="N561" s="94"/>
      <c r="O561" s="96"/>
      <c r="P561" s="94"/>
      <c r="Q561" s="94"/>
      <c r="R561" s="98"/>
      <c r="S561" s="98"/>
      <c r="T561" s="98"/>
      <c r="U561" s="98"/>
      <c r="V561" s="98"/>
      <c r="W561" s="98"/>
      <c r="X561" s="98"/>
      <c r="Y561" s="98"/>
      <c r="Z561" s="98"/>
      <c r="AA561" s="98"/>
      <c r="AB561" s="98"/>
      <c r="AC561" s="98"/>
      <c r="AD561" s="98"/>
      <c r="AE561" s="98"/>
      <c r="AF561" s="98"/>
      <c r="AG561" s="98"/>
      <c r="AH561" s="98"/>
      <c r="AI561" s="98"/>
      <c r="AJ561" s="98"/>
      <c r="AK561" s="94"/>
      <c r="AL561" s="94"/>
      <c r="AM561" s="94"/>
      <c r="AN561" s="94"/>
      <c r="AO561" s="94"/>
      <c r="AP561" s="94"/>
      <c r="AQ561" s="94"/>
      <c r="AR561" s="94"/>
    </row>
    <row r="562" spans="1:44" ht="12.75" customHeight="1">
      <c r="A562" s="93"/>
      <c r="B562" s="93" t="s">
        <v>555</v>
      </c>
      <c r="C562" s="46" t="s">
        <v>105</v>
      </c>
      <c r="D562" s="94">
        <v>1</v>
      </c>
      <c r="E562" s="94">
        <v>2</v>
      </c>
      <c r="F562" s="95">
        <f t="shared" ref="F562:F563" si="380">1.2+1.5+5.5+2.8+4.8</f>
        <v>15.8</v>
      </c>
      <c r="G562" s="95"/>
      <c r="H562" s="95"/>
      <c r="I562" s="50">
        <f t="shared" ref="I562:I566" si="381">PRODUCT(D562:H562)</f>
        <v>31.6</v>
      </c>
      <c r="J562" s="95"/>
      <c r="K562" s="94"/>
      <c r="L562" s="94"/>
      <c r="M562" s="94"/>
      <c r="N562" s="94"/>
      <c r="O562" s="96"/>
      <c r="P562" s="94"/>
      <c r="Q562" s="94"/>
      <c r="R562" s="98"/>
      <c r="S562" s="98"/>
      <c r="T562" s="98"/>
      <c r="U562" s="98"/>
      <c r="V562" s="98"/>
      <c r="W562" s="98"/>
      <c r="X562" s="98"/>
      <c r="Y562" s="98"/>
      <c r="Z562" s="98"/>
      <c r="AA562" s="98"/>
      <c r="AB562" s="98"/>
      <c r="AC562" s="98"/>
      <c r="AD562" s="98"/>
      <c r="AE562" s="98"/>
      <c r="AF562" s="98"/>
      <c r="AG562" s="98"/>
      <c r="AH562" s="98"/>
      <c r="AI562" s="98"/>
      <c r="AJ562" s="98"/>
      <c r="AK562" s="94"/>
      <c r="AL562" s="94"/>
      <c r="AM562" s="94"/>
      <c r="AN562" s="94"/>
      <c r="AO562" s="94"/>
      <c r="AP562" s="94"/>
      <c r="AQ562" s="94"/>
      <c r="AR562" s="94"/>
    </row>
    <row r="563" spans="1:44" ht="12.75" customHeight="1">
      <c r="A563" s="93"/>
      <c r="B563" s="93" t="s">
        <v>555</v>
      </c>
      <c r="C563" s="46" t="s">
        <v>105</v>
      </c>
      <c r="D563" s="94">
        <v>1</v>
      </c>
      <c r="E563" s="94">
        <v>2</v>
      </c>
      <c r="F563" s="95">
        <f t="shared" si="380"/>
        <v>15.8</v>
      </c>
      <c r="G563" s="95"/>
      <c r="H563" s="95"/>
      <c r="I563" s="50">
        <f t="shared" si="381"/>
        <v>31.6</v>
      </c>
      <c r="J563" s="95"/>
      <c r="K563" s="94"/>
      <c r="L563" s="94"/>
      <c r="M563" s="94"/>
      <c r="N563" s="94"/>
      <c r="O563" s="96"/>
      <c r="P563" s="94"/>
      <c r="Q563" s="94"/>
      <c r="R563" s="98"/>
      <c r="S563" s="98"/>
      <c r="T563" s="98"/>
      <c r="U563" s="98"/>
      <c r="V563" s="98"/>
      <c r="W563" s="98"/>
      <c r="X563" s="98"/>
      <c r="Y563" s="98"/>
      <c r="Z563" s="98"/>
      <c r="AA563" s="98"/>
      <c r="AB563" s="98"/>
      <c r="AC563" s="98"/>
      <c r="AD563" s="98"/>
      <c r="AE563" s="98"/>
      <c r="AF563" s="98"/>
      <c r="AG563" s="98"/>
      <c r="AH563" s="98"/>
      <c r="AI563" s="98"/>
      <c r="AJ563" s="98"/>
      <c r="AK563" s="94"/>
      <c r="AL563" s="94"/>
      <c r="AM563" s="94"/>
      <c r="AN563" s="94"/>
      <c r="AO563" s="94"/>
      <c r="AP563" s="94"/>
      <c r="AQ563" s="94"/>
      <c r="AR563" s="94"/>
    </row>
    <row r="564" spans="1:44" ht="12.75" customHeight="1">
      <c r="A564" s="99"/>
      <c r="B564" s="117" t="s">
        <v>442</v>
      </c>
      <c r="C564" s="46" t="s">
        <v>105</v>
      </c>
      <c r="D564" s="94">
        <v>2</v>
      </c>
      <c r="E564" s="46">
        <v>2</v>
      </c>
      <c r="F564" s="50">
        <f t="shared" ref="F564:F566" si="382">4.6+3.2+4.6+3.2-1</f>
        <v>14.599999999999998</v>
      </c>
      <c r="G564" s="50"/>
      <c r="H564" s="50"/>
      <c r="I564" s="50">
        <f t="shared" si="381"/>
        <v>58.399999999999991</v>
      </c>
      <c r="J564" s="95"/>
      <c r="K564" s="94"/>
      <c r="L564" s="94"/>
      <c r="M564" s="94"/>
      <c r="N564" s="94"/>
      <c r="O564" s="96"/>
      <c r="P564" s="94"/>
      <c r="Q564" s="94"/>
      <c r="R564" s="98"/>
      <c r="S564" s="98"/>
      <c r="T564" s="98"/>
      <c r="U564" s="98"/>
      <c r="V564" s="98"/>
      <c r="W564" s="98"/>
      <c r="X564" s="98"/>
      <c r="Y564" s="98"/>
      <c r="Z564" s="98"/>
      <c r="AA564" s="98"/>
      <c r="AB564" s="98"/>
      <c r="AC564" s="98"/>
      <c r="AD564" s="98"/>
      <c r="AE564" s="98"/>
      <c r="AF564" s="98"/>
      <c r="AG564" s="98"/>
      <c r="AH564" s="98"/>
      <c r="AI564" s="98"/>
      <c r="AJ564" s="98"/>
      <c r="AK564" s="94"/>
      <c r="AL564" s="94"/>
      <c r="AM564" s="94"/>
      <c r="AN564" s="94"/>
      <c r="AO564" s="94"/>
      <c r="AP564" s="94"/>
      <c r="AQ564" s="94"/>
      <c r="AR564" s="94"/>
    </row>
    <row r="565" spans="1:44" ht="12.75" customHeight="1">
      <c r="A565" s="93"/>
      <c r="B565" s="93" t="s">
        <v>556</v>
      </c>
      <c r="C565" s="46" t="s">
        <v>105</v>
      </c>
      <c r="D565" s="94">
        <v>2</v>
      </c>
      <c r="E565" s="46">
        <v>6</v>
      </c>
      <c r="F565" s="50">
        <f t="shared" si="382"/>
        <v>14.599999999999998</v>
      </c>
      <c r="G565" s="95"/>
      <c r="H565" s="95"/>
      <c r="I565" s="50">
        <f t="shared" si="381"/>
        <v>175.2</v>
      </c>
      <c r="J565" s="95"/>
      <c r="K565" s="94"/>
      <c r="L565" s="94"/>
      <c r="M565" s="94"/>
      <c r="N565" s="94"/>
      <c r="O565" s="96"/>
      <c r="P565" s="94"/>
      <c r="Q565" s="94"/>
      <c r="R565" s="98"/>
      <c r="S565" s="98"/>
      <c r="T565" s="98"/>
      <c r="U565" s="98"/>
      <c r="V565" s="98"/>
      <c r="W565" s="98"/>
      <c r="X565" s="98"/>
      <c r="Y565" s="98"/>
      <c r="Z565" s="98"/>
      <c r="AA565" s="98"/>
      <c r="AB565" s="98"/>
      <c r="AC565" s="98"/>
      <c r="AD565" s="98"/>
      <c r="AE565" s="98"/>
      <c r="AF565" s="98"/>
      <c r="AG565" s="98"/>
      <c r="AH565" s="98"/>
      <c r="AI565" s="98"/>
      <c r="AJ565" s="98"/>
      <c r="AK565" s="94"/>
      <c r="AL565" s="94"/>
      <c r="AM565" s="94"/>
      <c r="AN565" s="94"/>
      <c r="AO565" s="94"/>
      <c r="AP565" s="94"/>
      <c r="AQ565" s="94"/>
      <c r="AR565" s="94"/>
    </row>
    <row r="566" spans="1:44" ht="12.75" customHeight="1">
      <c r="A566" s="93"/>
      <c r="B566" s="93" t="s">
        <v>556</v>
      </c>
      <c r="C566" s="46" t="s">
        <v>105</v>
      </c>
      <c r="D566" s="94">
        <v>1</v>
      </c>
      <c r="E566" s="46">
        <v>1</v>
      </c>
      <c r="F566" s="50">
        <f t="shared" si="382"/>
        <v>14.599999999999998</v>
      </c>
      <c r="G566" s="95"/>
      <c r="H566" s="95"/>
      <c r="I566" s="50">
        <f t="shared" si="381"/>
        <v>14.599999999999998</v>
      </c>
      <c r="J566" s="95"/>
      <c r="K566" s="94"/>
      <c r="L566" s="94"/>
      <c r="M566" s="94"/>
      <c r="N566" s="94"/>
      <c r="O566" s="96"/>
      <c r="P566" s="94"/>
      <c r="Q566" s="94"/>
      <c r="R566" s="98"/>
      <c r="S566" s="98"/>
      <c r="T566" s="98"/>
      <c r="U566" s="98"/>
      <c r="V566" s="98"/>
      <c r="W566" s="98"/>
      <c r="X566" s="98"/>
      <c r="Y566" s="98"/>
      <c r="Z566" s="98"/>
      <c r="AA566" s="98"/>
      <c r="AB566" s="98"/>
      <c r="AC566" s="98"/>
      <c r="AD566" s="98"/>
      <c r="AE566" s="98"/>
      <c r="AF566" s="98"/>
      <c r="AG566" s="98"/>
      <c r="AH566" s="98"/>
      <c r="AI566" s="98"/>
      <c r="AJ566" s="98"/>
      <c r="AK566" s="94"/>
      <c r="AL566" s="94"/>
      <c r="AM566" s="94"/>
      <c r="AN566" s="94"/>
      <c r="AO566" s="94"/>
      <c r="AP566" s="94"/>
      <c r="AQ566" s="94"/>
      <c r="AR566" s="94"/>
    </row>
    <row r="567" spans="1:44" ht="12.75" customHeight="1">
      <c r="A567" s="93"/>
      <c r="B567" s="93"/>
      <c r="C567" s="94"/>
      <c r="D567" s="94"/>
      <c r="E567" s="94"/>
      <c r="F567" s="95"/>
      <c r="G567" s="95"/>
      <c r="H567" s="95"/>
      <c r="I567" s="95"/>
      <c r="J567" s="95"/>
      <c r="K567" s="94"/>
      <c r="L567" s="94"/>
      <c r="M567" s="94"/>
      <c r="N567" s="94"/>
      <c r="O567" s="96"/>
      <c r="P567" s="94"/>
      <c r="Q567" s="94"/>
      <c r="R567" s="98"/>
      <c r="S567" s="98"/>
      <c r="T567" s="98"/>
      <c r="U567" s="98"/>
      <c r="V567" s="98"/>
      <c r="W567" s="98"/>
      <c r="X567" s="98"/>
      <c r="Y567" s="98"/>
      <c r="Z567" s="98"/>
      <c r="AA567" s="98"/>
      <c r="AB567" s="98"/>
      <c r="AC567" s="98"/>
      <c r="AD567" s="98"/>
      <c r="AE567" s="98"/>
      <c r="AF567" s="98"/>
      <c r="AG567" s="98"/>
      <c r="AH567" s="98"/>
      <c r="AI567" s="98"/>
      <c r="AJ567" s="98"/>
      <c r="AK567" s="94"/>
      <c r="AL567" s="94"/>
      <c r="AM567" s="94"/>
      <c r="AN567" s="94"/>
      <c r="AO567" s="94"/>
      <c r="AP567" s="94"/>
      <c r="AQ567" s="94"/>
      <c r="AR567" s="94"/>
    </row>
    <row r="568" spans="1:44" ht="12.75" customHeight="1">
      <c r="A568" s="99"/>
      <c r="B568" s="99" t="s">
        <v>194</v>
      </c>
      <c r="C568" s="100"/>
      <c r="D568" s="100"/>
      <c r="E568" s="100"/>
      <c r="F568" s="101"/>
      <c r="G568" s="101"/>
      <c r="H568" s="101"/>
      <c r="I568" s="101">
        <f>SUM(I562:I567)</f>
        <v>311.39999999999998</v>
      </c>
      <c r="J568" s="95"/>
      <c r="K568" s="94"/>
      <c r="L568" s="94"/>
      <c r="M568" s="94"/>
      <c r="N568" s="94"/>
      <c r="O568" s="96"/>
      <c r="P568" s="94"/>
      <c r="Q568" s="94"/>
      <c r="R568" s="98"/>
      <c r="S568" s="98"/>
      <c r="T568" s="98"/>
      <c r="U568" s="98"/>
      <c r="V568" s="98"/>
      <c r="W568" s="98"/>
      <c r="X568" s="98"/>
      <c r="Y568" s="98"/>
      <c r="Z568" s="98"/>
      <c r="AA568" s="98"/>
      <c r="AB568" s="98"/>
      <c r="AC568" s="98"/>
      <c r="AD568" s="98"/>
      <c r="AE568" s="98"/>
      <c r="AF568" s="98"/>
      <c r="AG568" s="98"/>
      <c r="AH568" s="98"/>
      <c r="AI568" s="98"/>
      <c r="AJ568" s="98"/>
      <c r="AK568" s="94"/>
      <c r="AL568" s="94"/>
      <c r="AM568" s="94"/>
      <c r="AN568" s="94"/>
      <c r="AO568" s="94"/>
      <c r="AP568" s="94"/>
      <c r="AQ568" s="94"/>
      <c r="AR568" s="94"/>
    </row>
    <row r="569" spans="1:44" ht="12.75" customHeight="1">
      <c r="A569" s="87"/>
      <c r="B569" s="87"/>
      <c r="C569" s="131"/>
      <c r="D569" s="88"/>
      <c r="E569" s="88"/>
      <c r="F569" s="89"/>
      <c r="G569" s="89"/>
      <c r="H569" s="89"/>
      <c r="I569" s="132"/>
      <c r="J569" s="89"/>
      <c r="K569" s="88"/>
      <c r="L569" s="88"/>
      <c r="M569" s="88"/>
      <c r="N569" s="88"/>
      <c r="O569" s="90"/>
      <c r="P569" s="88"/>
      <c r="Q569" s="88"/>
      <c r="R569" s="92"/>
      <c r="S569" s="92"/>
      <c r="T569" s="92"/>
      <c r="U569" s="92"/>
      <c r="V569" s="92"/>
      <c r="W569" s="92"/>
      <c r="X569" s="92"/>
      <c r="Y569" s="92"/>
      <c r="Z569" s="92"/>
      <c r="AA569" s="92"/>
      <c r="AB569" s="92"/>
      <c r="AC569" s="92"/>
      <c r="AD569" s="92"/>
      <c r="AE569" s="92"/>
      <c r="AF569" s="92"/>
      <c r="AG569" s="92"/>
      <c r="AH569" s="92"/>
      <c r="AI569" s="92"/>
      <c r="AJ569" s="92"/>
      <c r="AK569" s="88"/>
      <c r="AL569" s="88"/>
      <c r="AM569" s="88"/>
      <c r="AN569" s="88"/>
      <c r="AO569" s="88"/>
      <c r="AP569" s="88"/>
      <c r="AQ569" s="88"/>
      <c r="AR569" s="88"/>
    </row>
    <row r="570" spans="1:44" ht="12.75" customHeight="1">
      <c r="A570" s="93"/>
      <c r="B570" s="93" t="s">
        <v>558</v>
      </c>
      <c r="C570" s="46"/>
      <c r="D570" s="94"/>
      <c r="E570" s="94"/>
      <c r="F570" s="95"/>
      <c r="G570" s="95"/>
      <c r="H570" s="95"/>
      <c r="I570" s="50"/>
      <c r="J570" s="95"/>
      <c r="K570" s="94"/>
      <c r="L570" s="94"/>
      <c r="M570" s="94"/>
      <c r="N570" s="94"/>
      <c r="O570" s="96"/>
      <c r="P570" s="94"/>
      <c r="Q570" s="94"/>
      <c r="R570" s="98"/>
      <c r="S570" s="98"/>
      <c r="T570" s="98"/>
      <c r="U570" s="98"/>
      <c r="V570" s="98"/>
      <c r="W570" s="98"/>
      <c r="X570" s="98"/>
      <c r="Y570" s="98"/>
      <c r="Z570" s="98"/>
      <c r="AA570" s="98"/>
      <c r="AB570" s="98"/>
      <c r="AC570" s="98"/>
      <c r="AD570" s="98"/>
      <c r="AE570" s="98"/>
      <c r="AF570" s="98"/>
      <c r="AG570" s="98"/>
      <c r="AH570" s="98"/>
      <c r="AI570" s="98"/>
      <c r="AJ570" s="98"/>
      <c r="AK570" s="94"/>
      <c r="AL570" s="94"/>
      <c r="AM570" s="94"/>
      <c r="AN570" s="94"/>
      <c r="AO570" s="94"/>
      <c r="AP570" s="94"/>
      <c r="AQ570" s="94"/>
      <c r="AR570" s="94"/>
    </row>
    <row r="571" spans="1:44" ht="12.75" customHeight="1">
      <c r="A571" s="93"/>
      <c r="B571" s="93" t="s">
        <v>559</v>
      </c>
      <c r="C571" s="94" t="s">
        <v>560</v>
      </c>
      <c r="D571" s="94">
        <v>1</v>
      </c>
      <c r="E571" s="94">
        <v>12</v>
      </c>
      <c r="F571" s="95">
        <v>7.5</v>
      </c>
      <c r="G571" s="95"/>
      <c r="H571" s="95"/>
      <c r="I571" s="50">
        <f t="shared" ref="I571:I572" si="383">PRODUCT(D571:H571)</f>
        <v>90</v>
      </c>
      <c r="J571" s="95"/>
      <c r="K571" s="94"/>
      <c r="L571" s="94"/>
      <c r="M571" s="94"/>
      <c r="N571" s="94"/>
      <c r="O571" s="96"/>
      <c r="P571" s="94"/>
      <c r="Q571" s="94"/>
      <c r="R571" s="98"/>
      <c r="S571" s="98"/>
      <c r="T571" s="98"/>
      <c r="U571" s="98"/>
      <c r="V571" s="98"/>
      <c r="W571" s="98"/>
      <c r="X571" s="98"/>
      <c r="Y571" s="98"/>
      <c r="Z571" s="98"/>
      <c r="AA571" s="98"/>
      <c r="AB571" s="98"/>
      <c r="AC571" s="98"/>
      <c r="AD571" s="98"/>
      <c r="AE571" s="98"/>
      <c r="AF571" s="98"/>
      <c r="AG571" s="98"/>
      <c r="AH571" s="98"/>
      <c r="AI571" s="98"/>
      <c r="AJ571" s="98"/>
      <c r="AK571" s="94"/>
      <c r="AL571" s="94"/>
      <c r="AM571" s="94"/>
      <c r="AN571" s="94"/>
      <c r="AO571" s="94"/>
      <c r="AP571" s="94"/>
      <c r="AQ571" s="94"/>
      <c r="AR571" s="94"/>
    </row>
    <row r="572" spans="1:44" ht="12.75" customHeight="1">
      <c r="A572" s="93"/>
      <c r="B572" s="93" t="s">
        <v>561</v>
      </c>
      <c r="C572" s="94" t="s">
        <v>560</v>
      </c>
      <c r="D572" s="94">
        <v>1</v>
      </c>
      <c r="E572" s="94">
        <v>12</v>
      </c>
      <c r="F572" s="95">
        <v>7.5</v>
      </c>
      <c r="G572" s="95"/>
      <c r="H572" s="95"/>
      <c r="I572" s="50">
        <f t="shared" si="383"/>
        <v>90</v>
      </c>
      <c r="J572" s="95"/>
      <c r="K572" s="94"/>
      <c r="L572" s="94"/>
      <c r="M572" s="94"/>
      <c r="N572" s="94"/>
      <c r="O572" s="96"/>
      <c r="P572" s="94"/>
      <c r="Q572" s="94"/>
      <c r="R572" s="98"/>
      <c r="S572" s="98"/>
      <c r="T572" s="98"/>
      <c r="U572" s="98"/>
      <c r="V572" s="98"/>
      <c r="W572" s="98"/>
      <c r="X572" s="98"/>
      <c r="Y572" s="98"/>
      <c r="Z572" s="98"/>
      <c r="AA572" s="98"/>
      <c r="AB572" s="98"/>
      <c r="AC572" s="98"/>
      <c r="AD572" s="98"/>
      <c r="AE572" s="98"/>
      <c r="AF572" s="98"/>
      <c r="AG572" s="98"/>
      <c r="AH572" s="98"/>
      <c r="AI572" s="98"/>
      <c r="AJ572" s="98"/>
      <c r="AK572" s="94"/>
      <c r="AL572" s="94"/>
      <c r="AM572" s="94"/>
      <c r="AN572" s="94"/>
      <c r="AO572" s="94"/>
      <c r="AP572" s="94"/>
      <c r="AQ572" s="94"/>
      <c r="AR572" s="94"/>
    </row>
    <row r="573" spans="1:44" ht="12.75" customHeight="1">
      <c r="A573" s="93"/>
      <c r="B573" s="93"/>
      <c r="C573" s="94"/>
      <c r="D573" s="94"/>
      <c r="E573" s="94"/>
      <c r="F573" s="95"/>
      <c r="G573" s="95"/>
      <c r="H573" s="95"/>
      <c r="I573" s="95"/>
      <c r="J573" s="95"/>
      <c r="K573" s="94"/>
      <c r="L573" s="94"/>
      <c r="M573" s="94"/>
      <c r="N573" s="94"/>
      <c r="O573" s="96"/>
      <c r="P573" s="94"/>
      <c r="Q573" s="94"/>
      <c r="R573" s="98"/>
      <c r="S573" s="98"/>
      <c r="T573" s="98"/>
      <c r="U573" s="98"/>
      <c r="V573" s="98"/>
      <c r="W573" s="98"/>
      <c r="X573" s="98"/>
      <c r="Y573" s="98"/>
      <c r="Z573" s="98"/>
      <c r="AA573" s="98"/>
      <c r="AB573" s="98"/>
      <c r="AC573" s="98"/>
      <c r="AD573" s="98"/>
      <c r="AE573" s="98"/>
      <c r="AF573" s="98"/>
      <c r="AG573" s="98"/>
      <c r="AH573" s="98"/>
      <c r="AI573" s="98"/>
      <c r="AJ573" s="98"/>
      <c r="AK573" s="94"/>
      <c r="AL573" s="94"/>
      <c r="AM573" s="94"/>
      <c r="AN573" s="94"/>
      <c r="AO573" s="94"/>
      <c r="AP573" s="94"/>
      <c r="AQ573" s="94"/>
      <c r="AR573" s="94"/>
    </row>
    <row r="574" spans="1:44" ht="12.75" customHeight="1">
      <c r="A574" s="99"/>
      <c r="B574" s="99" t="s">
        <v>194</v>
      </c>
      <c r="C574" s="100"/>
      <c r="D574" s="100"/>
      <c r="E574" s="100"/>
      <c r="F574" s="101"/>
      <c r="G574" s="101"/>
      <c r="H574" s="101"/>
      <c r="I574" s="101">
        <f>SUM(I571:I573)</f>
        <v>180</v>
      </c>
      <c r="J574" s="95"/>
      <c r="K574" s="94"/>
      <c r="L574" s="94"/>
      <c r="M574" s="94"/>
      <c r="N574" s="94"/>
      <c r="O574" s="96"/>
      <c r="P574" s="94"/>
      <c r="Q574" s="94"/>
      <c r="R574" s="98"/>
      <c r="S574" s="98"/>
      <c r="T574" s="98"/>
      <c r="U574" s="98"/>
      <c r="V574" s="98"/>
      <c r="W574" s="98"/>
      <c r="X574" s="98"/>
      <c r="Y574" s="98"/>
      <c r="Z574" s="98"/>
      <c r="AA574" s="98"/>
      <c r="AB574" s="98"/>
      <c r="AC574" s="98"/>
      <c r="AD574" s="98"/>
      <c r="AE574" s="98"/>
      <c r="AF574" s="98"/>
      <c r="AG574" s="98"/>
      <c r="AH574" s="98"/>
      <c r="AI574" s="98"/>
      <c r="AJ574" s="98"/>
      <c r="AK574" s="94"/>
      <c r="AL574" s="94"/>
      <c r="AM574" s="94"/>
      <c r="AN574" s="94"/>
      <c r="AO574" s="94"/>
      <c r="AP574" s="94"/>
      <c r="AQ574" s="94"/>
      <c r="AR574" s="94"/>
    </row>
    <row r="575" spans="1:44" ht="12.75" customHeight="1">
      <c r="A575" s="87"/>
      <c r="B575" s="87"/>
      <c r="C575" s="131"/>
      <c r="D575" s="88"/>
      <c r="E575" s="88"/>
      <c r="F575" s="89"/>
      <c r="G575" s="89"/>
      <c r="H575" s="89"/>
      <c r="I575" s="132"/>
      <c r="J575" s="89"/>
      <c r="K575" s="88"/>
      <c r="L575" s="88"/>
      <c r="M575" s="88"/>
      <c r="N575" s="88"/>
      <c r="O575" s="90"/>
      <c r="P575" s="88"/>
      <c r="Q575" s="88"/>
      <c r="R575" s="92"/>
      <c r="S575" s="92"/>
      <c r="T575" s="92"/>
      <c r="U575" s="92"/>
      <c r="V575" s="92"/>
      <c r="W575" s="92"/>
      <c r="X575" s="92"/>
      <c r="Y575" s="92"/>
      <c r="Z575" s="92"/>
      <c r="AA575" s="92"/>
      <c r="AB575" s="92"/>
      <c r="AC575" s="92"/>
      <c r="AD575" s="92"/>
      <c r="AE575" s="92"/>
      <c r="AF575" s="92"/>
      <c r="AG575" s="92"/>
      <c r="AH575" s="92"/>
      <c r="AI575" s="92"/>
      <c r="AJ575" s="92"/>
      <c r="AK575" s="88"/>
      <c r="AL575" s="88"/>
      <c r="AM575" s="88"/>
      <c r="AN575" s="88"/>
      <c r="AO575" s="88"/>
      <c r="AP575" s="88"/>
      <c r="AQ575" s="88"/>
      <c r="AR575" s="88"/>
    </row>
    <row r="576" spans="1:44" ht="12.75" customHeight="1">
      <c r="A576" s="87"/>
      <c r="B576" s="87"/>
      <c r="C576" s="131"/>
      <c r="D576" s="88"/>
      <c r="E576" s="88"/>
      <c r="F576" s="89"/>
      <c r="G576" s="89"/>
      <c r="H576" s="89"/>
      <c r="I576" s="132"/>
      <c r="J576" s="89"/>
      <c r="K576" s="88"/>
      <c r="L576" s="88"/>
      <c r="M576" s="88"/>
      <c r="N576" s="88"/>
      <c r="O576" s="90"/>
      <c r="P576" s="88"/>
      <c r="Q576" s="88"/>
      <c r="R576" s="92"/>
      <c r="S576" s="92"/>
      <c r="T576" s="92"/>
      <c r="U576" s="92"/>
      <c r="V576" s="92"/>
      <c r="W576" s="92"/>
      <c r="X576" s="92"/>
      <c r="Y576" s="92"/>
      <c r="Z576" s="92"/>
      <c r="AA576" s="92"/>
      <c r="AB576" s="92"/>
      <c r="AC576" s="92"/>
      <c r="AD576" s="92"/>
      <c r="AE576" s="92"/>
      <c r="AF576" s="92"/>
      <c r="AG576" s="92"/>
      <c r="AH576" s="92"/>
      <c r="AI576" s="92"/>
      <c r="AJ576" s="92"/>
      <c r="AK576" s="88"/>
      <c r="AL576" s="88"/>
      <c r="AM576" s="88"/>
      <c r="AN576" s="88"/>
      <c r="AO576" s="88"/>
      <c r="AP576" s="88"/>
      <c r="AQ576" s="88"/>
      <c r="AR576" s="88"/>
    </row>
    <row r="577" spans="1:44" ht="12.75" customHeight="1">
      <c r="A577" s="87"/>
      <c r="B577" s="87"/>
      <c r="C577" s="88"/>
      <c r="D577" s="88"/>
      <c r="E577" s="88"/>
      <c r="F577" s="89"/>
      <c r="G577" s="89"/>
      <c r="H577" s="89"/>
      <c r="I577" s="89"/>
      <c r="J577" s="89"/>
      <c r="K577" s="88"/>
      <c r="L577" s="88"/>
      <c r="M577" s="88"/>
      <c r="N577" s="88"/>
      <c r="O577" s="90"/>
      <c r="P577" s="88"/>
      <c r="Q577" s="88"/>
      <c r="R577" s="92"/>
      <c r="S577" s="92"/>
      <c r="T577" s="92"/>
      <c r="U577" s="92"/>
      <c r="V577" s="92"/>
      <c r="W577" s="92"/>
      <c r="X577" s="92"/>
      <c r="Y577" s="92"/>
      <c r="Z577" s="92"/>
      <c r="AA577" s="92"/>
      <c r="AB577" s="92"/>
      <c r="AC577" s="92"/>
      <c r="AD577" s="92"/>
      <c r="AE577" s="92"/>
      <c r="AF577" s="92"/>
      <c r="AG577" s="92"/>
      <c r="AH577" s="92"/>
      <c r="AI577" s="92"/>
      <c r="AJ577" s="92"/>
      <c r="AK577" s="88"/>
      <c r="AL577" s="88"/>
      <c r="AM577" s="88"/>
      <c r="AN577" s="88"/>
      <c r="AO577" s="88"/>
      <c r="AP577" s="88"/>
      <c r="AQ577" s="88"/>
      <c r="AR577" s="88"/>
    </row>
    <row r="578" spans="1:44" ht="12.75" customHeight="1">
      <c r="A578" s="133"/>
      <c r="B578" s="133"/>
      <c r="C578" s="134"/>
      <c r="D578" s="134"/>
      <c r="E578" s="134"/>
      <c r="F578" s="135"/>
      <c r="G578" s="135"/>
      <c r="H578" s="135"/>
      <c r="I578" s="135"/>
      <c r="J578" s="89"/>
      <c r="K578" s="88"/>
      <c r="L578" s="88"/>
      <c r="M578" s="88"/>
      <c r="N578" s="88"/>
      <c r="O578" s="90"/>
      <c r="P578" s="88"/>
      <c r="Q578" s="88"/>
      <c r="R578" s="92"/>
      <c r="S578" s="92"/>
      <c r="T578" s="92"/>
      <c r="U578" s="92"/>
      <c r="V578" s="92"/>
      <c r="W578" s="92"/>
      <c r="X578" s="92"/>
      <c r="Y578" s="92"/>
      <c r="Z578" s="92"/>
      <c r="AA578" s="92"/>
      <c r="AB578" s="92"/>
      <c r="AC578" s="92"/>
      <c r="AD578" s="92"/>
      <c r="AE578" s="92"/>
      <c r="AF578" s="92"/>
      <c r="AG578" s="92"/>
      <c r="AH578" s="92"/>
      <c r="AI578" s="92"/>
      <c r="AJ578" s="92"/>
      <c r="AK578" s="88"/>
      <c r="AL578" s="88"/>
      <c r="AM578" s="88"/>
      <c r="AN578" s="88"/>
      <c r="AO578" s="88"/>
      <c r="AP578" s="88"/>
      <c r="AQ578" s="88"/>
      <c r="AR578" s="88"/>
    </row>
    <row r="579" spans="1:44" ht="12.75" customHeight="1">
      <c r="A579" s="87"/>
      <c r="B579" s="87"/>
      <c r="C579" s="88"/>
      <c r="D579" s="88"/>
      <c r="E579" s="88"/>
      <c r="F579" s="89"/>
      <c r="G579" s="89"/>
      <c r="H579" s="89"/>
      <c r="I579" s="89"/>
      <c r="J579" s="89"/>
      <c r="K579" s="88"/>
      <c r="L579" s="88"/>
      <c r="M579" s="88"/>
      <c r="N579" s="88"/>
      <c r="O579" s="90"/>
      <c r="P579" s="88"/>
      <c r="Q579" s="88"/>
      <c r="R579" s="92"/>
      <c r="S579" s="92"/>
      <c r="T579" s="92"/>
      <c r="U579" s="92"/>
      <c r="V579" s="92"/>
      <c r="W579" s="92"/>
      <c r="X579" s="92"/>
      <c r="Y579" s="92"/>
      <c r="Z579" s="92"/>
      <c r="AA579" s="92"/>
      <c r="AB579" s="92"/>
      <c r="AC579" s="92"/>
      <c r="AD579" s="92"/>
      <c r="AE579" s="92"/>
      <c r="AF579" s="92"/>
      <c r="AG579" s="92"/>
      <c r="AH579" s="92"/>
      <c r="AI579" s="92"/>
      <c r="AJ579" s="92"/>
      <c r="AK579" s="88"/>
      <c r="AL579" s="88"/>
      <c r="AM579" s="88"/>
      <c r="AN579" s="88"/>
      <c r="AO579" s="88"/>
      <c r="AP579" s="88"/>
      <c r="AQ579" s="88"/>
      <c r="AR579" s="88"/>
    </row>
    <row r="580" spans="1:44" ht="12.75" customHeight="1">
      <c r="A580" s="87"/>
      <c r="B580" s="87"/>
      <c r="C580" s="131"/>
      <c r="D580" s="88"/>
      <c r="E580" s="88"/>
      <c r="F580" s="89"/>
      <c r="G580" s="89"/>
      <c r="H580" s="89"/>
      <c r="I580" s="132"/>
      <c r="J580" s="89"/>
      <c r="K580" s="88"/>
      <c r="L580" s="88"/>
      <c r="M580" s="88"/>
      <c r="N580" s="88"/>
      <c r="O580" s="90"/>
      <c r="P580" s="88"/>
      <c r="Q580" s="88"/>
      <c r="R580" s="92"/>
      <c r="S580" s="92"/>
      <c r="T580" s="92"/>
      <c r="U580" s="92"/>
      <c r="V580" s="92"/>
      <c r="W580" s="92"/>
      <c r="X580" s="92"/>
      <c r="Y580" s="92"/>
      <c r="Z580" s="92"/>
      <c r="AA580" s="92"/>
      <c r="AB580" s="92"/>
      <c r="AC580" s="92"/>
      <c r="AD580" s="92"/>
      <c r="AE580" s="92"/>
      <c r="AF580" s="92"/>
      <c r="AG580" s="92"/>
      <c r="AH580" s="92"/>
      <c r="AI580" s="92"/>
      <c r="AJ580" s="92"/>
      <c r="AK580" s="88"/>
      <c r="AL580" s="88"/>
      <c r="AM580" s="88"/>
      <c r="AN580" s="88"/>
      <c r="AO580" s="88"/>
      <c r="AP580" s="88"/>
      <c r="AQ580" s="88"/>
      <c r="AR580" s="88"/>
    </row>
    <row r="581" spans="1:44" ht="12.75" customHeight="1">
      <c r="A581" s="87"/>
      <c r="B581" s="87"/>
      <c r="C581" s="131"/>
      <c r="D581" s="88"/>
      <c r="E581" s="88"/>
      <c r="F581" s="89"/>
      <c r="G581" s="89"/>
      <c r="H581" s="89"/>
      <c r="I581" s="132"/>
      <c r="J581" s="89"/>
      <c r="K581" s="88"/>
      <c r="L581" s="88"/>
      <c r="M581" s="88"/>
      <c r="N581" s="88"/>
      <c r="O581" s="90"/>
      <c r="P581" s="88"/>
      <c r="Q581" s="88"/>
      <c r="R581" s="92"/>
      <c r="S581" s="92"/>
      <c r="T581" s="92"/>
      <c r="U581" s="92"/>
      <c r="V581" s="92"/>
      <c r="W581" s="92"/>
      <c r="X581" s="92"/>
      <c r="Y581" s="92"/>
      <c r="Z581" s="92"/>
      <c r="AA581" s="92"/>
      <c r="AB581" s="92"/>
      <c r="AC581" s="92"/>
      <c r="AD581" s="92"/>
      <c r="AE581" s="92"/>
      <c r="AF581" s="92"/>
      <c r="AG581" s="92"/>
      <c r="AH581" s="92"/>
      <c r="AI581" s="92"/>
      <c r="AJ581" s="92"/>
      <c r="AK581" s="88"/>
      <c r="AL581" s="88"/>
      <c r="AM581" s="88"/>
      <c r="AN581" s="88"/>
      <c r="AO581" s="88"/>
      <c r="AP581" s="88"/>
      <c r="AQ581" s="88"/>
      <c r="AR581" s="88"/>
    </row>
    <row r="582" spans="1:44" ht="12.75" customHeight="1">
      <c r="A582" s="87"/>
      <c r="B582" s="87"/>
      <c r="C582" s="88"/>
      <c r="D582" s="88"/>
      <c r="E582" s="88"/>
      <c r="F582" s="89"/>
      <c r="G582" s="89"/>
      <c r="H582" s="89"/>
      <c r="I582" s="89"/>
      <c r="J582" s="89"/>
      <c r="K582" s="88"/>
      <c r="L582" s="88"/>
      <c r="M582" s="88"/>
      <c r="N582" s="88"/>
      <c r="O582" s="90"/>
      <c r="P582" s="88"/>
      <c r="Q582" s="88"/>
      <c r="R582" s="92"/>
      <c r="S582" s="92"/>
      <c r="T582" s="92"/>
      <c r="U582" s="92"/>
      <c r="V582" s="92"/>
      <c r="W582" s="92"/>
      <c r="X582" s="92"/>
      <c r="Y582" s="92"/>
      <c r="Z582" s="92"/>
      <c r="AA582" s="92"/>
      <c r="AB582" s="92"/>
      <c r="AC582" s="92"/>
      <c r="AD582" s="92"/>
      <c r="AE582" s="92"/>
      <c r="AF582" s="92"/>
      <c r="AG582" s="92"/>
      <c r="AH582" s="92"/>
      <c r="AI582" s="92"/>
      <c r="AJ582" s="92"/>
      <c r="AK582" s="88"/>
      <c r="AL582" s="88"/>
      <c r="AM582" s="88"/>
      <c r="AN582" s="88"/>
      <c r="AO582" s="88"/>
      <c r="AP582" s="88"/>
      <c r="AQ582" s="88"/>
      <c r="AR582" s="88"/>
    </row>
    <row r="583" spans="1:44" ht="12.75" customHeight="1">
      <c r="A583" s="133"/>
      <c r="B583" s="133"/>
      <c r="C583" s="134"/>
      <c r="D583" s="134"/>
      <c r="E583" s="134"/>
      <c r="F583" s="135"/>
      <c r="G583" s="135"/>
      <c r="H583" s="135"/>
      <c r="I583" s="135"/>
      <c r="J583" s="89"/>
      <c r="K583" s="88"/>
      <c r="L583" s="88"/>
      <c r="M583" s="88"/>
      <c r="N583" s="88"/>
      <c r="O583" s="90"/>
      <c r="P583" s="88"/>
      <c r="Q583" s="88"/>
      <c r="R583" s="92"/>
      <c r="S583" s="92"/>
      <c r="T583" s="92"/>
      <c r="U583" s="92"/>
      <c r="V583" s="92"/>
      <c r="W583" s="92"/>
      <c r="X583" s="92"/>
      <c r="Y583" s="92"/>
      <c r="Z583" s="92"/>
      <c r="AA583" s="92"/>
      <c r="AB583" s="92"/>
      <c r="AC583" s="92"/>
      <c r="AD583" s="92"/>
      <c r="AE583" s="92"/>
      <c r="AF583" s="92"/>
      <c r="AG583" s="92"/>
      <c r="AH583" s="92"/>
      <c r="AI583" s="92"/>
      <c r="AJ583" s="92"/>
      <c r="AK583" s="88"/>
      <c r="AL583" s="88"/>
      <c r="AM583" s="88"/>
      <c r="AN583" s="88"/>
      <c r="AO583" s="88"/>
      <c r="AP583" s="88"/>
      <c r="AQ583" s="88"/>
      <c r="AR583" s="88"/>
    </row>
    <row r="584" spans="1:44" ht="12.75" customHeight="1">
      <c r="A584" s="87"/>
      <c r="B584" s="87"/>
      <c r="C584" s="88"/>
      <c r="D584" s="88"/>
      <c r="E584" s="88"/>
      <c r="F584" s="89"/>
      <c r="G584" s="89"/>
      <c r="H584" s="89"/>
      <c r="I584" s="89"/>
      <c r="J584" s="89"/>
      <c r="K584" s="88"/>
      <c r="L584" s="88"/>
      <c r="M584" s="88"/>
      <c r="N584" s="88"/>
      <c r="O584" s="90"/>
      <c r="P584" s="88"/>
      <c r="Q584" s="88"/>
      <c r="R584" s="92"/>
      <c r="S584" s="92"/>
      <c r="T584" s="92"/>
      <c r="U584" s="92"/>
      <c r="V584" s="92"/>
      <c r="W584" s="92"/>
      <c r="X584" s="92"/>
      <c r="Y584" s="92"/>
      <c r="Z584" s="92"/>
      <c r="AA584" s="92"/>
      <c r="AB584" s="92"/>
      <c r="AC584" s="92"/>
      <c r="AD584" s="92"/>
      <c r="AE584" s="92"/>
      <c r="AF584" s="92"/>
      <c r="AG584" s="92"/>
      <c r="AH584" s="92"/>
      <c r="AI584" s="92"/>
      <c r="AJ584" s="92"/>
      <c r="AK584" s="88"/>
      <c r="AL584" s="88"/>
      <c r="AM584" s="88"/>
      <c r="AN584" s="88"/>
      <c r="AO584" s="88"/>
      <c r="AP584" s="88"/>
      <c r="AQ584" s="88"/>
      <c r="AR584" s="88"/>
    </row>
    <row r="585" spans="1:44" ht="12.75" customHeight="1">
      <c r="A585" s="87"/>
      <c r="B585" s="87"/>
      <c r="C585" s="131"/>
      <c r="D585" s="88"/>
      <c r="E585" s="88"/>
      <c r="F585" s="89"/>
      <c r="G585" s="89"/>
      <c r="H585" s="89"/>
      <c r="I585" s="132"/>
      <c r="J585" s="89"/>
      <c r="K585" s="88"/>
      <c r="L585" s="88"/>
      <c r="M585" s="88"/>
      <c r="N585" s="88"/>
      <c r="O585" s="90"/>
      <c r="P585" s="88"/>
      <c r="Q585" s="88"/>
      <c r="R585" s="92"/>
      <c r="S585" s="92"/>
      <c r="T585" s="92"/>
      <c r="U585" s="92"/>
      <c r="V585" s="92"/>
      <c r="W585" s="92"/>
      <c r="X585" s="92"/>
      <c r="Y585" s="92"/>
      <c r="Z585" s="92"/>
      <c r="AA585" s="92"/>
      <c r="AB585" s="92"/>
      <c r="AC585" s="92"/>
      <c r="AD585" s="92"/>
      <c r="AE585" s="92"/>
      <c r="AF585" s="92"/>
      <c r="AG585" s="92"/>
      <c r="AH585" s="92"/>
      <c r="AI585" s="92"/>
      <c r="AJ585" s="92"/>
      <c r="AK585" s="88"/>
      <c r="AL585" s="88"/>
      <c r="AM585" s="88"/>
      <c r="AN585" s="88"/>
      <c r="AO585" s="88"/>
      <c r="AP585" s="88"/>
      <c r="AQ585" s="88"/>
      <c r="AR585" s="88"/>
    </row>
    <row r="586" spans="1:44" ht="12.75" customHeight="1">
      <c r="A586" s="87"/>
      <c r="B586" s="87"/>
      <c r="C586" s="88"/>
      <c r="D586" s="88"/>
      <c r="E586" s="88"/>
      <c r="F586" s="89"/>
      <c r="G586" s="89"/>
      <c r="H586" s="89"/>
      <c r="I586" s="89"/>
      <c r="J586" s="89"/>
      <c r="K586" s="88"/>
      <c r="L586" s="88"/>
      <c r="M586" s="88"/>
      <c r="N586" s="88"/>
      <c r="O586" s="90"/>
      <c r="P586" s="88"/>
      <c r="Q586" s="88"/>
      <c r="R586" s="92"/>
      <c r="S586" s="92"/>
      <c r="T586" s="92"/>
      <c r="U586" s="92"/>
      <c r="V586" s="92"/>
      <c r="W586" s="92"/>
      <c r="X586" s="92"/>
      <c r="Y586" s="92"/>
      <c r="Z586" s="92"/>
      <c r="AA586" s="92"/>
      <c r="AB586" s="92"/>
      <c r="AC586" s="92"/>
      <c r="AD586" s="92"/>
      <c r="AE586" s="92"/>
      <c r="AF586" s="92"/>
      <c r="AG586" s="92"/>
      <c r="AH586" s="92"/>
      <c r="AI586" s="92"/>
      <c r="AJ586" s="92"/>
      <c r="AK586" s="88"/>
      <c r="AL586" s="88"/>
      <c r="AM586" s="88"/>
      <c r="AN586" s="88"/>
      <c r="AO586" s="88"/>
      <c r="AP586" s="88"/>
      <c r="AQ586" s="88"/>
      <c r="AR586" s="88"/>
    </row>
    <row r="587" spans="1:44" ht="12.75" customHeight="1">
      <c r="A587" s="133"/>
      <c r="B587" s="133"/>
      <c r="C587" s="134"/>
      <c r="D587" s="134"/>
      <c r="E587" s="134"/>
      <c r="F587" s="135"/>
      <c r="G587" s="135"/>
      <c r="H587" s="135"/>
      <c r="I587" s="135"/>
      <c r="J587" s="89"/>
      <c r="K587" s="88"/>
      <c r="L587" s="88"/>
      <c r="M587" s="88"/>
      <c r="N587" s="88"/>
      <c r="O587" s="90"/>
      <c r="P587" s="88"/>
      <c r="Q587" s="88"/>
      <c r="R587" s="92"/>
      <c r="S587" s="92"/>
      <c r="T587" s="92"/>
      <c r="U587" s="92"/>
      <c r="V587" s="92"/>
      <c r="W587" s="92"/>
      <c r="X587" s="92"/>
      <c r="Y587" s="92"/>
      <c r="Z587" s="92"/>
      <c r="AA587" s="92"/>
      <c r="AB587" s="92"/>
      <c r="AC587" s="92"/>
      <c r="AD587" s="92"/>
      <c r="AE587" s="92"/>
      <c r="AF587" s="92"/>
      <c r="AG587" s="92"/>
      <c r="AH587" s="92"/>
      <c r="AI587" s="92"/>
      <c r="AJ587" s="92"/>
      <c r="AK587" s="88"/>
      <c r="AL587" s="88"/>
      <c r="AM587" s="88"/>
      <c r="AN587" s="88"/>
      <c r="AO587" s="88"/>
      <c r="AP587" s="88"/>
      <c r="AQ587" s="88"/>
      <c r="AR587" s="88"/>
    </row>
    <row r="588" spans="1:44" ht="12.75" customHeight="1">
      <c r="A588" s="87"/>
      <c r="B588" s="87"/>
      <c r="C588" s="88"/>
      <c r="D588" s="88"/>
      <c r="E588" s="88"/>
      <c r="F588" s="89"/>
      <c r="G588" s="89"/>
      <c r="H588" s="89"/>
      <c r="I588" s="89"/>
      <c r="J588" s="89"/>
      <c r="K588" s="88"/>
      <c r="L588" s="88"/>
      <c r="M588" s="88"/>
      <c r="N588" s="88"/>
      <c r="O588" s="90"/>
      <c r="P588" s="88"/>
      <c r="Q588" s="88"/>
      <c r="R588" s="92"/>
      <c r="S588" s="92"/>
      <c r="T588" s="92"/>
      <c r="U588" s="92"/>
      <c r="V588" s="92"/>
      <c r="W588" s="92"/>
      <c r="X588" s="92"/>
      <c r="Y588" s="92"/>
      <c r="Z588" s="92"/>
      <c r="AA588" s="92"/>
      <c r="AB588" s="92"/>
      <c r="AC588" s="92"/>
      <c r="AD588" s="92"/>
      <c r="AE588" s="92"/>
      <c r="AF588" s="92"/>
      <c r="AG588" s="92"/>
      <c r="AH588" s="92"/>
      <c r="AI588" s="92"/>
      <c r="AJ588" s="92"/>
      <c r="AK588" s="88"/>
      <c r="AL588" s="88"/>
      <c r="AM588" s="88"/>
      <c r="AN588" s="88"/>
      <c r="AO588" s="88"/>
      <c r="AP588" s="88"/>
      <c r="AQ588" s="88"/>
      <c r="AR588" s="88"/>
    </row>
    <row r="589" spans="1:44" ht="12.75" customHeight="1">
      <c r="A589" s="87"/>
      <c r="B589" s="87"/>
      <c r="C589" s="131"/>
      <c r="D589" s="88"/>
      <c r="E589" s="88"/>
      <c r="F589" s="89"/>
      <c r="G589" s="89"/>
      <c r="H589" s="89"/>
      <c r="I589" s="89"/>
      <c r="J589" s="89"/>
      <c r="K589" s="88"/>
      <c r="L589" s="88"/>
      <c r="M589" s="88"/>
      <c r="N589" s="88"/>
      <c r="O589" s="90"/>
      <c r="P589" s="88"/>
      <c r="Q589" s="88"/>
      <c r="R589" s="92"/>
      <c r="S589" s="92"/>
      <c r="T589" s="92"/>
      <c r="U589" s="92"/>
      <c r="V589" s="92"/>
      <c r="W589" s="92"/>
      <c r="X589" s="92"/>
      <c r="Y589" s="92"/>
      <c r="Z589" s="92"/>
      <c r="AA589" s="92"/>
      <c r="AB589" s="92"/>
      <c r="AC589" s="92"/>
      <c r="AD589" s="92"/>
      <c r="AE589" s="92"/>
      <c r="AF589" s="92"/>
      <c r="AG589" s="92"/>
      <c r="AH589" s="92"/>
      <c r="AI589" s="92"/>
      <c r="AJ589" s="92"/>
      <c r="AK589" s="88"/>
      <c r="AL589" s="88"/>
      <c r="AM589" s="88"/>
      <c r="AN589" s="88"/>
      <c r="AO589" s="88"/>
      <c r="AP589" s="88"/>
      <c r="AQ589" s="88"/>
      <c r="AR589" s="88"/>
    </row>
    <row r="590" spans="1:44" ht="12.75" customHeight="1">
      <c r="A590" s="87"/>
      <c r="B590" s="87"/>
      <c r="C590" s="131"/>
      <c r="D590" s="88"/>
      <c r="E590" s="88"/>
      <c r="F590" s="89"/>
      <c r="G590" s="89"/>
      <c r="H590" s="89"/>
      <c r="I590" s="132"/>
      <c r="J590" s="89"/>
      <c r="K590" s="88"/>
      <c r="L590" s="88"/>
      <c r="M590" s="88"/>
      <c r="N590" s="88"/>
      <c r="O590" s="90"/>
      <c r="P590" s="88"/>
      <c r="Q590" s="88"/>
      <c r="R590" s="92"/>
      <c r="S590" s="92"/>
      <c r="T590" s="92"/>
      <c r="U590" s="92"/>
      <c r="V590" s="92"/>
      <c r="W590" s="92"/>
      <c r="X590" s="92"/>
      <c r="Y590" s="92"/>
      <c r="Z590" s="92"/>
      <c r="AA590" s="92"/>
      <c r="AB590" s="92"/>
      <c r="AC590" s="92"/>
      <c r="AD590" s="92"/>
      <c r="AE590" s="92"/>
      <c r="AF590" s="92"/>
      <c r="AG590" s="92"/>
      <c r="AH590" s="92"/>
      <c r="AI590" s="92"/>
      <c r="AJ590" s="92"/>
      <c r="AK590" s="88"/>
      <c r="AL590" s="88"/>
      <c r="AM590" s="88"/>
      <c r="AN590" s="88"/>
      <c r="AO590" s="88"/>
      <c r="AP590" s="88"/>
      <c r="AQ590" s="88"/>
      <c r="AR590" s="88"/>
    </row>
    <row r="591" spans="1:44" ht="12.75" customHeight="1">
      <c r="A591" s="87"/>
      <c r="B591" s="87"/>
      <c r="C591" s="131"/>
      <c r="D591" s="88"/>
      <c r="E591" s="88"/>
      <c r="F591" s="89"/>
      <c r="G591" s="89"/>
      <c r="H591" s="89"/>
      <c r="I591" s="132"/>
      <c r="J591" s="89"/>
      <c r="K591" s="88"/>
      <c r="L591" s="88"/>
      <c r="M591" s="88"/>
      <c r="N591" s="88"/>
      <c r="O591" s="90"/>
      <c r="P591" s="88"/>
      <c r="Q591" s="88"/>
      <c r="R591" s="92"/>
      <c r="S591" s="92"/>
      <c r="T591" s="92"/>
      <c r="U591" s="92"/>
      <c r="V591" s="92"/>
      <c r="W591" s="92"/>
      <c r="X591" s="92"/>
      <c r="Y591" s="92"/>
      <c r="Z591" s="92"/>
      <c r="AA591" s="92"/>
      <c r="AB591" s="92"/>
      <c r="AC591" s="92"/>
      <c r="AD591" s="92"/>
      <c r="AE591" s="92"/>
      <c r="AF591" s="92"/>
      <c r="AG591" s="92"/>
      <c r="AH591" s="92"/>
      <c r="AI591" s="92"/>
      <c r="AJ591" s="92"/>
      <c r="AK591" s="88"/>
      <c r="AL591" s="88"/>
      <c r="AM591" s="88"/>
      <c r="AN591" s="88"/>
      <c r="AO591" s="88"/>
      <c r="AP591" s="88"/>
      <c r="AQ591" s="88"/>
      <c r="AR591" s="88"/>
    </row>
    <row r="592" spans="1:44" ht="12.75" customHeight="1">
      <c r="A592" s="87"/>
      <c r="B592" s="87"/>
      <c r="C592" s="131"/>
      <c r="D592" s="88"/>
      <c r="E592" s="88"/>
      <c r="F592" s="89"/>
      <c r="G592" s="89"/>
      <c r="H592" s="89"/>
      <c r="I592" s="132"/>
      <c r="J592" s="89"/>
      <c r="K592" s="88"/>
      <c r="L592" s="88"/>
      <c r="M592" s="88"/>
      <c r="N592" s="88"/>
      <c r="O592" s="90"/>
      <c r="P592" s="88"/>
      <c r="Q592" s="88"/>
      <c r="R592" s="92"/>
      <c r="S592" s="92"/>
      <c r="T592" s="92"/>
      <c r="U592" s="92"/>
      <c r="V592" s="92"/>
      <c r="W592" s="92"/>
      <c r="X592" s="92"/>
      <c r="Y592" s="92"/>
      <c r="Z592" s="92"/>
      <c r="AA592" s="92"/>
      <c r="AB592" s="92"/>
      <c r="AC592" s="92"/>
      <c r="AD592" s="92"/>
      <c r="AE592" s="92"/>
      <c r="AF592" s="92"/>
      <c r="AG592" s="92"/>
      <c r="AH592" s="92"/>
      <c r="AI592" s="92"/>
      <c r="AJ592" s="92"/>
      <c r="AK592" s="88"/>
      <c r="AL592" s="88"/>
      <c r="AM592" s="88"/>
      <c r="AN592" s="88"/>
      <c r="AO592" s="88"/>
      <c r="AP592" s="88"/>
      <c r="AQ592" s="88"/>
      <c r="AR592" s="88"/>
    </row>
    <row r="593" spans="1:44" ht="12.75" customHeight="1">
      <c r="A593" s="87"/>
      <c r="B593" s="87"/>
      <c r="C593" s="131"/>
      <c r="D593" s="88"/>
      <c r="E593" s="88"/>
      <c r="F593" s="89"/>
      <c r="G593" s="89"/>
      <c r="H593" s="89"/>
      <c r="I593" s="132"/>
      <c r="J593" s="89"/>
      <c r="K593" s="88"/>
      <c r="L593" s="88"/>
      <c r="M593" s="88"/>
      <c r="N593" s="88"/>
      <c r="O593" s="90"/>
      <c r="P593" s="88"/>
      <c r="Q593" s="88"/>
      <c r="R593" s="92"/>
      <c r="S593" s="92"/>
      <c r="T593" s="92"/>
      <c r="U593" s="92"/>
      <c r="V593" s="92"/>
      <c r="W593" s="92"/>
      <c r="X593" s="92"/>
      <c r="Y593" s="92"/>
      <c r="Z593" s="92"/>
      <c r="AA593" s="92"/>
      <c r="AB593" s="92"/>
      <c r="AC593" s="92"/>
      <c r="AD593" s="92"/>
      <c r="AE593" s="92"/>
      <c r="AF593" s="92"/>
      <c r="AG593" s="92"/>
      <c r="AH593" s="92"/>
      <c r="AI593" s="92"/>
      <c r="AJ593" s="92"/>
      <c r="AK593" s="88"/>
      <c r="AL593" s="88"/>
      <c r="AM593" s="88"/>
      <c r="AN593" s="88"/>
      <c r="AO593" s="88"/>
      <c r="AP593" s="88"/>
      <c r="AQ593" s="88"/>
      <c r="AR593" s="88"/>
    </row>
    <row r="594" spans="1:44" ht="12.75" customHeight="1">
      <c r="A594" s="133"/>
      <c r="B594" s="133"/>
      <c r="C594" s="134"/>
      <c r="D594" s="134"/>
      <c r="E594" s="134"/>
      <c r="F594" s="135"/>
      <c r="G594" s="135"/>
      <c r="H594" s="135"/>
      <c r="I594" s="135"/>
      <c r="J594" s="89"/>
      <c r="K594" s="88"/>
      <c r="L594" s="88"/>
      <c r="M594" s="88"/>
      <c r="N594" s="88"/>
      <c r="O594" s="90"/>
      <c r="P594" s="88"/>
      <c r="Q594" s="88"/>
      <c r="R594" s="92"/>
      <c r="S594" s="92"/>
      <c r="T594" s="92"/>
      <c r="U594" s="92"/>
      <c r="V594" s="92"/>
      <c r="W594" s="92"/>
      <c r="X594" s="92"/>
      <c r="Y594" s="92"/>
      <c r="Z594" s="92"/>
      <c r="AA594" s="92"/>
      <c r="AB594" s="92"/>
      <c r="AC594" s="92"/>
      <c r="AD594" s="92"/>
      <c r="AE594" s="92"/>
      <c r="AF594" s="92"/>
      <c r="AG594" s="92"/>
      <c r="AH594" s="92"/>
      <c r="AI594" s="92"/>
      <c r="AJ594" s="92"/>
      <c r="AK594" s="88"/>
      <c r="AL594" s="88"/>
      <c r="AM594" s="88"/>
      <c r="AN594" s="88"/>
      <c r="AO594" s="88"/>
      <c r="AP594" s="88"/>
      <c r="AQ594" s="88"/>
      <c r="AR594" s="88"/>
    </row>
    <row r="595" spans="1:44" ht="12.75" customHeight="1">
      <c r="A595" s="87"/>
      <c r="B595" s="87"/>
      <c r="C595" s="88"/>
      <c r="D595" s="88"/>
      <c r="E595" s="88"/>
      <c r="F595" s="89"/>
      <c r="G595" s="89"/>
      <c r="H595" s="89"/>
      <c r="I595" s="89"/>
      <c r="J595" s="89"/>
      <c r="K595" s="88"/>
      <c r="L595" s="88"/>
      <c r="M595" s="88"/>
      <c r="N595" s="88"/>
      <c r="O595" s="90"/>
      <c r="P595" s="88"/>
      <c r="Q595" s="88"/>
      <c r="R595" s="92"/>
      <c r="S595" s="92"/>
      <c r="T595" s="92"/>
      <c r="U595" s="92"/>
      <c r="V595" s="92"/>
      <c r="W595" s="92"/>
      <c r="X595" s="92"/>
      <c r="Y595" s="92"/>
      <c r="Z595" s="92"/>
      <c r="AA595" s="92"/>
      <c r="AB595" s="92"/>
      <c r="AC595" s="92"/>
      <c r="AD595" s="92"/>
      <c r="AE595" s="92"/>
      <c r="AF595" s="92"/>
      <c r="AG595" s="92"/>
      <c r="AH595" s="92"/>
      <c r="AI595" s="92"/>
      <c r="AJ595" s="92"/>
      <c r="AK595" s="88"/>
      <c r="AL595" s="88"/>
      <c r="AM595" s="88"/>
      <c r="AN595" s="88"/>
      <c r="AO595" s="88"/>
      <c r="AP595" s="88"/>
      <c r="AQ595" s="88"/>
      <c r="AR595" s="88"/>
    </row>
    <row r="596" spans="1:44" ht="12.75" customHeight="1">
      <c r="A596" s="87"/>
      <c r="B596" s="87"/>
      <c r="C596" s="88"/>
      <c r="D596" s="88"/>
      <c r="E596" s="88"/>
      <c r="F596" s="89"/>
      <c r="G596" s="89"/>
      <c r="H596" s="89"/>
      <c r="I596" s="89"/>
      <c r="J596" s="89"/>
      <c r="K596" s="88"/>
      <c r="L596" s="88"/>
      <c r="M596" s="88"/>
      <c r="N596" s="88"/>
      <c r="O596" s="90"/>
      <c r="P596" s="88"/>
      <c r="Q596" s="88"/>
      <c r="R596" s="92"/>
      <c r="S596" s="92"/>
      <c r="T596" s="92"/>
      <c r="U596" s="92"/>
      <c r="V596" s="92"/>
      <c r="W596" s="92"/>
      <c r="X596" s="92"/>
      <c r="Y596" s="92"/>
      <c r="Z596" s="92"/>
      <c r="AA596" s="92"/>
      <c r="AB596" s="92"/>
      <c r="AC596" s="92"/>
      <c r="AD596" s="92"/>
      <c r="AE596" s="92"/>
      <c r="AF596" s="92"/>
      <c r="AG596" s="92"/>
      <c r="AH596" s="92"/>
      <c r="AI596" s="92"/>
      <c r="AJ596" s="92"/>
      <c r="AK596" s="88"/>
      <c r="AL596" s="88"/>
      <c r="AM596" s="88"/>
      <c r="AN596" s="88"/>
      <c r="AO596" s="88"/>
      <c r="AP596" s="88"/>
      <c r="AQ596" s="88"/>
      <c r="AR596" s="88"/>
    </row>
    <row r="597" spans="1:44" ht="12.75" customHeight="1">
      <c r="A597" s="87"/>
      <c r="B597" s="87"/>
      <c r="C597" s="88"/>
      <c r="D597" s="88"/>
      <c r="E597" s="88"/>
      <c r="F597" s="89"/>
      <c r="G597" s="89"/>
      <c r="H597" s="89"/>
      <c r="I597" s="89"/>
      <c r="J597" s="89"/>
      <c r="K597" s="88"/>
      <c r="L597" s="88"/>
      <c r="M597" s="88"/>
      <c r="N597" s="88"/>
      <c r="O597" s="90"/>
      <c r="P597" s="88"/>
      <c r="Q597" s="88"/>
      <c r="R597" s="92"/>
      <c r="S597" s="92"/>
      <c r="T597" s="92"/>
      <c r="U597" s="92"/>
      <c r="V597" s="92"/>
      <c r="W597" s="92"/>
      <c r="X597" s="92"/>
      <c r="Y597" s="92"/>
      <c r="Z597" s="92"/>
      <c r="AA597" s="92"/>
      <c r="AB597" s="92"/>
      <c r="AC597" s="92"/>
      <c r="AD597" s="92"/>
      <c r="AE597" s="92"/>
      <c r="AF597" s="92"/>
      <c r="AG597" s="92"/>
      <c r="AH597" s="92"/>
      <c r="AI597" s="92"/>
      <c r="AJ597" s="92"/>
      <c r="AK597" s="88"/>
      <c r="AL597" s="88"/>
      <c r="AM597" s="88"/>
      <c r="AN597" s="88"/>
      <c r="AO597" s="88"/>
      <c r="AP597" s="88"/>
      <c r="AQ597" s="88"/>
      <c r="AR597" s="88"/>
    </row>
    <row r="598" spans="1:44" ht="12.75" customHeight="1">
      <c r="A598" s="87"/>
      <c r="B598" s="87"/>
      <c r="C598" s="88"/>
      <c r="D598" s="88"/>
      <c r="E598" s="88"/>
      <c r="F598" s="89"/>
      <c r="G598" s="89"/>
      <c r="H598" s="89"/>
      <c r="I598" s="89"/>
      <c r="J598" s="89"/>
      <c r="K598" s="88"/>
      <c r="L598" s="88"/>
      <c r="M598" s="88"/>
      <c r="N598" s="88"/>
      <c r="O598" s="90"/>
      <c r="P598" s="88"/>
      <c r="Q598" s="88"/>
      <c r="R598" s="92"/>
      <c r="S598" s="92"/>
      <c r="T598" s="92"/>
      <c r="U598" s="92"/>
      <c r="V598" s="92"/>
      <c r="W598" s="92"/>
      <c r="X598" s="92"/>
      <c r="Y598" s="92"/>
      <c r="Z598" s="92"/>
      <c r="AA598" s="92"/>
      <c r="AB598" s="92"/>
      <c r="AC598" s="92"/>
      <c r="AD598" s="92"/>
      <c r="AE598" s="92"/>
      <c r="AF598" s="92"/>
      <c r="AG598" s="92"/>
      <c r="AH598" s="92"/>
      <c r="AI598" s="92"/>
      <c r="AJ598" s="92"/>
      <c r="AK598" s="88"/>
      <c r="AL598" s="88"/>
      <c r="AM598" s="88"/>
      <c r="AN598" s="88"/>
      <c r="AO598" s="88"/>
      <c r="AP598" s="88"/>
      <c r="AQ598" s="88"/>
      <c r="AR598" s="88"/>
    </row>
    <row r="599" spans="1:44" ht="12.75" customHeight="1">
      <c r="A599" s="87"/>
      <c r="B599" s="87"/>
      <c r="C599" s="88"/>
      <c r="D599" s="88"/>
      <c r="E599" s="88"/>
      <c r="F599" s="89"/>
      <c r="G599" s="89"/>
      <c r="H599" s="89"/>
      <c r="I599" s="89"/>
      <c r="J599" s="89"/>
      <c r="K599" s="88"/>
      <c r="L599" s="88"/>
      <c r="M599" s="88"/>
      <c r="N599" s="88"/>
      <c r="O599" s="90"/>
      <c r="P599" s="88"/>
      <c r="Q599" s="88"/>
      <c r="R599" s="92"/>
      <c r="S599" s="92"/>
      <c r="T599" s="92"/>
      <c r="U599" s="92"/>
      <c r="V599" s="92"/>
      <c r="W599" s="92"/>
      <c r="X599" s="92"/>
      <c r="Y599" s="92"/>
      <c r="Z599" s="92"/>
      <c r="AA599" s="92"/>
      <c r="AB599" s="92"/>
      <c r="AC599" s="92"/>
      <c r="AD599" s="92"/>
      <c r="AE599" s="92"/>
      <c r="AF599" s="92"/>
      <c r="AG599" s="92"/>
      <c r="AH599" s="92"/>
      <c r="AI599" s="92"/>
      <c r="AJ599" s="92"/>
      <c r="AK599" s="88"/>
      <c r="AL599" s="88"/>
      <c r="AM599" s="88"/>
      <c r="AN599" s="88"/>
      <c r="AO599" s="88"/>
      <c r="AP599" s="88"/>
      <c r="AQ599" s="88"/>
      <c r="AR599" s="88"/>
    </row>
    <row r="600" spans="1:44" ht="12.75" customHeight="1">
      <c r="A600" s="87"/>
      <c r="B600" s="87"/>
      <c r="C600" s="88"/>
      <c r="D600" s="88"/>
      <c r="E600" s="88"/>
      <c r="F600" s="89"/>
      <c r="G600" s="89"/>
      <c r="H600" s="89"/>
      <c r="I600" s="89"/>
      <c r="J600" s="89"/>
      <c r="K600" s="88"/>
      <c r="L600" s="88"/>
      <c r="M600" s="88"/>
      <c r="N600" s="88"/>
      <c r="O600" s="90"/>
      <c r="P600" s="88"/>
      <c r="Q600" s="88"/>
      <c r="R600" s="92"/>
      <c r="S600" s="92"/>
      <c r="T600" s="92"/>
      <c r="U600" s="92"/>
      <c r="V600" s="92"/>
      <c r="W600" s="92"/>
      <c r="X600" s="92"/>
      <c r="Y600" s="92"/>
      <c r="Z600" s="92"/>
      <c r="AA600" s="92"/>
      <c r="AB600" s="92"/>
      <c r="AC600" s="92"/>
      <c r="AD600" s="92"/>
      <c r="AE600" s="92"/>
      <c r="AF600" s="92"/>
      <c r="AG600" s="92"/>
      <c r="AH600" s="92"/>
      <c r="AI600" s="92"/>
      <c r="AJ600" s="92"/>
      <c r="AK600" s="88"/>
      <c r="AL600" s="88"/>
      <c r="AM600" s="88"/>
      <c r="AN600" s="88"/>
      <c r="AO600" s="88"/>
      <c r="AP600" s="88"/>
      <c r="AQ600" s="88"/>
      <c r="AR600" s="88"/>
    </row>
    <row r="601" spans="1:44" ht="12.75" customHeight="1">
      <c r="A601" s="87"/>
      <c r="B601" s="87"/>
      <c r="C601" s="88"/>
      <c r="D601" s="88"/>
      <c r="E601" s="88"/>
      <c r="F601" s="89"/>
      <c r="G601" s="89"/>
      <c r="H601" s="89"/>
      <c r="I601" s="89"/>
      <c r="J601" s="89"/>
      <c r="K601" s="88"/>
      <c r="L601" s="88"/>
      <c r="M601" s="88"/>
      <c r="N601" s="88"/>
      <c r="O601" s="90"/>
      <c r="P601" s="88"/>
      <c r="Q601" s="88"/>
      <c r="R601" s="92"/>
      <c r="S601" s="92"/>
      <c r="T601" s="92"/>
      <c r="U601" s="92"/>
      <c r="V601" s="92"/>
      <c r="W601" s="92"/>
      <c r="X601" s="92"/>
      <c r="Y601" s="92"/>
      <c r="Z601" s="92"/>
      <c r="AA601" s="92"/>
      <c r="AB601" s="92"/>
      <c r="AC601" s="92"/>
      <c r="AD601" s="92"/>
      <c r="AE601" s="92"/>
      <c r="AF601" s="92"/>
      <c r="AG601" s="92"/>
      <c r="AH601" s="92"/>
      <c r="AI601" s="92"/>
      <c r="AJ601" s="92"/>
      <c r="AK601" s="88"/>
      <c r="AL601" s="88"/>
      <c r="AM601" s="88"/>
      <c r="AN601" s="88"/>
      <c r="AO601" s="88"/>
      <c r="AP601" s="88"/>
      <c r="AQ601" s="88"/>
      <c r="AR601" s="88"/>
    </row>
    <row r="602" spans="1:44" ht="12.75" customHeight="1">
      <c r="A602" s="87"/>
      <c r="B602" s="87"/>
      <c r="C602" s="88"/>
      <c r="D602" s="88"/>
      <c r="E602" s="88"/>
      <c r="F602" s="89"/>
      <c r="G602" s="89"/>
      <c r="H602" s="89"/>
      <c r="I602" s="89"/>
      <c r="J602" s="89"/>
      <c r="K602" s="88"/>
      <c r="L602" s="88"/>
      <c r="M602" s="88"/>
      <c r="N602" s="88"/>
      <c r="O602" s="90"/>
      <c r="P602" s="88"/>
      <c r="Q602" s="88"/>
      <c r="R602" s="92"/>
      <c r="S602" s="92"/>
      <c r="T602" s="92"/>
      <c r="U602" s="92"/>
      <c r="V602" s="92"/>
      <c r="W602" s="92"/>
      <c r="X602" s="92"/>
      <c r="Y602" s="92"/>
      <c r="Z602" s="92"/>
      <c r="AA602" s="92"/>
      <c r="AB602" s="92"/>
      <c r="AC602" s="92"/>
      <c r="AD602" s="92"/>
      <c r="AE602" s="92"/>
      <c r="AF602" s="92"/>
      <c r="AG602" s="92"/>
      <c r="AH602" s="92"/>
      <c r="AI602" s="92"/>
      <c r="AJ602" s="92"/>
      <c r="AK602" s="88"/>
      <c r="AL602" s="88"/>
      <c r="AM602" s="88"/>
      <c r="AN602" s="88"/>
      <c r="AO602" s="88"/>
      <c r="AP602" s="88"/>
      <c r="AQ602" s="88"/>
      <c r="AR602" s="88"/>
    </row>
    <row r="603" spans="1:44" ht="12.75" customHeight="1">
      <c r="A603" s="87"/>
      <c r="B603" s="87"/>
      <c r="C603" s="88"/>
      <c r="D603" s="88"/>
      <c r="E603" s="88"/>
      <c r="F603" s="89"/>
      <c r="G603" s="89"/>
      <c r="H603" s="89"/>
      <c r="I603" s="89"/>
      <c r="J603" s="89"/>
      <c r="K603" s="88"/>
      <c r="L603" s="88"/>
      <c r="M603" s="88"/>
      <c r="N603" s="88"/>
      <c r="O603" s="90"/>
      <c r="P603" s="88"/>
      <c r="Q603" s="88"/>
      <c r="R603" s="92"/>
      <c r="S603" s="92"/>
      <c r="T603" s="92"/>
      <c r="U603" s="92"/>
      <c r="V603" s="92"/>
      <c r="W603" s="92"/>
      <c r="X603" s="92"/>
      <c r="Y603" s="92"/>
      <c r="Z603" s="92"/>
      <c r="AA603" s="92"/>
      <c r="AB603" s="92"/>
      <c r="AC603" s="92"/>
      <c r="AD603" s="92"/>
      <c r="AE603" s="92"/>
      <c r="AF603" s="92"/>
      <c r="AG603" s="92"/>
      <c r="AH603" s="92"/>
      <c r="AI603" s="92"/>
      <c r="AJ603" s="92"/>
      <c r="AK603" s="88"/>
      <c r="AL603" s="88"/>
      <c r="AM603" s="88"/>
      <c r="AN603" s="88"/>
      <c r="AO603" s="88"/>
      <c r="AP603" s="88"/>
      <c r="AQ603" s="88"/>
      <c r="AR603" s="88"/>
    </row>
    <row r="604" spans="1:44" ht="12.75" customHeight="1">
      <c r="A604" s="87"/>
      <c r="B604" s="87"/>
      <c r="C604" s="88"/>
      <c r="D604" s="88"/>
      <c r="E604" s="88"/>
      <c r="F604" s="89"/>
      <c r="G604" s="89"/>
      <c r="H604" s="89"/>
      <c r="I604" s="89"/>
      <c r="J604" s="89"/>
      <c r="K604" s="88"/>
      <c r="L604" s="88"/>
      <c r="M604" s="88"/>
      <c r="N604" s="88"/>
      <c r="O604" s="90"/>
      <c r="P604" s="88"/>
      <c r="Q604" s="88"/>
      <c r="R604" s="92"/>
      <c r="S604" s="92"/>
      <c r="T604" s="92"/>
      <c r="U604" s="92"/>
      <c r="V604" s="92"/>
      <c r="W604" s="92"/>
      <c r="X604" s="92"/>
      <c r="Y604" s="92"/>
      <c r="Z604" s="92"/>
      <c r="AA604" s="92"/>
      <c r="AB604" s="92"/>
      <c r="AC604" s="92"/>
      <c r="AD604" s="92"/>
      <c r="AE604" s="92"/>
      <c r="AF604" s="92"/>
      <c r="AG604" s="92"/>
      <c r="AH604" s="92"/>
      <c r="AI604" s="92"/>
      <c r="AJ604" s="92"/>
      <c r="AK604" s="88"/>
      <c r="AL604" s="88"/>
      <c r="AM604" s="88"/>
      <c r="AN604" s="88"/>
      <c r="AO604" s="88"/>
      <c r="AP604" s="88"/>
      <c r="AQ604" s="88"/>
      <c r="AR604" s="88"/>
    </row>
    <row r="605" spans="1:44" ht="12.75" customHeight="1">
      <c r="A605" s="87"/>
      <c r="B605" s="87"/>
      <c r="C605" s="88"/>
      <c r="D605" s="88"/>
      <c r="E605" s="88"/>
      <c r="F605" s="89"/>
      <c r="G605" s="89"/>
      <c r="H605" s="89"/>
      <c r="I605" s="89"/>
      <c r="J605" s="89"/>
      <c r="K605" s="88"/>
      <c r="L605" s="88"/>
      <c r="M605" s="88"/>
      <c r="N605" s="88"/>
      <c r="O605" s="90"/>
      <c r="P605" s="88"/>
      <c r="Q605" s="88"/>
      <c r="R605" s="92"/>
      <c r="S605" s="92"/>
      <c r="T605" s="92"/>
      <c r="U605" s="92"/>
      <c r="V605" s="92"/>
      <c r="W605" s="92"/>
      <c r="X605" s="92"/>
      <c r="Y605" s="92"/>
      <c r="Z605" s="92"/>
      <c r="AA605" s="92"/>
      <c r="AB605" s="92"/>
      <c r="AC605" s="92"/>
      <c r="AD605" s="92"/>
      <c r="AE605" s="92"/>
      <c r="AF605" s="92"/>
      <c r="AG605" s="92"/>
      <c r="AH605" s="92"/>
      <c r="AI605" s="92"/>
      <c r="AJ605" s="92"/>
      <c r="AK605" s="88"/>
      <c r="AL605" s="88"/>
      <c r="AM605" s="88"/>
      <c r="AN605" s="88"/>
      <c r="AO605" s="88"/>
      <c r="AP605" s="88"/>
      <c r="AQ605" s="88"/>
      <c r="AR605" s="88"/>
    </row>
    <row r="606" spans="1:44" ht="12.75" customHeight="1">
      <c r="A606" s="87"/>
      <c r="B606" s="87"/>
      <c r="C606" s="88"/>
      <c r="D606" s="88"/>
      <c r="E606" s="88"/>
      <c r="F606" s="89"/>
      <c r="G606" s="89"/>
      <c r="H606" s="89"/>
      <c r="I606" s="89"/>
      <c r="J606" s="89"/>
      <c r="K606" s="88"/>
      <c r="L606" s="88"/>
      <c r="M606" s="88"/>
      <c r="N606" s="88"/>
      <c r="O606" s="90"/>
      <c r="P606" s="88"/>
      <c r="Q606" s="88"/>
      <c r="R606" s="92"/>
      <c r="S606" s="92"/>
      <c r="T606" s="92"/>
      <c r="U606" s="92"/>
      <c r="V606" s="92"/>
      <c r="W606" s="92"/>
      <c r="X606" s="92"/>
      <c r="Y606" s="92"/>
      <c r="Z606" s="92"/>
      <c r="AA606" s="92"/>
      <c r="AB606" s="92"/>
      <c r="AC606" s="92"/>
      <c r="AD606" s="92"/>
      <c r="AE606" s="92"/>
      <c r="AF606" s="92"/>
      <c r="AG606" s="92"/>
      <c r="AH606" s="92"/>
      <c r="AI606" s="92"/>
      <c r="AJ606" s="92"/>
      <c r="AK606" s="88"/>
      <c r="AL606" s="88"/>
      <c r="AM606" s="88"/>
      <c r="AN606" s="88"/>
      <c r="AO606" s="88"/>
      <c r="AP606" s="88"/>
      <c r="AQ606" s="88"/>
      <c r="AR606" s="88"/>
    </row>
    <row r="607" spans="1:44" ht="12.75" customHeight="1">
      <c r="A607" s="87"/>
      <c r="B607" s="87"/>
      <c r="C607" s="88"/>
      <c r="D607" s="88"/>
      <c r="E607" s="88"/>
      <c r="F607" s="89"/>
      <c r="G607" s="89"/>
      <c r="H607" s="89"/>
      <c r="I607" s="89"/>
      <c r="J607" s="89"/>
      <c r="K607" s="88"/>
      <c r="L607" s="88"/>
      <c r="M607" s="88"/>
      <c r="N607" s="88"/>
      <c r="O607" s="90"/>
      <c r="P607" s="88"/>
      <c r="Q607" s="88"/>
      <c r="R607" s="92"/>
      <c r="S607" s="92"/>
      <c r="T607" s="92"/>
      <c r="U607" s="92"/>
      <c r="V607" s="92"/>
      <c r="W607" s="92"/>
      <c r="X607" s="92"/>
      <c r="Y607" s="92"/>
      <c r="Z607" s="92"/>
      <c r="AA607" s="92"/>
      <c r="AB607" s="92"/>
      <c r="AC607" s="92"/>
      <c r="AD607" s="92"/>
      <c r="AE607" s="92"/>
      <c r="AF607" s="92"/>
      <c r="AG607" s="92"/>
      <c r="AH607" s="92"/>
      <c r="AI607" s="92"/>
      <c r="AJ607" s="92"/>
      <c r="AK607" s="88"/>
      <c r="AL607" s="88"/>
      <c r="AM607" s="88"/>
      <c r="AN607" s="88"/>
      <c r="AO607" s="88"/>
      <c r="AP607" s="88"/>
      <c r="AQ607" s="88"/>
      <c r="AR607" s="88"/>
    </row>
    <row r="608" spans="1:44" ht="12.75" customHeight="1">
      <c r="A608" s="87"/>
      <c r="B608" s="87"/>
      <c r="C608" s="88"/>
      <c r="D608" s="88"/>
      <c r="E608" s="88"/>
      <c r="F608" s="89"/>
      <c r="G608" s="89"/>
      <c r="H608" s="89"/>
      <c r="I608" s="89"/>
      <c r="J608" s="89"/>
      <c r="K608" s="88"/>
      <c r="L608" s="88"/>
      <c r="M608" s="88"/>
      <c r="N608" s="88"/>
      <c r="O608" s="90"/>
      <c r="P608" s="88"/>
      <c r="Q608" s="88"/>
      <c r="R608" s="92"/>
      <c r="S608" s="92"/>
      <c r="T608" s="92"/>
      <c r="U608" s="92"/>
      <c r="V608" s="92"/>
      <c r="W608" s="92"/>
      <c r="X608" s="92"/>
      <c r="Y608" s="92"/>
      <c r="Z608" s="92"/>
      <c r="AA608" s="92"/>
      <c r="AB608" s="92"/>
      <c r="AC608" s="92"/>
      <c r="AD608" s="92"/>
      <c r="AE608" s="92"/>
      <c r="AF608" s="92"/>
      <c r="AG608" s="92"/>
      <c r="AH608" s="92"/>
      <c r="AI608" s="92"/>
      <c r="AJ608" s="92"/>
      <c r="AK608" s="88"/>
      <c r="AL608" s="88"/>
      <c r="AM608" s="88"/>
      <c r="AN608" s="88"/>
      <c r="AO608" s="88"/>
      <c r="AP608" s="88"/>
      <c r="AQ608" s="88"/>
      <c r="AR608" s="88"/>
    </row>
    <row r="609" spans="1:44" ht="12.75" customHeight="1">
      <c r="A609" s="87"/>
      <c r="B609" s="87"/>
      <c r="C609" s="88"/>
      <c r="D609" s="88"/>
      <c r="E609" s="88"/>
      <c r="F609" s="89"/>
      <c r="G609" s="89"/>
      <c r="H609" s="89"/>
      <c r="I609" s="89"/>
      <c r="J609" s="89"/>
      <c r="K609" s="88"/>
      <c r="L609" s="88"/>
      <c r="M609" s="88"/>
      <c r="N609" s="88"/>
      <c r="O609" s="90"/>
      <c r="P609" s="88"/>
      <c r="Q609" s="88"/>
      <c r="R609" s="92"/>
      <c r="S609" s="92"/>
      <c r="T609" s="92"/>
      <c r="U609" s="92"/>
      <c r="V609" s="92"/>
      <c r="W609" s="92"/>
      <c r="X609" s="92"/>
      <c r="Y609" s="92"/>
      <c r="Z609" s="92"/>
      <c r="AA609" s="92"/>
      <c r="AB609" s="92"/>
      <c r="AC609" s="92"/>
      <c r="AD609" s="92"/>
      <c r="AE609" s="92"/>
      <c r="AF609" s="92"/>
      <c r="AG609" s="92"/>
      <c r="AH609" s="92"/>
      <c r="AI609" s="92"/>
      <c r="AJ609" s="92"/>
      <c r="AK609" s="88"/>
      <c r="AL609" s="88"/>
      <c r="AM609" s="88"/>
      <c r="AN609" s="88"/>
      <c r="AO609" s="88"/>
      <c r="AP609" s="88"/>
      <c r="AQ609" s="88"/>
      <c r="AR609" s="88"/>
    </row>
    <row r="610" spans="1:44" ht="12.75" customHeight="1">
      <c r="A610" s="87"/>
      <c r="B610" s="87"/>
      <c r="C610" s="88"/>
      <c r="D610" s="88"/>
      <c r="E610" s="88"/>
      <c r="F610" s="89"/>
      <c r="G610" s="89"/>
      <c r="H610" s="89"/>
      <c r="I610" s="89"/>
      <c r="J610" s="89"/>
      <c r="K610" s="88"/>
      <c r="L610" s="88"/>
      <c r="M610" s="88"/>
      <c r="N610" s="88"/>
      <c r="O610" s="90"/>
      <c r="P610" s="88"/>
      <c r="Q610" s="88"/>
      <c r="R610" s="92"/>
      <c r="S610" s="92"/>
      <c r="T610" s="92"/>
      <c r="U610" s="92"/>
      <c r="V610" s="92"/>
      <c r="W610" s="92"/>
      <c r="X610" s="92"/>
      <c r="Y610" s="92"/>
      <c r="Z610" s="92"/>
      <c r="AA610" s="92"/>
      <c r="AB610" s="92"/>
      <c r="AC610" s="92"/>
      <c r="AD610" s="92"/>
      <c r="AE610" s="92"/>
      <c r="AF610" s="92"/>
      <c r="AG610" s="92"/>
      <c r="AH610" s="92"/>
      <c r="AI610" s="92"/>
      <c r="AJ610" s="92"/>
      <c r="AK610" s="88"/>
      <c r="AL610" s="88"/>
      <c r="AM610" s="88"/>
      <c r="AN610" s="88"/>
      <c r="AO610" s="88"/>
      <c r="AP610" s="88"/>
      <c r="AQ610" s="88"/>
      <c r="AR610" s="88"/>
    </row>
    <row r="611" spans="1:44" ht="12.75" customHeight="1">
      <c r="A611" s="87"/>
      <c r="B611" s="87"/>
      <c r="C611" s="88"/>
      <c r="D611" s="88"/>
      <c r="E611" s="88"/>
      <c r="F611" s="89"/>
      <c r="G611" s="89"/>
      <c r="H611" s="89"/>
      <c r="I611" s="89"/>
      <c r="J611" s="89"/>
      <c r="K611" s="88"/>
      <c r="L611" s="88"/>
      <c r="M611" s="88"/>
      <c r="N611" s="88"/>
      <c r="O611" s="90"/>
      <c r="P611" s="88"/>
      <c r="Q611" s="88"/>
      <c r="R611" s="92"/>
      <c r="S611" s="92"/>
      <c r="T611" s="92"/>
      <c r="U611" s="92"/>
      <c r="V611" s="92"/>
      <c r="W611" s="92"/>
      <c r="X611" s="92"/>
      <c r="Y611" s="92"/>
      <c r="Z611" s="92"/>
      <c r="AA611" s="92"/>
      <c r="AB611" s="92"/>
      <c r="AC611" s="92"/>
      <c r="AD611" s="92"/>
      <c r="AE611" s="92"/>
      <c r="AF611" s="92"/>
      <c r="AG611" s="92"/>
      <c r="AH611" s="92"/>
      <c r="AI611" s="92"/>
      <c r="AJ611" s="92"/>
      <c r="AK611" s="88"/>
      <c r="AL611" s="88"/>
      <c r="AM611" s="88"/>
      <c r="AN611" s="88"/>
      <c r="AO611" s="88"/>
      <c r="AP611" s="88"/>
      <c r="AQ611" s="88"/>
      <c r="AR611" s="88"/>
    </row>
    <row r="612" spans="1:44" ht="12.75" customHeight="1">
      <c r="A612" s="87"/>
      <c r="B612" s="87"/>
      <c r="C612" s="88"/>
      <c r="D612" s="88"/>
      <c r="E612" s="88"/>
      <c r="F612" s="89"/>
      <c r="G612" s="89"/>
      <c r="H612" s="89"/>
      <c r="I612" s="89"/>
      <c r="J612" s="89"/>
      <c r="K612" s="88"/>
      <c r="L612" s="88"/>
      <c r="M612" s="88"/>
      <c r="N612" s="88"/>
      <c r="O612" s="90"/>
      <c r="P612" s="88"/>
      <c r="Q612" s="88"/>
      <c r="R612" s="92"/>
      <c r="S612" s="92"/>
      <c r="T612" s="92"/>
      <c r="U612" s="92"/>
      <c r="V612" s="92"/>
      <c r="W612" s="92"/>
      <c r="X612" s="92"/>
      <c r="Y612" s="92"/>
      <c r="Z612" s="92"/>
      <c r="AA612" s="92"/>
      <c r="AB612" s="92"/>
      <c r="AC612" s="92"/>
      <c r="AD612" s="92"/>
      <c r="AE612" s="92"/>
      <c r="AF612" s="92"/>
      <c r="AG612" s="92"/>
      <c r="AH612" s="92"/>
      <c r="AI612" s="92"/>
      <c r="AJ612" s="92"/>
      <c r="AK612" s="88"/>
      <c r="AL612" s="88"/>
      <c r="AM612" s="88"/>
      <c r="AN612" s="88"/>
      <c r="AO612" s="88"/>
      <c r="AP612" s="88"/>
      <c r="AQ612" s="88"/>
      <c r="AR612" s="88"/>
    </row>
    <row r="613" spans="1:44" ht="12.75" customHeight="1">
      <c r="A613" s="87"/>
      <c r="B613" s="87"/>
      <c r="C613" s="88"/>
      <c r="D613" s="88"/>
      <c r="E613" s="88"/>
      <c r="F613" s="89"/>
      <c r="G613" s="89"/>
      <c r="H613" s="89"/>
      <c r="I613" s="89"/>
      <c r="J613" s="89"/>
      <c r="K613" s="88"/>
      <c r="L613" s="88"/>
      <c r="M613" s="88"/>
      <c r="N613" s="88"/>
      <c r="O613" s="90"/>
      <c r="P613" s="88"/>
      <c r="Q613" s="88"/>
      <c r="R613" s="92"/>
      <c r="S613" s="92"/>
      <c r="T613" s="92"/>
      <c r="U613" s="92"/>
      <c r="V613" s="92"/>
      <c r="W613" s="92"/>
      <c r="X613" s="92"/>
      <c r="Y613" s="92"/>
      <c r="Z613" s="92"/>
      <c r="AA613" s="92"/>
      <c r="AB613" s="92"/>
      <c r="AC613" s="92"/>
      <c r="AD613" s="92"/>
      <c r="AE613" s="92"/>
      <c r="AF613" s="92"/>
      <c r="AG613" s="92"/>
      <c r="AH613" s="92"/>
      <c r="AI613" s="92"/>
      <c r="AJ613" s="92"/>
      <c r="AK613" s="88"/>
      <c r="AL613" s="88"/>
      <c r="AM613" s="88"/>
      <c r="AN613" s="88"/>
      <c r="AO613" s="88"/>
      <c r="AP613" s="88"/>
      <c r="AQ613" s="88"/>
      <c r="AR613" s="88"/>
    </row>
    <row r="614" spans="1:44" ht="12.75" customHeight="1">
      <c r="A614" s="87"/>
      <c r="B614" s="87"/>
      <c r="C614" s="88"/>
      <c r="D614" s="88"/>
      <c r="E614" s="88"/>
      <c r="F614" s="89"/>
      <c r="G614" s="89"/>
      <c r="H614" s="89"/>
      <c r="I614" s="89"/>
      <c r="J614" s="89"/>
      <c r="K614" s="88"/>
      <c r="L614" s="88"/>
      <c r="M614" s="88"/>
      <c r="N614" s="88"/>
      <c r="O614" s="90"/>
      <c r="P614" s="88"/>
      <c r="Q614" s="88"/>
      <c r="R614" s="92"/>
      <c r="S614" s="92"/>
      <c r="T614" s="92"/>
      <c r="U614" s="92"/>
      <c r="V614" s="92"/>
      <c r="W614" s="92"/>
      <c r="X614" s="92"/>
      <c r="Y614" s="92"/>
      <c r="Z614" s="92"/>
      <c r="AA614" s="92"/>
      <c r="AB614" s="92"/>
      <c r="AC614" s="92"/>
      <c r="AD614" s="92"/>
      <c r="AE614" s="92"/>
      <c r="AF614" s="92"/>
      <c r="AG614" s="92"/>
      <c r="AH614" s="92"/>
      <c r="AI614" s="92"/>
      <c r="AJ614" s="92"/>
      <c r="AK614" s="88"/>
      <c r="AL614" s="88"/>
      <c r="AM614" s="88"/>
      <c r="AN614" s="88"/>
      <c r="AO614" s="88"/>
      <c r="AP614" s="88"/>
      <c r="AQ614" s="88"/>
      <c r="AR614" s="88"/>
    </row>
    <row r="615" spans="1:44" ht="12.75" customHeight="1">
      <c r="A615" s="87"/>
      <c r="B615" s="87"/>
      <c r="C615" s="88"/>
      <c r="D615" s="88"/>
      <c r="E615" s="88"/>
      <c r="F615" s="89"/>
      <c r="G615" s="89"/>
      <c r="H615" s="89"/>
      <c r="I615" s="89"/>
      <c r="J615" s="89"/>
      <c r="K615" s="88"/>
      <c r="L615" s="88"/>
      <c r="M615" s="88"/>
      <c r="N615" s="88"/>
      <c r="O615" s="90"/>
      <c r="P615" s="88"/>
      <c r="Q615" s="88"/>
      <c r="R615" s="92"/>
      <c r="S615" s="92"/>
      <c r="T615" s="92"/>
      <c r="U615" s="92"/>
      <c r="V615" s="92"/>
      <c r="W615" s="92"/>
      <c r="X615" s="92"/>
      <c r="Y615" s="92"/>
      <c r="Z615" s="92"/>
      <c r="AA615" s="92"/>
      <c r="AB615" s="92"/>
      <c r="AC615" s="92"/>
      <c r="AD615" s="92"/>
      <c r="AE615" s="92"/>
      <c r="AF615" s="92"/>
      <c r="AG615" s="92"/>
      <c r="AH615" s="92"/>
      <c r="AI615" s="92"/>
      <c r="AJ615" s="92"/>
      <c r="AK615" s="88"/>
      <c r="AL615" s="88"/>
      <c r="AM615" s="88"/>
      <c r="AN615" s="88"/>
      <c r="AO615" s="88"/>
      <c r="AP615" s="88"/>
      <c r="AQ615" s="88"/>
      <c r="AR615" s="88"/>
    </row>
    <row r="616" spans="1:44" ht="12.75" customHeight="1">
      <c r="A616" s="87"/>
      <c r="B616" s="87"/>
      <c r="C616" s="88"/>
      <c r="D616" s="88"/>
      <c r="E616" s="88"/>
      <c r="F616" s="89"/>
      <c r="G616" s="89"/>
      <c r="H616" s="89"/>
      <c r="I616" s="89"/>
      <c r="J616" s="89"/>
      <c r="K616" s="88"/>
      <c r="L616" s="88"/>
      <c r="M616" s="88"/>
      <c r="N616" s="88"/>
      <c r="O616" s="90"/>
      <c r="P616" s="88"/>
      <c r="Q616" s="88"/>
      <c r="R616" s="92"/>
      <c r="S616" s="92"/>
      <c r="T616" s="92"/>
      <c r="U616" s="92"/>
      <c r="V616" s="92"/>
      <c r="W616" s="92"/>
      <c r="X616" s="92"/>
      <c r="Y616" s="92"/>
      <c r="Z616" s="92"/>
      <c r="AA616" s="92"/>
      <c r="AB616" s="92"/>
      <c r="AC616" s="92"/>
      <c r="AD616" s="92"/>
      <c r="AE616" s="92"/>
      <c r="AF616" s="92"/>
      <c r="AG616" s="92"/>
      <c r="AH616" s="92"/>
      <c r="AI616" s="92"/>
      <c r="AJ616" s="92"/>
      <c r="AK616" s="88"/>
      <c r="AL616" s="88"/>
      <c r="AM616" s="88"/>
      <c r="AN616" s="88"/>
      <c r="AO616" s="88"/>
      <c r="AP616" s="88"/>
      <c r="AQ616" s="88"/>
      <c r="AR616" s="88"/>
    </row>
    <row r="617" spans="1:44" ht="12.75" customHeight="1">
      <c r="A617" s="87"/>
      <c r="B617" s="87"/>
      <c r="C617" s="88"/>
      <c r="D617" s="88"/>
      <c r="E617" s="88"/>
      <c r="F617" s="89"/>
      <c r="G617" s="89"/>
      <c r="H617" s="89"/>
      <c r="I617" s="89"/>
      <c r="J617" s="89"/>
      <c r="K617" s="88"/>
      <c r="L617" s="88"/>
      <c r="M617" s="88"/>
      <c r="N617" s="88"/>
      <c r="O617" s="90"/>
      <c r="P617" s="88"/>
      <c r="Q617" s="88"/>
      <c r="R617" s="92"/>
      <c r="S617" s="92"/>
      <c r="T617" s="92"/>
      <c r="U617" s="92"/>
      <c r="V617" s="92"/>
      <c r="W617" s="92"/>
      <c r="X617" s="92"/>
      <c r="Y617" s="92"/>
      <c r="Z617" s="92"/>
      <c r="AA617" s="92"/>
      <c r="AB617" s="92"/>
      <c r="AC617" s="92"/>
      <c r="AD617" s="92"/>
      <c r="AE617" s="92"/>
      <c r="AF617" s="92"/>
      <c r="AG617" s="92"/>
      <c r="AH617" s="92"/>
      <c r="AI617" s="92"/>
      <c r="AJ617" s="92"/>
      <c r="AK617" s="88"/>
      <c r="AL617" s="88"/>
      <c r="AM617" s="88"/>
      <c r="AN617" s="88"/>
      <c r="AO617" s="88"/>
      <c r="AP617" s="88"/>
      <c r="AQ617" s="88"/>
      <c r="AR617" s="88"/>
    </row>
    <row r="618" spans="1:44" ht="12.75" customHeight="1">
      <c r="A618" s="87"/>
      <c r="B618" s="87"/>
      <c r="C618" s="88"/>
      <c r="D618" s="88"/>
      <c r="E618" s="88"/>
      <c r="F618" s="89"/>
      <c r="G618" s="89"/>
      <c r="H618" s="89"/>
      <c r="I618" s="89"/>
      <c r="J618" s="89"/>
      <c r="K618" s="88"/>
      <c r="L618" s="88"/>
      <c r="M618" s="88"/>
      <c r="N618" s="88"/>
      <c r="O618" s="90"/>
      <c r="P618" s="88"/>
      <c r="Q618" s="88"/>
      <c r="R618" s="92"/>
      <c r="S618" s="92"/>
      <c r="T618" s="92"/>
      <c r="U618" s="92"/>
      <c r="V618" s="92"/>
      <c r="W618" s="92"/>
      <c r="X618" s="92"/>
      <c r="Y618" s="92"/>
      <c r="Z618" s="92"/>
      <c r="AA618" s="92"/>
      <c r="AB618" s="92"/>
      <c r="AC618" s="92"/>
      <c r="AD618" s="92"/>
      <c r="AE618" s="92"/>
      <c r="AF618" s="92"/>
      <c r="AG618" s="92"/>
      <c r="AH618" s="92"/>
      <c r="AI618" s="92"/>
      <c r="AJ618" s="92"/>
      <c r="AK618" s="88"/>
      <c r="AL618" s="88"/>
      <c r="AM618" s="88"/>
      <c r="AN618" s="88"/>
      <c r="AO618" s="88"/>
      <c r="AP618" s="88"/>
      <c r="AQ618" s="88"/>
      <c r="AR618" s="88"/>
    </row>
    <row r="619" spans="1:44" ht="12.75" customHeight="1">
      <c r="A619" s="87"/>
      <c r="B619" s="87"/>
      <c r="C619" s="88"/>
      <c r="D619" s="88"/>
      <c r="E619" s="88"/>
      <c r="F619" s="89"/>
      <c r="G619" s="89"/>
      <c r="H619" s="89"/>
      <c r="I619" s="89"/>
      <c r="J619" s="89"/>
      <c r="K619" s="88"/>
      <c r="L619" s="88"/>
      <c r="M619" s="88"/>
      <c r="N619" s="88"/>
      <c r="O619" s="90"/>
      <c r="P619" s="88"/>
      <c r="Q619" s="88"/>
      <c r="R619" s="92"/>
      <c r="S619" s="92"/>
      <c r="T619" s="92"/>
      <c r="U619" s="92"/>
      <c r="V619" s="92"/>
      <c r="W619" s="92"/>
      <c r="X619" s="92"/>
      <c r="Y619" s="92"/>
      <c r="Z619" s="92"/>
      <c r="AA619" s="92"/>
      <c r="AB619" s="92"/>
      <c r="AC619" s="92"/>
      <c r="AD619" s="92"/>
      <c r="AE619" s="92"/>
      <c r="AF619" s="92"/>
      <c r="AG619" s="92"/>
      <c r="AH619" s="92"/>
      <c r="AI619" s="92"/>
      <c r="AJ619" s="92"/>
      <c r="AK619" s="88"/>
      <c r="AL619" s="88"/>
      <c r="AM619" s="88"/>
      <c r="AN619" s="88"/>
      <c r="AO619" s="88"/>
      <c r="AP619" s="88"/>
      <c r="AQ619" s="88"/>
      <c r="AR619" s="88"/>
    </row>
    <row r="620" spans="1:44" ht="12.75" customHeight="1">
      <c r="A620" s="87"/>
      <c r="B620" s="87"/>
      <c r="C620" s="88"/>
      <c r="D620" s="88"/>
      <c r="E620" s="88"/>
      <c r="F620" s="89"/>
      <c r="G620" s="89"/>
      <c r="H620" s="89"/>
      <c r="I620" s="89"/>
      <c r="J620" s="89"/>
      <c r="K620" s="88"/>
      <c r="L620" s="88"/>
      <c r="M620" s="88"/>
      <c r="N620" s="88"/>
      <c r="O620" s="90"/>
      <c r="P620" s="88"/>
      <c r="Q620" s="88"/>
      <c r="R620" s="92"/>
      <c r="S620" s="92"/>
      <c r="T620" s="92"/>
      <c r="U620" s="92"/>
      <c r="V620" s="92"/>
      <c r="W620" s="92"/>
      <c r="X620" s="92"/>
      <c r="Y620" s="92"/>
      <c r="Z620" s="92"/>
      <c r="AA620" s="92"/>
      <c r="AB620" s="92"/>
      <c r="AC620" s="92"/>
      <c r="AD620" s="92"/>
      <c r="AE620" s="92"/>
      <c r="AF620" s="92"/>
      <c r="AG620" s="92"/>
      <c r="AH620" s="92"/>
      <c r="AI620" s="92"/>
      <c r="AJ620" s="92"/>
      <c r="AK620" s="88"/>
      <c r="AL620" s="88"/>
      <c r="AM620" s="88"/>
      <c r="AN620" s="88"/>
      <c r="AO620" s="88"/>
      <c r="AP620" s="88"/>
      <c r="AQ620" s="88"/>
      <c r="AR620" s="88"/>
    </row>
    <row r="621" spans="1:44" ht="12.75" customHeight="1">
      <c r="A621" s="87"/>
      <c r="B621" s="87"/>
      <c r="C621" s="88"/>
      <c r="D621" s="88"/>
      <c r="E621" s="88"/>
      <c r="F621" s="89"/>
      <c r="G621" s="89"/>
      <c r="H621" s="89"/>
      <c r="I621" s="89"/>
      <c r="J621" s="89"/>
      <c r="K621" s="88"/>
      <c r="L621" s="88"/>
      <c r="M621" s="88"/>
      <c r="N621" s="88"/>
      <c r="O621" s="90"/>
      <c r="P621" s="88"/>
      <c r="Q621" s="88"/>
      <c r="R621" s="92"/>
      <c r="S621" s="92"/>
      <c r="T621" s="92"/>
      <c r="U621" s="92"/>
      <c r="V621" s="92"/>
      <c r="W621" s="92"/>
      <c r="X621" s="92"/>
      <c r="Y621" s="92"/>
      <c r="Z621" s="92"/>
      <c r="AA621" s="92"/>
      <c r="AB621" s="92"/>
      <c r="AC621" s="92"/>
      <c r="AD621" s="92"/>
      <c r="AE621" s="92"/>
      <c r="AF621" s="92"/>
      <c r="AG621" s="92"/>
      <c r="AH621" s="92"/>
      <c r="AI621" s="92"/>
      <c r="AJ621" s="92"/>
      <c r="AK621" s="88"/>
      <c r="AL621" s="88"/>
      <c r="AM621" s="88"/>
      <c r="AN621" s="88"/>
      <c r="AO621" s="88"/>
      <c r="AP621" s="88"/>
      <c r="AQ621" s="88"/>
      <c r="AR621" s="88"/>
    </row>
    <row r="622" spans="1:44" ht="12.75" customHeight="1">
      <c r="A622" s="87"/>
      <c r="B622" s="87"/>
      <c r="C622" s="88"/>
      <c r="D622" s="88"/>
      <c r="E622" s="88"/>
      <c r="F622" s="89"/>
      <c r="G622" s="89"/>
      <c r="H622" s="89"/>
      <c r="I622" s="89"/>
      <c r="J622" s="89"/>
      <c r="K622" s="88"/>
      <c r="L622" s="88"/>
      <c r="M622" s="88"/>
      <c r="N622" s="88"/>
      <c r="O622" s="90"/>
      <c r="P622" s="88"/>
      <c r="Q622" s="88"/>
      <c r="R622" s="92"/>
      <c r="S622" s="92"/>
      <c r="T622" s="92"/>
      <c r="U622" s="92"/>
      <c r="V622" s="92"/>
      <c r="W622" s="92"/>
      <c r="X622" s="92"/>
      <c r="Y622" s="92"/>
      <c r="Z622" s="92"/>
      <c r="AA622" s="92"/>
      <c r="AB622" s="92"/>
      <c r="AC622" s="92"/>
      <c r="AD622" s="92"/>
      <c r="AE622" s="92"/>
      <c r="AF622" s="92"/>
      <c r="AG622" s="92"/>
      <c r="AH622" s="92"/>
      <c r="AI622" s="92"/>
      <c r="AJ622" s="92"/>
      <c r="AK622" s="88"/>
      <c r="AL622" s="88"/>
      <c r="AM622" s="88"/>
      <c r="AN622" s="88"/>
      <c r="AO622" s="88"/>
      <c r="AP622" s="88"/>
      <c r="AQ622" s="88"/>
      <c r="AR622" s="88"/>
    </row>
    <row r="623" spans="1:44" ht="12.75" customHeight="1">
      <c r="A623" s="87"/>
      <c r="B623" s="87"/>
      <c r="C623" s="88"/>
      <c r="D623" s="88"/>
      <c r="E623" s="88"/>
      <c r="F623" s="89"/>
      <c r="G623" s="89"/>
      <c r="H623" s="89"/>
      <c r="I623" s="89"/>
      <c r="J623" s="89"/>
      <c r="K623" s="88"/>
      <c r="L623" s="88"/>
      <c r="M623" s="88"/>
      <c r="N623" s="88"/>
      <c r="O623" s="90"/>
      <c r="P623" s="88"/>
      <c r="Q623" s="88"/>
      <c r="R623" s="92"/>
      <c r="S623" s="92"/>
      <c r="T623" s="92"/>
      <c r="U623" s="92"/>
      <c r="V623" s="92"/>
      <c r="W623" s="92"/>
      <c r="X623" s="92"/>
      <c r="Y623" s="92"/>
      <c r="Z623" s="92"/>
      <c r="AA623" s="92"/>
      <c r="AB623" s="92"/>
      <c r="AC623" s="92"/>
      <c r="AD623" s="92"/>
      <c r="AE623" s="92"/>
      <c r="AF623" s="92"/>
      <c r="AG623" s="92"/>
      <c r="AH623" s="92"/>
      <c r="AI623" s="92"/>
      <c r="AJ623" s="92"/>
      <c r="AK623" s="88"/>
      <c r="AL623" s="88"/>
      <c r="AM623" s="88"/>
      <c r="AN623" s="88"/>
      <c r="AO623" s="88"/>
      <c r="AP623" s="88"/>
      <c r="AQ623" s="88"/>
      <c r="AR623" s="88"/>
    </row>
    <row r="624" spans="1:44" ht="12.75" customHeight="1">
      <c r="A624" s="87"/>
      <c r="B624" s="87"/>
      <c r="C624" s="88"/>
      <c r="D624" s="88"/>
      <c r="E624" s="88"/>
      <c r="F624" s="89"/>
      <c r="G624" s="89"/>
      <c r="H624" s="89"/>
      <c r="I624" s="89"/>
      <c r="J624" s="89"/>
      <c r="K624" s="88"/>
      <c r="L624" s="88"/>
      <c r="M624" s="88"/>
      <c r="N624" s="88"/>
      <c r="O624" s="90"/>
      <c r="P624" s="88"/>
      <c r="Q624" s="88"/>
      <c r="R624" s="92"/>
      <c r="S624" s="92"/>
      <c r="T624" s="92"/>
      <c r="U624" s="92"/>
      <c r="V624" s="92"/>
      <c r="W624" s="92"/>
      <c r="X624" s="92"/>
      <c r="Y624" s="92"/>
      <c r="Z624" s="92"/>
      <c r="AA624" s="92"/>
      <c r="AB624" s="92"/>
      <c r="AC624" s="92"/>
      <c r="AD624" s="92"/>
      <c r="AE624" s="92"/>
      <c r="AF624" s="92"/>
      <c r="AG624" s="92"/>
      <c r="AH624" s="92"/>
      <c r="AI624" s="92"/>
      <c r="AJ624" s="92"/>
      <c r="AK624" s="88"/>
      <c r="AL624" s="88"/>
      <c r="AM624" s="88"/>
      <c r="AN624" s="88"/>
      <c r="AO624" s="88"/>
      <c r="AP624" s="88"/>
      <c r="AQ624" s="88"/>
      <c r="AR624" s="88"/>
    </row>
    <row r="625" spans="1:44" ht="12.75" customHeight="1">
      <c r="A625" s="87"/>
      <c r="B625" s="87"/>
      <c r="C625" s="88"/>
      <c r="D625" s="88"/>
      <c r="E625" s="88"/>
      <c r="F625" s="89"/>
      <c r="G625" s="89"/>
      <c r="H625" s="89"/>
      <c r="I625" s="89"/>
      <c r="J625" s="89"/>
      <c r="K625" s="88"/>
      <c r="L625" s="88"/>
      <c r="M625" s="88"/>
      <c r="N625" s="88"/>
      <c r="O625" s="90"/>
      <c r="P625" s="88"/>
      <c r="Q625" s="88"/>
      <c r="R625" s="92"/>
      <c r="S625" s="92"/>
      <c r="T625" s="92"/>
      <c r="U625" s="92"/>
      <c r="V625" s="92"/>
      <c r="W625" s="92"/>
      <c r="X625" s="92"/>
      <c r="Y625" s="92"/>
      <c r="Z625" s="92"/>
      <c r="AA625" s="92"/>
      <c r="AB625" s="92"/>
      <c r="AC625" s="92"/>
      <c r="AD625" s="92"/>
      <c r="AE625" s="92"/>
      <c r="AF625" s="92"/>
      <c r="AG625" s="92"/>
      <c r="AH625" s="92"/>
      <c r="AI625" s="92"/>
      <c r="AJ625" s="92"/>
      <c r="AK625" s="88"/>
      <c r="AL625" s="88"/>
      <c r="AM625" s="88"/>
      <c r="AN625" s="88"/>
      <c r="AO625" s="88"/>
      <c r="AP625" s="88"/>
      <c r="AQ625" s="88"/>
      <c r="AR625" s="88"/>
    </row>
    <row r="626" spans="1:44" ht="12.75" customHeight="1">
      <c r="A626" s="87"/>
      <c r="B626" s="87"/>
      <c r="C626" s="88"/>
      <c r="D626" s="88"/>
      <c r="E626" s="88"/>
      <c r="F626" s="89"/>
      <c r="G626" s="89"/>
      <c r="H626" s="89"/>
      <c r="I626" s="89"/>
      <c r="J626" s="89"/>
      <c r="K626" s="88"/>
      <c r="L626" s="88"/>
      <c r="M626" s="88"/>
      <c r="N626" s="88"/>
      <c r="O626" s="90"/>
      <c r="P626" s="88"/>
      <c r="Q626" s="88"/>
      <c r="R626" s="92"/>
      <c r="S626" s="92"/>
      <c r="T626" s="92"/>
      <c r="U626" s="92"/>
      <c r="V626" s="92"/>
      <c r="W626" s="92"/>
      <c r="X626" s="92"/>
      <c r="Y626" s="92"/>
      <c r="Z626" s="92"/>
      <c r="AA626" s="92"/>
      <c r="AB626" s="92"/>
      <c r="AC626" s="92"/>
      <c r="AD626" s="92"/>
      <c r="AE626" s="92"/>
      <c r="AF626" s="92"/>
      <c r="AG626" s="92"/>
      <c r="AH626" s="92"/>
      <c r="AI626" s="92"/>
      <c r="AJ626" s="92"/>
      <c r="AK626" s="88"/>
      <c r="AL626" s="88"/>
      <c r="AM626" s="88"/>
      <c r="AN626" s="88"/>
      <c r="AO626" s="88"/>
      <c r="AP626" s="88"/>
      <c r="AQ626" s="88"/>
      <c r="AR626" s="88"/>
    </row>
    <row r="627" spans="1:44" ht="12.75" customHeight="1">
      <c r="A627" s="87"/>
      <c r="B627" s="87"/>
      <c r="C627" s="88"/>
      <c r="D627" s="88"/>
      <c r="E627" s="88"/>
      <c r="F627" s="89"/>
      <c r="G627" s="89"/>
      <c r="H627" s="89"/>
      <c r="I627" s="89"/>
      <c r="J627" s="89"/>
      <c r="K627" s="88"/>
      <c r="L627" s="88"/>
      <c r="M627" s="88"/>
      <c r="N627" s="88"/>
      <c r="O627" s="90"/>
      <c r="P627" s="88"/>
      <c r="Q627" s="88"/>
      <c r="R627" s="92"/>
      <c r="S627" s="92"/>
      <c r="T627" s="92"/>
      <c r="U627" s="92"/>
      <c r="V627" s="92"/>
      <c r="W627" s="92"/>
      <c r="X627" s="92"/>
      <c r="Y627" s="92"/>
      <c r="Z627" s="92"/>
      <c r="AA627" s="92"/>
      <c r="AB627" s="92"/>
      <c r="AC627" s="92"/>
      <c r="AD627" s="92"/>
      <c r="AE627" s="92"/>
      <c r="AF627" s="92"/>
      <c r="AG627" s="92"/>
      <c r="AH627" s="92"/>
      <c r="AI627" s="92"/>
      <c r="AJ627" s="92"/>
      <c r="AK627" s="88"/>
      <c r="AL627" s="88"/>
      <c r="AM627" s="88"/>
      <c r="AN627" s="88"/>
      <c r="AO627" s="88"/>
      <c r="AP627" s="88"/>
      <c r="AQ627" s="88"/>
      <c r="AR627" s="88"/>
    </row>
    <row r="628" spans="1:44" ht="12.75" customHeight="1">
      <c r="A628" s="87"/>
      <c r="B628" s="87"/>
      <c r="C628" s="88"/>
      <c r="D628" s="88"/>
      <c r="E628" s="88"/>
      <c r="F628" s="89"/>
      <c r="G628" s="89"/>
      <c r="H628" s="89"/>
      <c r="I628" s="89"/>
      <c r="J628" s="89"/>
      <c r="K628" s="88"/>
      <c r="L628" s="88"/>
      <c r="M628" s="88"/>
      <c r="N628" s="88"/>
      <c r="O628" s="90"/>
      <c r="P628" s="88"/>
      <c r="Q628" s="88"/>
      <c r="R628" s="92"/>
      <c r="S628" s="92"/>
      <c r="T628" s="92"/>
      <c r="U628" s="92"/>
      <c r="V628" s="92"/>
      <c r="W628" s="92"/>
      <c r="X628" s="92"/>
      <c r="Y628" s="92"/>
      <c r="Z628" s="92"/>
      <c r="AA628" s="92"/>
      <c r="AB628" s="92"/>
      <c r="AC628" s="92"/>
      <c r="AD628" s="92"/>
      <c r="AE628" s="92"/>
      <c r="AF628" s="92"/>
      <c r="AG628" s="92"/>
      <c r="AH628" s="92"/>
      <c r="AI628" s="92"/>
      <c r="AJ628" s="92"/>
      <c r="AK628" s="88"/>
      <c r="AL628" s="88"/>
      <c r="AM628" s="88"/>
      <c r="AN628" s="88"/>
      <c r="AO628" s="88"/>
      <c r="AP628" s="88"/>
      <c r="AQ628" s="88"/>
      <c r="AR628" s="88"/>
    </row>
    <row r="629" spans="1:44" ht="12.75" customHeight="1">
      <c r="A629" s="87"/>
      <c r="B629" s="87"/>
      <c r="C629" s="88"/>
      <c r="D629" s="88"/>
      <c r="E629" s="88"/>
      <c r="F629" s="89"/>
      <c r="G629" s="89"/>
      <c r="H629" s="89"/>
      <c r="I629" s="89"/>
      <c r="J629" s="89"/>
      <c r="K629" s="88"/>
      <c r="L629" s="88"/>
      <c r="M629" s="88"/>
      <c r="N629" s="88"/>
      <c r="O629" s="90"/>
      <c r="P629" s="88"/>
      <c r="Q629" s="88"/>
      <c r="R629" s="92"/>
      <c r="S629" s="92"/>
      <c r="T629" s="92"/>
      <c r="U629" s="92"/>
      <c r="V629" s="92"/>
      <c r="W629" s="92"/>
      <c r="X629" s="92"/>
      <c r="Y629" s="92"/>
      <c r="Z629" s="92"/>
      <c r="AA629" s="92"/>
      <c r="AB629" s="92"/>
      <c r="AC629" s="92"/>
      <c r="AD629" s="92"/>
      <c r="AE629" s="92"/>
      <c r="AF629" s="92"/>
      <c r="AG629" s="92"/>
      <c r="AH629" s="92"/>
      <c r="AI629" s="92"/>
      <c r="AJ629" s="92"/>
      <c r="AK629" s="88"/>
      <c r="AL629" s="88"/>
      <c r="AM629" s="88"/>
      <c r="AN629" s="88"/>
      <c r="AO629" s="88"/>
      <c r="AP629" s="88"/>
      <c r="AQ629" s="88"/>
      <c r="AR629" s="88"/>
    </row>
    <row r="630" spans="1:44" ht="12.75" customHeight="1">
      <c r="A630" s="87"/>
      <c r="B630" s="87"/>
      <c r="C630" s="88"/>
      <c r="D630" s="88"/>
      <c r="E630" s="88"/>
      <c r="F630" s="89"/>
      <c r="G630" s="89"/>
      <c r="H630" s="89"/>
      <c r="I630" s="89"/>
      <c r="J630" s="89"/>
      <c r="K630" s="88"/>
      <c r="L630" s="88"/>
      <c r="M630" s="88"/>
      <c r="N630" s="88"/>
      <c r="O630" s="90"/>
      <c r="P630" s="88"/>
      <c r="Q630" s="88"/>
      <c r="R630" s="92"/>
      <c r="S630" s="92"/>
      <c r="T630" s="92"/>
      <c r="U630" s="92"/>
      <c r="V630" s="92"/>
      <c r="W630" s="92"/>
      <c r="X630" s="92"/>
      <c r="Y630" s="92"/>
      <c r="Z630" s="92"/>
      <c r="AA630" s="92"/>
      <c r="AB630" s="92"/>
      <c r="AC630" s="92"/>
      <c r="AD630" s="92"/>
      <c r="AE630" s="92"/>
      <c r="AF630" s="92"/>
      <c r="AG630" s="92"/>
      <c r="AH630" s="92"/>
      <c r="AI630" s="92"/>
      <c r="AJ630" s="92"/>
      <c r="AK630" s="88"/>
      <c r="AL630" s="88"/>
      <c r="AM630" s="88"/>
      <c r="AN630" s="88"/>
      <c r="AO630" s="88"/>
      <c r="AP630" s="88"/>
      <c r="AQ630" s="88"/>
      <c r="AR630" s="88"/>
    </row>
    <row r="631" spans="1:44" ht="12.75" customHeight="1">
      <c r="A631" s="87"/>
      <c r="B631" s="87"/>
      <c r="C631" s="88"/>
      <c r="D631" s="88"/>
      <c r="E631" s="88"/>
      <c r="F631" s="89"/>
      <c r="G631" s="89"/>
      <c r="H631" s="89"/>
      <c r="I631" s="89"/>
      <c r="J631" s="89"/>
      <c r="K631" s="88"/>
      <c r="L631" s="88"/>
      <c r="M631" s="88"/>
      <c r="N631" s="88"/>
      <c r="O631" s="90"/>
      <c r="P631" s="88"/>
      <c r="Q631" s="88"/>
      <c r="R631" s="92"/>
      <c r="S631" s="92"/>
      <c r="T631" s="92"/>
      <c r="U631" s="92"/>
      <c r="V631" s="92"/>
      <c r="W631" s="92"/>
      <c r="X631" s="92"/>
      <c r="Y631" s="92"/>
      <c r="Z631" s="92"/>
      <c r="AA631" s="92"/>
      <c r="AB631" s="92"/>
      <c r="AC631" s="92"/>
      <c r="AD631" s="92"/>
      <c r="AE631" s="92"/>
      <c r="AF631" s="92"/>
      <c r="AG631" s="92"/>
      <c r="AH631" s="92"/>
      <c r="AI631" s="92"/>
      <c r="AJ631" s="92"/>
      <c r="AK631" s="88"/>
      <c r="AL631" s="88"/>
      <c r="AM631" s="88"/>
      <c r="AN631" s="88"/>
      <c r="AO631" s="88"/>
      <c r="AP631" s="88"/>
      <c r="AQ631" s="88"/>
      <c r="AR631" s="88"/>
    </row>
    <row r="632" spans="1:44" ht="12.75" customHeight="1">
      <c r="A632" s="87"/>
      <c r="B632" s="87"/>
      <c r="C632" s="88"/>
      <c r="D632" s="88"/>
      <c r="E632" s="88"/>
      <c r="F632" s="89"/>
      <c r="G632" s="89"/>
      <c r="H632" s="89"/>
      <c r="I632" s="89"/>
      <c r="J632" s="89"/>
      <c r="K632" s="88"/>
      <c r="L632" s="88"/>
      <c r="M632" s="88"/>
      <c r="N632" s="88"/>
      <c r="O632" s="90"/>
      <c r="P632" s="88"/>
      <c r="Q632" s="88"/>
      <c r="R632" s="92"/>
      <c r="S632" s="92"/>
      <c r="T632" s="92"/>
      <c r="U632" s="92"/>
      <c r="V632" s="92"/>
      <c r="W632" s="92"/>
      <c r="X632" s="92"/>
      <c r="Y632" s="92"/>
      <c r="Z632" s="92"/>
      <c r="AA632" s="92"/>
      <c r="AB632" s="92"/>
      <c r="AC632" s="92"/>
      <c r="AD632" s="92"/>
      <c r="AE632" s="92"/>
      <c r="AF632" s="92"/>
      <c r="AG632" s="92"/>
      <c r="AH632" s="92"/>
      <c r="AI632" s="92"/>
      <c r="AJ632" s="92"/>
      <c r="AK632" s="88"/>
      <c r="AL632" s="88"/>
      <c r="AM632" s="88"/>
      <c r="AN632" s="88"/>
      <c r="AO632" s="88"/>
      <c r="AP632" s="88"/>
      <c r="AQ632" s="88"/>
      <c r="AR632" s="88"/>
    </row>
    <row r="633" spans="1:44" ht="12.75" customHeight="1">
      <c r="A633" s="87"/>
      <c r="B633" s="87"/>
      <c r="C633" s="88"/>
      <c r="D633" s="88"/>
      <c r="E633" s="88"/>
      <c r="F633" s="89"/>
      <c r="G633" s="89"/>
      <c r="H633" s="89"/>
      <c r="I633" s="89"/>
      <c r="J633" s="89"/>
      <c r="K633" s="88"/>
      <c r="L633" s="88"/>
      <c r="M633" s="88"/>
      <c r="N633" s="88"/>
      <c r="O633" s="90"/>
      <c r="P633" s="88"/>
      <c r="Q633" s="88"/>
      <c r="R633" s="92"/>
      <c r="S633" s="92"/>
      <c r="T633" s="92"/>
      <c r="U633" s="92"/>
      <c r="V633" s="92"/>
      <c r="W633" s="92"/>
      <c r="X633" s="92"/>
      <c r="Y633" s="92"/>
      <c r="Z633" s="92"/>
      <c r="AA633" s="92"/>
      <c r="AB633" s="92"/>
      <c r="AC633" s="92"/>
      <c r="AD633" s="92"/>
      <c r="AE633" s="92"/>
      <c r="AF633" s="92"/>
      <c r="AG633" s="92"/>
      <c r="AH633" s="92"/>
      <c r="AI633" s="92"/>
      <c r="AJ633" s="92"/>
      <c r="AK633" s="88"/>
      <c r="AL633" s="88"/>
      <c r="AM633" s="88"/>
      <c r="AN633" s="88"/>
      <c r="AO633" s="88"/>
      <c r="AP633" s="88"/>
      <c r="AQ633" s="88"/>
      <c r="AR633" s="88"/>
    </row>
    <row r="634" spans="1:44" ht="12.75" customHeight="1">
      <c r="A634" s="87"/>
      <c r="B634" s="87"/>
      <c r="C634" s="88"/>
      <c r="D634" s="88"/>
      <c r="E634" s="88"/>
      <c r="F634" s="89"/>
      <c r="G634" s="89"/>
      <c r="H634" s="89"/>
      <c r="I634" s="89"/>
      <c r="J634" s="89"/>
      <c r="K634" s="88"/>
      <c r="L634" s="88"/>
      <c r="M634" s="88"/>
      <c r="N634" s="88"/>
      <c r="O634" s="90"/>
      <c r="P634" s="88"/>
      <c r="Q634" s="88"/>
      <c r="R634" s="92"/>
      <c r="S634" s="92"/>
      <c r="T634" s="92"/>
      <c r="U634" s="92"/>
      <c r="V634" s="92"/>
      <c r="W634" s="92"/>
      <c r="X634" s="92"/>
      <c r="Y634" s="92"/>
      <c r="Z634" s="92"/>
      <c r="AA634" s="92"/>
      <c r="AB634" s="92"/>
      <c r="AC634" s="92"/>
      <c r="AD634" s="92"/>
      <c r="AE634" s="92"/>
      <c r="AF634" s="92"/>
      <c r="AG634" s="92"/>
      <c r="AH634" s="92"/>
      <c r="AI634" s="92"/>
      <c r="AJ634" s="92"/>
      <c r="AK634" s="88"/>
      <c r="AL634" s="88"/>
      <c r="AM634" s="88"/>
      <c r="AN634" s="88"/>
      <c r="AO634" s="88"/>
      <c r="AP634" s="88"/>
      <c r="AQ634" s="88"/>
      <c r="AR634" s="88"/>
    </row>
    <row r="635" spans="1:44" ht="12.75" customHeight="1">
      <c r="A635" s="87"/>
      <c r="B635" s="87"/>
      <c r="C635" s="88"/>
      <c r="D635" s="88"/>
      <c r="E635" s="88"/>
      <c r="F635" s="89"/>
      <c r="G635" s="89"/>
      <c r="H635" s="89"/>
      <c r="I635" s="89"/>
      <c r="J635" s="89"/>
      <c r="K635" s="88"/>
      <c r="L635" s="88"/>
      <c r="M635" s="88"/>
      <c r="N635" s="88"/>
      <c r="O635" s="90"/>
      <c r="P635" s="88"/>
      <c r="Q635" s="88"/>
      <c r="R635" s="92"/>
      <c r="S635" s="92"/>
      <c r="T635" s="92"/>
      <c r="U635" s="92"/>
      <c r="V635" s="92"/>
      <c r="W635" s="92"/>
      <c r="X635" s="92"/>
      <c r="Y635" s="92"/>
      <c r="Z635" s="92"/>
      <c r="AA635" s="92"/>
      <c r="AB635" s="92"/>
      <c r="AC635" s="92"/>
      <c r="AD635" s="92"/>
      <c r="AE635" s="92"/>
      <c r="AF635" s="92"/>
      <c r="AG635" s="92"/>
      <c r="AH635" s="92"/>
      <c r="AI635" s="92"/>
      <c r="AJ635" s="92"/>
      <c r="AK635" s="88"/>
      <c r="AL635" s="88"/>
      <c r="AM635" s="88"/>
      <c r="AN635" s="88"/>
      <c r="AO635" s="88"/>
      <c r="AP635" s="88"/>
      <c r="AQ635" s="88"/>
      <c r="AR635" s="88"/>
    </row>
    <row r="636" spans="1:44" ht="12.75" customHeight="1">
      <c r="A636" s="87"/>
      <c r="B636" s="87"/>
      <c r="C636" s="88"/>
      <c r="D636" s="88"/>
      <c r="E636" s="88"/>
      <c r="F636" s="89"/>
      <c r="G636" s="89"/>
      <c r="H636" s="89"/>
      <c r="I636" s="89"/>
      <c r="J636" s="89"/>
      <c r="K636" s="88"/>
      <c r="L636" s="88"/>
      <c r="M636" s="88"/>
      <c r="N636" s="88"/>
      <c r="O636" s="90"/>
      <c r="P636" s="88"/>
      <c r="Q636" s="88"/>
      <c r="R636" s="92"/>
      <c r="S636" s="92"/>
      <c r="T636" s="92"/>
      <c r="U636" s="92"/>
      <c r="V636" s="92"/>
      <c r="W636" s="92"/>
      <c r="X636" s="92"/>
      <c r="Y636" s="92"/>
      <c r="Z636" s="92"/>
      <c r="AA636" s="92"/>
      <c r="AB636" s="92"/>
      <c r="AC636" s="92"/>
      <c r="AD636" s="92"/>
      <c r="AE636" s="92"/>
      <c r="AF636" s="92"/>
      <c r="AG636" s="92"/>
      <c r="AH636" s="92"/>
      <c r="AI636" s="92"/>
      <c r="AJ636" s="92"/>
      <c r="AK636" s="88"/>
      <c r="AL636" s="88"/>
      <c r="AM636" s="88"/>
      <c r="AN636" s="88"/>
      <c r="AO636" s="88"/>
      <c r="AP636" s="88"/>
      <c r="AQ636" s="88"/>
      <c r="AR636" s="88"/>
    </row>
    <row r="637" spans="1:44" ht="12.75" customHeight="1">
      <c r="A637" s="87"/>
      <c r="B637" s="87"/>
      <c r="C637" s="88"/>
      <c r="D637" s="88"/>
      <c r="E637" s="88"/>
      <c r="F637" s="89"/>
      <c r="G637" s="89"/>
      <c r="H637" s="89"/>
      <c r="I637" s="89"/>
      <c r="J637" s="89"/>
      <c r="K637" s="88"/>
      <c r="L637" s="88"/>
      <c r="M637" s="88"/>
      <c r="N637" s="88"/>
      <c r="O637" s="90"/>
      <c r="P637" s="88"/>
      <c r="Q637" s="88"/>
      <c r="R637" s="92"/>
      <c r="S637" s="92"/>
      <c r="T637" s="92"/>
      <c r="U637" s="92"/>
      <c r="V637" s="92"/>
      <c r="W637" s="92"/>
      <c r="X637" s="92"/>
      <c r="Y637" s="92"/>
      <c r="Z637" s="92"/>
      <c r="AA637" s="92"/>
      <c r="AB637" s="92"/>
      <c r="AC637" s="92"/>
      <c r="AD637" s="92"/>
      <c r="AE637" s="92"/>
      <c r="AF637" s="92"/>
      <c r="AG637" s="92"/>
      <c r="AH637" s="92"/>
      <c r="AI637" s="92"/>
      <c r="AJ637" s="92"/>
      <c r="AK637" s="88"/>
      <c r="AL637" s="88"/>
      <c r="AM637" s="88"/>
      <c r="AN637" s="88"/>
      <c r="AO637" s="88"/>
      <c r="AP637" s="88"/>
      <c r="AQ637" s="88"/>
      <c r="AR637" s="88"/>
    </row>
    <row r="638" spans="1:44" ht="12.75" customHeight="1">
      <c r="A638" s="87"/>
      <c r="B638" s="87"/>
      <c r="C638" s="88"/>
      <c r="D638" s="88"/>
      <c r="E638" s="88"/>
      <c r="F638" s="89"/>
      <c r="G638" s="89"/>
      <c r="H638" s="89"/>
      <c r="I638" s="89"/>
      <c r="J638" s="89"/>
      <c r="K638" s="88"/>
      <c r="L638" s="88"/>
      <c r="M638" s="88"/>
      <c r="N638" s="88"/>
      <c r="O638" s="90"/>
      <c r="P638" s="88"/>
      <c r="Q638" s="88"/>
      <c r="R638" s="92"/>
      <c r="S638" s="92"/>
      <c r="T638" s="92"/>
      <c r="U638" s="92"/>
      <c r="V638" s="92"/>
      <c r="W638" s="92"/>
      <c r="X638" s="92"/>
      <c r="Y638" s="92"/>
      <c r="Z638" s="92"/>
      <c r="AA638" s="92"/>
      <c r="AB638" s="92"/>
      <c r="AC638" s="92"/>
      <c r="AD638" s="92"/>
      <c r="AE638" s="92"/>
      <c r="AF638" s="92"/>
      <c r="AG638" s="92"/>
      <c r="AH638" s="92"/>
      <c r="AI638" s="92"/>
      <c r="AJ638" s="92"/>
      <c r="AK638" s="88"/>
      <c r="AL638" s="88"/>
      <c r="AM638" s="88"/>
      <c r="AN638" s="88"/>
      <c r="AO638" s="88"/>
      <c r="AP638" s="88"/>
      <c r="AQ638" s="88"/>
      <c r="AR638" s="88"/>
    </row>
    <row r="639" spans="1:44" ht="12.75" customHeight="1">
      <c r="A639" s="87"/>
      <c r="B639" s="87"/>
      <c r="C639" s="88"/>
      <c r="D639" s="88"/>
      <c r="E639" s="88"/>
      <c r="F639" s="89"/>
      <c r="G639" s="89"/>
      <c r="H639" s="89"/>
      <c r="I639" s="89"/>
      <c r="J639" s="89"/>
      <c r="K639" s="88"/>
      <c r="L639" s="88"/>
      <c r="M639" s="88"/>
      <c r="N639" s="88"/>
      <c r="O639" s="90"/>
      <c r="P639" s="88"/>
      <c r="Q639" s="88"/>
      <c r="R639" s="92"/>
      <c r="S639" s="92"/>
      <c r="T639" s="92"/>
      <c r="U639" s="92"/>
      <c r="V639" s="92"/>
      <c r="W639" s="92"/>
      <c r="X639" s="92"/>
      <c r="Y639" s="92"/>
      <c r="Z639" s="92"/>
      <c r="AA639" s="92"/>
      <c r="AB639" s="92"/>
      <c r="AC639" s="92"/>
      <c r="AD639" s="92"/>
      <c r="AE639" s="92"/>
      <c r="AF639" s="92"/>
      <c r="AG639" s="92"/>
      <c r="AH639" s="92"/>
      <c r="AI639" s="92"/>
      <c r="AJ639" s="92"/>
      <c r="AK639" s="88"/>
      <c r="AL639" s="88"/>
      <c r="AM639" s="88"/>
      <c r="AN639" s="88"/>
      <c r="AO639" s="88"/>
      <c r="AP639" s="88"/>
      <c r="AQ639" s="88"/>
      <c r="AR639" s="88"/>
    </row>
    <row r="640" spans="1:44" ht="12.75" customHeight="1">
      <c r="A640" s="87"/>
      <c r="B640" s="87"/>
      <c r="C640" s="88"/>
      <c r="D640" s="88"/>
      <c r="E640" s="88"/>
      <c r="F640" s="89"/>
      <c r="G640" s="89"/>
      <c r="H640" s="89"/>
      <c r="I640" s="89"/>
      <c r="J640" s="89"/>
      <c r="K640" s="88"/>
      <c r="L640" s="88"/>
      <c r="M640" s="88"/>
      <c r="N640" s="88"/>
      <c r="O640" s="90"/>
      <c r="P640" s="88"/>
      <c r="Q640" s="88"/>
      <c r="R640" s="92"/>
      <c r="S640" s="92"/>
      <c r="T640" s="92"/>
      <c r="U640" s="92"/>
      <c r="V640" s="92"/>
      <c r="W640" s="92"/>
      <c r="X640" s="92"/>
      <c r="Y640" s="92"/>
      <c r="Z640" s="92"/>
      <c r="AA640" s="92"/>
      <c r="AB640" s="92"/>
      <c r="AC640" s="92"/>
      <c r="AD640" s="92"/>
      <c r="AE640" s="92"/>
      <c r="AF640" s="92"/>
      <c r="AG640" s="92"/>
      <c r="AH640" s="92"/>
      <c r="AI640" s="92"/>
      <c r="AJ640" s="92"/>
      <c r="AK640" s="88"/>
      <c r="AL640" s="88"/>
      <c r="AM640" s="88"/>
      <c r="AN640" s="88"/>
      <c r="AO640" s="88"/>
      <c r="AP640" s="88"/>
      <c r="AQ640" s="88"/>
      <c r="AR640" s="88"/>
    </row>
    <row r="641" spans="1:44" ht="12.75" customHeight="1">
      <c r="A641" s="87"/>
      <c r="B641" s="87"/>
      <c r="C641" s="88"/>
      <c r="D641" s="88"/>
      <c r="E641" s="88"/>
      <c r="F641" s="89"/>
      <c r="G641" s="89"/>
      <c r="H641" s="89"/>
      <c r="I641" s="89"/>
      <c r="J641" s="89"/>
      <c r="K641" s="88"/>
      <c r="L641" s="88"/>
      <c r="M641" s="88"/>
      <c r="N641" s="88"/>
      <c r="O641" s="90"/>
      <c r="P641" s="88"/>
      <c r="Q641" s="88"/>
      <c r="R641" s="92"/>
      <c r="S641" s="92"/>
      <c r="T641" s="92"/>
      <c r="U641" s="92"/>
      <c r="V641" s="92"/>
      <c r="W641" s="92"/>
      <c r="X641" s="92"/>
      <c r="Y641" s="92"/>
      <c r="Z641" s="92"/>
      <c r="AA641" s="92"/>
      <c r="AB641" s="92"/>
      <c r="AC641" s="92"/>
      <c r="AD641" s="92"/>
      <c r="AE641" s="92"/>
      <c r="AF641" s="92"/>
      <c r="AG641" s="92"/>
      <c r="AH641" s="92"/>
      <c r="AI641" s="92"/>
      <c r="AJ641" s="92"/>
      <c r="AK641" s="88"/>
      <c r="AL641" s="88"/>
      <c r="AM641" s="88"/>
      <c r="AN641" s="88"/>
      <c r="AO641" s="88"/>
      <c r="AP641" s="88"/>
      <c r="AQ641" s="88"/>
      <c r="AR641" s="88"/>
    </row>
    <row r="642" spans="1:44" ht="12.75" customHeight="1">
      <c r="A642" s="87"/>
      <c r="B642" s="87"/>
      <c r="C642" s="88"/>
      <c r="D642" s="88"/>
      <c r="E642" s="88"/>
      <c r="F642" s="89"/>
      <c r="G642" s="89"/>
      <c r="H642" s="89"/>
      <c r="I642" s="89"/>
      <c r="J642" s="89"/>
      <c r="K642" s="88"/>
      <c r="L642" s="88"/>
      <c r="M642" s="88"/>
      <c r="N642" s="88"/>
      <c r="O642" s="90"/>
      <c r="P642" s="88"/>
      <c r="Q642" s="88"/>
      <c r="R642" s="92"/>
      <c r="S642" s="92"/>
      <c r="T642" s="92"/>
      <c r="U642" s="92"/>
      <c r="V642" s="92"/>
      <c r="W642" s="92"/>
      <c r="X642" s="92"/>
      <c r="Y642" s="92"/>
      <c r="Z642" s="92"/>
      <c r="AA642" s="92"/>
      <c r="AB642" s="92"/>
      <c r="AC642" s="92"/>
      <c r="AD642" s="92"/>
      <c r="AE642" s="92"/>
      <c r="AF642" s="92"/>
      <c r="AG642" s="92"/>
      <c r="AH642" s="92"/>
      <c r="AI642" s="92"/>
      <c r="AJ642" s="92"/>
      <c r="AK642" s="88"/>
      <c r="AL642" s="88"/>
      <c r="AM642" s="88"/>
      <c r="AN642" s="88"/>
      <c r="AO642" s="88"/>
      <c r="AP642" s="88"/>
      <c r="AQ642" s="88"/>
      <c r="AR642" s="88"/>
    </row>
    <row r="643" spans="1:44" ht="12.75" customHeight="1">
      <c r="A643" s="87"/>
      <c r="B643" s="87"/>
      <c r="C643" s="88"/>
      <c r="D643" s="88"/>
      <c r="E643" s="88"/>
      <c r="F643" s="89"/>
      <c r="G643" s="89"/>
      <c r="H643" s="89"/>
      <c r="I643" s="89"/>
      <c r="J643" s="89"/>
      <c r="K643" s="88"/>
      <c r="L643" s="88"/>
      <c r="M643" s="88"/>
      <c r="N643" s="88"/>
      <c r="O643" s="90"/>
      <c r="P643" s="88"/>
      <c r="Q643" s="88"/>
      <c r="R643" s="92"/>
      <c r="S643" s="92"/>
      <c r="T643" s="92"/>
      <c r="U643" s="92"/>
      <c r="V643" s="92"/>
      <c r="W643" s="92"/>
      <c r="X643" s="92"/>
      <c r="Y643" s="92"/>
      <c r="Z643" s="92"/>
      <c r="AA643" s="92"/>
      <c r="AB643" s="92"/>
      <c r="AC643" s="92"/>
      <c r="AD643" s="92"/>
      <c r="AE643" s="92"/>
      <c r="AF643" s="92"/>
      <c r="AG643" s="92"/>
      <c r="AH643" s="92"/>
      <c r="AI643" s="92"/>
      <c r="AJ643" s="92"/>
      <c r="AK643" s="88"/>
      <c r="AL643" s="88"/>
      <c r="AM643" s="88"/>
      <c r="AN643" s="88"/>
      <c r="AO643" s="88"/>
      <c r="AP643" s="88"/>
      <c r="AQ643" s="88"/>
      <c r="AR643" s="88"/>
    </row>
    <row r="644" spans="1:44" ht="12.75" customHeight="1">
      <c r="A644" s="87"/>
      <c r="B644" s="87"/>
      <c r="C644" s="88"/>
      <c r="D644" s="88"/>
      <c r="E644" s="88"/>
      <c r="F644" s="89"/>
      <c r="G644" s="89"/>
      <c r="H644" s="89"/>
      <c r="I644" s="89"/>
      <c r="J644" s="89"/>
      <c r="K644" s="88"/>
      <c r="L644" s="88"/>
      <c r="M644" s="88"/>
      <c r="N644" s="88"/>
      <c r="O644" s="90"/>
      <c r="P644" s="88"/>
      <c r="Q644" s="88"/>
      <c r="R644" s="92"/>
      <c r="S644" s="92"/>
      <c r="T644" s="92"/>
      <c r="U644" s="92"/>
      <c r="V644" s="92"/>
      <c r="W644" s="92"/>
      <c r="X644" s="92"/>
      <c r="Y644" s="92"/>
      <c r="Z644" s="92"/>
      <c r="AA644" s="92"/>
      <c r="AB644" s="92"/>
      <c r="AC644" s="92"/>
      <c r="AD644" s="92"/>
      <c r="AE644" s="92"/>
      <c r="AF644" s="92"/>
      <c r="AG644" s="92"/>
      <c r="AH644" s="92"/>
      <c r="AI644" s="92"/>
      <c r="AJ644" s="92"/>
      <c r="AK644" s="88"/>
      <c r="AL644" s="88"/>
      <c r="AM644" s="88"/>
      <c r="AN644" s="88"/>
      <c r="AO644" s="88"/>
      <c r="AP644" s="88"/>
      <c r="AQ644" s="88"/>
      <c r="AR644" s="88"/>
    </row>
    <row r="645" spans="1:44" ht="12.75" customHeight="1">
      <c r="A645" s="87"/>
      <c r="B645" s="87"/>
      <c r="C645" s="88"/>
      <c r="D645" s="88"/>
      <c r="E645" s="88"/>
      <c r="F645" s="89"/>
      <c r="G645" s="89"/>
      <c r="H645" s="89"/>
      <c r="I645" s="89"/>
      <c r="J645" s="89"/>
      <c r="K645" s="88"/>
      <c r="L645" s="88"/>
      <c r="M645" s="88"/>
      <c r="N645" s="88"/>
      <c r="O645" s="90"/>
      <c r="P645" s="88"/>
      <c r="Q645" s="88"/>
      <c r="R645" s="92"/>
      <c r="S645" s="92"/>
      <c r="T645" s="92"/>
      <c r="U645" s="92"/>
      <c r="V645" s="92"/>
      <c r="W645" s="92"/>
      <c r="X645" s="92"/>
      <c r="Y645" s="92"/>
      <c r="Z645" s="92"/>
      <c r="AA645" s="92"/>
      <c r="AB645" s="92"/>
      <c r="AC645" s="92"/>
      <c r="AD645" s="92"/>
      <c r="AE645" s="92"/>
      <c r="AF645" s="92"/>
      <c r="AG645" s="92"/>
      <c r="AH645" s="92"/>
      <c r="AI645" s="92"/>
      <c r="AJ645" s="92"/>
      <c r="AK645" s="88"/>
      <c r="AL645" s="88"/>
      <c r="AM645" s="88"/>
      <c r="AN645" s="88"/>
      <c r="AO645" s="88"/>
      <c r="AP645" s="88"/>
      <c r="AQ645" s="88"/>
      <c r="AR645" s="88"/>
    </row>
    <row r="646" spans="1:44" ht="12.75" customHeight="1">
      <c r="A646" s="87"/>
      <c r="B646" s="87"/>
      <c r="C646" s="88"/>
      <c r="D646" s="88"/>
      <c r="E646" s="88"/>
      <c r="F646" s="89"/>
      <c r="G646" s="89"/>
      <c r="H646" s="89"/>
      <c r="I646" s="89"/>
      <c r="J646" s="89"/>
      <c r="K646" s="88"/>
      <c r="L646" s="88"/>
      <c r="M646" s="88"/>
      <c r="N646" s="88"/>
      <c r="O646" s="90"/>
      <c r="P646" s="88"/>
      <c r="Q646" s="88"/>
      <c r="R646" s="92"/>
      <c r="S646" s="92"/>
      <c r="T646" s="92"/>
      <c r="U646" s="92"/>
      <c r="V646" s="92"/>
      <c r="W646" s="92"/>
      <c r="X646" s="92"/>
      <c r="Y646" s="92"/>
      <c r="Z646" s="92"/>
      <c r="AA646" s="92"/>
      <c r="AB646" s="92"/>
      <c r="AC646" s="92"/>
      <c r="AD646" s="92"/>
      <c r="AE646" s="92"/>
      <c r="AF646" s="92"/>
      <c r="AG646" s="92"/>
      <c r="AH646" s="92"/>
      <c r="AI646" s="92"/>
      <c r="AJ646" s="92"/>
      <c r="AK646" s="88"/>
      <c r="AL646" s="88"/>
      <c r="AM646" s="88"/>
      <c r="AN646" s="88"/>
      <c r="AO646" s="88"/>
      <c r="AP646" s="88"/>
      <c r="AQ646" s="88"/>
      <c r="AR646" s="88"/>
    </row>
    <row r="647" spans="1:44" ht="12.75" customHeight="1">
      <c r="A647" s="87"/>
      <c r="B647" s="87"/>
      <c r="C647" s="88"/>
      <c r="D647" s="88"/>
      <c r="E647" s="88"/>
      <c r="F647" s="89"/>
      <c r="G647" s="89"/>
      <c r="H647" s="89"/>
      <c r="I647" s="89"/>
      <c r="J647" s="89"/>
      <c r="K647" s="88"/>
      <c r="L647" s="88"/>
      <c r="M647" s="88"/>
      <c r="N647" s="88"/>
      <c r="O647" s="90"/>
      <c r="P647" s="88"/>
      <c r="Q647" s="88"/>
      <c r="R647" s="92"/>
      <c r="S647" s="92"/>
      <c r="T647" s="92"/>
      <c r="U647" s="92"/>
      <c r="V647" s="92"/>
      <c r="W647" s="92"/>
      <c r="X647" s="92"/>
      <c r="Y647" s="92"/>
      <c r="Z647" s="92"/>
      <c r="AA647" s="92"/>
      <c r="AB647" s="92"/>
      <c r="AC647" s="92"/>
      <c r="AD647" s="92"/>
      <c r="AE647" s="92"/>
      <c r="AF647" s="92"/>
      <c r="AG647" s="92"/>
      <c r="AH647" s="92"/>
      <c r="AI647" s="92"/>
      <c r="AJ647" s="92"/>
      <c r="AK647" s="88"/>
      <c r="AL647" s="88"/>
      <c r="AM647" s="88"/>
      <c r="AN647" s="88"/>
      <c r="AO647" s="88"/>
      <c r="AP647" s="88"/>
      <c r="AQ647" s="88"/>
      <c r="AR647" s="88"/>
    </row>
    <row r="648" spans="1:44" ht="12.75" customHeight="1">
      <c r="A648" s="87"/>
      <c r="B648" s="87"/>
      <c r="C648" s="88"/>
      <c r="D648" s="88"/>
      <c r="E648" s="88"/>
      <c r="F648" s="89"/>
      <c r="G648" s="89"/>
      <c r="H648" s="89"/>
      <c r="I648" s="89"/>
      <c r="J648" s="89"/>
      <c r="K648" s="88"/>
      <c r="L648" s="88"/>
      <c r="M648" s="88"/>
      <c r="N648" s="88"/>
      <c r="O648" s="90"/>
      <c r="P648" s="88"/>
      <c r="Q648" s="88"/>
      <c r="R648" s="92"/>
      <c r="S648" s="92"/>
      <c r="T648" s="92"/>
      <c r="U648" s="92"/>
      <c r="V648" s="92"/>
      <c r="W648" s="92"/>
      <c r="X648" s="92"/>
      <c r="Y648" s="92"/>
      <c r="Z648" s="92"/>
      <c r="AA648" s="92"/>
      <c r="AB648" s="92"/>
      <c r="AC648" s="92"/>
      <c r="AD648" s="92"/>
      <c r="AE648" s="92"/>
      <c r="AF648" s="92"/>
      <c r="AG648" s="92"/>
      <c r="AH648" s="92"/>
      <c r="AI648" s="92"/>
      <c r="AJ648" s="92"/>
      <c r="AK648" s="88"/>
      <c r="AL648" s="88"/>
      <c r="AM648" s="88"/>
      <c r="AN648" s="88"/>
      <c r="AO648" s="88"/>
      <c r="AP648" s="88"/>
      <c r="AQ648" s="88"/>
      <c r="AR648" s="88"/>
    </row>
    <row r="649" spans="1:44" ht="12.75" customHeight="1">
      <c r="A649" s="87"/>
      <c r="B649" s="87"/>
      <c r="C649" s="88"/>
      <c r="D649" s="88"/>
      <c r="E649" s="88"/>
      <c r="F649" s="89"/>
      <c r="G649" s="89"/>
      <c r="H649" s="89"/>
      <c r="I649" s="89"/>
      <c r="J649" s="89"/>
      <c r="K649" s="88"/>
      <c r="L649" s="88"/>
      <c r="M649" s="88"/>
      <c r="N649" s="88"/>
      <c r="O649" s="90"/>
      <c r="P649" s="88"/>
      <c r="Q649" s="88"/>
      <c r="R649" s="92"/>
      <c r="S649" s="92"/>
      <c r="T649" s="92"/>
      <c r="U649" s="92"/>
      <c r="V649" s="92"/>
      <c r="W649" s="92"/>
      <c r="X649" s="92"/>
      <c r="Y649" s="92"/>
      <c r="Z649" s="92"/>
      <c r="AA649" s="92"/>
      <c r="AB649" s="92"/>
      <c r="AC649" s="92"/>
      <c r="AD649" s="92"/>
      <c r="AE649" s="92"/>
      <c r="AF649" s="92"/>
      <c r="AG649" s="92"/>
      <c r="AH649" s="92"/>
      <c r="AI649" s="92"/>
      <c r="AJ649" s="92"/>
      <c r="AK649" s="88"/>
      <c r="AL649" s="88"/>
      <c r="AM649" s="88"/>
      <c r="AN649" s="88"/>
      <c r="AO649" s="88"/>
      <c r="AP649" s="88"/>
      <c r="AQ649" s="88"/>
      <c r="AR649" s="88"/>
    </row>
    <row r="650" spans="1:44" ht="12.75" customHeight="1">
      <c r="A650" s="87"/>
      <c r="B650" s="87"/>
      <c r="C650" s="88"/>
      <c r="D650" s="88"/>
      <c r="E650" s="88"/>
      <c r="F650" s="89"/>
      <c r="G650" s="89"/>
      <c r="H650" s="89"/>
      <c r="I650" s="89"/>
      <c r="J650" s="89"/>
      <c r="K650" s="88"/>
      <c r="L650" s="88"/>
      <c r="M650" s="88"/>
      <c r="N650" s="88"/>
      <c r="O650" s="90"/>
      <c r="P650" s="88"/>
      <c r="Q650" s="88"/>
      <c r="R650" s="92"/>
      <c r="S650" s="92"/>
      <c r="T650" s="92"/>
      <c r="U650" s="92"/>
      <c r="V650" s="92"/>
      <c r="W650" s="92"/>
      <c r="X650" s="92"/>
      <c r="Y650" s="92"/>
      <c r="Z650" s="92"/>
      <c r="AA650" s="92"/>
      <c r="AB650" s="92"/>
      <c r="AC650" s="92"/>
      <c r="AD650" s="92"/>
      <c r="AE650" s="92"/>
      <c r="AF650" s="92"/>
      <c r="AG650" s="92"/>
      <c r="AH650" s="92"/>
      <c r="AI650" s="92"/>
      <c r="AJ650" s="92"/>
      <c r="AK650" s="88"/>
      <c r="AL650" s="88"/>
      <c r="AM650" s="88"/>
      <c r="AN650" s="88"/>
      <c r="AO650" s="88"/>
      <c r="AP650" s="88"/>
      <c r="AQ650" s="88"/>
      <c r="AR650" s="88"/>
    </row>
    <row r="651" spans="1:44" ht="12.75" customHeight="1">
      <c r="A651" s="87"/>
      <c r="B651" s="87"/>
      <c r="C651" s="88"/>
      <c r="D651" s="88"/>
      <c r="E651" s="88"/>
      <c r="F651" s="89"/>
      <c r="G651" s="89"/>
      <c r="H651" s="89"/>
      <c r="I651" s="89"/>
      <c r="J651" s="89"/>
      <c r="K651" s="88"/>
      <c r="L651" s="88"/>
      <c r="M651" s="88"/>
      <c r="N651" s="88"/>
      <c r="O651" s="90"/>
      <c r="P651" s="88"/>
      <c r="Q651" s="88"/>
      <c r="R651" s="92"/>
      <c r="S651" s="92"/>
      <c r="T651" s="92"/>
      <c r="U651" s="92"/>
      <c r="V651" s="92"/>
      <c r="W651" s="92"/>
      <c r="X651" s="92"/>
      <c r="Y651" s="92"/>
      <c r="Z651" s="92"/>
      <c r="AA651" s="92"/>
      <c r="AB651" s="92"/>
      <c r="AC651" s="92"/>
      <c r="AD651" s="92"/>
      <c r="AE651" s="92"/>
      <c r="AF651" s="92"/>
      <c r="AG651" s="92"/>
      <c r="AH651" s="92"/>
      <c r="AI651" s="92"/>
      <c r="AJ651" s="92"/>
      <c r="AK651" s="88"/>
      <c r="AL651" s="88"/>
      <c r="AM651" s="88"/>
      <c r="AN651" s="88"/>
      <c r="AO651" s="88"/>
      <c r="AP651" s="88"/>
      <c r="AQ651" s="88"/>
      <c r="AR651" s="88"/>
    </row>
    <row r="652" spans="1:44" ht="12.75" customHeight="1">
      <c r="A652" s="87"/>
      <c r="B652" s="87"/>
      <c r="C652" s="88"/>
      <c r="D652" s="88"/>
      <c r="E652" s="88"/>
      <c r="F652" s="89"/>
      <c r="G652" s="89"/>
      <c r="H652" s="89"/>
      <c r="I652" s="89"/>
      <c r="J652" s="89"/>
      <c r="K652" s="88"/>
      <c r="L652" s="88"/>
      <c r="M652" s="88"/>
      <c r="N652" s="88"/>
      <c r="O652" s="90"/>
      <c r="P652" s="88"/>
      <c r="Q652" s="88"/>
      <c r="R652" s="92"/>
      <c r="S652" s="92"/>
      <c r="T652" s="92"/>
      <c r="U652" s="92"/>
      <c r="V652" s="92"/>
      <c r="W652" s="92"/>
      <c r="X652" s="92"/>
      <c r="Y652" s="92"/>
      <c r="Z652" s="92"/>
      <c r="AA652" s="92"/>
      <c r="AB652" s="92"/>
      <c r="AC652" s="92"/>
      <c r="AD652" s="92"/>
      <c r="AE652" s="92"/>
      <c r="AF652" s="92"/>
      <c r="AG652" s="92"/>
      <c r="AH652" s="92"/>
      <c r="AI652" s="92"/>
      <c r="AJ652" s="92"/>
      <c r="AK652" s="88"/>
      <c r="AL652" s="88"/>
      <c r="AM652" s="88"/>
      <c r="AN652" s="88"/>
      <c r="AO652" s="88"/>
      <c r="AP652" s="88"/>
      <c r="AQ652" s="88"/>
      <c r="AR652" s="88"/>
    </row>
    <row r="653" spans="1:44" ht="12.75" customHeight="1">
      <c r="A653" s="87"/>
      <c r="B653" s="87"/>
      <c r="C653" s="88"/>
      <c r="D653" s="88"/>
      <c r="E653" s="88"/>
      <c r="F653" s="89"/>
      <c r="G653" s="89"/>
      <c r="H653" s="89"/>
      <c r="I653" s="89"/>
      <c r="J653" s="89"/>
      <c r="K653" s="88"/>
      <c r="L653" s="88"/>
      <c r="M653" s="88"/>
      <c r="N653" s="88"/>
      <c r="O653" s="90"/>
      <c r="P653" s="88"/>
      <c r="Q653" s="88"/>
      <c r="R653" s="92"/>
      <c r="S653" s="92"/>
      <c r="T653" s="92"/>
      <c r="U653" s="92"/>
      <c r="V653" s="92"/>
      <c r="W653" s="92"/>
      <c r="X653" s="92"/>
      <c r="Y653" s="92"/>
      <c r="Z653" s="92"/>
      <c r="AA653" s="92"/>
      <c r="AB653" s="92"/>
      <c r="AC653" s="92"/>
      <c r="AD653" s="92"/>
      <c r="AE653" s="92"/>
      <c r="AF653" s="92"/>
      <c r="AG653" s="92"/>
      <c r="AH653" s="92"/>
      <c r="AI653" s="92"/>
      <c r="AJ653" s="92"/>
      <c r="AK653" s="88"/>
      <c r="AL653" s="88"/>
      <c r="AM653" s="88"/>
      <c r="AN653" s="88"/>
      <c r="AO653" s="88"/>
      <c r="AP653" s="88"/>
      <c r="AQ653" s="88"/>
      <c r="AR653" s="88"/>
    </row>
    <row r="654" spans="1:44" ht="12.75" customHeight="1">
      <c r="A654" s="87"/>
      <c r="B654" s="87"/>
      <c r="C654" s="88"/>
      <c r="D654" s="88"/>
      <c r="E654" s="88"/>
      <c r="F654" s="89"/>
      <c r="G654" s="89"/>
      <c r="H654" s="89"/>
      <c r="I654" s="89"/>
      <c r="J654" s="89"/>
      <c r="K654" s="88"/>
      <c r="L654" s="88"/>
      <c r="M654" s="88"/>
      <c r="N654" s="88"/>
      <c r="O654" s="90"/>
      <c r="P654" s="88"/>
      <c r="Q654" s="88"/>
      <c r="R654" s="92"/>
      <c r="S654" s="92"/>
      <c r="T654" s="92"/>
      <c r="U654" s="92"/>
      <c r="V654" s="92"/>
      <c r="W654" s="92"/>
      <c r="X654" s="92"/>
      <c r="Y654" s="92"/>
      <c r="Z654" s="92"/>
      <c r="AA654" s="92"/>
      <c r="AB654" s="92"/>
      <c r="AC654" s="92"/>
      <c r="AD654" s="92"/>
      <c r="AE654" s="92"/>
      <c r="AF654" s="92"/>
      <c r="AG654" s="92"/>
      <c r="AH654" s="92"/>
      <c r="AI654" s="92"/>
      <c r="AJ654" s="92"/>
      <c r="AK654" s="88"/>
      <c r="AL654" s="88"/>
      <c r="AM654" s="88"/>
      <c r="AN654" s="88"/>
      <c r="AO654" s="88"/>
      <c r="AP654" s="88"/>
      <c r="AQ654" s="88"/>
      <c r="AR654" s="88"/>
    </row>
    <row r="655" spans="1:44" ht="12.75" customHeight="1">
      <c r="A655" s="87"/>
      <c r="B655" s="87"/>
      <c r="C655" s="88"/>
      <c r="D655" s="88"/>
      <c r="E655" s="88"/>
      <c r="F655" s="89"/>
      <c r="G655" s="89"/>
      <c r="H655" s="89"/>
      <c r="I655" s="89"/>
      <c r="J655" s="89"/>
      <c r="K655" s="88"/>
      <c r="L655" s="88"/>
      <c r="M655" s="88"/>
      <c r="N655" s="88"/>
      <c r="O655" s="90"/>
      <c r="P655" s="88"/>
      <c r="Q655" s="88"/>
      <c r="R655" s="92"/>
      <c r="S655" s="92"/>
      <c r="T655" s="92"/>
      <c r="U655" s="92"/>
      <c r="V655" s="92"/>
      <c r="W655" s="92"/>
      <c r="X655" s="92"/>
      <c r="Y655" s="92"/>
      <c r="Z655" s="92"/>
      <c r="AA655" s="92"/>
      <c r="AB655" s="92"/>
      <c r="AC655" s="92"/>
      <c r="AD655" s="92"/>
      <c r="AE655" s="92"/>
      <c r="AF655" s="92"/>
      <c r="AG655" s="92"/>
      <c r="AH655" s="92"/>
      <c r="AI655" s="92"/>
      <c r="AJ655" s="92"/>
      <c r="AK655" s="88"/>
      <c r="AL655" s="88"/>
      <c r="AM655" s="88"/>
      <c r="AN655" s="88"/>
      <c r="AO655" s="88"/>
      <c r="AP655" s="88"/>
      <c r="AQ655" s="88"/>
      <c r="AR655" s="88"/>
    </row>
    <row r="656" spans="1:44" ht="12.75" customHeight="1">
      <c r="A656" s="87"/>
      <c r="B656" s="87"/>
      <c r="C656" s="88"/>
      <c r="D656" s="88"/>
      <c r="E656" s="88"/>
      <c r="F656" s="89"/>
      <c r="G656" s="89"/>
      <c r="H656" s="89"/>
      <c r="I656" s="89"/>
      <c r="J656" s="89"/>
      <c r="K656" s="88"/>
      <c r="L656" s="88"/>
      <c r="M656" s="88"/>
      <c r="N656" s="88"/>
      <c r="O656" s="90"/>
      <c r="P656" s="88"/>
      <c r="Q656" s="88"/>
      <c r="R656" s="92"/>
      <c r="S656" s="92"/>
      <c r="T656" s="92"/>
      <c r="U656" s="92"/>
      <c r="V656" s="92"/>
      <c r="W656" s="92"/>
      <c r="X656" s="92"/>
      <c r="Y656" s="92"/>
      <c r="Z656" s="92"/>
      <c r="AA656" s="92"/>
      <c r="AB656" s="92"/>
      <c r="AC656" s="92"/>
      <c r="AD656" s="92"/>
      <c r="AE656" s="92"/>
      <c r="AF656" s="92"/>
      <c r="AG656" s="92"/>
      <c r="AH656" s="92"/>
      <c r="AI656" s="92"/>
      <c r="AJ656" s="92"/>
      <c r="AK656" s="88"/>
      <c r="AL656" s="88"/>
      <c r="AM656" s="88"/>
      <c r="AN656" s="88"/>
      <c r="AO656" s="88"/>
      <c r="AP656" s="88"/>
      <c r="AQ656" s="88"/>
      <c r="AR656" s="88"/>
    </row>
    <row r="657" spans="1:44" ht="12.75" customHeight="1">
      <c r="A657" s="87"/>
      <c r="B657" s="87"/>
      <c r="C657" s="88"/>
      <c r="D657" s="88"/>
      <c r="E657" s="88"/>
      <c r="F657" s="89"/>
      <c r="G657" s="89"/>
      <c r="H657" s="89"/>
      <c r="I657" s="89"/>
      <c r="J657" s="89"/>
      <c r="K657" s="88"/>
      <c r="L657" s="88"/>
      <c r="M657" s="88"/>
      <c r="N657" s="88"/>
      <c r="O657" s="90"/>
      <c r="P657" s="88"/>
      <c r="Q657" s="88"/>
      <c r="R657" s="92"/>
      <c r="S657" s="92"/>
      <c r="T657" s="92"/>
      <c r="U657" s="92"/>
      <c r="V657" s="92"/>
      <c r="W657" s="92"/>
      <c r="X657" s="92"/>
      <c r="Y657" s="92"/>
      <c r="Z657" s="92"/>
      <c r="AA657" s="92"/>
      <c r="AB657" s="92"/>
      <c r="AC657" s="92"/>
      <c r="AD657" s="92"/>
      <c r="AE657" s="92"/>
      <c r="AF657" s="92"/>
      <c r="AG657" s="92"/>
      <c r="AH657" s="92"/>
      <c r="AI657" s="92"/>
      <c r="AJ657" s="92"/>
      <c r="AK657" s="88"/>
      <c r="AL657" s="88"/>
      <c r="AM657" s="88"/>
      <c r="AN657" s="88"/>
      <c r="AO657" s="88"/>
      <c r="AP657" s="88"/>
      <c r="AQ657" s="88"/>
      <c r="AR657" s="88"/>
    </row>
    <row r="658" spans="1:44" ht="12.75" customHeight="1">
      <c r="A658" s="87"/>
      <c r="B658" s="87"/>
      <c r="C658" s="88"/>
      <c r="D658" s="88"/>
      <c r="E658" s="88"/>
      <c r="F658" s="89"/>
      <c r="G658" s="89"/>
      <c r="H658" s="89"/>
      <c r="I658" s="89"/>
      <c r="J658" s="89"/>
      <c r="K658" s="88"/>
      <c r="L658" s="88"/>
      <c r="M658" s="88"/>
      <c r="N658" s="88"/>
      <c r="O658" s="90"/>
      <c r="P658" s="88"/>
      <c r="Q658" s="88"/>
      <c r="R658" s="92"/>
      <c r="S658" s="92"/>
      <c r="T658" s="92"/>
      <c r="U658" s="92"/>
      <c r="V658" s="92"/>
      <c r="W658" s="92"/>
      <c r="X658" s="92"/>
      <c r="Y658" s="92"/>
      <c r="Z658" s="92"/>
      <c r="AA658" s="92"/>
      <c r="AB658" s="92"/>
      <c r="AC658" s="92"/>
      <c r="AD658" s="92"/>
      <c r="AE658" s="92"/>
      <c r="AF658" s="92"/>
      <c r="AG658" s="92"/>
      <c r="AH658" s="92"/>
      <c r="AI658" s="92"/>
      <c r="AJ658" s="92"/>
      <c r="AK658" s="88"/>
      <c r="AL658" s="88"/>
      <c r="AM658" s="88"/>
      <c r="AN658" s="88"/>
      <c r="AO658" s="88"/>
      <c r="AP658" s="88"/>
      <c r="AQ658" s="88"/>
      <c r="AR658" s="88"/>
    </row>
    <row r="659" spans="1:44" ht="12.75" customHeight="1">
      <c r="A659" s="87"/>
      <c r="B659" s="87"/>
      <c r="C659" s="88"/>
      <c r="D659" s="88"/>
      <c r="E659" s="88"/>
      <c r="F659" s="89"/>
      <c r="G659" s="89"/>
      <c r="H659" s="89"/>
      <c r="I659" s="89"/>
      <c r="J659" s="89"/>
      <c r="K659" s="88"/>
      <c r="L659" s="88"/>
      <c r="M659" s="88"/>
      <c r="N659" s="88"/>
      <c r="O659" s="90"/>
      <c r="P659" s="88"/>
      <c r="Q659" s="88"/>
      <c r="R659" s="92"/>
      <c r="S659" s="92"/>
      <c r="T659" s="92"/>
      <c r="U659" s="92"/>
      <c r="V659" s="92"/>
      <c r="W659" s="92"/>
      <c r="X659" s="92"/>
      <c r="Y659" s="92"/>
      <c r="Z659" s="92"/>
      <c r="AA659" s="92"/>
      <c r="AB659" s="92"/>
      <c r="AC659" s="92"/>
      <c r="AD659" s="92"/>
      <c r="AE659" s="92"/>
      <c r="AF659" s="92"/>
      <c r="AG659" s="92"/>
      <c r="AH659" s="92"/>
      <c r="AI659" s="92"/>
      <c r="AJ659" s="92"/>
      <c r="AK659" s="88"/>
      <c r="AL659" s="88"/>
      <c r="AM659" s="88"/>
      <c r="AN659" s="88"/>
      <c r="AO659" s="88"/>
      <c r="AP659" s="88"/>
      <c r="AQ659" s="88"/>
      <c r="AR659" s="88"/>
    </row>
    <row r="660" spans="1:44" ht="12.75" customHeight="1">
      <c r="A660" s="87"/>
      <c r="B660" s="87"/>
      <c r="C660" s="88"/>
      <c r="D660" s="88"/>
      <c r="E660" s="88"/>
      <c r="F660" s="89"/>
      <c r="G660" s="89"/>
      <c r="H660" s="89"/>
      <c r="I660" s="89"/>
      <c r="J660" s="89"/>
      <c r="K660" s="88"/>
      <c r="L660" s="88"/>
      <c r="M660" s="88"/>
      <c r="N660" s="88"/>
      <c r="O660" s="90"/>
      <c r="P660" s="88"/>
      <c r="Q660" s="88"/>
      <c r="R660" s="92"/>
      <c r="S660" s="92"/>
      <c r="T660" s="92"/>
      <c r="U660" s="92"/>
      <c r="V660" s="92"/>
      <c r="W660" s="92"/>
      <c r="X660" s="92"/>
      <c r="Y660" s="92"/>
      <c r="Z660" s="92"/>
      <c r="AA660" s="92"/>
      <c r="AB660" s="92"/>
      <c r="AC660" s="92"/>
      <c r="AD660" s="92"/>
      <c r="AE660" s="92"/>
      <c r="AF660" s="92"/>
      <c r="AG660" s="92"/>
      <c r="AH660" s="92"/>
      <c r="AI660" s="92"/>
      <c r="AJ660" s="92"/>
      <c r="AK660" s="88"/>
      <c r="AL660" s="88"/>
      <c r="AM660" s="88"/>
      <c r="AN660" s="88"/>
      <c r="AO660" s="88"/>
      <c r="AP660" s="88"/>
      <c r="AQ660" s="88"/>
      <c r="AR660" s="88"/>
    </row>
    <row r="661" spans="1:44" ht="12.75" customHeight="1">
      <c r="A661" s="87"/>
      <c r="B661" s="87"/>
      <c r="C661" s="88"/>
      <c r="D661" s="88"/>
      <c r="E661" s="88"/>
      <c r="F661" s="89"/>
      <c r="G661" s="89"/>
      <c r="H661" s="89"/>
      <c r="I661" s="89"/>
      <c r="J661" s="89"/>
      <c r="K661" s="88"/>
      <c r="L661" s="88"/>
      <c r="M661" s="88"/>
      <c r="N661" s="88"/>
      <c r="O661" s="90"/>
      <c r="P661" s="88"/>
      <c r="Q661" s="88"/>
      <c r="R661" s="92"/>
      <c r="S661" s="92"/>
      <c r="T661" s="92"/>
      <c r="U661" s="92"/>
      <c r="V661" s="92"/>
      <c r="W661" s="92"/>
      <c r="X661" s="92"/>
      <c r="Y661" s="92"/>
      <c r="Z661" s="92"/>
      <c r="AA661" s="92"/>
      <c r="AB661" s="92"/>
      <c r="AC661" s="92"/>
      <c r="AD661" s="92"/>
      <c r="AE661" s="92"/>
      <c r="AF661" s="92"/>
      <c r="AG661" s="92"/>
      <c r="AH661" s="92"/>
      <c r="AI661" s="92"/>
      <c r="AJ661" s="92"/>
      <c r="AK661" s="88"/>
      <c r="AL661" s="88"/>
      <c r="AM661" s="88"/>
      <c r="AN661" s="88"/>
      <c r="AO661" s="88"/>
      <c r="AP661" s="88"/>
      <c r="AQ661" s="88"/>
      <c r="AR661" s="88"/>
    </row>
    <row r="662" spans="1:44" ht="12.75" customHeight="1">
      <c r="A662" s="87"/>
      <c r="B662" s="87"/>
      <c r="C662" s="88"/>
      <c r="D662" s="88"/>
      <c r="E662" s="88"/>
      <c r="F662" s="89"/>
      <c r="G662" s="89"/>
      <c r="H662" s="89"/>
      <c r="I662" s="89"/>
      <c r="J662" s="89"/>
      <c r="K662" s="88"/>
      <c r="L662" s="88"/>
      <c r="M662" s="88"/>
      <c r="N662" s="88"/>
      <c r="O662" s="90"/>
      <c r="P662" s="88"/>
      <c r="Q662" s="88"/>
      <c r="R662" s="92"/>
      <c r="S662" s="92"/>
      <c r="T662" s="92"/>
      <c r="U662" s="92"/>
      <c r="V662" s="92"/>
      <c r="W662" s="92"/>
      <c r="X662" s="92"/>
      <c r="Y662" s="92"/>
      <c r="Z662" s="92"/>
      <c r="AA662" s="92"/>
      <c r="AB662" s="92"/>
      <c r="AC662" s="92"/>
      <c r="AD662" s="92"/>
      <c r="AE662" s="92"/>
      <c r="AF662" s="92"/>
      <c r="AG662" s="92"/>
      <c r="AH662" s="92"/>
      <c r="AI662" s="92"/>
      <c r="AJ662" s="92"/>
      <c r="AK662" s="88"/>
      <c r="AL662" s="88"/>
      <c r="AM662" s="88"/>
      <c r="AN662" s="88"/>
      <c r="AO662" s="88"/>
      <c r="AP662" s="88"/>
      <c r="AQ662" s="88"/>
      <c r="AR662" s="88"/>
    </row>
    <row r="663" spans="1:44" ht="12.75" customHeight="1">
      <c r="A663" s="87"/>
      <c r="B663" s="87"/>
      <c r="C663" s="88"/>
      <c r="D663" s="88"/>
      <c r="E663" s="88"/>
      <c r="F663" s="89"/>
      <c r="G663" s="89"/>
      <c r="H663" s="89"/>
      <c r="I663" s="89"/>
      <c r="J663" s="89"/>
      <c r="K663" s="88"/>
      <c r="L663" s="88"/>
      <c r="M663" s="88"/>
      <c r="N663" s="88"/>
      <c r="O663" s="90"/>
      <c r="P663" s="88"/>
      <c r="Q663" s="88"/>
      <c r="R663" s="92"/>
      <c r="S663" s="92"/>
      <c r="T663" s="92"/>
      <c r="U663" s="92"/>
      <c r="V663" s="92"/>
      <c r="W663" s="92"/>
      <c r="X663" s="92"/>
      <c r="Y663" s="92"/>
      <c r="Z663" s="92"/>
      <c r="AA663" s="92"/>
      <c r="AB663" s="92"/>
      <c r="AC663" s="92"/>
      <c r="AD663" s="92"/>
      <c r="AE663" s="92"/>
      <c r="AF663" s="92"/>
      <c r="AG663" s="92"/>
      <c r="AH663" s="92"/>
      <c r="AI663" s="92"/>
      <c r="AJ663" s="92"/>
      <c r="AK663" s="88"/>
      <c r="AL663" s="88"/>
      <c r="AM663" s="88"/>
      <c r="AN663" s="88"/>
      <c r="AO663" s="88"/>
      <c r="AP663" s="88"/>
      <c r="AQ663" s="88"/>
      <c r="AR663" s="88"/>
    </row>
    <row r="664" spans="1:44" ht="12.75" customHeight="1">
      <c r="A664" s="87"/>
      <c r="B664" s="87"/>
      <c r="C664" s="88"/>
      <c r="D664" s="88"/>
      <c r="E664" s="88"/>
      <c r="F664" s="89"/>
      <c r="G664" s="89"/>
      <c r="H664" s="89"/>
      <c r="I664" s="89"/>
      <c r="J664" s="89"/>
      <c r="K664" s="88"/>
      <c r="L664" s="88"/>
      <c r="M664" s="88"/>
      <c r="N664" s="88"/>
      <c r="O664" s="90"/>
      <c r="P664" s="88"/>
      <c r="Q664" s="88"/>
      <c r="R664" s="92"/>
      <c r="S664" s="92"/>
      <c r="T664" s="92"/>
      <c r="U664" s="92"/>
      <c r="V664" s="92"/>
      <c r="W664" s="92"/>
      <c r="X664" s="92"/>
      <c r="Y664" s="92"/>
      <c r="Z664" s="92"/>
      <c r="AA664" s="92"/>
      <c r="AB664" s="92"/>
      <c r="AC664" s="92"/>
      <c r="AD664" s="92"/>
      <c r="AE664" s="92"/>
      <c r="AF664" s="92"/>
      <c r="AG664" s="92"/>
      <c r="AH664" s="92"/>
      <c r="AI664" s="92"/>
      <c r="AJ664" s="92"/>
      <c r="AK664" s="88"/>
      <c r="AL664" s="88"/>
      <c r="AM664" s="88"/>
      <c r="AN664" s="88"/>
      <c r="AO664" s="88"/>
      <c r="AP664" s="88"/>
      <c r="AQ664" s="88"/>
      <c r="AR664" s="88"/>
    </row>
    <row r="665" spans="1:44" ht="12.75" customHeight="1">
      <c r="A665" s="87"/>
      <c r="B665" s="87"/>
      <c r="C665" s="88"/>
      <c r="D665" s="88"/>
      <c r="E665" s="88"/>
      <c r="F665" s="89"/>
      <c r="G665" s="89"/>
      <c r="H665" s="89"/>
      <c r="I665" s="89"/>
      <c r="J665" s="89"/>
      <c r="K665" s="88"/>
      <c r="L665" s="88"/>
      <c r="M665" s="88"/>
      <c r="N665" s="88"/>
      <c r="O665" s="90"/>
      <c r="P665" s="88"/>
      <c r="Q665" s="88"/>
      <c r="R665" s="92"/>
      <c r="S665" s="92"/>
      <c r="T665" s="92"/>
      <c r="U665" s="92"/>
      <c r="V665" s="92"/>
      <c r="W665" s="92"/>
      <c r="X665" s="92"/>
      <c r="Y665" s="92"/>
      <c r="Z665" s="92"/>
      <c r="AA665" s="92"/>
      <c r="AB665" s="92"/>
      <c r="AC665" s="92"/>
      <c r="AD665" s="92"/>
      <c r="AE665" s="92"/>
      <c r="AF665" s="92"/>
      <c r="AG665" s="92"/>
      <c r="AH665" s="92"/>
      <c r="AI665" s="92"/>
      <c r="AJ665" s="92"/>
      <c r="AK665" s="88"/>
      <c r="AL665" s="88"/>
      <c r="AM665" s="88"/>
      <c r="AN665" s="88"/>
      <c r="AO665" s="88"/>
      <c r="AP665" s="88"/>
      <c r="AQ665" s="88"/>
      <c r="AR665" s="88"/>
    </row>
    <row r="666" spans="1:44" ht="12.75" customHeight="1">
      <c r="A666" s="87"/>
      <c r="B666" s="87"/>
      <c r="C666" s="88"/>
      <c r="D666" s="88"/>
      <c r="E666" s="88"/>
      <c r="F666" s="89"/>
      <c r="G666" s="89"/>
      <c r="H666" s="89"/>
      <c r="I666" s="89"/>
      <c r="J666" s="89"/>
      <c r="K666" s="88"/>
      <c r="L666" s="88"/>
      <c r="M666" s="88"/>
      <c r="N666" s="88"/>
      <c r="O666" s="90"/>
      <c r="P666" s="88"/>
      <c r="Q666" s="88"/>
      <c r="R666" s="92"/>
      <c r="S666" s="92"/>
      <c r="T666" s="92"/>
      <c r="U666" s="92"/>
      <c r="V666" s="92"/>
      <c r="W666" s="92"/>
      <c r="X666" s="92"/>
      <c r="Y666" s="92"/>
      <c r="Z666" s="92"/>
      <c r="AA666" s="92"/>
      <c r="AB666" s="92"/>
      <c r="AC666" s="92"/>
      <c r="AD666" s="92"/>
      <c r="AE666" s="92"/>
      <c r="AF666" s="92"/>
      <c r="AG666" s="92"/>
      <c r="AH666" s="92"/>
      <c r="AI666" s="92"/>
      <c r="AJ666" s="92"/>
      <c r="AK666" s="88"/>
      <c r="AL666" s="88"/>
      <c r="AM666" s="88"/>
      <c r="AN666" s="88"/>
      <c r="AO666" s="88"/>
      <c r="AP666" s="88"/>
      <c r="AQ666" s="88"/>
      <c r="AR666" s="88"/>
    </row>
    <row r="667" spans="1:44" ht="12.75" customHeight="1">
      <c r="A667" s="87"/>
      <c r="B667" s="87"/>
      <c r="C667" s="88"/>
      <c r="D667" s="88"/>
      <c r="E667" s="88"/>
      <c r="F667" s="89"/>
      <c r="G667" s="89"/>
      <c r="H667" s="89"/>
      <c r="I667" s="89"/>
      <c r="J667" s="89"/>
      <c r="K667" s="88"/>
      <c r="L667" s="88"/>
      <c r="M667" s="88"/>
      <c r="N667" s="88"/>
      <c r="O667" s="90"/>
      <c r="P667" s="88"/>
      <c r="Q667" s="88"/>
      <c r="R667" s="92"/>
      <c r="S667" s="92"/>
      <c r="T667" s="92"/>
      <c r="U667" s="92"/>
      <c r="V667" s="92"/>
      <c r="W667" s="92"/>
      <c r="X667" s="92"/>
      <c r="Y667" s="92"/>
      <c r="Z667" s="92"/>
      <c r="AA667" s="92"/>
      <c r="AB667" s="92"/>
      <c r="AC667" s="92"/>
      <c r="AD667" s="92"/>
      <c r="AE667" s="92"/>
      <c r="AF667" s="92"/>
      <c r="AG667" s="92"/>
      <c r="AH667" s="92"/>
      <c r="AI667" s="92"/>
      <c r="AJ667" s="92"/>
      <c r="AK667" s="88"/>
      <c r="AL667" s="88"/>
      <c r="AM667" s="88"/>
      <c r="AN667" s="88"/>
      <c r="AO667" s="88"/>
      <c r="AP667" s="88"/>
      <c r="AQ667" s="88"/>
      <c r="AR667" s="88"/>
    </row>
    <row r="668" spans="1:44" ht="12.75" customHeight="1">
      <c r="A668" s="87"/>
      <c r="B668" s="87"/>
      <c r="C668" s="88"/>
      <c r="D668" s="88"/>
      <c r="E668" s="88"/>
      <c r="F668" s="89"/>
      <c r="G668" s="89"/>
      <c r="H668" s="89"/>
      <c r="I668" s="89"/>
      <c r="J668" s="89"/>
      <c r="K668" s="88"/>
      <c r="L668" s="88"/>
      <c r="M668" s="88"/>
      <c r="N668" s="88"/>
      <c r="O668" s="90"/>
      <c r="P668" s="88"/>
      <c r="Q668" s="88"/>
      <c r="R668" s="92"/>
      <c r="S668" s="92"/>
      <c r="T668" s="92"/>
      <c r="U668" s="92"/>
      <c r="V668" s="92"/>
      <c r="W668" s="92"/>
      <c r="X668" s="92"/>
      <c r="Y668" s="92"/>
      <c r="Z668" s="92"/>
      <c r="AA668" s="92"/>
      <c r="AB668" s="92"/>
      <c r="AC668" s="92"/>
      <c r="AD668" s="92"/>
      <c r="AE668" s="92"/>
      <c r="AF668" s="92"/>
      <c r="AG668" s="92"/>
      <c r="AH668" s="92"/>
      <c r="AI668" s="92"/>
      <c r="AJ668" s="92"/>
      <c r="AK668" s="88"/>
      <c r="AL668" s="88"/>
      <c r="AM668" s="88"/>
      <c r="AN668" s="88"/>
      <c r="AO668" s="88"/>
      <c r="AP668" s="88"/>
      <c r="AQ668" s="88"/>
      <c r="AR668" s="88"/>
    </row>
    <row r="669" spans="1:44" ht="12.75" customHeight="1">
      <c r="A669" s="87"/>
      <c r="B669" s="87"/>
      <c r="C669" s="88"/>
      <c r="D669" s="88"/>
      <c r="E669" s="88"/>
      <c r="F669" s="89"/>
      <c r="G669" s="89"/>
      <c r="H669" s="89"/>
      <c r="I669" s="89"/>
      <c r="J669" s="89"/>
      <c r="K669" s="88"/>
      <c r="L669" s="88"/>
      <c r="M669" s="88"/>
      <c r="N669" s="88"/>
      <c r="O669" s="90"/>
      <c r="P669" s="88"/>
      <c r="Q669" s="88"/>
      <c r="R669" s="92"/>
      <c r="S669" s="92"/>
      <c r="T669" s="92"/>
      <c r="U669" s="92"/>
      <c r="V669" s="92"/>
      <c r="W669" s="92"/>
      <c r="X669" s="92"/>
      <c r="Y669" s="92"/>
      <c r="Z669" s="92"/>
      <c r="AA669" s="92"/>
      <c r="AB669" s="92"/>
      <c r="AC669" s="92"/>
      <c r="AD669" s="92"/>
      <c r="AE669" s="92"/>
      <c r="AF669" s="92"/>
      <c r="AG669" s="92"/>
      <c r="AH669" s="92"/>
      <c r="AI669" s="92"/>
      <c r="AJ669" s="92"/>
      <c r="AK669" s="88"/>
      <c r="AL669" s="88"/>
      <c r="AM669" s="88"/>
      <c r="AN669" s="88"/>
      <c r="AO669" s="88"/>
      <c r="AP669" s="88"/>
      <c r="AQ669" s="88"/>
      <c r="AR669" s="88"/>
    </row>
    <row r="670" spans="1:44" ht="12.75" customHeight="1">
      <c r="A670" s="87"/>
      <c r="B670" s="87"/>
      <c r="C670" s="88"/>
      <c r="D670" s="88"/>
      <c r="E670" s="88"/>
      <c r="F670" s="89"/>
      <c r="G670" s="89"/>
      <c r="H670" s="89"/>
      <c r="I670" s="89"/>
      <c r="J670" s="89"/>
      <c r="K670" s="88"/>
      <c r="L670" s="88"/>
      <c r="M670" s="88"/>
      <c r="N670" s="88"/>
      <c r="O670" s="90"/>
      <c r="P670" s="88"/>
      <c r="Q670" s="88"/>
      <c r="R670" s="92"/>
      <c r="S670" s="92"/>
      <c r="T670" s="92"/>
      <c r="U670" s="92"/>
      <c r="V670" s="92"/>
      <c r="W670" s="92"/>
      <c r="X670" s="92"/>
      <c r="Y670" s="92"/>
      <c r="Z670" s="92"/>
      <c r="AA670" s="92"/>
      <c r="AB670" s="92"/>
      <c r="AC670" s="92"/>
      <c r="AD670" s="92"/>
      <c r="AE670" s="92"/>
      <c r="AF670" s="92"/>
      <c r="AG670" s="92"/>
      <c r="AH670" s="92"/>
      <c r="AI670" s="92"/>
      <c r="AJ670" s="92"/>
      <c r="AK670" s="88"/>
      <c r="AL670" s="88"/>
      <c r="AM670" s="88"/>
      <c r="AN670" s="88"/>
      <c r="AO670" s="88"/>
      <c r="AP670" s="88"/>
      <c r="AQ670" s="88"/>
      <c r="AR670" s="88"/>
    </row>
    <row r="671" spans="1:44" ht="12.75" customHeight="1">
      <c r="A671" s="87"/>
      <c r="B671" s="87"/>
      <c r="C671" s="88"/>
      <c r="D671" s="88"/>
      <c r="E671" s="88"/>
      <c r="F671" s="89"/>
      <c r="G671" s="89"/>
      <c r="H671" s="89"/>
      <c r="I671" s="89"/>
      <c r="J671" s="89"/>
      <c r="K671" s="88"/>
      <c r="L671" s="88"/>
      <c r="M671" s="88"/>
      <c r="N671" s="88"/>
      <c r="O671" s="90"/>
      <c r="P671" s="88"/>
      <c r="Q671" s="88"/>
      <c r="R671" s="92"/>
      <c r="S671" s="92"/>
      <c r="T671" s="92"/>
      <c r="U671" s="92"/>
      <c r="V671" s="92"/>
      <c r="W671" s="92"/>
      <c r="X671" s="92"/>
      <c r="Y671" s="92"/>
      <c r="Z671" s="92"/>
      <c r="AA671" s="92"/>
      <c r="AB671" s="92"/>
      <c r="AC671" s="92"/>
      <c r="AD671" s="92"/>
      <c r="AE671" s="92"/>
      <c r="AF671" s="92"/>
      <c r="AG671" s="92"/>
      <c r="AH671" s="92"/>
      <c r="AI671" s="92"/>
      <c r="AJ671" s="92"/>
      <c r="AK671" s="88"/>
      <c r="AL671" s="88"/>
      <c r="AM671" s="88"/>
      <c r="AN671" s="88"/>
      <c r="AO671" s="88"/>
      <c r="AP671" s="88"/>
      <c r="AQ671" s="88"/>
      <c r="AR671" s="88"/>
    </row>
    <row r="672" spans="1:44" ht="12.75" customHeight="1">
      <c r="A672" s="87"/>
      <c r="B672" s="87"/>
      <c r="C672" s="88"/>
      <c r="D672" s="88"/>
      <c r="E672" s="88"/>
      <c r="F672" s="89"/>
      <c r="G672" s="89"/>
      <c r="H672" s="89"/>
      <c r="I672" s="89"/>
      <c r="J672" s="89"/>
      <c r="K672" s="88"/>
      <c r="L672" s="88"/>
      <c r="M672" s="88"/>
      <c r="N672" s="88"/>
      <c r="O672" s="90"/>
      <c r="P672" s="88"/>
      <c r="Q672" s="88"/>
      <c r="R672" s="92"/>
      <c r="S672" s="92"/>
      <c r="T672" s="92"/>
      <c r="U672" s="92"/>
      <c r="V672" s="92"/>
      <c r="W672" s="92"/>
      <c r="X672" s="92"/>
      <c r="Y672" s="92"/>
      <c r="Z672" s="92"/>
      <c r="AA672" s="92"/>
      <c r="AB672" s="92"/>
      <c r="AC672" s="92"/>
      <c r="AD672" s="92"/>
      <c r="AE672" s="92"/>
      <c r="AF672" s="92"/>
      <c r="AG672" s="92"/>
      <c r="AH672" s="92"/>
      <c r="AI672" s="92"/>
      <c r="AJ672" s="92"/>
      <c r="AK672" s="88"/>
      <c r="AL672" s="88"/>
      <c r="AM672" s="88"/>
      <c r="AN672" s="88"/>
      <c r="AO672" s="88"/>
      <c r="AP672" s="88"/>
      <c r="AQ672" s="88"/>
      <c r="AR672" s="88"/>
    </row>
    <row r="673" spans="1:44" ht="12.75" customHeight="1">
      <c r="A673" s="87"/>
      <c r="B673" s="87"/>
      <c r="C673" s="88"/>
      <c r="D673" s="88"/>
      <c r="E673" s="88"/>
      <c r="F673" s="89"/>
      <c r="G673" s="89"/>
      <c r="H673" s="89"/>
      <c r="I673" s="89"/>
      <c r="J673" s="89"/>
      <c r="K673" s="88"/>
      <c r="L673" s="88"/>
      <c r="M673" s="88"/>
      <c r="N673" s="88"/>
      <c r="O673" s="90"/>
      <c r="P673" s="88"/>
      <c r="Q673" s="88"/>
      <c r="R673" s="92"/>
      <c r="S673" s="92"/>
      <c r="T673" s="92"/>
      <c r="U673" s="92"/>
      <c r="V673" s="92"/>
      <c r="W673" s="92"/>
      <c r="X673" s="92"/>
      <c r="Y673" s="92"/>
      <c r="Z673" s="92"/>
      <c r="AA673" s="92"/>
      <c r="AB673" s="92"/>
      <c r="AC673" s="92"/>
      <c r="AD673" s="92"/>
      <c r="AE673" s="92"/>
      <c r="AF673" s="92"/>
      <c r="AG673" s="92"/>
      <c r="AH673" s="92"/>
      <c r="AI673" s="92"/>
      <c r="AJ673" s="92"/>
      <c r="AK673" s="88"/>
      <c r="AL673" s="88"/>
      <c r="AM673" s="88"/>
      <c r="AN673" s="88"/>
      <c r="AO673" s="88"/>
      <c r="AP673" s="88"/>
      <c r="AQ673" s="88"/>
      <c r="AR673" s="88"/>
    </row>
    <row r="674" spans="1:44" ht="12.75" customHeight="1">
      <c r="A674" s="87"/>
      <c r="B674" s="87"/>
      <c r="C674" s="88"/>
      <c r="D674" s="88"/>
      <c r="E674" s="88"/>
      <c r="F674" s="89"/>
      <c r="G674" s="89"/>
      <c r="H674" s="89"/>
      <c r="I674" s="89"/>
      <c r="J674" s="89"/>
      <c r="K674" s="88"/>
      <c r="L674" s="88"/>
      <c r="M674" s="88"/>
      <c r="N674" s="88"/>
      <c r="O674" s="90"/>
      <c r="P674" s="88"/>
      <c r="Q674" s="88"/>
      <c r="R674" s="92"/>
      <c r="S674" s="92"/>
      <c r="T674" s="92"/>
      <c r="U674" s="92"/>
      <c r="V674" s="92"/>
      <c r="W674" s="92"/>
      <c r="X674" s="92"/>
      <c r="Y674" s="92"/>
      <c r="Z674" s="92"/>
      <c r="AA674" s="92"/>
      <c r="AB674" s="92"/>
      <c r="AC674" s="92"/>
      <c r="AD674" s="92"/>
      <c r="AE674" s="92"/>
      <c r="AF674" s="92"/>
      <c r="AG674" s="92"/>
      <c r="AH674" s="92"/>
      <c r="AI674" s="92"/>
      <c r="AJ674" s="92"/>
      <c r="AK674" s="88"/>
      <c r="AL674" s="88"/>
      <c r="AM674" s="88"/>
      <c r="AN674" s="88"/>
      <c r="AO674" s="88"/>
      <c r="AP674" s="88"/>
      <c r="AQ674" s="88"/>
      <c r="AR674" s="88"/>
    </row>
    <row r="675" spans="1:44" ht="12.75" customHeight="1">
      <c r="A675" s="87"/>
      <c r="B675" s="87"/>
      <c r="C675" s="88"/>
      <c r="D675" s="88"/>
      <c r="E675" s="88"/>
      <c r="F675" s="89"/>
      <c r="G675" s="89"/>
      <c r="H675" s="89"/>
      <c r="I675" s="89"/>
      <c r="J675" s="89"/>
      <c r="K675" s="88"/>
      <c r="L675" s="88"/>
      <c r="M675" s="88"/>
      <c r="N675" s="88"/>
      <c r="O675" s="90"/>
      <c r="P675" s="88"/>
      <c r="Q675" s="88"/>
      <c r="R675" s="92"/>
      <c r="S675" s="92"/>
      <c r="T675" s="92"/>
      <c r="U675" s="92"/>
      <c r="V675" s="92"/>
      <c r="W675" s="92"/>
      <c r="X675" s="92"/>
      <c r="Y675" s="92"/>
      <c r="Z675" s="92"/>
      <c r="AA675" s="92"/>
      <c r="AB675" s="92"/>
      <c r="AC675" s="92"/>
      <c r="AD675" s="92"/>
      <c r="AE675" s="92"/>
      <c r="AF675" s="92"/>
      <c r="AG675" s="92"/>
      <c r="AH675" s="92"/>
      <c r="AI675" s="92"/>
      <c r="AJ675" s="92"/>
      <c r="AK675" s="88"/>
      <c r="AL675" s="88"/>
      <c r="AM675" s="88"/>
      <c r="AN675" s="88"/>
      <c r="AO675" s="88"/>
      <c r="AP675" s="88"/>
      <c r="AQ675" s="88"/>
      <c r="AR675" s="88"/>
    </row>
    <row r="676" spans="1:44" ht="12.75" customHeight="1">
      <c r="A676" s="87"/>
      <c r="B676" s="87"/>
      <c r="C676" s="88"/>
      <c r="D676" s="88"/>
      <c r="E676" s="88"/>
      <c r="F676" s="89"/>
      <c r="G676" s="89"/>
      <c r="H676" s="89"/>
      <c r="I676" s="89"/>
      <c r="J676" s="89"/>
      <c r="K676" s="88"/>
      <c r="L676" s="88"/>
      <c r="M676" s="88"/>
      <c r="N676" s="88"/>
      <c r="O676" s="90"/>
      <c r="P676" s="88"/>
      <c r="Q676" s="88"/>
      <c r="R676" s="92"/>
      <c r="S676" s="92"/>
      <c r="T676" s="92"/>
      <c r="U676" s="92"/>
      <c r="V676" s="92"/>
      <c r="W676" s="92"/>
      <c r="X676" s="92"/>
      <c r="Y676" s="92"/>
      <c r="Z676" s="92"/>
      <c r="AA676" s="92"/>
      <c r="AB676" s="92"/>
      <c r="AC676" s="92"/>
      <c r="AD676" s="92"/>
      <c r="AE676" s="92"/>
      <c r="AF676" s="92"/>
      <c r="AG676" s="92"/>
      <c r="AH676" s="92"/>
      <c r="AI676" s="92"/>
      <c r="AJ676" s="92"/>
      <c r="AK676" s="88"/>
      <c r="AL676" s="88"/>
      <c r="AM676" s="88"/>
      <c r="AN676" s="88"/>
      <c r="AO676" s="88"/>
      <c r="AP676" s="88"/>
      <c r="AQ676" s="88"/>
      <c r="AR676" s="88"/>
    </row>
    <row r="677" spans="1:44" ht="12.75" customHeight="1">
      <c r="A677" s="87"/>
      <c r="B677" s="87"/>
      <c r="C677" s="88"/>
      <c r="D677" s="88"/>
      <c r="E677" s="88"/>
      <c r="F677" s="89"/>
      <c r="G677" s="89"/>
      <c r="H677" s="89"/>
      <c r="I677" s="89"/>
      <c r="J677" s="89"/>
      <c r="K677" s="88"/>
      <c r="L677" s="88"/>
      <c r="M677" s="88"/>
      <c r="N677" s="88"/>
      <c r="O677" s="90"/>
      <c r="P677" s="88"/>
      <c r="Q677" s="88"/>
      <c r="R677" s="92"/>
      <c r="S677" s="92"/>
      <c r="T677" s="92"/>
      <c r="U677" s="92"/>
      <c r="V677" s="92"/>
      <c r="W677" s="92"/>
      <c r="X677" s="92"/>
      <c r="Y677" s="92"/>
      <c r="Z677" s="92"/>
      <c r="AA677" s="92"/>
      <c r="AB677" s="92"/>
      <c r="AC677" s="92"/>
      <c r="AD677" s="92"/>
      <c r="AE677" s="92"/>
      <c r="AF677" s="92"/>
      <c r="AG677" s="92"/>
      <c r="AH677" s="92"/>
      <c r="AI677" s="92"/>
      <c r="AJ677" s="92"/>
      <c r="AK677" s="88"/>
      <c r="AL677" s="88"/>
      <c r="AM677" s="88"/>
      <c r="AN677" s="88"/>
      <c r="AO677" s="88"/>
      <c r="AP677" s="88"/>
      <c r="AQ677" s="88"/>
      <c r="AR677" s="88"/>
    </row>
    <row r="678" spans="1:44" ht="12.75" customHeight="1">
      <c r="A678" s="87"/>
      <c r="B678" s="87"/>
      <c r="C678" s="88"/>
      <c r="D678" s="88"/>
      <c r="E678" s="88"/>
      <c r="F678" s="89"/>
      <c r="G678" s="89"/>
      <c r="H678" s="89"/>
      <c r="I678" s="89"/>
      <c r="J678" s="89"/>
      <c r="K678" s="88"/>
      <c r="L678" s="88"/>
      <c r="M678" s="88"/>
      <c r="N678" s="88"/>
      <c r="O678" s="90"/>
      <c r="P678" s="88"/>
      <c r="Q678" s="88"/>
      <c r="R678" s="92"/>
      <c r="S678" s="92"/>
      <c r="T678" s="92"/>
      <c r="U678" s="92"/>
      <c r="V678" s="92"/>
      <c r="W678" s="92"/>
      <c r="X678" s="92"/>
      <c r="Y678" s="92"/>
      <c r="Z678" s="92"/>
      <c r="AA678" s="92"/>
      <c r="AB678" s="92"/>
      <c r="AC678" s="92"/>
      <c r="AD678" s="92"/>
      <c r="AE678" s="92"/>
      <c r="AF678" s="92"/>
      <c r="AG678" s="92"/>
      <c r="AH678" s="92"/>
      <c r="AI678" s="92"/>
      <c r="AJ678" s="92"/>
      <c r="AK678" s="88"/>
      <c r="AL678" s="88"/>
      <c r="AM678" s="88"/>
      <c r="AN678" s="88"/>
      <c r="AO678" s="88"/>
      <c r="AP678" s="88"/>
      <c r="AQ678" s="88"/>
      <c r="AR678" s="88"/>
    </row>
    <row r="679" spans="1:44" ht="12.75" customHeight="1">
      <c r="A679" s="87"/>
      <c r="B679" s="87"/>
      <c r="C679" s="88"/>
      <c r="D679" s="88"/>
      <c r="E679" s="88"/>
      <c r="F679" s="89"/>
      <c r="G679" s="89"/>
      <c r="H679" s="89"/>
      <c r="I679" s="89"/>
      <c r="J679" s="89"/>
      <c r="K679" s="88"/>
      <c r="L679" s="88"/>
      <c r="M679" s="88"/>
      <c r="N679" s="88"/>
      <c r="O679" s="90"/>
      <c r="P679" s="88"/>
      <c r="Q679" s="88"/>
      <c r="R679" s="92"/>
      <c r="S679" s="92"/>
      <c r="T679" s="92"/>
      <c r="U679" s="92"/>
      <c r="V679" s="92"/>
      <c r="W679" s="92"/>
      <c r="X679" s="92"/>
      <c r="Y679" s="92"/>
      <c r="Z679" s="92"/>
      <c r="AA679" s="92"/>
      <c r="AB679" s="92"/>
      <c r="AC679" s="92"/>
      <c r="AD679" s="92"/>
      <c r="AE679" s="92"/>
      <c r="AF679" s="92"/>
      <c r="AG679" s="92"/>
      <c r="AH679" s="92"/>
      <c r="AI679" s="92"/>
      <c r="AJ679" s="92"/>
      <c r="AK679" s="88"/>
      <c r="AL679" s="88"/>
      <c r="AM679" s="88"/>
      <c r="AN679" s="88"/>
      <c r="AO679" s="88"/>
      <c r="AP679" s="88"/>
      <c r="AQ679" s="88"/>
      <c r="AR679" s="88"/>
    </row>
    <row r="680" spans="1:44" ht="12.75" customHeight="1">
      <c r="A680" s="87"/>
      <c r="B680" s="87"/>
      <c r="C680" s="88"/>
      <c r="D680" s="88"/>
      <c r="E680" s="88"/>
      <c r="F680" s="89"/>
      <c r="G680" s="89"/>
      <c r="H680" s="89"/>
      <c r="I680" s="89"/>
      <c r="J680" s="89"/>
      <c r="K680" s="88"/>
      <c r="L680" s="88"/>
      <c r="M680" s="88"/>
      <c r="N680" s="88"/>
      <c r="O680" s="90"/>
      <c r="P680" s="88"/>
      <c r="Q680" s="88"/>
      <c r="R680" s="92"/>
      <c r="S680" s="92"/>
      <c r="T680" s="92"/>
      <c r="U680" s="92"/>
      <c r="V680" s="92"/>
      <c r="W680" s="92"/>
      <c r="X680" s="92"/>
      <c r="Y680" s="92"/>
      <c r="Z680" s="92"/>
      <c r="AA680" s="92"/>
      <c r="AB680" s="92"/>
      <c r="AC680" s="92"/>
      <c r="AD680" s="92"/>
      <c r="AE680" s="92"/>
      <c r="AF680" s="92"/>
      <c r="AG680" s="92"/>
      <c r="AH680" s="92"/>
      <c r="AI680" s="92"/>
      <c r="AJ680" s="92"/>
      <c r="AK680" s="88"/>
      <c r="AL680" s="88"/>
      <c r="AM680" s="88"/>
      <c r="AN680" s="88"/>
      <c r="AO680" s="88"/>
      <c r="AP680" s="88"/>
      <c r="AQ680" s="88"/>
      <c r="AR680" s="88"/>
    </row>
    <row r="681" spans="1:44" ht="12.75" customHeight="1">
      <c r="A681" s="87"/>
      <c r="B681" s="87"/>
      <c r="C681" s="88"/>
      <c r="D681" s="88"/>
      <c r="E681" s="88"/>
      <c r="F681" s="89"/>
      <c r="G681" s="89"/>
      <c r="H681" s="89"/>
      <c r="I681" s="89"/>
      <c r="J681" s="89"/>
      <c r="K681" s="88"/>
      <c r="L681" s="88"/>
      <c r="M681" s="88"/>
      <c r="N681" s="88"/>
      <c r="O681" s="90"/>
      <c r="P681" s="88"/>
      <c r="Q681" s="88"/>
      <c r="R681" s="92"/>
      <c r="S681" s="92"/>
      <c r="T681" s="92"/>
      <c r="U681" s="92"/>
      <c r="V681" s="92"/>
      <c r="W681" s="92"/>
      <c r="X681" s="92"/>
      <c r="Y681" s="92"/>
      <c r="Z681" s="92"/>
      <c r="AA681" s="92"/>
      <c r="AB681" s="92"/>
      <c r="AC681" s="92"/>
      <c r="AD681" s="92"/>
      <c r="AE681" s="92"/>
      <c r="AF681" s="92"/>
      <c r="AG681" s="92"/>
      <c r="AH681" s="92"/>
      <c r="AI681" s="92"/>
      <c r="AJ681" s="92"/>
      <c r="AK681" s="88"/>
      <c r="AL681" s="88"/>
      <c r="AM681" s="88"/>
      <c r="AN681" s="88"/>
      <c r="AO681" s="88"/>
      <c r="AP681" s="88"/>
      <c r="AQ681" s="88"/>
      <c r="AR681" s="88"/>
    </row>
    <row r="682" spans="1:44" ht="12.75" customHeight="1">
      <c r="A682" s="87"/>
      <c r="B682" s="87"/>
      <c r="C682" s="88"/>
      <c r="D682" s="88"/>
      <c r="E682" s="88"/>
      <c r="F682" s="89"/>
      <c r="G682" s="89"/>
      <c r="H682" s="89"/>
      <c r="I682" s="89"/>
      <c r="J682" s="89"/>
      <c r="K682" s="88"/>
      <c r="L682" s="88"/>
      <c r="M682" s="88"/>
      <c r="N682" s="88"/>
      <c r="O682" s="90"/>
      <c r="P682" s="88"/>
      <c r="Q682" s="88"/>
      <c r="R682" s="92"/>
      <c r="S682" s="92"/>
      <c r="T682" s="92"/>
      <c r="U682" s="92"/>
      <c r="V682" s="92"/>
      <c r="W682" s="92"/>
      <c r="X682" s="92"/>
      <c r="Y682" s="92"/>
      <c r="Z682" s="92"/>
      <c r="AA682" s="92"/>
      <c r="AB682" s="92"/>
      <c r="AC682" s="92"/>
      <c r="AD682" s="92"/>
      <c r="AE682" s="92"/>
      <c r="AF682" s="92"/>
      <c r="AG682" s="92"/>
      <c r="AH682" s="92"/>
      <c r="AI682" s="92"/>
      <c r="AJ682" s="92"/>
      <c r="AK682" s="88"/>
      <c r="AL682" s="88"/>
      <c r="AM682" s="88"/>
      <c r="AN682" s="88"/>
      <c r="AO682" s="88"/>
      <c r="AP682" s="88"/>
      <c r="AQ682" s="88"/>
      <c r="AR682" s="88"/>
    </row>
    <row r="683" spans="1:44" ht="12.75" customHeight="1">
      <c r="A683" s="87"/>
      <c r="B683" s="87"/>
      <c r="C683" s="88"/>
      <c r="D683" s="88"/>
      <c r="E683" s="88"/>
      <c r="F683" s="89"/>
      <c r="G683" s="89"/>
      <c r="H683" s="89"/>
      <c r="I683" s="89"/>
      <c r="J683" s="89"/>
      <c r="K683" s="88"/>
      <c r="L683" s="88"/>
      <c r="M683" s="88"/>
      <c r="N683" s="88"/>
      <c r="O683" s="90"/>
      <c r="P683" s="88"/>
      <c r="Q683" s="88"/>
      <c r="R683" s="92"/>
      <c r="S683" s="92"/>
      <c r="T683" s="92"/>
      <c r="U683" s="92"/>
      <c r="V683" s="92"/>
      <c r="W683" s="92"/>
      <c r="X683" s="92"/>
      <c r="Y683" s="92"/>
      <c r="Z683" s="92"/>
      <c r="AA683" s="92"/>
      <c r="AB683" s="92"/>
      <c r="AC683" s="92"/>
      <c r="AD683" s="92"/>
      <c r="AE683" s="92"/>
      <c r="AF683" s="92"/>
      <c r="AG683" s="92"/>
      <c r="AH683" s="92"/>
      <c r="AI683" s="92"/>
      <c r="AJ683" s="92"/>
      <c r="AK683" s="88"/>
      <c r="AL683" s="88"/>
      <c r="AM683" s="88"/>
      <c r="AN683" s="88"/>
      <c r="AO683" s="88"/>
      <c r="AP683" s="88"/>
      <c r="AQ683" s="88"/>
      <c r="AR683" s="88"/>
    </row>
    <row r="684" spans="1:44" ht="12.75" customHeight="1">
      <c r="A684" s="87"/>
      <c r="B684" s="87"/>
      <c r="C684" s="88"/>
      <c r="D684" s="88"/>
      <c r="E684" s="88"/>
      <c r="F684" s="89"/>
      <c r="G684" s="89"/>
      <c r="H684" s="89"/>
      <c r="I684" s="89"/>
      <c r="J684" s="89"/>
      <c r="K684" s="88"/>
      <c r="L684" s="88"/>
      <c r="M684" s="88"/>
      <c r="N684" s="88"/>
      <c r="O684" s="90"/>
      <c r="P684" s="88"/>
      <c r="Q684" s="88"/>
      <c r="R684" s="92"/>
      <c r="S684" s="92"/>
      <c r="T684" s="92"/>
      <c r="U684" s="92"/>
      <c r="V684" s="92"/>
      <c r="W684" s="92"/>
      <c r="X684" s="92"/>
      <c r="Y684" s="92"/>
      <c r="Z684" s="92"/>
      <c r="AA684" s="92"/>
      <c r="AB684" s="92"/>
      <c r="AC684" s="92"/>
      <c r="AD684" s="92"/>
      <c r="AE684" s="92"/>
      <c r="AF684" s="92"/>
      <c r="AG684" s="92"/>
      <c r="AH684" s="92"/>
      <c r="AI684" s="92"/>
      <c r="AJ684" s="92"/>
      <c r="AK684" s="88"/>
      <c r="AL684" s="88"/>
      <c r="AM684" s="88"/>
      <c r="AN684" s="88"/>
      <c r="AO684" s="88"/>
      <c r="AP684" s="88"/>
      <c r="AQ684" s="88"/>
      <c r="AR684" s="88"/>
    </row>
    <row r="685" spans="1:44" ht="12.75" customHeight="1">
      <c r="A685" s="87"/>
      <c r="B685" s="87"/>
      <c r="C685" s="88"/>
      <c r="D685" s="88"/>
      <c r="E685" s="88"/>
      <c r="F685" s="89"/>
      <c r="G685" s="89"/>
      <c r="H685" s="89"/>
      <c r="I685" s="89"/>
      <c r="J685" s="89"/>
      <c r="K685" s="88"/>
      <c r="L685" s="88"/>
      <c r="M685" s="88"/>
      <c r="N685" s="88"/>
      <c r="O685" s="90"/>
      <c r="P685" s="88"/>
      <c r="Q685" s="88"/>
      <c r="R685" s="92"/>
      <c r="S685" s="92"/>
      <c r="T685" s="92"/>
      <c r="U685" s="92"/>
      <c r="V685" s="92"/>
      <c r="W685" s="92"/>
      <c r="X685" s="92"/>
      <c r="Y685" s="92"/>
      <c r="Z685" s="92"/>
      <c r="AA685" s="92"/>
      <c r="AB685" s="92"/>
      <c r="AC685" s="92"/>
      <c r="AD685" s="92"/>
      <c r="AE685" s="92"/>
      <c r="AF685" s="92"/>
      <c r="AG685" s="92"/>
      <c r="AH685" s="92"/>
      <c r="AI685" s="92"/>
      <c r="AJ685" s="92"/>
      <c r="AK685" s="88"/>
      <c r="AL685" s="88"/>
      <c r="AM685" s="88"/>
      <c r="AN685" s="88"/>
      <c r="AO685" s="88"/>
      <c r="AP685" s="88"/>
      <c r="AQ685" s="88"/>
      <c r="AR685" s="88"/>
    </row>
    <row r="686" spans="1:44" ht="12.75" customHeight="1">
      <c r="A686" s="87"/>
      <c r="B686" s="87"/>
      <c r="C686" s="88"/>
      <c r="D686" s="88"/>
      <c r="E686" s="88"/>
      <c r="F686" s="89"/>
      <c r="G686" s="89"/>
      <c r="H686" s="89"/>
      <c r="I686" s="89"/>
      <c r="J686" s="89"/>
      <c r="K686" s="88"/>
      <c r="L686" s="88"/>
      <c r="M686" s="88"/>
      <c r="N686" s="88"/>
      <c r="O686" s="90"/>
      <c r="P686" s="88"/>
      <c r="Q686" s="88"/>
      <c r="R686" s="92"/>
      <c r="S686" s="92"/>
      <c r="T686" s="92"/>
      <c r="U686" s="92"/>
      <c r="V686" s="92"/>
      <c r="W686" s="92"/>
      <c r="X686" s="92"/>
      <c r="Y686" s="92"/>
      <c r="Z686" s="92"/>
      <c r="AA686" s="92"/>
      <c r="AB686" s="92"/>
      <c r="AC686" s="92"/>
      <c r="AD686" s="92"/>
      <c r="AE686" s="92"/>
      <c r="AF686" s="92"/>
      <c r="AG686" s="92"/>
      <c r="AH686" s="92"/>
      <c r="AI686" s="92"/>
      <c r="AJ686" s="92"/>
      <c r="AK686" s="88"/>
      <c r="AL686" s="88"/>
      <c r="AM686" s="88"/>
      <c r="AN686" s="88"/>
      <c r="AO686" s="88"/>
      <c r="AP686" s="88"/>
      <c r="AQ686" s="88"/>
      <c r="AR686" s="88"/>
    </row>
    <row r="687" spans="1:44" ht="12.75" customHeight="1">
      <c r="A687" s="87"/>
      <c r="B687" s="87"/>
      <c r="C687" s="88"/>
      <c r="D687" s="88"/>
      <c r="E687" s="88"/>
      <c r="F687" s="89"/>
      <c r="G687" s="89"/>
      <c r="H687" s="89"/>
      <c r="I687" s="89"/>
      <c r="J687" s="89"/>
      <c r="K687" s="88"/>
      <c r="L687" s="88"/>
      <c r="M687" s="88"/>
      <c r="N687" s="88"/>
      <c r="O687" s="90"/>
      <c r="P687" s="88"/>
      <c r="Q687" s="88"/>
      <c r="R687" s="92"/>
      <c r="S687" s="92"/>
      <c r="T687" s="92"/>
      <c r="U687" s="92"/>
      <c r="V687" s="92"/>
      <c r="W687" s="92"/>
      <c r="X687" s="92"/>
      <c r="Y687" s="92"/>
      <c r="Z687" s="92"/>
      <c r="AA687" s="92"/>
      <c r="AB687" s="92"/>
      <c r="AC687" s="92"/>
      <c r="AD687" s="92"/>
      <c r="AE687" s="92"/>
      <c r="AF687" s="92"/>
      <c r="AG687" s="92"/>
      <c r="AH687" s="92"/>
      <c r="AI687" s="92"/>
      <c r="AJ687" s="92"/>
      <c r="AK687" s="88"/>
      <c r="AL687" s="88"/>
      <c r="AM687" s="88"/>
      <c r="AN687" s="88"/>
      <c r="AO687" s="88"/>
      <c r="AP687" s="88"/>
      <c r="AQ687" s="88"/>
      <c r="AR687" s="88"/>
    </row>
    <row r="688" spans="1:44" ht="12.75" customHeight="1">
      <c r="A688" s="87"/>
      <c r="B688" s="87"/>
      <c r="C688" s="88"/>
      <c r="D688" s="88"/>
      <c r="E688" s="88"/>
      <c r="F688" s="89"/>
      <c r="G688" s="89"/>
      <c r="H688" s="89"/>
      <c r="I688" s="89"/>
      <c r="J688" s="89"/>
      <c r="K688" s="88"/>
      <c r="L688" s="88"/>
      <c r="M688" s="88"/>
      <c r="N688" s="88"/>
      <c r="O688" s="90"/>
      <c r="P688" s="88"/>
      <c r="Q688" s="88"/>
      <c r="R688" s="92"/>
      <c r="S688" s="92"/>
      <c r="T688" s="92"/>
      <c r="U688" s="92"/>
      <c r="V688" s="92"/>
      <c r="W688" s="92"/>
      <c r="X688" s="92"/>
      <c r="Y688" s="92"/>
      <c r="Z688" s="92"/>
      <c r="AA688" s="92"/>
      <c r="AB688" s="92"/>
      <c r="AC688" s="92"/>
      <c r="AD688" s="92"/>
      <c r="AE688" s="92"/>
      <c r="AF688" s="92"/>
      <c r="AG688" s="92"/>
      <c r="AH688" s="92"/>
      <c r="AI688" s="92"/>
      <c r="AJ688" s="92"/>
      <c r="AK688" s="88"/>
      <c r="AL688" s="88"/>
      <c r="AM688" s="88"/>
      <c r="AN688" s="88"/>
      <c r="AO688" s="88"/>
      <c r="AP688" s="88"/>
      <c r="AQ688" s="88"/>
      <c r="AR688" s="88"/>
    </row>
    <row r="689" spans="1:44" ht="12.75" customHeight="1">
      <c r="A689" s="87"/>
      <c r="B689" s="87"/>
      <c r="C689" s="88"/>
      <c r="D689" s="88"/>
      <c r="E689" s="88"/>
      <c r="F689" s="89"/>
      <c r="G689" s="89"/>
      <c r="H689" s="89"/>
      <c r="I689" s="89"/>
      <c r="J689" s="89"/>
      <c r="K689" s="88"/>
      <c r="L689" s="88"/>
      <c r="M689" s="88"/>
      <c r="N689" s="88"/>
      <c r="O689" s="90"/>
      <c r="P689" s="88"/>
      <c r="Q689" s="88"/>
      <c r="R689" s="92"/>
      <c r="S689" s="92"/>
      <c r="T689" s="92"/>
      <c r="U689" s="92"/>
      <c r="V689" s="92"/>
      <c r="W689" s="92"/>
      <c r="X689" s="92"/>
      <c r="Y689" s="92"/>
      <c r="Z689" s="92"/>
      <c r="AA689" s="92"/>
      <c r="AB689" s="92"/>
      <c r="AC689" s="92"/>
      <c r="AD689" s="92"/>
      <c r="AE689" s="92"/>
      <c r="AF689" s="92"/>
      <c r="AG689" s="92"/>
      <c r="AH689" s="92"/>
      <c r="AI689" s="92"/>
      <c r="AJ689" s="92"/>
      <c r="AK689" s="88"/>
      <c r="AL689" s="88"/>
      <c r="AM689" s="88"/>
      <c r="AN689" s="88"/>
      <c r="AO689" s="88"/>
      <c r="AP689" s="88"/>
      <c r="AQ689" s="88"/>
      <c r="AR689" s="88"/>
    </row>
    <row r="690" spans="1:44" ht="12.75" customHeight="1">
      <c r="A690" s="87"/>
      <c r="B690" s="87"/>
      <c r="C690" s="88"/>
      <c r="D690" s="88"/>
      <c r="E690" s="88"/>
      <c r="F690" s="89"/>
      <c r="G690" s="89"/>
      <c r="H690" s="89"/>
      <c r="I690" s="89"/>
      <c r="J690" s="89"/>
      <c r="K690" s="88"/>
      <c r="L690" s="88"/>
      <c r="M690" s="88"/>
      <c r="N690" s="88"/>
      <c r="O690" s="90"/>
      <c r="P690" s="88"/>
      <c r="Q690" s="88"/>
      <c r="R690" s="92"/>
      <c r="S690" s="92"/>
      <c r="T690" s="92"/>
      <c r="U690" s="92"/>
      <c r="V690" s="92"/>
      <c r="W690" s="92"/>
      <c r="X690" s="92"/>
      <c r="Y690" s="92"/>
      <c r="Z690" s="92"/>
      <c r="AA690" s="92"/>
      <c r="AB690" s="92"/>
      <c r="AC690" s="92"/>
      <c r="AD690" s="92"/>
      <c r="AE690" s="92"/>
      <c r="AF690" s="92"/>
      <c r="AG690" s="92"/>
      <c r="AH690" s="92"/>
      <c r="AI690" s="92"/>
      <c r="AJ690" s="92"/>
      <c r="AK690" s="88"/>
      <c r="AL690" s="88"/>
      <c r="AM690" s="88"/>
      <c r="AN690" s="88"/>
      <c r="AO690" s="88"/>
      <c r="AP690" s="88"/>
      <c r="AQ690" s="88"/>
      <c r="AR690" s="88"/>
    </row>
    <row r="691" spans="1:44" ht="12.75" customHeight="1">
      <c r="A691" s="87"/>
      <c r="B691" s="87"/>
      <c r="C691" s="88"/>
      <c r="D691" s="88"/>
      <c r="E691" s="88"/>
      <c r="F691" s="89"/>
      <c r="G691" s="89"/>
      <c r="H691" s="89"/>
      <c r="I691" s="89"/>
      <c r="J691" s="89"/>
      <c r="K691" s="88"/>
      <c r="L691" s="88"/>
      <c r="M691" s="88"/>
      <c r="N691" s="88"/>
      <c r="O691" s="90"/>
      <c r="P691" s="88"/>
      <c r="Q691" s="88"/>
      <c r="R691" s="92"/>
      <c r="S691" s="92"/>
      <c r="T691" s="92"/>
      <c r="U691" s="92"/>
      <c r="V691" s="92"/>
      <c r="W691" s="92"/>
      <c r="X691" s="92"/>
      <c r="Y691" s="92"/>
      <c r="Z691" s="92"/>
      <c r="AA691" s="92"/>
      <c r="AB691" s="92"/>
      <c r="AC691" s="92"/>
      <c r="AD691" s="92"/>
      <c r="AE691" s="92"/>
      <c r="AF691" s="92"/>
      <c r="AG691" s="92"/>
      <c r="AH691" s="92"/>
      <c r="AI691" s="92"/>
      <c r="AJ691" s="92"/>
      <c r="AK691" s="88"/>
      <c r="AL691" s="88"/>
      <c r="AM691" s="88"/>
      <c r="AN691" s="88"/>
      <c r="AO691" s="88"/>
      <c r="AP691" s="88"/>
      <c r="AQ691" s="88"/>
      <c r="AR691" s="88"/>
    </row>
    <row r="692" spans="1:44" ht="12.75" customHeight="1">
      <c r="A692" s="87"/>
      <c r="B692" s="87"/>
      <c r="C692" s="88"/>
      <c r="D692" s="88"/>
      <c r="E692" s="88"/>
      <c r="F692" s="89"/>
      <c r="G692" s="89"/>
      <c r="H692" s="89"/>
      <c r="I692" s="89"/>
      <c r="J692" s="89"/>
      <c r="K692" s="88"/>
      <c r="L692" s="88"/>
      <c r="M692" s="88"/>
      <c r="N692" s="88"/>
      <c r="O692" s="90"/>
      <c r="P692" s="88"/>
      <c r="Q692" s="88"/>
      <c r="R692" s="92"/>
      <c r="S692" s="92"/>
      <c r="T692" s="92"/>
      <c r="U692" s="92"/>
      <c r="V692" s="92"/>
      <c r="W692" s="92"/>
      <c r="X692" s="92"/>
      <c r="Y692" s="92"/>
      <c r="Z692" s="92"/>
      <c r="AA692" s="92"/>
      <c r="AB692" s="92"/>
      <c r="AC692" s="92"/>
      <c r="AD692" s="92"/>
      <c r="AE692" s="92"/>
      <c r="AF692" s="92"/>
      <c r="AG692" s="92"/>
      <c r="AH692" s="92"/>
      <c r="AI692" s="92"/>
      <c r="AJ692" s="92"/>
      <c r="AK692" s="88"/>
      <c r="AL692" s="88"/>
      <c r="AM692" s="88"/>
      <c r="AN692" s="88"/>
      <c r="AO692" s="88"/>
      <c r="AP692" s="88"/>
      <c r="AQ692" s="88"/>
      <c r="AR692" s="88"/>
    </row>
    <row r="693" spans="1:44" ht="12.75" customHeight="1">
      <c r="A693" s="87"/>
      <c r="B693" s="87"/>
      <c r="C693" s="88"/>
      <c r="D693" s="88"/>
      <c r="E693" s="88"/>
      <c r="F693" s="89"/>
      <c r="G693" s="89"/>
      <c r="H693" s="89"/>
      <c r="I693" s="89"/>
      <c r="J693" s="89"/>
      <c r="K693" s="88"/>
      <c r="L693" s="88"/>
      <c r="M693" s="88"/>
      <c r="N693" s="88"/>
      <c r="O693" s="90"/>
      <c r="P693" s="88"/>
      <c r="Q693" s="88"/>
      <c r="R693" s="92"/>
      <c r="S693" s="92"/>
      <c r="T693" s="92"/>
      <c r="U693" s="92"/>
      <c r="V693" s="92"/>
      <c r="W693" s="92"/>
      <c r="X693" s="92"/>
      <c r="Y693" s="92"/>
      <c r="Z693" s="92"/>
      <c r="AA693" s="92"/>
      <c r="AB693" s="92"/>
      <c r="AC693" s="92"/>
      <c r="AD693" s="92"/>
      <c r="AE693" s="92"/>
      <c r="AF693" s="92"/>
      <c r="AG693" s="92"/>
      <c r="AH693" s="92"/>
      <c r="AI693" s="92"/>
      <c r="AJ693" s="92"/>
      <c r="AK693" s="88"/>
      <c r="AL693" s="88"/>
      <c r="AM693" s="88"/>
      <c r="AN693" s="88"/>
      <c r="AO693" s="88"/>
      <c r="AP693" s="88"/>
      <c r="AQ693" s="88"/>
      <c r="AR693" s="88"/>
    </row>
    <row r="694" spans="1:44" ht="12.75" customHeight="1">
      <c r="A694" s="87"/>
      <c r="B694" s="87"/>
      <c r="C694" s="88"/>
      <c r="D694" s="88"/>
      <c r="E694" s="88"/>
      <c r="F694" s="89"/>
      <c r="G694" s="89"/>
      <c r="H694" s="89"/>
      <c r="I694" s="89"/>
      <c r="J694" s="89"/>
      <c r="K694" s="88"/>
      <c r="L694" s="88"/>
      <c r="M694" s="88"/>
      <c r="N694" s="88"/>
      <c r="O694" s="90"/>
      <c r="P694" s="88"/>
      <c r="Q694" s="88"/>
      <c r="R694" s="92"/>
      <c r="S694" s="92"/>
      <c r="T694" s="92"/>
      <c r="U694" s="92"/>
      <c r="V694" s="92"/>
      <c r="W694" s="92"/>
      <c r="X694" s="92"/>
      <c r="Y694" s="92"/>
      <c r="Z694" s="92"/>
      <c r="AA694" s="92"/>
      <c r="AB694" s="92"/>
      <c r="AC694" s="92"/>
      <c r="AD694" s="92"/>
      <c r="AE694" s="92"/>
      <c r="AF694" s="92"/>
      <c r="AG694" s="92"/>
      <c r="AH694" s="92"/>
      <c r="AI694" s="92"/>
      <c r="AJ694" s="92"/>
      <c r="AK694" s="88"/>
      <c r="AL694" s="88"/>
      <c r="AM694" s="88"/>
      <c r="AN694" s="88"/>
      <c r="AO694" s="88"/>
      <c r="AP694" s="88"/>
      <c r="AQ694" s="88"/>
      <c r="AR694" s="88"/>
    </row>
    <row r="695" spans="1:44" ht="12.75" customHeight="1">
      <c r="A695" s="87"/>
      <c r="B695" s="87"/>
      <c r="C695" s="88"/>
      <c r="D695" s="88"/>
      <c r="E695" s="88"/>
      <c r="F695" s="89"/>
      <c r="G695" s="89"/>
      <c r="H695" s="89"/>
      <c r="I695" s="89"/>
      <c r="J695" s="89"/>
      <c r="K695" s="88"/>
      <c r="L695" s="88"/>
      <c r="M695" s="88"/>
      <c r="N695" s="88"/>
      <c r="O695" s="90"/>
      <c r="P695" s="88"/>
      <c r="Q695" s="88"/>
      <c r="R695" s="92"/>
      <c r="S695" s="92"/>
      <c r="T695" s="92"/>
      <c r="U695" s="92"/>
      <c r="V695" s="92"/>
      <c r="W695" s="92"/>
      <c r="X695" s="92"/>
      <c r="Y695" s="92"/>
      <c r="Z695" s="92"/>
      <c r="AA695" s="92"/>
      <c r="AB695" s="92"/>
      <c r="AC695" s="92"/>
      <c r="AD695" s="92"/>
      <c r="AE695" s="92"/>
      <c r="AF695" s="92"/>
      <c r="AG695" s="92"/>
      <c r="AH695" s="92"/>
      <c r="AI695" s="92"/>
      <c r="AJ695" s="92"/>
      <c r="AK695" s="88"/>
      <c r="AL695" s="88"/>
      <c r="AM695" s="88"/>
      <c r="AN695" s="88"/>
      <c r="AO695" s="88"/>
      <c r="AP695" s="88"/>
      <c r="AQ695" s="88"/>
      <c r="AR695" s="88"/>
    </row>
    <row r="696" spans="1:44" ht="12.75" customHeight="1">
      <c r="A696" s="87"/>
      <c r="B696" s="87"/>
      <c r="C696" s="88"/>
      <c r="D696" s="88"/>
      <c r="E696" s="88"/>
      <c r="F696" s="89"/>
      <c r="G696" s="89"/>
      <c r="H696" s="89"/>
      <c r="I696" s="89"/>
      <c r="J696" s="89"/>
      <c r="K696" s="88"/>
      <c r="L696" s="88"/>
      <c r="M696" s="88"/>
      <c r="N696" s="88"/>
      <c r="O696" s="90"/>
      <c r="P696" s="88"/>
      <c r="Q696" s="88"/>
      <c r="R696" s="92"/>
      <c r="S696" s="92"/>
      <c r="T696" s="92"/>
      <c r="U696" s="92"/>
      <c r="V696" s="92"/>
      <c r="W696" s="92"/>
      <c r="X696" s="92"/>
      <c r="Y696" s="92"/>
      <c r="Z696" s="92"/>
      <c r="AA696" s="92"/>
      <c r="AB696" s="92"/>
      <c r="AC696" s="92"/>
      <c r="AD696" s="92"/>
      <c r="AE696" s="92"/>
      <c r="AF696" s="92"/>
      <c r="AG696" s="92"/>
      <c r="AH696" s="92"/>
      <c r="AI696" s="92"/>
      <c r="AJ696" s="92"/>
      <c r="AK696" s="88"/>
      <c r="AL696" s="88"/>
      <c r="AM696" s="88"/>
      <c r="AN696" s="88"/>
      <c r="AO696" s="88"/>
      <c r="AP696" s="88"/>
      <c r="AQ696" s="88"/>
      <c r="AR696" s="88"/>
    </row>
    <row r="697" spans="1:44" ht="12.75" customHeight="1">
      <c r="A697" s="87"/>
      <c r="B697" s="87"/>
      <c r="C697" s="88"/>
      <c r="D697" s="88"/>
      <c r="E697" s="88"/>
      <c r="F697" s="89"/>
      <c r="G697" s="89"/>
      <c r="H697" s="89"/>
      <c r="I697" s="89"/>
      <c r="J697" s="89"/>
      <c r="K697" s="88"/>
      <c r="L697" s="88"/>
      <c r="M697" s="88"/>
      <c r="N697" s="88"/>
      <c r="O697" s="90"/>
      <c r="P697" s="88"/>
      <c r="Q697" s="88"/>
      <c r="R697" s="92"/>
      <c r="S697" s="92"/>
      <c r="T697" s="92"/>
      <c r="U697" s="92"/>
      <c r="V697" s="92"/>
      <c r="W697" s="92"/>
      <c r="X697" s="92"/>
      <c r="Y697" s="92"/>
      <c r="Z697" s="92"/>
      <c r="AA697" s="92"/>
      <c r="AB697" s="92"/>
      <c r="AC697" s="92"/>
      <c r="AD697" s="92"/>
      <c r="AE697" s="92"/>
      <c r="AF697" s="92"/>
      <c r="AG697" s="92"/>
      <c r="AH697" s="92"/>
      <c r="AI697" s="92"/>
      <c r="AJ697" s="92"/>
      <c r="AK697" s="88"/>
      <c r="AL697" s="88"/>
      <c r="AM697" s="88"/>
      <c r="AN697" s="88"/>
      <c r="AO697" s="88"/>
      <c r="AP697" s="88"/>
      <c r="AQ697" s="88"/>
      <c r="AR697" s="88"/>
    </row>
    <row r="698" spans="1:44" ht="12.75" customHeight="1">
      <c r="A698" s="87"/>
      <c r="B698" s="87"/>
      <c r="C698" s="88"/>
      <c r="D698" s="88"/>
      <c r="E698" s="88"/>
      <c r="F698" s="89"/>
      <c r="G698" s="89"/>
      <c r="H698" s="89"/>
      <c r="I698" s="89"/>
      <c r="J698" s="89"/>
      <c r="K698" s="88"/>
      <c r="L698" s="88"/>
      <c r="M698" s="88"/>
      <c r="N698" s="88"/>
      <c r="O698" s="90"/>
      <c r="P698" s="88"/>
      <c r="Q698" s="88"/>
      <c r="R698" s="92"/>
      <c r="S698" s="92"/>
      <c r="T698" s="92"/>
      <c r="U698" s="92"/>
      <c r="V698" s="92"/>
      <c r="W698" s="92"/>
      <c r="X698" s="92"/>
      <c r="Y698" s="92"/>
      <c r="Z698" s="92"/>
      <c r="AA698" s="92"/>
      <c r="AB698" s="92"/>
      <c r="AC698" s="92"/>
      <c r="AD698" s="92"/>
      <c r="AE698" s="92"/>
      <c r="AF698" s="92"/>
      <c r="AG698" s="92"/>
      <c r="AH698" s="92"/>
      <c r="AI698" s="92"/>
      <c r="AJ698" s="92"/>
      <c r="AK698" s="88"/>
      <c r="AL698" s="88"/>
      <c r="AM698" s="88"/>
      <c r="AN698" s="88"/>
      <c r="AO698" s="88"/>
      <c r="AP698" s="88"/>
      <c r="AQ698" s="88"/>
      <c r="AR698" s="88"/>
    </row>
    <row r="699" spans="1:44" ht="12.75" customHeight="1">
      <c r="A699" s="87"/>
      <c r="B699" s="87"/>
      <c r="C699" s="88"/>
      <c r="D699" s="88"/>
      <c r="E699" s="88"/>
      <c r="F699" s="89"/>
      <c r="G699" s="89"/>
      <c r="H699" s="89"/>
      <c r="I699" s="89"/>
      <c r="J699" s="89"/>
      <c r="K699" s="88"/>
      <c r="L699" s="88"/>
      <c r="M699" s="88"/>
      <c r="N699" s="88"/>
      <c r="O699" s="90"/>
      <c r="P699" s="88"/>
      <c r="Q699" s="88"/>
      <c r="R699" s="92"/>
      <c r="S699" s="92"/>
      <c r="T699" s="92"/>
      <c r="U699" s="92"/>
      <c r="V699" s="92"/>
      <c r="W699" s="92"/>
      <c r="X699" s="92"/>
      <c r="Y699" s="92"/>
      <c r="Z699" s="92"/>
      <c r="AA699" s="92"/>
      <c r="AB699" s="92"/>
      <c r="AC699" s="92"/>
      <c r="AD699" s="92"/>
      <c r="AE699" s="92"/>
      <c r="AF699" s="92"/>
      <c r="AG699" s="92"/>
      <c r="AH699" s="92"/>
      <c r="AI699" s="92"/>
      <c r="AJ699" s="92"/>
      <c r="AK699" s="88"/>
      <c r="AL699" s="88"/>
      <c r="AM699" s="88"/>
      <c r="AN699" s="88"/>
      <c r="AO699" s="88"/>
      <c r="AP699" s="88"/>
      <c r="AQ699" s="88"/>
      <c r="AR699" s="88"/>
    </row>
    <row r="700" spans="1:44" ht="12.75" customHeight="1">
      <c r="A700" s="87"/>
      <c r="B700" s="87"/>
      <c r="C700" s="88"/>
      <c r="D700" s="88"/>
      <c r="E700" s="88"/>
      <c r="F700" s="89"/>
      <c r="G700" s="89"/>
      <c r="H700" s="89"/>
      <c r="I700" s="89"/>
      <c r="J700" s="89"/>
      <c r="K700" s="88"/>
      <c r="L700" s="88"/>
      <c r="M700" s="88"/>
      <c r="N700" s="88"/>
      <c r="O700" s="90"/>
      <c r="P700" s="88"/>
      <c r="Q700" s="88"/>
      <c r="R700" s="92"/>
      <c r="S700" s="92"/>
      <c r="T700" s="92"/>
      <c r="U700" s="92"/>
      <c r="V700" s="92"/>
      <c r="W700" s="92"/>
      <c r="X700" s="92"/>
      <c r="Y700" s="92"/>
      <c r="Z700" s="92"/>
      <c r="AA700" s="92"/>
      <c r="AB700" s="92"/>
      <c r="AC700" s="92"/>
      <c r="AD700" s="92"/>
      <c r="AE700" s="92"/>
      <c r="AF700" s="92"/>
      <c r="AG700" s="92"/>
      <c r="AH700" s="92"/>
      <c r="AI700" s="92"/>
      <c r="AJ700" s="92"/>
      <c r="AK700" s="88"/>
      <c r="AL700" s="88"/>
      <c r="AM700" s="88"/>
      <c r="AN700" s="88"/>
      <c r="AO700" s="88"/>
      <c r="AP700" s="88"/>
      <c r="AQ700" s="88"/>
      <c r="AR700" s="88"/>
    </row>
    <row r="701" spans="1:44" ht="12.75" customHeight="1">
      <c r="A701" s="87"/>
      <c r="B701" s="87"/>
      <c r="C701" s="88"/>
      <c r="D701" s="88"/>
      <c r="E701" s="88"/>
      <c r="F701" s="89"/>
      <c r="G701" s="89"/>
      <c r="H701" s="89"/>
      <c r="I701" s="89"/>
      <c r="J701" s="89"/>
      <c r="K701" s="88"/>
      <c r="L701" s="88"/>
      <c r="M701" s="88"/>
      <c r="N701" s="88"/>
      <c r="O701" s="90"/>
      <c r="P701" s="88"/>
      <c r="Q701" s="88"/>
      <c r="R701" s="92"/>
      <c r="S701" s="92"/>
      <c r="T701" s="92"/>
      <c r="U701" s="92"/>
      <c r="V701" s="92"/>
      <c r="W701" s="92"/>
      <c r="X701" s="92"/>
      <c r="Y701" s="92"/>
      <c r="Z701" s="92"/>
      <c r="AA701" s="92"/>
      <c r="AB701" s="92"/>
      <c r="AC701" s="92"/>
      <c r="AD701" s="92"/>
      <c r="AE701" s="92"/>
      <c r="AF701" s="92"/>
      <c r="AG701" s="92"/>
      <c r="AH701" s="92"/>
      <c r="AI701" s="92"/>
      <c r="AJ701" s="92"/>
      <c r="AK701" s="88"/>
      <c r="AL701" s="88"/>
      <c r="AM701" s="88"/>
      <c r="AN701" s="88"/>
      <c r="AO701" s="88"/>
      <c r="AP701" s="88"/>
      <c r="AQ701" s="88"/>
      <c r="AR701" s="88"/>
    </row>
    <row r="702" spans="1:44" ht="12.75" customHeight="1">
      <c r="A702" s="87"/>
      <c r="B702" s="87"/>
      <c r="C702" s="88"/>
      <c r="D702" s="88"/>
      <c r="E702" s="88"/>
      <c r="F702" s="89"/>
      <c r="G702" s="89"/>
      <c r="H702" s="89"/>
      <c r="I702" s="89"/>
      <c r="J702" s="89"/>
      <c r="K702" s="88"/>
      <c r="L702" s="88"/>
      <c r="M702" s="88"/>
      <c r="N702" s="88"/>
      <c r="O702" s="90"/>
      <c r="P702" s="88"/>
      <c r="Q702" s="88"/>
      <c r="R702" s="92"/>
      <c r="S702" s="92"/>
      <c r="T702" s="92"/>
      <c r="U702" s="92"/>
      <c r="V702" s="92"/>
      <c r="W702" s="92"/>
      <c r="X702" s="92"/>
      <c r="Y702" s="92"/>
      <c r="Z702" s="92"/>
      <c r="AA702" s="92"/>
      <c r="AB702" s="92"/>
      <c r="AC702" s="92"/>
      <c r="AD702" s="92"/>
      <c r="AE702" s="92"/>
      <c r="AF702" s="92"/>
      <c r="AG702" s="92"/>
      <c r="AH702" s="92"/>
      <c r="AI702" s="92"/>
      <c r="AJ702" s="92"/>
      <c r="AK702" s="88"/>
      <c r="AL702" s="88"/>
      <c r="AM702" s="88"/>
      <c r="AN702" s="88"/>
      <c r="AO702" s="88"/>
      <c r="AP702" s="88"/>
      <c r="AQ702" s="88"/>
      <c r="AR702" s="88"/>
    </row>
    <row r="703" spans="1:44" ht="12.75" customHeight="1">
      <c r="A703" s="87"/>
      <c r="B703" s="87"/>
      <c r="C703" s="88"/>
      <c r="D703" s="88"/>
      <c r="E703" s="88"/>
      <c r="F703" s="89"/>
      <c r="G703" s="89"/>
      <c r="H703" s="89"/>
      <c r="I703" s="89"/>
      <c r="J703" s="89"/>
      <c r="K703" s="88"/>
      <c r="L703" s="88"/>
      <c r="M703" s="88"/>
      <c r="N703" s="88"/>
      <c r="O703" s="90"/>
      <c r="P703" s="88"/>
      <c r="Q703" s="88"/>
      <c r="R703" s="92"/>
      <c r="S703" s="92"/>
      <c r="T703" s="92"/>
      <c r="U703" s="92"/>
      <c r="V703" s="92"/>
      <c r="W703" s="92"/>
      <c r="X703" s="92"/>
      <c r="Y703" s="92"/>
      <c r="Z703" s="92"/>
      <c r="AA703" s="92"/>
      <c r="AB703" s="92"/>
      <c r="AC703" s="92"/>
      <c r="AD703" s="92"/>
      <c r="AE703" s="92"/>
      <c r="AF703" s="92"/>
      <c r="AG703" s="92"/>
      <c r="AH703" s="92"/>
      <c r="AI703" s="92"/>
      <c r="AJ703" s="92"/>
      <c r="AK703" s="88"/>
      <c r="AL703" s="88"/>
      <c r="AM703" s="88"/>
      <c r="AN703" s="88"/>
      <c r="AO703" s="88"/>
      <c r="AP703" s="88"/>
      <c r="AQ703" s="88"/>
      <c r="AR703" s="88"/>
    </row>
    <row r="704" spans="1:44" ht="12.75" customHeight="1">
      <c r="A704" s="87"/>
      <c r="B704" s="87"/>
      <c r="C704" s="88"/>
      <c r="D704" s="88"/>
      <c r="E704" s="88"/>
      <c r="F704" s="89"/>
      <c r="G704" s="89"/>
      <c r="H704" s="89"/>
      <c r="I704" s="89"/>
      <c r="J704" s="89"/>
      <c r="K704" s="88"/>
      <c r="L704" s="88"/>
      <c r="M704" s="88"/>
      <c r="N704" s="88"/>
      <c r="O704" s="90"/>
      <c r="P704" s="88"/>
      <c r="Q704" s="88"/>
      <c r="R704" s="92"/>
      <c r="S704" s="92"/>
      <c r="T704" s="92"/>
      <c r="U704" s="92"/>
      <c r="V704" s="92"/>
      <c r="W704" s="92"/>
      <c r="X704" s="92"/>
      <c r="Y704" s="92"/>
      <c r="Z704" s="92"/>
      <c r="AA704" s="92"/>
      <c r="AB704" s="92"/>
      <c r="AC704" s="92"/>
      <c r="AD704" s="92"/>
      <c r="AE704" s="92"/>
      <c r="AF704" s="92"/>
      <c r="AG704" s="92"/>
      <c r="AH704" s="92"/>
      <c r="AI704" s="92"/>
      <c r="AJ704" s="92"/>
      <c r="AK704" s="88"/>
      <c r="AL704" s="88"/>
      <c r="AM704" s="88"/>
      <c r="AN704" s="88"/>
      <c r="AO704" s="88"/>
      <c r="AP704" s="88"/>
      <c r="AQ704" s="88"/>
      <c r="AR704" s="88"/>
    </row>
    <row r="705" spans="1:44" ht="12.75" customHeight="1">
      <c r="A705" s="87"/>
      <c r="B705" s="87"/>
      <c r="C705" s="88"/>
      <c r="D705" s="88"/>
      <c r="E705" s="88"/>
      <c r="F705" s="89"/>
      <c r="G705" s="89"/>
      <c r="H705" s="89"/>
      <c r="I705" s="89"/>
      <c r="J705" s="89"/>
      <c r="K705" s="88"/>
      <c r="L705" s="88"/>
      <c r="M705" s="88"/>
      <c r="N705" s="88"/>
      <c r="O705" s="90"/>
      <c r="P705" s="88"/>
      <c r="Q705" s="88"/>
      <c r="R705" s="92"/>
      <c r="S705" s="92"/>
      <c r="T705" s="92"/>
      <c r="U705" s="92"/>
      <c r="V705" s="92"/>
      <c r="W705" s="92"/>
      <c r="X705" s="92"/>
      <c r="Y705" s="92"/>
      <c r="Z705" s="92"/>
      <c r="AA705" s="92"/>
      <c r="AB705" s="92"/>
      <c r="AC705" s="92"/>
      <c r="AD705" s="92"/>
      <c r="AE705" s="92"/>
      <c r="AF705" s="92"/>
      <c r="AG705" s="92"/>
      <c r="AH705" s="92"/>
      <c r="AI705" s="92"/>
      <c r="AJ705" s="92"/>
      <c r="AK705" s="88"/>
      <c r="AL705" s="88"/>
      <c r="AM705" s="88"/>
      <c r="AN705" s="88"/>
      <c r="AO705" s="88"/>
      <c r="AP705" s="88"/>
      <c r="AQ705" s="88"/>
      <c r="AR705" s="88"/>
    </row>
    <row r="706" spans="1:44" ht="12.75" customHeight="1">
      <c r="A706" s="87"/>
      <c r="B706" s="87"/>
      <c r="C706" s="88"/>
      <c r="D706" s="88"/>
      <c r="E706" s="88"/>
      <c r="F706" s="89"/>
      <c r="G706" s="89"/>
      <c r="H706" s="89"/>
      <c r="I706" s="89"/>
      <c r="J706" s="89"/>
      <c r="K706" s="88"/>
      <c r="L706" s="88"/>
      <c r="M706" s="88"/>
      <c r="N706" s="88"/>
      <c r="O706" s="90"/>
      <c r="P706" s="88"/>
      <c r="Q706" s="88"/>
      <c r="R706" s="92"/>
      <c r="S706" s="92"/>
      <c r="T706" s="92"/>
      <c r="U706" s="92"/>
      <c r="V706" s="92"/>
      <c r="W706" s="92"/>
      <c r="X706" s="92"/>
      <c r="Y706" s="92"/>
      <c r="Z706" s="92"/>
      <c r="AA706" s="92"/>
      <c r="AB706" s="92"/>
      <c r="AC706" s="92"/>
      <c r="AD706" s="92"/>
      <c r="AE706" s="92"/>
      <c r="AF706" s="92"/>
      <c r="AG706" s="92"/>
      <c r="AH706" s="92"/>
      <c r="AI706" s="92"/>
      <c r="AJ706" s="92"/>
      <c r="AK706" s="88"/>
      <c r="AL706" s="88"/>
      <c r="AM706" s="88"/>
      <c r="AN706" s="88"/>
      <c r="AO706" s="88"/>
      <c r="AP706" s="88"/>
      <c r="AQ706" s="88"/>
      <c r="AR706" s="88"/>
    </row>
    <row r="707" spans="1:44" ht="12.75" customHeight="1">
      <c r="A707" s="87"/>
      <c r="B707" s="87"/>
      <c r="C707" s="88"/>
      <c r="D707" s="88"/>
      <c r="E707" s="88"/>
      <c r="F707" s="89"/>
      <c r="G707" s="89"/>
      <c r="H707" s="89"/>
      <c r="I707" s="89"/>
      <c r="J707" s="89"/>
      <c r="K707" s="88"/>
      <c r="L707" s="88"/>
      <c r="M707" s="88"/>
      <c r="N707" s="88"/>
      <c r="O707" s="90"/>
      <c r="P707" s="88"/>
      <c r="Q707" s="88"/>
      <c r="R707" s="92"/>
      <c r="S707" s="92"/>
      <c r="T707" s="92"/>
      <c r="U707" s="92"/>
      <c r="V707" s="92"/>
      <c r="W707" s="92"/>
      <c r="X707" s="92"/>
      <c r="Y707" s="92"/>
      <c r="Z707" s="92"/>
      <c r="AA707" s="92"/>
      <c r="AB707" s="92"/>
      <c r="AC707" s="92"/>
      <c r="AD707" s="92"/>
      <c r="AE707" s="92"/>
      <c r="AF707" s="92"/>
      <c r="AG707" s="92"/>
      <c r="AH707" s="92"/>
      <c r="AI707" s="92"/>
      <c r="AJ707" s="92"/>
      <c r="AK707" s="88"/>
      <c r="AL707" s="88"/>
      <c r="AM707" s="88"/>
      <c r="AN707" s="88"/>
      <c r="AO707" s="88"/>
      <c r="AP707" s="88"/>
      <c r="AQ707" s="88"/>
      <c r="AR707" s="88"/>
    </row>
    <row r="708" spans="1:44" ht="12.75" customHeight="1">
      <c r="A708" s="87"/>
      <c r="B708" s="87"/>
      <c r="C708" s="88"/>
      <c r="D708" s="88"/>
      <c r="E708" s="88"/>
      <c r="F708" s="89"/>
      <c r="G708" s="89"/>
      <c r="H708" s="89"/>
      <c r="I708" s="89"/>
      <c r="J708" s="89"/>
      <c r="K708" s="88"/>
      <c r="L708" s="88"/>
      <c r="M708" s="88"/>
      <c r="N708" s="88"/>
      <c r="O708" s="90"/>
      <c r="P708" s="88"/>
      <c r="Q708" s="88"/>
      <c r="R708" s="92"/>
      <c r="S708" s="92"/>
      <c r="T708" s="92"/>
      <c r="U708" s="92"/>
      <c r="V708" s="92"/>
      <c r="W708" s="92"/>
      <c r="X708" s="92"/>
      <c r="Y708" s="92"/>
      <c r="Z708" s="92"/>
      <c r="AA708" s="92"/>
      <c r="AB708" s="92"/>
      <c r="AC708" s="92"/>
      <c r="AD708" s="92"/>
      <c r="AE708" s="92"/>
      <c r="AF708" s="92"/>
      <c r="AG708" s="92"/>
      <c r="AH708" s="92"/>
      <c r="AI708" s="92"/>
      <c r="AJ708" s="92"/>
      <c r="AK708" s="88"/>
      <c r="AL708" s="88"/>
      <c r="AM708" s="88"/>
      <c r="AN708" s="88"/>
      <c r="AO708" s="88"/>
      <c r="AP708" s="88"/>
      <c r="AQ708" s="88"/>
      <c r="AR708" s="88"/>
    </row>
    <row r="709" spans="1:44" ht="12.75" customHeight="1">
      <c r="A709" s="87"/>
      <c r="B709" s="87"/>
      <c r="C709" s="88"/>
      <c r="D709" s="88"/>
      <c r="E709" s="88"/>
      <c r="F709" s="89"/>
      <c r="G709" s="89"/>
      <c r="H709" s="89"/>
      <c r="I709" s="89"/>
      <c r="J709" s="89"/>
      <c r="K709" s="88"/>
      <c r="L709" s="88"/>
      <c r="M709" s="88"/>
      <c r="N709" s="88"/>
      <c r="O709" s="90"/>
      <c r="P709" s="88"/>
      <c r="Q709" s="88"/>
      <c r="R709" s="92"/>
      <c r="S709" s="92"/>
      <c r="T709" s="92"/>
      <c r="U709" s="92"/>
      <c r="V709" s="92"/>
      <c r="W709" s="92"/>
      <c r="X709" s="92"/>
      <c r="Y709" s="92"/>
      <c r="Z709" s="92"/>
      <c r="AA709" s="92"/>
      <c r="AB709" s="92"/>
      <c r="AC709" s="92"/>
      <c r="AD709" s="92"/>
      <c r="AE709" s="92"/>
      <c r="AF709" s="92"/>
      <c r="AG709" s="92"/>
      <c r="AH709" s="92"/>
      <c r="AI709" s="92"/>
      <c r="AJ709" s="92"/>
      <c r="AK709" s="88"/>
      <c r="AL709" s="88"/>
      <c r="AM709" s="88"/>
      <c r="AN709" s="88"/>
      <c r="AO709" s="88"/>
      <c r="AP709" s="88"/>
      <c r="AQ709" s="88"/>
      <c r="AR709" s="88"/>
    </row>
    <row r="710" spans="1:44" ht="12.75" customHeight="1">
      <c r="A710" s="87"/>
      <c r="B710" s="87"/>
      <c r="C710" s="88"/>
      <c r="D710" s="88"/>
      <c r="E710" s="88"/>
      <c r="F710" s="89"/>
      <c r="G710" s="89"/>
      <c r="H710" s="89"/>
      <c r="I710" s="89"/>
      <c r="J710" s="89"/>
      <c r="K710" s="88"/>
      <c r="L710" s="88"/>
      <c r="M710" s="88"/>
      <c r="N710" s="88"/>
      <c r="O710" s="90"/>
      <c r="P710" s="88"/>
      <c r="Q710" s="88"/>
      <c r="R710" s="92"/>
      <c r="S710" s="92"/>
      <c r="T710" s="92"/>
      <c r="U710" s="92"/>
      <c r="V710" s="92"/>
      <c r="W710" s="92"/>
      <c r="X710" s="92"/>
      <c r="Y710" s="92"/>
      <c r="Z710" s="92"/>
      <c r="AA710" s="92"/>
      <c r="AB710" s="92"/>
      <c r="AC710" s="92"/>
      <c r="AD710" s="92"/>
      <c r="AE710" s="92"/>
      <c r="AF710" s="92"/>
      <c r="AG710" s="92"/>
      <c r="AH710" s="92"/>
      <c r="AI710" s="92"/>
      <c r="AJ710" s="92"/>
      <c r="AK710" s="88"/>
      <c r="AL710" s="88"/>
      <c r="AM710" s="88"/>
      <c r="AN710" s="88"/>
      <c r="AO710" s="88"/>
      <c r="AP710" s="88"/>
      <c r="AQ710" s="88"/>
      <c r="AR710" s="88"/>
    </row>
    <row r="711" spans="1:44" ht="12.75" customHeight="1">
      <c r="A711" s="87"/>
      <c r="B711" s="87"/>
      <c r="C711" s="88"/>
      <c r="D711" s="88"/>
      <c r="E711" s="88"/>
      <c r="F711" s="89"/>
      <c r="G711" s="89"/>
      <c r="H711" s="89"/>
      <c r="I711" s="89"/>
      <c r="J711" s="89"/>
      <c r="K711" s="88"/>
      <c r="L711" s="88"/>
      <c r="M711" s="88"/>
      <c r="N711" s="88"/>
      <c r="O711" s="90"/>
      <c r="P711" s="88"/>
      <c r="Q711" s="88"/>
      <c r="R711" s="92"/>
      <c r="S711" s="92"/>
      <c r="T711" s="92"/>
      <c r="U711" s="92"/>
      <c r="V711" s="92"/>
      <c r="W711" s="92"/>
      <c r="X711" s="92"/>
      <c r="Y711" s="92"/>
      <c r="Z711" s="92"/>
      <c r="AA711" s="92"/>
      <c r="AB711" s="92"/>
      <c r="AC711" s="92"/>
      <c r="AD711" s="92"/>
      <c r="AE711" s="92"/>
      <c r="AF711" s="92"/>
      <c r="AG711" s="92"/>
      <c r="AH711" s="92"/>
      <c r="AI711" s="92"/>
      <c r="AJ711" s="92"/>
      <c r="AK711" s="88"/>
      <c r="AL711" s="88"/>
      <c r="AM711" s="88"/>
      <c r="AN711" s="88"/>
      <c r="AO711" s="88"/>
      <c r="AP711" s="88"/>
      <c r="AQ711" s="88"/>
      <c r="AR711" s="88"/>
    </row>
    <row r="712" spans="1:44" ht="12.75" customHeight="1">
      <c r="A712" s="87"/>
      <c r="B712" s="87"/>
      <c r="C712" s="88"/>
      <c r="D712" s="88"/>
      <c r="E712" s="88"/>
      <c r="F712" s="89"/>
      <c r="G712" s="89"/>
      <c r="H712" s="89"/>
      <c r="I712" s="89"/>
      <c r="J712" s="89"/>
      <c r="K712" s="88"/>
      <c r="L712" s="88"/>
      <c r="M712" s="88"/>
      <c r="N712" s="88"/>
      <c r="O712" s="90"/>
      <c r="P712" s="88"/>
      <c r="Q712" s="88"/>
      <c r="R712" s="92"/>
      <c r="S712" s="92"/>
      <c r="T712" s="92"/>
      <c r="U712" s="92"/>
      <c r="V712" s="92"/>
      <c r="W712" s="92"/>
      <c r="X712" s="92"/>
      <c r="Y712" s="92"/>
      <c r="Z712" s="92"/>
      <c r="AA712" s="92"/>
      <c r="AB712" s="92"/>
      <c r="AC712" s="92"/>
      <c r="AD712" s="92"/>
      <c r="AE712" s="92"/>
      <c r="AF712" s="92"/>
      <c r="AG712" s="92"/>
      <c r="AH712" s="92"/>
      <c r="AI712" s="92"/>
      <c r="AJ712" s="92"/>
      <c r="AK712" s="88"/>
      <c r="AL712" s="88"/>
      <c r="AM712" s="88"/>
      <c r="AN712" s="88"/>
      <c r="AO712" s="88"/>
      <c r="AP712" s="88"/>
      <c r="AQ712" s="88"/>
      <c r="AR712" s="88"/>
    </row>
    <row r="713" spans="1:44" ht="12.75" customHeight="1">
      <c r="A713" s="87"/>
      <c r="B713" s="87"/>
      <c r="C713" s="88"/>
      <c r="D713" s="88"/>
      <c r="E713" s="88"/>
      <c r="F713" s="89"/>
      <c r="G713" s="89"/>
      <c r="H713" s="89"/>
      <c r="I713" s="89"/>
      <c r="J713" s="89"/>
      <c r="K713" s="88"/>
      <c r="L713" s="88"/>
      <c r="M713" s="88"/>
      <c r="N713" s="88"/>
      <c r="O713" s="90"/>
      <c r="P713" s="88"/>
      <c r="Q713" s="88"/>
      <c r="R713" s="92"/>
      <c r="S713" s="92"/>
      <c r="T713" s="92"/>
      <c r="U713" s="92"/>
      <c r="V713" s="92"/>
      <c r="W713" s="92"/>
      <c r="X713" s="92"/>
      <c r="Y713" s="92"/>
      <c r="Z713" s="92"/>
      <c r="AA713" s="92"/>
      <c r="AB713" s="92"/>
      <c r="AC713" s="92"/>
      <c r="AD713" s="92"/>
      <c r="AE713" s="92"/>
      <c r="AF713" s="92"/>
      <c r="AG713" s="92"/>
      <c r="AH713" s="92"/>
      <c r="AI713" s="92"/>
      <c r="AJ713" s="92"/>
      <c r="AK713" s="88"/>
      <c r="AL713" s="88"/>
      <c r="AM713" s="88"/>
      <c r="AN713" s="88"/>
      <c r="AO713" s="88"/>
      <c r="AP713" s="88"/>
      <c r="AQ713" s="88"/>
      <c r="AR713" s="88"/>
    </row>
    <row r="714" spans="1:44" ht="12.75" customHeight="1">
      <c r="A714" s="87"/>
      <c r="B714" s="87"/>
      <c r="C714" s="88"/>
      <c r="D714" s="88"/>
      <c r="E714" s="88"/>
      <c r="F714" s="89"/>
      <c r="G714" s="89"/>
      <c r="H714" s="89"/>
      <c r="I714" s="89"/>
      <c r="J714" s="89"/>
      <c r="K714" s="88"/>
      <c r="L714" s="88"/>
      <c r="M714" s="88"/>
      <c r="N714" s="88"/>
      <c r="O714" s="90"/>
      <c r="P714" s="88"/>
      <c r="Q714" s="88"/>
      <c r="R714" s="92"/>
      <c r="S714" s="92"/>
      <c r="T714" s="92"/>
      <c r="U714" s="92"/>
      <c r="V714" s="92"/>
      <c r="W714" s="92"/>
      <c r="X714" s="92"/>
      <c r="Y714" s="92"/>
      <c r="Z714" s="92"/>
      <c r="AA714" s="92"/>
      <c r="AB714" s="92"/>
      <c r="AC714" s="92"/>
      <c r="AD714" s="92"/>
      <c r="AE714" s="92"/>
      <c r="AF714" s="92"/>
      <c r="AG714" s="92"/>
      <c r="AH714" s="92"/>
      <c r="AI714" s="92"/>
      <c r="AJ714" s="92"/>
      <c r="AK714" s="88"/>
      <c r="AL714" s="88"/>
      <c r="AM714" s="88"/>
      <c r="AN714" s="88"/>
      <c r="AO714" s="88"/>
      <c r="AP714" s="88"/>
      <c r="AQ714" s="88"/>
      <c r="AR714" s="88"/>
    </row>
    <row r="715" spans="1:44" ht="12.75" customHeight="1">
      <c r="A715" s="87"/>
      <c r="B715" s="87"/>
      <c r="C715" s="88"/>
      <c r="D715" s="88"/>
      <c r="E715" s="88"/>
      <c r="F715" s="89"/>
      <c r="G715" s="89"/>
      <c r="H715" s="89"/>
      <c r="I715" s="89"/>
      <c r="J715" s="89"/>
      <c r="K715" s="88"/>
      <c r="L715" s="88"/>
      <c r="M715" s="88"/>
      <c r="N715" s="88"/>
      <c r="O715" s="90"/>
      <c r="P715" s="88"/>
      <c r="Q715" s="88"/>
      <c r="R715" s="92"/>
      <c r="S715" s="92"/>
      <c r="T715" s="92"/>
      <c r="U715" s="92"/>
      <c r="V715" s="92"/>
      <c r="W715" s="92"/>
      <c r="X715" s="92"/>
      <c r="Y715" s="92"/>
      <c r="Z715" s="92"/>
      <c r="AA715" s="92"/>
      <c r="AB715" s="92"/>
      <c r="AC715" s="92"/>
      <c r="AD715" s="92"/>
      <c r="AE715" s="92"/>
      <c r="AF715" s="92"/>
      <c r="AG715" s="92"/>
      <c r="AH715" s="92"/>
      <c r="AI715" s="92"/>
      <c r="AJ715" s="92"/>
      <c r="AK715" s="88"/>
      <c r="AL715" s="88"/>
      <c r="AM715" s="88"/>
      <c r="AN715" s="88"/>
      <c r="AO715" s="88"/>
      <c r="AP715" s="88"/>
      <c r="AQ715" s="88"/>
      <c r="AR715" s="88"/>
    </row>
    <row r="716" spans="1:44" ht="12.75" customHeight="1">
      <c r="A716" s="87"/>
      <c r="B716" s="87"/>
      <c r="C716" s="88"/>
      <c r="D716" s="88"/>
      <c r="E716" s="88"/>
      <c r="F716" s="89"/>
      <c r="G716" s="89"/>
      <c r="H716" s="89"/>
      <c r="I716" s="89"/>
      <c r="J716" s="89"/>
      <c r="K716" s="88"/>
      <c r="L716" s="88"/>
      <c r="M716" s="88"/>
      <c r="N716" s="88"/>
      <c r="O716" s="90"/>
      <c r="P716" s="88"/>
      <c r="Q716" s="88"/>
      <c r="R716" s="92"/>
      <c r="S716" s="92"/>
      <c r="T716" s="92"/>
      <c r="U716" s="92"/>
      <c r="V716" s="92"/>
      <c r="W716" s="92"/>
      <c r="X716" s="92"/>
      <c r="Y716" s="92"/>
      <c r="Z716" s="92"/>
      <c r="AA716" s="92"/>
      <c r="AB716" s="92"/>
      <c r="AC716" s="92"/>
      <c r="AD716" s="92"/>
      <c r="AE716" s="92"/>
      <c r="AF716" s="92"/>
      <c r="AG716" s="92"/>
      <c r="AH716" s="92"/>
      <c r="AI716" s="92"/>
      <c r="AJ716" s="92"/>
      <c r="AK716" s="88"/>
      <c r="AL716" s="88"/>
      <c r="AM716" s="88"/>
      <c r="AN716" s="88"/>
      <c r="AO716" s="88"/>
      <c r="AP716" s="88"/>
      <c r="AQ716" s="88"/>
      <c r="AR716" s="88"/>
    </row>
    <row r="717" spans="1:44" ht="12.75" customHeight="1">
      <c r="A717" s="87"/>
      <c r="B717" s="87"/>
      <c r="C717" s="88"/>
      <c r="D717" s="88"/>
      <c r="E717" s="88"/>
      <c r="F717" s="89"/>
      <c r="G717" s="89"/>
      <c r="H717" s="89"/>
      <c r="I717" s="89"/>
      <c r="J717" s="89"/>
      <c r="K717" s="88"/>
      <c r="L717" s="88"/>
      <c r="M717" s="88"/>
      <c r="N717" s="88"/>
      <c r="O717" s="90"/>
      <c r="P717" s="88"/>
      <c r="Q717" s="88"/>
      <c r="R717" s="92"/>
      <c r="S717" s="92"/>
      <c r="T717" s="92"/>
      <c r="U717" s="92"/>
      <c r="V717" s="92"/>
      <c r="W717" s="92"/>
      <c r="X717" s="92"/>
      <c r="Y717" s="92"/>
      <c r="Z717" s="92"/>
      <c r="AA717" s="92"/>
      <c r="AB717" s="92"/>
      <c r="AC717" s="92"/>
      <c r="AD717" s="92"/>
      <c r="AE717" s="92"/>
      <c r="AF717" s="92"/>
      <c r="AG717" s="92"/>
      <c r="AH717" s="92"/>
      <c r="AI717" s="92"/>
      <c r="AJ717" s="92"/>
      <c r="AK717" s="88"/>
      <c r="AL717" s="88"/>
      <c r="AM717" s="88"/>
      <c r="AN717" s="88"/>
      <c r="AO717" s="88"/>
      <c r="AP717" s="88"/>
      <c r="AQ717" s="88"/>
      <c r="AR717" s="88"/>
    </row>
    <row r="718" spans="1:44" ht="12.75" customHeight="1">
      <c r="A718" s="87"/>
      <c r="B718" s="87"/>
      <c r="C718" s="88"/>
      <c r="D718" s="88"/>
      <c r="E718" s="88"/>
      <c r="F718" s="89"/>
      <c r="G718" s="89"/>
      <c r="H718" s="89"/>
      <c r="I718" s="89"/>
      <c r="J718" s="89"/>
      <c r="K718" s="88"/>
      <c r="L718" s="88"/>
      <c r="M718" s="88"/>
      <c r="N718" s="88"/>
      <c r="O718" s="90"/>
      <c r="P718" s="88"/>
      <c r="Q718" s="88"/>
      <c r="R718" s="92"/>
      <c r="S718" s="92"/>
      <c r="T718" s="92"/>
      <c r="U718" s="92"/>
      <c r="V718" s="92"/>
      <c r="W718" s="92"/>
      <c r="X718" s="92"/>
      <c r="Y718" s="92"/>
      <c r="Z718" s="92"/>
      <c r="AA718" s="92"/>
      <c r="AB718" s="92"/>
      <c r="AC718" s="92"/>
      <c r="AD718" s="92"/>
      <c r="AE718" s="92"/>
      <c r="AF718" s="92"/>
      <c r="AG718" s="92"/>
      <c r="AH718" s="92"/>
      <c r="AI718" s="92"/>
      <c r="AJ718" s="92"/>
      <c r="AK718" s="88"/>
      <c r="AL718" s="88"/>
      <c r="AM718" s="88"/>
      <c r="AN718" s="88"/>
      <c r="AO718" s="88"/>
      <c r="AP718" s="88"/>
      <c r="AQ718" s="88"/>
      <c r="AR718" s="88"/>
    </row>
    <row r="719" spans="1:44" ht="12.75" customHeight="1">
      <c r="A719" s="87"/>
      <c r="B719" s="87"/>
      <c r="C719" s="88"/>
      <c r="D719" s="88"/>
      <c r="E719" s="88"/>
      <c r="F719" s="89"/>
      <c r="G719" s="89"/>
      <c r="H719" s="89"/>
      <c r="I719" s="89"/>
      <c r="J719" s="89"/>
      <c r="K719" s="88"/>
      <c r="L719" s="88"/>
      <c r="M719" s="88"/>
      <c r="N719" s="88"/>
      <c r="O719" s="90"/>
      <c r="P719" s="88"/>
      <c r="Q719" s="88"/>
      <c r="R719" s="92"/>
      <c r="S719" s="92"/>
      <c r="T719" s="92"/>
      <c r="U719" s="92"/>
      <c r="V719" s="92"/>
      <c r="W719" s="92"/>
      <c r="X719" s="92"/>
      <c r="Y719" s="92"/>
      <c r="Z719" s="92"/>
      <c r="AA719" s="92"/>
      <c r="AB719" s="92"/>
      <c r="AC719" s="92"/>
      <c r="AD719" s="92"/>
      <c r="AE719" s="92"/>
      <c r="AF719" s="92"/>
      <c r="AG719" s="92"/>
      <c r="AH719" s="92"/>
      <c r="AI719" s="92"/>
      <c r="AJ719" s="92"/>
      <c r="AK719" s="88"/>
      <c r="AL719" s="88"/>
      <c r="AM719" s="88"/>
      <c r="AN719" s="88"/>
      <c r="AO719" s="88"/>
      <c r="AP719" s="88"/>
      <c r="AQ719" s="88"/>
      <c r="AR719" s="88"/>
    </row>
    <row r="720" spans="1:44" ht="12.75" customHeight="1">
      <c r="A720" s="87"/>
      <c r="B720" s="87"/>
      <c r="C720" s="88"/>
      <c r="D720" s="88"/>
      <c r="E720" s="88"/>
      <c r="F720" s="89"/>
      <c r="G720" s="89"/>
      <c r="H720" s="89"/>
      <c r="I720" s="89"/>
      <c r="J720" s="89"/>
      <c r="K720" s="88"/>
      <c r="L720" s="88"/>
      <c r="M720" s="88"/>
      <c r="N720" s="88"/>
      <c r="O720" s="90"/>
      <c r="P720" s="88"/>
      <c r="Q720" s="88"/>
      <c r="R720" s="92"/>
      <c r="S720" s="92"/>
      <c r="T720" s="92"/>
      <c r="U720" s="92"/>
      <c r="V720" s="92"/>
      <c r="W720" s="92"/>
      <c r="X720" s="92"/>
      <c r="Y720" s="92"/>
      <c r="Z720" s="92"/>
      <c r="AA720" s="92"/>
      <c r="AB720" s="92"/>
      <c r="AC720" s="92"/>
      <c r="AD720" s="92"/>
      <c r="AE720" s="92"/>
      <c r="AF720" s="92"/>
      <c r="AG720" s="92"/>
      <c r="AH720" s="92"/>
      <c r="AI720" s="92"/>
      <c r="AJ720" s="92"/>
      <c r="AK720" s="88"/>
      <c r="AL720" s="88"/>
      <c r="AM720" s="88"/>
      <c r="AN720" s="88"/>
      <c r="AO720" s="88"/>
      <c r="AP720" s="88"/>
      <c r="AQ720" s="88"/>
      <c r="AR720" s="88"/>
    </row>
    <row r="721" spans="1:44" ht="12.75" customHeight="1">
      <c r="A721" s="87"/>
      <c r="B721" s="87"/>
      <c r="C721" s="88"/>
      <c r="D721" s="88"/>
      <c r="E721" s="88"/>
      <c r="F721" s="89"/>
      <c r="G721" s="89"/>
      <c r="H721" s="89"/>
      <c r="I721" s="89"/>
      <c r="J721" s="89"/>
      <c r="K721" s="88"/>
      <c r="L721" s="88"/>
      <c r="M721" s="88"/>
      <c r="N721" s="88"/>
      <c r="O721" s="90"/>
      <c r="P721" s="88"/>
      <c r="Q721" s="88"/>
      <c r="R721" s="92"/>
      <c r="S721" s="92"/>
      <c r="T721" s="92"/>
      <c r="U721" s="92"/>
      <c r="V721" s="92"/>
      <c r="W721" s="92"/>
      <c r="X721" s="92"/>
      <c r="Y721" s="92"/>
      <c r="Z721" s="92"/>
      <c r="AA721" s="92"/>
      <c r="AB721" s="92"/>
      <c r="AC721" s="92"/>
      <c r="AD721" s="92"/>
      <c r="AE721" s="92"/>
      <c r="AF721" s="92"/>
      <c r="AG721" s="92"/>
      <c r="AH721" s="92"/>
      <c r="AI721" s="92"/>
      <c r="AJ721" s="92"/>
      <c r="AK721" s="88"/>
      <c r="AL721" s="88"/>
      <c r="AM721" s="88"/>
      <c r="AN721" s="88"/>
      <c r="AO721" s="88"/>
      <c r="AP721" s="88"/>
      <c r="AQ721" s="88"/>
      <c r="AR721" s="88"/>
    </row>
    <row r="722" spans="1:44" ht="12.75" customHeight="1">
      <c r="A722" s="87"/>
      <c r="B722" s="87"/>
      <c r="C722" s="88"/>
      <c r="D722" s="88"/>
      <c r="E722" s="88"/>
      <c r="F722" s="89"/>
      <c r="G722" s="89"/>
      <c r="H722" s="89"/>
      <c r="I722" s="89"/>
      <c r="J722" s="89"/>
      <c r="K722" s="88"/>
      <c r="L722" s="88"/>
      <c r="M722" s="88"/>
      <c r="N722" s="88"/>
      <c r="O722" s="90"/>
      <c r="P722" s="88"/>
      <c r="Q722" s="88"/>
      <c r="R722" s="92"/>
      <c r="S722" s="92"/>
      <c r="T722" s="92"/>
      <c r="U722" s="92"/>
      <c r="V722" s="92"/>
      <c r="W722" s="92"/>
      <c r="X722" s="92"/>
      <c r="Y722" s="92"/>
      <c r="Z722" s="92"/>
      <c r="AA722" s="92"/>
      <c r="AB722" s="92"/>
      <c r="AC722" s="92"/>
      <c r="AD722" s="92"/>
      <c r="AE722" s="92"/>
      <c r="AF722" s="92"/>
      <c r="AG722" s="92"/>
      <c r="AH722" s="92"/>
      <c r="AI722" s="92"/>
      <c r="AJ722" s="92"/>
      <c r="AK722" s="88"/>
      <c r="AL722" s="88"/>
      <c r="AM722" s="88"/>
      <c r="AN722" s="88"/>
      <c r="AO722" s="88"/>
      <c r="AP722" s="88"/>
      <c r="AQ722" s="88"/>
      <c r="AR722" s="88"/>
    </row>
    <row r="723" spans="1:44" ht="12.75" customHeight="1">
      <c r="A723" s="87"/>
      <c r="B723" s="87"/>
      <c r="C723" s="88"/>
      <c r="D723" s="88"/>
      <c r="E723" s="88"/>
      <c r="F723" s="89"/>
      <c r="G723" s="89"/>
      <c r="H723" s="89"/>
      <c r="I723" s="89"/>
      <c r="J723" s="89"/>
      <c r="K723" s="88"/>
      <c r="L723" s="88"/>
      <c r="M723" s="88"/>
      <c r="N723" s="88"/>
      <c r="O723" s="90"/>
      <c r="P723" s="88"/>
      <c r="Q723" s="88"/>
      <c r="R723" s="92"/>
      <c r="S723" s="92"/>
      <c r="T723" s="92"/>
      <c r="U723" s="92"/>
      <c r="V723" s="92"/>
      <c r="W723" s="92"/>
      <c r="X723" s="92"/>
      <c r="Y723" s="92"/>
      <c r="Z723" s="92"/>
      <c r="AA723" s="92"/>
      <c r="AB723" s="92"/>
      <c r="AC723" s="92"/>
      <c r="AD723" s="92"/>
      <c r="AE723" s="92"/>
      <c r="AF723" s="92"/>
      <c r="AG723" s="92"/>
      <c r="AH723" s="92"/>
      <c r="AI723" s="92"/>
      <c r="AJ723" s="92"/>
      <c r="AK723" s="88"/>
      <c r="AL723" s="88"/>
      <c r="AM723" s="88"/>
      <c r="AN723" s="88"/>
      <c r="AO723" s="88"/>
      <c r="AP723" s="88"/>
      <c r="AQ723" s="88"/>
      <c r="AR723" s="88"/>
    </row>
    <row r="724" spans="1:44" ht="12.75" customHeight="1">
      <c r="A724" s="87"/>
      <c r="B724" s="87"/>
      <c r="C724" s="88"/>
      <c r="D724" s="88"/>
      <c r="E724" s="88"/>
      <c r="F724" s="89"/>
      <c r="G724" s="89"/>
      <c r="H724" s="89"/>
      <c r="I724" s="89"/>
      <c r="J724" s="89"/>
      <c r="K724" s="88"/>
      <c r="L724" s="88"/>
      <c r="M724" s="88"/>
      <c r="N724" s="88"/>
      <c r="O724" s="90"/>
      <c r="P724" s="88"/>
      <c r="Q724" s="88"/>
      <c r="R724" s="92"/>
      <c r="S724" s="92"/>
      <c r="T724" s="92"/>
      <c r="U724" s="92"/>
      <c r="V724" s="92"/>
      <c r="W724" s="92"/>
      <c r="X724" s="92"/>
      <c r="Y724" s="92"/>
      <c r="Z724" s="92"/>
      <c r="AA724" s="92"/>
      <c r="AB724" s="92"/>
      <c r="AC724" s="92"/>
      <c r="AD724" s="92"/>
      <c r="AE724" s="92"/>
      <c r="AF724" s="92"/>
      <c r="AG724" s="92"/>
      <c r="AH724" s="92"/>
      <c r="AI724" s="92"/>
      <c r="AJ724" s="92"/>
      <c r="AK724" s="88"/>
      <c r="AL724" s="88"/>
      <c r="AM724" s="88"/>
      <c r="AN724" s="88"/>
      <c r="AO724" s="88"/>
      <c r="AP724" s="88"/>
      <c r="AQ724" s="88"/>
      <c r="AR724" s="88"/>
    </row>
    <row r="725" spans="1:44" ht="12.75" customHeight="1">
      <c r="A725" s="87"/>
      <c r="B725" s="87"/>
      <c r="C725" s="88"/>
      <c r="D725" s="88"/>
      <c r="E725" s="88"/>
      <c r="F725" s="89"/>
      <c r="G725" s="89"/>
      <c r="H725" s="89"/>
      <c r="I725" s="89"/>
      <c r="J725" s="89"/>
      <c r="K725" s="88"/>
      <c r="L725" s="88"/>
      <c r="M725" s="88"/>
      <c r="N725" s="88"/>
      <c r="O725" s="90"/>
      <c r="P725" s="88"/>
      <c r="Q725" s="88"/>
      <c r="R725" s="92"/>
      <c r="S725" s="92"/>
      <c r="T725" s="92"/>
      <c r="U725" s="92"/>
      <c r="V725" s="92"/>
      <c r="W725" s="92"/>
      <c r="X725" s="92"/>
      <c r="Y725" s="92"/>
      <c r="Z725" s="92"/>
      <c r="AA725" s="92"/>
      <c r="AB725" s="92"/>
      <c r="AC725" s="92"/>
      <c r="AD725" s="92"/>
      <c r="AE725" s="92"/>
      <c r="AF725" s="92"/>
      <c r="AG725" s="92"/>
      <c r="AH725" s="92"/>
      <c r="AI725" s="92"/>
      <c r="AJ725" s="92"/>
      <c r="AK725" s="88"/>
      <c r="AL725" s="88"/>
      <c r="AM725" s="88"/>
      <c r="AN725" s="88"/>
      <c r="AO725" s="88"/>
      <c r="AP725" s="88"/>
      <c r="AQ725" s="88"/>
      <c r="AR725" s="88"/>
    </row>
    <row r="726" spans="1:44" ht="12.75" customHeight="1">
      <c r="A726" s="87"/>
      <c r="B726" s="87"/>
      <c r="C726" s="88"/>
      <c r="D726" s="88"/>
      <c r="E726" s="88"/>
      <c r="F726" s="89"/>
      <c r="G726" s="89"/>
      <c r="H726" s="89"/>
      <c r="I726" s="89"/>
      <c r="J726" s="89"/>
      <c r="K726" s="88"/>
      <c r="L726" s="88"/>
      <c r="M726" s="88"/>
      <c r="N726" s="88"/>
      <c r="O726" s="90"/>
      <c r="P726" s="88"/>
      <c r="Q726" s="88"/>
      <c r="R726" s="92"/>
      <c r="S726" s="92"/>
      <c r="T726" s="92"/>
      <c r="U726" s="92"/>
      <c r="V726" s="92"/>
      <c r="W726" s="92"/>
      <c r="X726" s="92"/>
      <c r="Y726" s="92"/>
      <c r="Z726" s="92"/>
      <c r="AA726" s="92"/>
      <c r="AB726" s="92"/>
      <c r="AC726" s="92"/>
      <c r="AD726" s="92"/>
      <c r="AE726" s="92"/>
      <c r="AF726" s="92"/>
      <c r="AG726" s="92"/>
      <c r="AH726" s="92"/>
      <c r="AI726" s="92"/>
      <c r="AJ726" s="92"/>
      <c r="AK726" s="88"/>
      <c r="AL726" s="88"/>
      <c r="AM726" s="88"/>
      <c r="AN726" s="88"/>
      <c r="AO726" s="88"/>
      <c r="AP726" s="88"/>
      <c r="AQ726" s="88"/>
      <c r="AR726" s="88"/>
    </row>
    <row r="727" spans="1:44" ht="12.75" customHeight="1">
      <c r="A727" s="87"/>
      <c r="B727" s="87"/>
      <c r="C727" s="88"/>
      <c r="D727" s="88"/>
      <c r="E727" s="88"/>
      <c r="F727" s="89"/>
      <c r="G727" s="89"/>
      <c r="H727" s="89"/>
      <c r="I727" s="89"/>
      <c r="J727" s="89"/>
      <c r="K727" s="88"/>
      <c r="L727" s="88"/>
      <c r="M727" s="88"/>
      <c r="N727" s="88"/>
      <c r="O727" s="90"/>
      <c r="P727" s="88"/>
      <c r="Q727" s="88"/>
      <c r="R727" s="92"/>
      <c r="S727" s="92"/>
      <c r="T727" s="92"/>
      <c r="U727" s="92"/>
      <c r="V727" s="92"/>
      <c r="W727" s="92"/>
      <c r="X727" s="92"/>
      <c r="Y727" s="92"/>
      <c r="Z727" s="92"/>
      <c r="AA727" s="92"/>
      <c r="AB727" s="92"/>
      <c r="AC727" s="92"/>
      <c r="AD727" s="92"/>
      <c r="AE727" s="92"/>
      <c r="AF727" s="92"/>
      <c r="AG727" s="92"/>
      <c r="AH727" s="92"/>
      <c r="AI727" s="92"/>
      <c r="AJ727" s="92"/>
      <c r="AK727" s="88"/>
      <c r="AL727" s="88"/>
      <c r="AM727" s="88"/>
      <c r="AN727" s="88"/>
      <c r="AO727" s="88"/>
      <c r="AP727" s="88"/>
      <c r="AQ727" s="88"/>
      <c r="AR727" s="88"/>
    </row>
    <row r="728" spans="1:44" ht="12.75" customHeight="1">
      <c r="A728" s="87"/>
      <c r="B728" s="87"/>
      <c r="C728" s="88"/>
      <c r="D728" s="88"/>
      <c r="E728" s="88"/>
      <c r="F728" s="89"/>
      <c r="G728" s="89"/>
      <c r="H728" s="89"/>
      <c r="I728" s="89"/>
      <c r="J728" s="89"/>
      <c r="K728" s="88"/>
      <c r="L728" s="88"/>
      <c r="M728" s="88"/>
      <c r="N728" s="88"/>
      <c r="O728" s="90"/>
      <c r="P728" s="88"/>
      <c r="Q728" s="88"/>
      <c r="R728" s="92"/>
      <c r="S728" s="92"/>
      <c r="T728" s="92"/>
      <c r="U728" s="92"/>
      <c r="V728" s="92"/>
      <c r="W728" s="92"/>
      <c r="X728" s="92"/>
      <c r="Y728" s="92"/>
      <c r="Z728" s="92"/>
      <c r="AA728" s="92"/>
      <c r="AB728" s="92"/>
      <c r="AC728" s="92"/>
      <c r="AD728" s="92"/>
      <c r="AE728" s="92"/>
      <c r="AF728" s="92"/>
      <c r="AG728" s="92"/>
      <c r="AH728" s="92"/>
      <c r="AI728" s="92"/>
      <c r="AJ728" s="92"/>
      <c r="AK728" s="88"/>
      <c r="AL728" s="88"/>
      <c r="AM728" s="88"/>
      <c r="AN728" s="88"/>
      <c r="AO728" s="88"/>
      <c r="AP728" s="88"/>
      <c r="AQ728" s="88"/>
      <c r="AR728" s="88"/>
    </row>
    <row r="729" spans="1:44" ht="12.75" customHeight="1">
      <c r="A729" s="87"/>
      <c r="B729" s="87"/>
      <c r="C729" s="88"/>
      <c r="D729" s="88"/>
      <c r="E729" s="88"/>
      <c r="F729" s="89"/>
      <c r="G729" s="89"/>
      <c r="H729" s="89"/>
      <c r="I729" s="89"/>
      <c r="J729" s="89"/>
      <c r="K729" s="88"/>
      <c r="L729" s="88"/>
      <c r="M729" s="88"/>
      <c r="N729" s="88"/>
      <c r="O729" s="90"/>
      <c r="P729" s="88"/>
      <c r="Q729" s="88"/>
      <c r="R729" s="92"/>
      <c r="S729" s="92"/>
      <c r="T729" s="92"/>
      <c r="U729" s="92"/>
      <c r="V729" s="92"/>
      <c r="W729" s="92"/>
      <c r="X729" s="92"/>
      <c r="Y729" s="92"/>
      <c r="Z729" s="92"/>
      <c r="AA729" s="92"/>
      <c r="AB729" s="92"/>
      <c r="AC729" s="92"/>
      <c r="AD729" s="92"/>
      <c r="AE729" s="92"/>
      <c r="AF729" s="92"/>
      <c r="AG729" s="92"/>
      <c r="AH729" s="92"/>
      <c r="AI729" s="92"/>
      <c r="AJ729" s="92"/>
      <c r="AK729" s="88"/>
      <c r="AL729" s="88"/>
      <c r="AM729" s="88"/>
      <c r="AN729" s="88"/>
      <c r="AO729" s="88"/>
      <c r="AP729" s="88"/>
      <c r="AQ729" s="88"/>
      <c r="AR729" s="88"/>
    </row>
    <row r="730" spans="1:44" ht="12.75" customHeight="1">
      <c r="A730" s="87"/>
      <c r="B730" s="87"/>
      <c r="C730" s="88"/>
      <c r="D730" s="88"/>
      <c r="E730" s="88"/>
      <c r="F730" s="89"/>
      <c r="G730" s="89"/>
      <c r="H730" s="89"/>
      <c r="I730" s="89"/>
      <c r="J730" s="89"/>
      <c r="K730" s="88"/>
      <c r="L730" s="88"/>
      <c r="M730" s="88"/>
      <c r="N730" s="88"/>
      <c r="O730" s="90"/>
      <c r="P730" s="88"/>
      <c r="Q730" s="88"/>
      <c r="R730" s="92"/>
      <c r="S730" s="92"/>
      <c r="T730" s="92"/>
      <c r="U730" s="92"/>
      <c r="V730" s="92"/>
      <c r="W730" s="92"/>
      <c r="X730" s="92"/>
      <c r="Y730" s="92"/>
      <c r="Z730" s="92"/>
      <c r="AA730" s="92"/>
      <c r="AB730" s="92"/>
      <c r="AC730" s="92"/>
      <c r="AD730" s="92"/>
      <c r="AE730" s="92"/>
      <c r="AF730" s="92"/>
      <c r="AG730" s="92"/>
      <c r="AH730" s="92"/>
      <c r="AI730" s="92"/>
      <c r="AJ730" s="92"/>
      <c r="AK730" s="88"/>
      <c r="AL730" s="88"/>
      <c r="AM730" s="88"/>
      <c r="AN730" s="88"/>
      <c r="AO730" s="88"/>
      <c r="AP730" s="88"/>
      <c r="AQ730" s="88"/>
      <c r="AR730" s="88"/>
    </row>
    <row r="731" spans="1:44" ht="12.75" customHeight="1">
      <c r="A731" s="87"/>
      <c r="B731" s="87"/>
      <c r="C731" s="88"/>
      <c r="D731" s="88"/>
      <c r="E731" s="88"/>
      <c r="F731" s="89"/>
      <c r="G731" s="89"/>
      <c r="H731" s="89"/>
      <c r="I731" s="89"/>
      <c r="J731" s="89"/>
      <c r="K731" s="88"/>
      <c r="L731" s="88"/>
      <c r="M731" s="88"/>
      <c r="N731" s="88"/>
      <c r="O731" s="90"/>
      <c r="P731" s="88"/>
      <c r="Q731" s="88"/>
      <c r="R731" s="92"/>
      <c r="S731" s="92"/>
      <c r="T731" s="92"/>
      <c r="U731" s="92"/>
      <c r="V731" s="92"/>
      <c r="W731" s="92"/>
      <c r="X731" s="92"/>
      <c r="Y731" s="92"/>
      <c r="Z731" s="92"/>
      <c r="AA731" s="92"/>
      <c r="AB731" s="92"/>
      <c r="AC731" s="92"/>
      <c r="AD731" s="92"/>
      <c r="AE731" s="92"/>
      <c r="AF731" s="92"/>
      <c r="AG731" s="92"/>
      <c r="AH731" s="92"/>
      <c r="AI731" s="92"/>
      <c r="AJ731" s="92"/>
      <c r="AK731" s="88"/>
      <c r="AL731" s="88"/>
      <c r="AM731" s="88"/>
      <c r="AN731" s="88"/>
      <c r="AO731" s="88"/>
      <c r="AP731" s="88"/>
      <c r="AQ731" s="88"/>
      <c r="AR731" s="88"/>
    </row>
    <row r="732" spans="1:44" ht="12.75" customHeight="1">
      <c r="A732" s="87"/>
      <c r="B732" s="87"/>
      <c r="C732" s="88"/>
      <c r="D732" s="88"/>
      <c r="E732" s="88"/>
      <c r="F732" s="89"/>
      <c r="G732" s="89"/>
      <c r="H732" s="89"/>
      <c r="I732" s="89"/>
      <c r="J732" s="89"/>
      <c r="K732" s="88"/>
      <c r="L732" s="88"/>
      <c r="M732" s="88"/>
      <c r="N732" s="88"/>
      <c r="O732" s="90"/>
      <c r="P732" s="88"/>
      <c r="Q732" s="88"/>
      <c r="R732" s="92"/>
      <c r="S732" s="92"/>
      <c r="T732" s="92"/>
      <c r="U732" s="92"/>
      <c r="V732" s="92"/>
      <c r="W732" s="92"/>
      <c r="X732" s="92"/>
      <c r="Y732" s="92"/>
      <c r="Z732" s="92"/>
      <c r="AA732" s="92"/>
      <c r="AB732" s="92"/>
      <c r="AC732" s="92"/>
      <c r="AD732" s="92"/>
      <c r="AE732" s="92"/>
      <c r="AF732" s="92"/>
      <c r="AG732" s="92"/>
      <c r="AH732" s="92"/>
      <c r="AI732" s="92"/>
      <c r="AJ732" s="92"/>
      <c r="AK732" s="88"/>
      <c r="AL732" s="88"/>
      <c r="AM732" s="88"/>
      <c r="AN732" s="88"/>
      <c r="AO732" s="88"/>
      <c r="AP732" s="88"/>
      <c r="AQ732" s="88"/>
      <c r="AR732" s="88"/>
    </row>
    <row r="733" spans="1:44" ht="12.75" customHeight="1">
      <c r="A733" s="87"/>
      <c r="B733" s="87"/>
      <c r="C733" s="88"/>
      <c r="D733" s="88"/>
      <c r="E733" s="88"/>
      <c r="F733" s="89"/>
      <c r="G733" s="89"/>
      <c r="H733" s="89"/>
      <c r="I733" s="89"/>
      <c r="J733" s="89"/>
      <c r="K733" s="88"/>
      <c r="L733" s="88"/>
      <c r="M733" s="88"/>
      <c r="N733" s="88"/>
      <c r="O733" s="90"/>
      <c r="P733" s="88"/>
      <c r="Q733" s="88"/>
      <c r="R733" s="92"/>
      <c r="S733" s="92"/>
      <c r="T733" s="92"/>
      <c r="U733" s="92"/>
      <c r="V733" s="92"/>
      <c r="W733" s="92"/>
      <c r="X733" s="92"/>
      <c r="Y733" s="92"/>
      <c r="Z733" s="92"/>
      <c r="AA733" s="92"/>
      <c r="AB733" s="92"/>
      <c r="AC733" s="92"/>
      <c r="AD733" s="92"/>
      <c r="AE733" s="92"/>
      <c r="AF733" s="92"/>
      <c r="AG733" s="92"/>
      <c r="AH733" s="92"/>
      <c r="AI733" s="92"/>
      <c r="AJ733" s="92"/>
      <c r="AK733" s="88"/>
      <c r="AL733" s="88"/>
      <c r="AM733" s="88"/>
      <c r="AN733" s="88"/>
      <c r="AO733" s="88"/>
      <c r="AP733" s="88"/>
      <c r="AQ733" s="88"/>
      <c r="AR733" s="88"/>
    </row>
    <row r="734" spans="1:44" ht="12.75" customHeight="1">
      <c r="A734" s="87"/>
      <c r="B734" s="87"/>
      <c r="C734" s="88"/>
      <c r="D734" s="88"/>
      <c r="E734" s="88"/>
      <c r="F734" s="89"/>
      <c r="G734" s="89"/>
      <c r="H734" s="89"/>
      <c r="I734" s="89"/>
      <c r="J734" s="89"/>
      <c r="K734" s="88"/>
      <c r="L734" s="88"/>
      <c r="M734" s="88"/>
      <c r="N734" s="88"/>
      <c r="O734" s="90"/>
      <c r="P734" s="88"/>
      <c r="Q734" s="88"/>
      <c r="R734" s="92"/>
      <c r="S734" s="92"/>
      <c r="T734" s="92"/>
      <c r="U734" s="92"/>
      <c r="V734" s="92"/>
      <c r="W734" s="92"/>
      <c r="X734" s="92"/>
      <c r="Y734" s="92"/>
      <c r="Z734" s="92"/>
      <c r="AA734" s="92"/>
      <c r="AB734" s="92"/>
      <c r="AC734" s="92"/>
      <c r="AD734" s="92"/>
      <c r="AE734" s="92"/>
      <c r="AF734" s="92"/>
      <c r="AG734" s="92"/>
      <c r="AH734" s="92"/>
      <c r="AI734" s="92"/>
      <c r="AJ734" s="92"/>
      <c r="AK734" s="88"/>
      <c r="AL734" s="88"/>
      <c r="AM734" s="88"/>
      <c r="AN734" s="88"/>
      <c r="AO734" s="88"/>
      <c r="AP734" s="88"/>
      <c r="AQ734" s="88"/>
      <c r="AR734" s="88"/>
    </row>
    <row r="735" spans="1:44" ht="12.75" customHeight="1">
      <c r="A735" s="87"/>
      <c r="B735" s="87"/>
      <c r="C735" s="88"/>
      <c r="D735" s="88"/>
      <c r="E735" s="88"/>
      <c r="F735" s="89"/>
      <c r="G735" s="89"/>
      <c r="H735" s="89"/>
      <c r="I735" s="89"/>
      <c r="J735" s="89"/>
      <c r="K735" s="88"/>
      <c r="L735" s="88"/>
      <c r="M735" s="88"/>
      <c r="N735" s="88"/>
      <c r="O735" s="90"/>
      <c r="P735" s="88"/>
      <c r="Q735" s="88"/>
      <c r="R735" s="92"/>
      <c r="S735" s="92"/>
      <c r="T735" s="92"/>
      <c r="U735" s="92"/>
      <c r="V735" s="92"/>
      <c r="W735" s="92"/>
      <c r="X735" s="92"/>
      <c r="Y735" s="92"/>
      <c r="Z735" s="92"/>
      <c r="AA735" s="92"/>
      <c r="AB735" s="92"/>
      <c r="AC735" s="92"/>
      <c r="AD735" s="92"/>
      <c r="AE735" s="92"/>
      <c r="AF735" s="92"/>
      <c r="AG735" s="92"/>
      <c r="AH735" s="92"/>
      <c r="AI735" s="92"/>
      <c r="AJ735" s="92"/>
      <c r="AK735" s="88"/>
      <c r="AL735" s="88"/>
      <c r="AM735" s="88"/>
      <c r="AN735" s="88"/>
      <c r="AO735" s="88"/>
      <c r="AP735" s="88"/>
      <c r="AQ735" s="88"/>
      <c r="AR735" s="88"/>
    </row>
    <row r="736" spans="1:44" ht="12.75" customHeight="1">
      <c r="A736" s="87"/>
      <c r="B736" s="87"/>
      <c r="C736" s="88"/>
      <c r="D736" s="88"/>
      <c r="E736" s="88"/>
      <c r="F736" s="89"/>
      <c r="G736" s="89"/>
      <c r="H736" s="89"/>
      <c r="I736" s="89"/>
      <c r="J736" s="89"/>
      <c r="K736" s="88"/>
      <c r="L736" s="88"/>
      <c r="M736" s="88"/>
      <c r="N736" s="88"/>
      <c r="O736" s="90"/>
      <c r="P736" s="88"/>
      <c r="Q736" s="88"/>
      <c r="R736" s="92"/>
      <c r="S736" s="92"/>
      <c r="T736" s="92"/>
      <c r="U736" s="92"/>
      <c r="V736" s="92"/>
      <c r="W736" s="92"/>
      <c r="X736" s="92"/>
      <c r="Y736" s="92"/>
      <c r="Z736" s="92"/>
      <c r="AA736" s="92"/>
      <c r="AB736" s="92"/>
      <c r="AC736" s="92"/>
      <c r="AD736" s="92"/>
      <c r="AE736" s="92"/>
      <c r="AF736" s="92"/>
      <c r="AG736" s="92"/>
      <c r="AH736" s="92"/>
      <c r="AI736" s="92"/>
      <c r="AJ736" s="92"/>
      <c r="AK736" s="88"/>
      <c r="AL736" s="88"/>
      <c r="AM736" s="88"/>
      <c r="AN736" s="88"/>
      <c r="AO736" s="88"/>
      <c r="AP736" s="88"/>
      <c r="AQ736" s="88"/>
      <c r="AR736" s="88"/>
    </row>
    <row r="737" spans="1:44" ht="12.75" customHeight="1">
      <c r="A737" s="87"/>
      <c r="B737" s="87"/>
      <c r="C737" s="88"/>
      <c r="D737" s="88"/>
      <c r="E737" s="88"/>
      <c r="F737" s="89"/>
      <c r="G737" s="89"/>
      <c r="H737" s="89"/>
      <c r="I737" s="89"/>
      <c r="J737" s="89"/>
      <c r="K737" s="88"/>
      <c r="L737" s="88"/>
      <c r="M737" s="88"/>
      <c r="N737" s="88"/>
      <c r="O737" s="90"/>
      <c r="P737" s="88"/>
      <c r="Q737" s="88"/>
      <c r="R737" s="92"/>
      <c r="S737" s="92"/>
      <c r="T737" s="92"/>
      <c r="U737" s="92"/>
      <c r="V737" s="92"/>
      <c r="W737" s="92"/>
      <c r="X737" s="92"/>
      <c r="Y737" s="92"/>
      <c r="Z737" s="92"/>
      <c r="AA737" s="92"/>
      <c r="AB737" s="92"/>
      <c r="AC737" s="92"/>
      <c r="AD737" s="92"/>
      <c r="AE737" s="92"/>
      <c r="AF737" s="92"/>
      <c r="AG737" s="92"/>
      <c r="AH737" s="92"/>
      <c r="AI737" s="92"/>
      <c r="AJ737" s="92"/>
      <c r="AK737" s="88"/>
      <c r="AL737" s="88"/>
      <c r="AM737" s="88"/>
      <c r="AN737" s="88"/>
      <c r="AO737" s="88"/>
      <c r="AP737" s="88"/>
      <c r="AQ737" s="88"/>
      <c r="AR737" s="88"/>
    </row>
    <row r="738" spans="1:44" ht="12.75" customHeight="1">
      <c r="A738" s="87"/>
      <c r="B738" s="87"/>
      <c r="C738" s="88"/>
      <c r="D738" s="88"/>
      <c r="E738" s="88"/>
      <c r="F738" s="89"/>
      <c r="G738" s="89"/>
      <c r="H738" s="89"/>
      <c r="I738" s="89"/>
      <c r="J738" s="89"/>
      <c r="K738" s="88"/>
      <c r="L738" s="88"/>
      <c r="M738" s="88"/>
      <c r="N738" s="88"/>
      <c r="O738" s="90"/>
      <c r="P738" s="88"/>
      <c r="Q738" s="88"/>
      <c r="R738" s="92"/>
      <c r="S738" s="92"/>
      <c r="T738" s="92"/>
      <c r="U738" s="92"/>
      <c r="V738" s="92"/>
      <c r="W738" s="92"/>
      <c r="X738" s="92"/>
      <c r="Y738" s="92"/>
      <c r="Z738" s="92"/>
      <c r="AA738" s="92"/>
      <c r="AB738" s="92"/>
      <c r="AC738" s="92"/>
      <c r="AD738" s="92"/>
      <c r="AE738" s="92"/>
      <c r="AF738" s="92"/>
      <c r="AG738" s="92"/>
      <c r="AH738" s="92"/>
      <c r="AI738" s="92"/>
      <c r="AJ738" s="92"/>
      <c r="AK738" s="88"/>
      <c r="AL738" s="88"/>
      <c r="AM738" s="88"/>
      <c r="AN738" s="88"/>
      <c r="AO738" s="88"/>
      <c r="AP738" s="88"/>
      <c r="AQ738" s="88"/>
      <c r="AR738" s="88"/>
    </row>
    <row r="739" spans="1:44" ht="12.75" customHeight="1">
      <c r="A739" s="87"/>
      <c r="B739" s="87"/>
      <c r="C739" s="88"/>
      <c r="D739" s="88"/>
      <c r="E739" s="88"/>
      <c r="F739" s="89"/>
      <c r="G739" s="89"/>
      <c r="H739" s="89"/>
      <c r="I739" s="89"/>
      <c r="J739" s="89"/>
      <c r="K739" s="88"/>
      <c r="L739" s="88"/>
      <c r="M739" s="88"/>
      <c r="N739" s="88"/>
      <c r="O739" s="90"/>
      <c r="P739" s="88"/>
      <c r="Q739" s="88"/>
      <c r="R739" s="92"/>
      <c r="S739" s="92"/>
      <c r="T739" s="92"/>
      <c r="U739" s="92"/>
      <c r="V739" s="92"/>
      <c r="W739" s="92"/>
      <c r="X739" s="92"/>
      <c r="Y739" s="92"/>
      <c r="Z739" s="92"/>
      <c r="AA739" s="92"/>
      <c r="AB739" s="92"/>
      <c r="AC739" s="92"/>
      <c r="AD739" s="92"/>
      <c r="AE739" s="92"/>
      <c r="AF739" s="92"/>
      <c r="AG739" s="92"/>
      <c r="AH739" s="92"/>
      <c r="AI739" s="92"/>
      <c r="AJ739" s="92"/>
      <c r="AK739" s="88"/>
      <c r="AL739" s="88"/>
      <c r="AM739" s="88"/>
      <c r="AN739" s="88"/>
      <c r="AO739" s="88"/>
      <c r="AP739" s="88"/>
      <c r="AQ739" s="88"/>
      <c r="AR739" s="88"/>
    </row>
    <row r="740" spans="1:44" ht="12.75" customHeight="1">
      <c r="A740" s="87"/>
      <c r="B740" s="87"/>
      <c r="C740" s="88"/>
      <c r="D740" s="88"/>
      <c r="E740" s="88"/>
      <c r="F740" s="89"/>
      <c r="G740" s="89"/>
      <c r="H740" s="89"/>
      <c r="I740" s="89"/>
      <c r="J740" s="89"/>
      <c r="K740" s="88"/>
      <c r="L740" s="88"/>
      <c r="M740" s="88"/>
      <c r="N740" s="88"/>
      <c r="O740" s="90"/>
      <c r="P740" s="88"/>
      <c r="Q740" s="88"/>
      <c r="R740" s="92"/>
      <c r="S740" s="92"/>
      <c r="T740" s="92"/>
      <c r="U740" s="92"/>
      <c r="V740" s="92"/>
      <c r="W740" s="92"/>
      <c r="X740" s="92"/>
      <c r="Y740" s="92"/>
      <c r="Z740" s="92"/>
      <c r="AA740" s="92"/>
      <c r="AB740" s="92"/>
      <c r="AC740" s="92"/>
      <c r="AD740" s="92"/>
      <c r="AE740" s="92"/>
      <c r="AF740" s="92"/>
      <c r="AG740" s="92"/>
      <c r="AH740" s="92"/>
      <c r="AI740" s="92"/>
      <c r="AJ740" s="92"/>
      <c r="AK740" s="88"/>
      <c r="AL740" s="88"/>
      <c r="AM740" s="88"/>
      <c r="AN740" s="88"/>
      <c r="AO740" s="88"/>
      <c r="AP740" s="88"/>
      <c r="AQ740" s="88"/>
      <c r="AR740" s="88"/>
    </row>
    <row r="741" spans="1:44" ht="12.75" customHeight="1">
      <c r="A741" s="87"/>
      <c r="B741" s="87"/>
      <c r="C741" s="88"/>
      <c r="D741" s="88"/>
      <c r="E741" s="88"/>
      <c r="F741" s="89"/>
      <c r="G741" s="89"/>
      <c r="H741" s="89"/>
      <c r="I741" s="89"/>
      <c r="J741" s="89"/>
      <c r="K741" s="88"/>
      <c r="L741" s="88"/>
      <c r="M741" s="88"/>
      <c r="N741" s="88"/>
      <c r="O741" s="90"/>
      <c r="P741" s="88"/>
      <c r="Q741" s="88"/>
      <c r="R741" s="92"/>
      <c r="S741" s="92"/>
      <c r="T741" s="92"/>
      <c r="U741" s="92"/>
      <c r="V741" s="92"/>
      <c r="W741" s="92"/>
      <c r="X741" s="92"/>
      <c r="Y741" s="92"/>
      <c r="Z741" s="92"/>
      <c r="AA741" s="92"/>
      <c r="AB741" s="92"/>
      <c r="AC741" s="92"/>
      <c r="AD741" s="92"/>
      <c r="AE741" s="92"/>
      <c r="AF741" s="92"/>
      <c r="AG741" s="92"/>
      <c r="AH741" s="92"/>
      <c r="AI741" s="92"/>
      <c r="AJ741" s="92"/>
      <c r="AK741" s="88"/>
      <c r="AL741" s="88"/>
      <c r="AM741" s="88"/>
      <c r="AN741" s="88"/>
      <c r="AO741" s="88"/>
      <c r="AP741" s="88"/>
      <c r="AQ741" s="88"/>
      <c r="AR741" s="88"/>
    </row>
    <row r="742" spans="1:44" ht="12.75" customHeight="1">
      <c r="A742" s="87"/>
      <c r="B742" s="87"/>
      <c r="C742" s="88"/>
      <c r="D742" s="88"/>
      <c r="E742" s="88"/>
      <c r="F742" s="89"/>
      <c r="G742" s="89"/>
      <c r="H742" s="89"/>
      <c r="I742" s="89"/>
      <c r="J742" s="89"/>
      <c r="K742" s="88"/>
      <c r="L742" s="88"/>
      <c r="M742" s="88"/>
      <c r="N742" s="88"/>
      <c r="O742" s="90"/>
      <c r="P742" s="88"/>
      <c r="Q742" s="88"/>
      <c r="R742" s="92"/>
      <c r="S742" s="92"/>
      <c r="T742" s="92"/>
      <c r="U742" s="92"/>
      <c r="V742" s="92"/>
      <c r="W742" s="92"/>
      <c r="X742" s="92"/>
      <c r="Y742" s="92"/>
      <c r="Z742" s="92"/>
      <c r="AA742" s="92"/>
      <c r="AB742" s="92"/>
      <c r="AC742" s="92"/>
      <c r="AD742" s="92"/>
      <c r="AE742" s="92"/>
      <c r="AF742" s="92"/>
      <c r="AG742" s="92"/>
      <c r="AH742" s="92"/>
      <c r="AI742" s="92"/>
      <c r="AJ742" s="92"/>
      <c r="AK742" s="88"/>
      <c r="AL742" s="88"/>
      <c r="AM742" s="88"/>
      <c r="AN742" s="88"/>
      <c r="AO742" s="88"/>
      <c r="AP742" s="88"/>
      <c r="AQ742" s="88"/>
      <c r="AR742" s="88"/>
    </row>
    <row r="743" spans="1:44" ht="12.75" customHeight="1">
      <c r="A743" s="87"/>
      <c r="B743" s="87"/>
      <c r="C743" s="88"/>
      <c r="D743" s="88"/>
      <c r="E743" s="88"/>
      <c r="F743" s="89"/>
      <c r="G743" s="89"/>
      <c r="H743" s="89"/>
      <c r="I743" s="89"/>
      <c r="J743" s="89"/>
      <c r="K743" s="88"/>
      <c r="L743" s="88"/>
      <c r="M743" s="88"/>
      <c r="N743" s="88"/>
      <c r="O743" s="90"/>
      <c r="P743" s="88"/>
      <c r="Q743" s="88"/>
      <c r="R743" s="92"/>
      <c r="S743" s="92"/>
      <c r="T743" s="92"/>
      <c r="U743" s="92"/>
      <c r="V743" s="92"/>
      <c r="W743" s="92"/>
      <c r="X743" s="92"/>
      <c r="Y743" s="92"/>
      <c r="Z743" s="92"/>
      <c r="AA743" s="92"/>
      <c r="AB743" s="92"/>
      <c r="AC743" s="92"/>
      <c r="AD743" s="92"/>
      <c r="AE743" s="92"/>
      <c r="AF743" s="92"/>
      <c r="AG743" s="92"/>
      <c r="AH743" s="92"/>
      <c r="AI743" s="92"/>
      <c r="AJ743" s="92"/>
      <c r="AK743" s="88"/>
      <c r="AL743" s="88"/>
      <c r="AM743" s="88"/>
      <c r="AN743" s="88"/>
      <c r="AO743" s="88"/>
      <c r="AP743" s="88"/>
      <c r="AQ743" s="88"/>
      <c r="AR743" s="88"/>
    </row>
    <row r="744" spans="1:44" ht="12.75" customHeight="1">
      <c r="A744" s="87"/>
      <c r="B744" s="87"/>
      <c r="C744" s="88"/>
      <c r="D744" s="88"/>
      <c r="E744" s="88"/>
      <c r="F744" s="89"/>
      <c r="G744" s="89"/>
      <c r="H744" s="89"/>
      <c r="I744" s="89"/>
      <c r="J744" s="89"/>
      <c r="K744" s="88"/>
      <c r="L744" s="88"/>
      <c r="M744" s="88"/>
      <c r="N744" s="88"/>
      <c r="O744" s="90"/>
      <c r="P744" s="88"/>
      <c r="Q744" s="88"/>
      <c r="R744" s="92"/>
      <c r="S744" s="92"/>
      <c r="T744" s="92"/>
      <c r="U744" s="92"/>
      <c r="V744" s="92"/>
      <c r="W744" s="92"/>
      <c r="X744" s="92"/>
      <c r="Y744" s="92"/>
      <c r="Z744" s="92"/>
      <c r="AA744" s="92"/>
      <c r="AB744" s="92"/>
      <c r="AC744" s="92"/>
      <c r="AD744" s="92"/>
      <c r="AE744" s="92"/>
      <c r="AF744" s="92"/>
      <c r="AG744" s="92"/>
      <c r="AH744" s="92"/>
      <c r="AI744" s="92"/>
      <c r="AJ744" s="92"/>
      <c r="AK744" s="88"/>
      <c r="AL744" s="88"/>
      <c r="AM744" s="88"/>
      <c r="AN744" s="88"/>
      <c r="AO744" s="88"/>
      <c r="AP744" s="88"/>
      <c r="AQ744" s="88"/>
      <c r="AR744" s="88"/>
    </row>
    <row r="745" spans="1:44" ht="12.75" customHeight="1">
      <c r="A745" s="87"/>
      <c r="B745" s="87"/>
      <c r="C745" s="88"/>
      <c r="D745" s="88"/>
      <c r="E745" s="88"/>
      <c r="F745" s="89"/>
      <c r="G745" s="89"/>
      <c r="H745" s="89"/>
      <c r="I745" s="89"/>
      <c r="J745" s="89"/>
      <c r="K745" s="88"/>
      <c r="L745" s="88"/>
      <c r="M745" s="88"/>
      <c r="N745" s="88"/>
      <c r="O745" s="90"/>
      <c r="P745" s="88"/>
      <c r="Q745" s="88"/>
      <c r="R745" s="92"/>
      <c r="S745" s="92"/>
      <c r="T745" s="92"/>
      <c r="U745" s="92"/>
      <c r="V745" s="92"/>
      <c r="W745" s="92"/>
      <c r="X745" s="92"/>
      <c r="Y745" s="92"/>
      <c r="Z745" s="92"/>
      <c r="AA745" s="92"/>
      <c r="AB745" s="92"/>
      <c r="AC745" s="92"/>
      <c r="AD745" s="92"/>
      <c r="AE745" s="92"/>
      <c r="AF745" s="92"/>
      <c r="AG745" s="92"/>
      <c r="AH745" s="92"/>
      <c r="AI745" s="92"/>
      <c r="AJ745" s="92"/>
      <c r="AK745" s="88"/>
      <c r="AL745" s="88"/>
      <c r="AM745" s="88"/>
      <c r="AN745" s="88"/>
      <c r="AO745" s="88"/>
      <c r="AP745" s="88"/>
      <c r="AQ745" s="88"/>
      <c r="AR745" s="88"/>
    </row>
    <row r="746" spans="1:44" ht="12.75" customHeight="1">
      <c r="A746" s="87"/>
      <c r="B746" s="87"/>
      <c r="C746" s="88"/>
      <c r="D746" s="88"/>
      <c r="E746" s="88"/>
      <c r="F746" s="89"/>
      <c r="G746" s="89"/>
      <c r="H746" s="89"/>
      <c r="I746" s="89"/>
      <c r="J746" s="89"/>
      <c r="K746" s="88"/>
      <c r="L746" s="88"/>
      <c r="M746" s="88"/>
      <c r="N746" s="88"/>
      <c r="O746" s="90"/>
      <c r="P746" s="88"/>
      <c r="Q746" s="88"/>
      <c r="R746" s="92"/>
      <c r="S746" s="92"/>
      <c r="T746" s="92"/>
      <c r="U746" s="92"/>
      <c r="V746" s="92"/>
      <c r="W746" s="92"/>
      <c r="X746" s="92"/>
      <c r="Y746" s="92"/>
      <c r="Z746" s="92"/>
      <c r="AA746" s="92"/>
      <c r="AB746" s="92"/>
      <c r="AC746" s="92"/>
      <c r="AD746" s="92"/>
      <c r="AE746" s="92"/>
      <c r="AF746" s="92"/>
      <c r="AG746" s="92"/>
      <c r="AH746" s="92"/>
      <c r="AI746" s="92"/>
      <c r="AJ746" s="92"/>
      <c r="AK746" s="88"/>
      <c r="AL746" s="88"/>
      <c r="AM746" s="88"/>
      <c r="AN746" s="88"/>
      <c r="AO746" s="88"/>
      <c r="AP746" s="88"/>
      <c r="AQ746" s="88"/>
      <c r="AR746" s="88"/>
    </row>
    <row r="747" spans="1:44" ht="12.75" customHeight="1">
      <c r="A747" s="87"/>
      <c r="B747" s="87"/>
      <c r="C747" s="88"/>
      <c r="D747" s="88"/>
      <c r="E747" s="88"/>
      <c r="F747" s="89"/>
      <c r="G747" s="89"/>
      <c r="H747" s="89"/>
      <c r="I747" s="89"/>
      <c r="J747" s="89"/>
      <c r="K747" s="88"/>
      <c r="L747" s="88"/>
      <c r="M747" s="88"/>
      <c r="N747" s="88"/>
      <c r="O747" s="90"/>
      <c r="P747" s="88"/>
      <c r="Q747" s="88"/>
      <c r="R747" s="92"/>
      <c r="S747" s="92"/>
      <c r="T747" s="92"/>
      <c r="U747" s="92"/>
      <c r="V747" s="92"/>
      <c r="W747" s="92"/>
      <c r="X747" s="92"/>
      <c r="Y747" s="92"/>
      <c r="Z747" s="92"/>
      <c r="AA747" s="92"/>
      <c r="AB747" s="92"/>
      <c r="AC747" s="92"/>
      <c r="AD747" s="92"/>
      <c r="AE747" s="92"/>
      <c r="AF747" s="92"/>
      <c r="AG747" s="92"/>
      <c r="AH747" s="92"/>
      <c r="AI747" s="92"/>
      <c r="AJ747" s="92"/>
      <c r="AK747" s="88"/>
      <c r="AL747" s="88"/>
      <c r="AM747" s="88"/>
      <c r="AN747" s="88"/>
      <c r="AO747" s="88"/>
      <c r="AP747" s="88"/>
      <c r="AQ747" s="88"/>
      <c r="AR747" s="88"/>
    </row>
    <row r="748" spans="1:44" ht="12.75" customHeight="1">
      <c r="A748" s="87"/>
      <c r="B748" s="87"/>
      <c r="C748" s="88"/>
      <c r="D748" s="88"/>
      <c r="E748" s="88"/>
      <c r="F748" s="89"/>
      <c r="G748" s="89"/>
      <c r="H748" s="89"/>
      <c r="I748" s="89"/>
      <c r="J748" s="89"/>
      <c r="K748" s="88"/>
      <c r="L748" s="88"/>
      <c r="M748" s="88"/>
      <c r="N748" s="88"/>
      <c r="O748" s="90"/>
      <c r="P748" s="88"/>
      <c r="Q748" s="88"/>
      <c r="R748" s="92"/>
      <c r="S748" s="92"/>
      <c r="T748" s="92"/>
      <c r="U748" s="92"/>
      <c r="V748" s="92"/>
      <c r="W748" s="92"/>
      <c r="X748" s="92"/>
      <c r="Y748" s="92"/>
      <c r="Z748" s="92"/>
      <c r="AA748" s="92"/>
      <c r="AB748" s="92"/>
      <c r="AC748" s="92"/>
      <c r="AD748" s="92"/>
      <c r="AE748" s="92"/>
      <c r="AF748" s="92"/>
      <c r="AG748" s="92"/>
      <c r="AH748" s="92"/>
      <c r="AI748" s="92"/>
      <c r="AJ748" s="92"/>
      <c r="AK748" s="88"/>
      <c r="AL748" s="88"/>
      <c r="AM748" s="88"/>
      <c r="AN748" s="88"/>
      <c r="AO748" s="88"/>
      <c r="AP748" s="88"/>
      <c r="AQ748" s="88"/>
      <c r="AR748" s="88"/>
    </row>
    <row r="749" spans="1:44" ht="12.75" customHeight="1">
      <c r="A749" s="87"/>
      <c r="B749" s="87"/>
      <c r="C749" s="88"/>
      <c r="D749" s="88"/>
      <c r="E749" s="88"/>
      <c r="F749" s="89"/>
      <c r="G749" s="89"/>
      <c r="H749" s="89"/>
      <c r="I749" s="89"/>
      <c r="J749" s="89"/>
      <c r="K749" s="88"/>
      <c r="L749" s="88"/>
      <c r="M749" s="88"/>
      <c r="N749" s="88"/>
      <c r="O749" s="90"/>
      <c r="P749" s="88"/>
      <c r="Q749" s="88"/>
      <c r="R749" s="92"/>
      <c r="S749" s="92"/>
      <c r="T749" s="92"/>
      <c r="U749" s="92"/>
      <c r="V749" s="92"/>
      <c r="W749" s="92"/>
      <c r="X749" s="92"/>
      <c r="Y749" s="92"/>
      <c r="Z749" s="92"/>
      <c r="AA749" s="92"/>
      <c r="AB749" s="92"/>
      <c r="AC749" s="92"/>
      <c r="AD749" s="92"/>
      <c r="AE749" s="92"/>
      <c r="AF749" s="92"/>
      <c r="AG749" s="92"/>
      <c r="AH749" s="92"/>
      <c r="AI749" s="92"/>
      <c r="AJ749" s="92"/>
      <c r="AK749" s="88"/>
      <c r="AL749" s="88"/>
      <c r="AM749" s="88"/>
      <c r="AN749" s="88"/>
      <c r="AO749" s="88"/>
      <c r="AP749" s="88"/>
      <c r="AQ749" s="88"/>
      <c r="AR749" s="88"/>
    </row>
    <row r="750" spans="1:44" ht="12.75" customHeight="1">
      <c r="A750" s="87"/>
      <c r="B750" s="87"/>
      <c r="C750" s="88"/>
      <c r="D750" s="88"/>
      <c r="E750" s="88"/>
      <c r="F750" s="89"/>
      <c r="G750" s="89"/>
      <c r="H750" s="89"/>
      <c r="I750" s="89"/>
      <c r="J750" s="89"/>
      <c r="K750" s="88"/>
      <c r="L750" s="88"/>
      <c r="M750" s="88"/>
      <c r="N750" s="88"/>
      <c r="O750" s="90"/>
      <c r="P750" s="88"/>
      <c r="Q750" s="88"/>
      <c r="R750" s="92"/>
      <c r="S750" s="92"/>
      <c r="T750" s="92"/>
      <c r="U750" s="92"/>
      <c r="V750" s="92"/>
      <c r="W750" s="92"/>
      <c r="X750" s="92"/>
      <c r="Y750" s="92"/>
      <c r="Z750" s="92"/>
      <c r="AA750" s="92"/>
      <c r="AB750" s="92"/>
      <c r="AC750" s="92"/>
      <c r="AD750" s="92"/>
      <c r="AE750" s="92"/>
      <c r="AF750" s="92"/>
      <c r="AG750" s="92"/>
      <c r="AH750" s="92"/>
      <c r="AI750" s="92"/>
      <c r="AJ750" s="92"/>
      <c r="AK750" s="88"/>
      <c r="AL750" s="88"/>
      <c r="AM750" s="88"/>
      <c r="AN750" s="88"/>
      <c r="AO750" s="88"/>
      <c r="AP750" s="88"/>
      <c r="AQ750" s="88"/>
      <c r="AR750" s="88"/>
    </row>
    <row r="751" spans="1:44" ht="12.75" customHeight="1">
      <c r="A751" s="87"/>
      <c r="B751" s="87"/>
      <c r="C751" s="88"/>
      <c r="D751" s="88"/>
      <c r="E751" s="88"/>
      <c r="F751" s="89"/>
      <c r="G751" s="89"/>
      <c r="H751" s="89"/>
      <c r="I751" s="89"/>
      <c r="J751" s="89"/>
      <c r="K751" s="88"/>
      <c r="L751" s="88"/>
      <c r="M751" s="88"/>
      <c r="N751" s="88"/>
      <c r="O751" s="90"/>
      <c r="P751" s="88"/>
      <c r="Q751" s="88"/>
      <c r="R751" s="92"/>
      <c r="S751" s="92"/>
      <c r="T751" s="92"/>
      <c r="U751" s="92"/>
      <c r="V751" s="92"/>
      <c r="W751" s="92"/>
      <c r="X751" s="92"/>
      <c r="Y751" s="92"/>
      <c r="Z751" s="92"/>
      <c r="AA751" s="92"/>
      <c r="AB751" s="92"/>
      <c r="AC751" s="92"/>
      <c r="AD751" s="92"/>
      <c r="AE751" s="92"/>
      <c r="AF751" s="92"/>
      <c r="AG751" s="92"/>
      <c r="AH751" s="92"/>
      <c r="AI751" s="92"/>
      <c r="AJ751" s="92"/>
      <c r="AK751" s="88"/>
      <c r="AL751" s="88"/>
      <c r="AM751" s="88"/>
      <c r="AN751" s="88"/>
      <c r="AO751" s="88"/>
      <c r="AP751" s="88"/>
      <c r="AQ751" s="88"/>
      <c r="AR751" s="88"/>
    </row>
    <row r="752" spans="1:44" ht="12.75" customHeight="1">
      <c r="A752" s="87"/>
      <c r="B752" s="87"/>
      <c r="C752" s="88"/>
      <c r="D752" s="88"/>
      <c r="E752" s="88"/>
      <c r="F752" s="89"/>
      <c r="G752" s="89"/>
      <c r="H752" s="89"/>
      <c r="I752" s="89"/>
      <c r="J752" s="89"/>
      <c r="K752" s="88"/>
      <c r="L752" s="88"/>
      <c r="M752" s="88"/>
      <c r="N752" s="88"/>
      <c r="O752" s="90"/>
      <c r="P752" s="88"/>
      <c r="Q752" s="88"/>
      <c r="R752" s="92"/>
      <c r="S752" s="92"/>
      <c r="T752" s="92"/>
      <c r="U752" s="92"/>
      <c r="V752" s="92"/>
      <c r="W752" s="92"/>
      <c r="X752" s="92"/>
      <c r="Y752" s="92"/>
      <c r="Z752" s="92"/>
      <c r="AA752" s="92"/>
      <c r="AB752" s="92"/>
      <c r="AC752" s="92"/>
      <c r="AD752" s="92"/>
      <c r="AE752" s="92"/>
      <c r="AF752" s="92"/>
      <c r="AG752" s="92"/>
      <c r="AH752" s="92"/>
      <c r="AI752" s="92"/>
      <c r="AJ752" s="92"/>
      <c r="AK752" s="88"/>
      <c r="AL752" s="88"/>
      <c r="AM752" s="88"/>
      <c r="AN752" s="88"/>
      <c r="AO752" s="88"/>
      <c r="AP752" s="88"/>
      <c r="AQ752" s="88"/>
      <c r="AR752" s="88"/>
    </row>
    <row r="753" spans="1:44" ht="12.75" customHeight="1">
      <c r="A753" s="87"/>
      <c r="B753" s="87"/>
      <c r="C753" s="88"/>
      <c r="D753" s="88"/>
      <c r="E753" s="88"/>
      <c r="F753" s="89"/>
      <c r="G753" s="89"/>
      <c r="H753" s="89"/>
      <c r="I753" s="89"/>
      <c r="J753" s="89"/>
      <c r="K753" s="88"/>
      <c r="L753" s="88"/>
      <c r="M753" s="88"/>
      <c r="N753" s="88"/>
      <c r="O753" s="90"/>
      <c r="P753" s="88"/>
      <c r="Q753" s="88"/>
      <c r="R753" s="92"/>
      <c r="S753" s="92"/>
      <c r="T753" s="92"/>
      <c r="U753" s="92"/>
      <c r="V753" s="92"/>
      <c r="W753" s="92"/>
      <c r="X753" s="92"/>
      <c r="Y753" s="92"/>
      <c r="Z753" s="92"/>
      <c r="AA753" s="92"/>
      <c r="AB753" s="92"/>
      <c r="AC753" s="92"/>
      <c r="AD753" s="92"/>
      <c r="AE753" s="92"/>
      <c r="AF753" s="92"/>
      <c r="AG753" s="92"/>
      <c r="AH753" s="92"/>
      <c r="AI753" s="92"/>
      <c r="AJ753" s="92"/>
      <c r="AK753" s="88"/>
      <c r="AL753" s="88"/>
      <c r="AM753" s="88"/>
      <c r="AN753" s="88"/>
      <c r="AO753" s="88"/>
      <c r="AP753" s="88"/>
      <c r="AQ753" s="88"/>
      <c r="AR753" s="88"/>
    </row>
    <row r="754" spans="1:44" ht="12.75" customHeight="1">
      <c r="A754" s="87"/>
      <c r="B754" s="87"/>
      <c r="C754" s="88"/>
      <c r="D754" s="88"/>
      <c r="E754" s="88"/>
      <c r="F754" s="89"/>
      <c r="G754" s="89"/>
      <c r="H754" s="89"/>
      <c r="I754" s="89"/>
      <c r="J754" s="89"/>
      <c r="K754" s="88"/>
      <c r="L754" s="88"/>
      <c r="M754" s="88"/>
      <c r="N754" s="88"/>
      <c r="O754" s="90"/>
      <c r="P754" s="88"/>
      <c r="Q754" s="88"/>
      <c r="R754" s="92"/>
      <c r="S754" s="92"/>
      <c r="T754" s="92"/>
      <c r="U754" s="92"/>
      <c r="V754" s="92"/>
      <c r="W754" s="92"/>
      <c r="X754" s="92"/>
      <c r="Y754" s="92"/>
      <c r="Z754" s="92"/>
      <c r="AA754" s="92"/>
      <c r="AB754" s="92"/>
      <c r="AC754" s="92"/>
      <c r="AD754" s="92"/>
      <c r="AE754" s="92"/>
      <c r="AF754" s="92"/>
      <c r="AG754" s="92"/>
      <c r="AH754" s="92"/>
      <c r="AI754" s="92"/>
      <c r="AJ754" s="92"/>
      <c r="AK754" s="88"/>
      <c r="AL754" s="88"/>
      <c r="AM754" s="88"/>
      <c r="AN754" s="88"/>
      <c r="AO754" s="88"/>
      <c r="AP754" s="88"/>
      <c r="AQ754" s="88"/>
      <c r="AR754" s="88"/>
    </row>
    <row r="755" spans="1:44" ht="12.75" customHeight="1">
      <c r="A755" s="87"/>
      <c r="B755" s="87"/>
      <c r="C755" s="88"/>
      <c r="D755" s="88"/>
      <c r="E755" s="88"/>
      <c r="F755" s="89"/>
      <c r="G755" s="89"/>
      <c r="H755" s="89"/>
      <c r="I755" s="89"/>
      <c r="J755" s="89"/>
      <c r="K755" s="88"/>
      <c r="L755" s="88"/>
      <c r="M755" s="88"/>
      <c r="N755" s="88"/>
      <c r="O755" s="90"/>
      <c r="P755" s="88"/>
      <c r="Q755" s="88"/>
      <c r="R755" s="92"/>
      <c r="S755" s="92"/>
      <c r="T755" s="92"/>
      <c r="U755" s="92"/>
      <c r="V755" s="92"/>
      <c r="W755" s="92"/>
      <c r="X755" s="92"/>
      <c r="Y755" s="92"/>
      <c r="Z755" s="92"/>
      <c r="AA755" s="92"/>
      <c r="AB755" s="92"/>
      <c r="AC755" s="92"/>
      <c r="AD755" s="92"/>
      <c r="AE755" s="92"/>
      <c r="AF755" s="92"/>
      <c r="AG755" s="92"/>
      <c r="AH755" s="92"/>
      <c r="AI755" s="92"/>
      <c r="AJ755" s="92"/>
      <c r="AK755" s="88"/>
      <c r="AL755" s="88"/>
      <c r="AM755" s="88"/>
      <c r="AN755" s="88"/>
      <c r="AO755" s="88"/>
      <c r="AP755" s="88"/>
      <c r="AQ755" s="88"/>
      <c r="AR755" s="88"/>
    </row>
    <row r="756" spans="1:44" ht="12.75" customHeight="1">
      <c r="A756" s="87"/>
      <c r="B756" s="87"/>
      <c r="C756" s="88"/>
      <c r="D756" s="88"/>
      <c r="E756" s="88"/>
      <c r="F756" s="89"/>
      <c r="G756" s="89"/>
      <c r="H756" s="89"/>
      <c r="I756" s="89"/>
      <c r="J756" s="89"/>
      <c r="K756" s="88"/>
      <c r="L756" s="88"/>
      <c r="M756" s="88"/>
      <c r="N756" s="88"/>
      <c r="O756" s="90"/>
      <c r="P756" s="88"/>
      <c r="Q756" s="88"/>
      <c r="R756" s="92"/>
      <c r="S756" s="92"/>
      <c r="T756" s="92"/>
      <c r="U756" s="92"/>
      <c r="V756" s="92"/>
      <c r="W756" s="92"/>
      <c r="X756" s="92"/>
      <c r="Y756" s="92"/>
      <c r="Z756" s="92"/>
      <c r="AA756" s="92"/>
      <c r="AB756" s="92"/>
      <c r="AC756" s="92"/>
      <c r="AD756" s="92"/>
      <c r="AE756" s="92"/>
      <c r="AF756" s="92"/>
      <c r="AG756" s="92"/>
      <c r="AH756" s="92"/>
      <c r="AI756" s="92"/>
      <c r="AJ756" s="92"/>
      <c r="AK756" s="88"/>
      <c r="AL756" s="88"/>
      <c r="AM756" s="88"/>
      <c r="AN756" s="88"/>
      <c r="AO756" s="88"/>
      <c r="AP756" s="88"/>
      <c r="AQ756" s="88"/>
      <c r="AR756" s="88"/>
    </row>
    <row r="757" spans="1:44" ht="12.75" customHeight="1">
      <c r="A757" s="87"/>
      <c r="B757" s="87"/>
      <c r="C757" s="88"/>
      <c r="D757" s="88"/>
      <c r="E757" s="88"/>
      <c r="F757" s="89"/>
      <c r="G757" s="89"/>
      <c r="H757" s="89"/>
      <c r="I757" s="89"/>
      <c r="J757" s="89"/>
      <c r="K757" s="88"/>
      <c r="L757" s="88"/>
      <c r="M757" s="88"/>
      <c r="N757" s="88"/>
      <c r="O757" s="90"/>
      <c r="P757" s="88"/>
      <c r="Q757" s="88"/>
      <c r="R757" s="92"/>
      <c r="S757" s="92"/>
      <c r="T757" s="92"/>
      <c r="U757" s="92"/>
      <c r="V757" s="92"/>
      <c r="W757" s="92"/>
      <c r="X757" s="92"/>
      <c r="Y757" s="92"/>
      <c r="Z757" s="92"/>
      <c r="AA757" s="92"/>
      <c r="AB757" s="92"/>
      <c r="AC757" s="92"/>
      <c r="AD757" s="92"/>
      <c r="AE757" s="92"/>
      <c r="AF757" s="92"/>
      <c r="AG757" s="92"/>
      <c r="AH757" s="92"/>
      <c r="AI757" s="92"/>
      <c r="AJ757" s="92"/>
      <c r="AK757" s="88"/>
      <c r="AL757" s="88"/>
      <c r="AM757" s="88"/>
      <c r="AN757" s="88"/>
      <c r="AO757" s="88"/>
      <c r="AP757" s="88"/>
      <c r="AQ757" s="88"/>
      <c r="AR757" s="88"/>
    </row>
    <row r="758" spans="1:44" ht="12.75" customHeight="1">
      <c r="A758" s="87"/>
      <c r="B758" s="87"/>
      <c r="C758" s="88"/>
      <c r="D758" s="88"/>
      <c r="E758" s="88"/>
      <c r="F758" s="89"/>
      <c r="G758" s="89"/>
      <c r="H758" s="89"/>
      <c r="I758" s="89"/>
      <c r="J758" s="89"/>
      <c r="K758" s="88"/>
      <c r="L758" s="88"/>
      <c r="M758" s="88"/>
      <c r="N758" s="88"/>
      <c r="O758" s="90"/>
      <c r="P758" s="88"/>
      <c r="Q758" s="88"/>
      <c r="R758" s="92"/>
      <c r="S758" s="92"/>
      <c r="T758" s="92"/>
      <c r="U758" s="92"/>
      <c r="V758" s="92"/>
      <c r="W758" s="92"/>
      <c r="X758" s="92"/>
      <c r="Y758" s="92"/>
      <c r="Z758" s="92"/>
      <c r="AA758" s="92"/>
      <c r="AB758" s="92"/>
      <c r="AC758" s="92"/>
      <c r="AD758" s="92"/>
      <c r="AE758" s="92"/>
      <c r="AF758" s="92"/>
      <c r="AG758" s="92"/>
      <c r="AH758" s="92"/>
      <c r="AI758" s="92"/>
      <c r="AJ758" s="92"/>
      <c r="AK758" s="88"/>
      <c r="AL758" s="88"/>
      <c r="AM758" s="88"/>
      <c r="AN758" s="88"/>
      <c r="AO758" s="88"/>
      <c r="AP758" s="88"/>
      <c r="AQ758" s="88"/>
      <c r="AR758" s="88"/>
    </row>
    <row r="759" spans="1:44" ht="12.75" customHeight="1">
      <c r="A759" s="87"/>
      <c r="B759" s="87"/>
      <c r="C759" s="88"/>
      <c r="D759" s="88"/>
      <c r="E759" s="88"/>
      <c r="F759" s="89"/>
      <c r="G759" s="89"/>
      <c r="H759" s="89"/>
      <c r="I759" s="89"/>
      <c r="J759" s="89"/>
      <c r="K759" s="88"/>
      <c r="L759" s="88"/>
      <c r="M759" s="88"/>
      <c r="N759" s="88"/>
      <c r="O759" s="90"/>
      <c r="P759" s="88"/>
      <c r="Q759" s="88"/>
      <c r="R759" s="92"/>
      <c r="S759" s="92"/>
      <c r="T759" s="92"/>
      <c r="U759" s="92"/>
      <c r="V759" s="92"/>
      <c r="W759" s="92"/>
      <c r="X759" s="92"/>
      <c r="Y759" s="92"/>
      <c r="Z759" s="92"/>
      <c r="AA759" s="92"/>
      <c r="AB759" s="92"/>
      <c r="AC759" s="92"/>
      <c r="AD759" s="92"/>
      <c r="AE759" s="92"/>
      <c r="AF759" s="92"/>
      <c r="AG759" s="92"/>
      <c r="AH759" s="92"/>
      <c r="AI759" s="92"/>
      <c r="AJ759" s="92"/>
      <c r="AK759" s="88"/>
      <c r="AL759" s="88"/>
      <c r="AM759" s="88"/>
      <c r="AN759" s="88"/>
      <c r="AO759" s="88"/>
      <c r="AP759" s="88"/>
      <c r="AQ759" s="88"/>
      <c r="AR759" s="88"/>
    </row>
    <row r="760" spans="1:44" ht="12.75" customHeight="1">
      <c r="A760" s="87"/>
      <c r="B760" s="87"/>
      <c r="C760" s="88"/>
      <c r="D760" s="88"/>
      <c r="E760" s="88"/>
      <c r="F760" s="89"/>
      <c r="G760" s="89"/>
      <c r="H760" s="89"/>
      <c r="I760" s="89"/>
      <c r="J760" s="89"/>
      <c r="K760" s="88"/>
      <c r="L760" s="88"/>
      <c r="M760" s="88"/>
      <c r="N760" s="88"/>
      <c r="O760" s="90"/>
      <c r="P760" s="88"/>
      <c r="Q760" s="88"/>
      <c r="R760" s="92"/>
      <c r="S760" s="92"/>
      <c r="T760" s="92"/>
      <c r="U760" s="92"/>
      <c r="V760" s="92"/>
      <c r="W760" s="92"/>
      <c r="X760" s="92"/>
      <c r="Y760" s="92"/>
      <c r="Z760" s="92"/>
      <c r="AA760" s="92"/>
      <c r="AB760" s="92"/>
      <c r="AC760" s="92"/>
      <c r="AD760" s="92"/>
      <c r="AE760" s="92"/>
      <c r="AF760" s="92"/>
      <c r="AG760" s="92"/>
      <c r="AH760" s="92"/>
      <c r="AI760" s="92"/>
      <c r="AJ760" s="92"/>
      <c r="AK760" s="88"/>
      <c r="AL760" s="88"/>
      <c r="AM760" s="88"/>
      <c r="AN760" s="88"/>
      <c r="AO760" s="88"/>
      <c r="AP760" s="88"/>
      <c r="AQ760" s="88"/>
      <c r="AR760" s="88"/>
    </row>
    <row r="761" spans="1:44" ht="12.75" customHeight="1">
      <c r="A761" s="87"/>
      <c r="B761" s="87"/>
      <c r="C761" s="88"/>
      <c r="D761" s="88"/>
      <c r="E761" s="88"/>
      <c r="F761" s="89"/>
      <c r="G761" s="89"/>
      <c r="H761" s="89"/>
      <c r="I761" s="89"/>
      <c r="J761" s="89"/>
      <c r="K761" s="88"/>
      <c r="L761" s="88"/>
      <c r="M761" s="88"/>
      <c r="N761" s="88"/>
      <c r="O761" s="90"/>
      <c r="P761" s="88"/>
      <c r="Q761" s="88"/>
      <c r="R761" s="92"/>
      <c r="S761" s="92"/>
      <c r="T761" s="92"/>
      <c r="U761" s="92"/>
      <c r="V761" s="92"/>
      <c r="W761" s="92"/>
      <c r="X761" s="92"/>
      <c r="Y761" s="92"/>
      <c r="Z761" s="92"/>
      <c r="AA761" s="92"/>
      <c r="AB761" s="92"/>
      <c r="AC761" s="92"/>
      <c r="AD761" s="92"/>
      <c r="AE761" s="92"/>
      <c r="AF761" s="92"/>
      <c r="AG761" s="92"/>
      <c r="AH761" s="92"/>
      <c r="AI761" s="92"/>
      <c r="AJ761" s="92"/>
      <c r="AK761" s="88"/>
      <c r="AL761" s="88"/>
      <c r="AM761" s="88"/>
      <c r="AN761" s="88"/>
      <c r="AO761" s="88"/>
      <c r="AP761" s="88"/>
      <c r="AQ761" s="88"/>
      <c r="AR761" s="88"/>
    </row>
    <row r="762" spans="1:44" ht="12.75" customHeight="1">
      <c r="A762" s="87"/>
      <c r="B762" s="87"/>
      <c r="C762" s="88"/>
      <c r="D762" s="88"/>
      <c r="E762" s="88"/>
      <c r="F762" s="89"/>
      <c r="G762" s="89"/>
      <c r="H762" s="89"/>
      <c r="I762" s="89"/>
      <c r="J762" s="89"/>
      <c r="K762" s="88"/>
      <c r="L762" s="88"/>
      <c r="M762" s="88"/>
      <c r="N762" s="88"/>
      <c r="O762" s="90"/>
      <c r="P762" s="88"/>
      <c r="Q762" s="88"/>
      <c r="R762" s="92"/>
      <c r="S762" s="92"/>
      <c r="T762" s="92"/>
      <c r="U762" s="92"/>
      <c r="V762" s="92"/>
      <c r="W762" s="92"/>
      <c r="X762" s="92"/>
      <c r="Y762" s="92"/>
      <c r="Z762" s="92"/>
      <c r="AA762" s="92"/>
      <c r="AB762" s="92"/>
      <c r="AC762" s="92"/>
      <c r="AD762" s="92"/>
      <c r="AE762" s="92"/>
      <c r="AF762" s="92"/>
      <c r="AG762" s="92"/>
      <c r="AH762" s="92"/>
      <c r="AI762" s="92"/>
      <c r="AJ762" s="92"/>
      <c r="AK762" s="88"/>
      <c r="AL762" s="88"/>
      <c r="AM762" s="88"/>
      <c r="AN762" s="88"/>
      <c r="AO762" s="88"/>
      <c r="AP762" s="88"/>
      <c r="AQ762" s="88"/>
      <c r="AR762" s="88"/>
    </row>
    <row r="763" spans="1:44" ht="12.75" customHeight="1">
      <c r="A763" s="87"/>
      <c r="B763" s="87"/>
      <c r="C763" s="88"/>
      <c r="D763" s="88"/>
      <c r="E763" s="88"/>
      <c r="F763" s="89"/>
      <c r="G763" s="89"/>
      <c r="H763" s="89"/>
      <c r="I763" s="89"/>
      <c r="J763" s="89"/>
      <c r="K763" s="88"/>
      <c r="L763" s="88"/>
      <c r="M763" s="88"/>
      <c r="N763" s="88"/>
      <c r="O763" s="90"/>
      <c r="P763" s="88"/>
      <c r="Q763" s="88"/>
      <c r="R763" s="92"/>
      <c r="S763" s="92"/>
      <c r="T763" s="92"/>
      <c r="U763" s="92"/>
      <c r="V763" s="92"/>
      <c r="W763" s="92"/>
      <c r="X763" s="92"/>
      <c r="Y763" s="92"/>
      <c r="Z763" s="92"/>
      <c r="AA763" s="92"/>
      <c r="AB763" s="92"/>
      <c r="AC763" s="92"/>
      <c r="AD763" s="92"/>
      <c r="AE763" s="92"/>
      <c r="AF763" s="92"/>
      <c r="AG763" s="92"/>
      <c r="AH763" s="92"/>
      <c r="AI763" s="92"/>
      <c r="AJ763" s="92"/>
      <c r="AK763" s="88"/>
      <c r="AL763" s="88"/>
      <c r="AM763" s="88"/>
      <c r="AN763" s="88"/>
      <c r="AO763" s="88"/>
      <c r="AP763" s="88"/>
      <c r="AQ763" s="88"/>
      <c r="AR763" s="88"/>
    </row>
    <row r="764" spans="1:44" ht="12.75" customHeight="1">
      <c r="A764" s="87"/>
      <c r="B764" s="87"/>
      <c r="C764" s="88"/>
      <c r="D764" s="88"/>
      <c r="E764" s="88"/>
      <c r="F764" s="89"/>
      <c r="G764" s="89"/>
      <c r="H764" s="89"/>
      <c r="I764" s="89"/>
      <c r="J764" s="89"/>
      <c r="K764" s="88"/>
      <c r="L764" s="88"/>
      <c r="M764" s="88"/>
      <c r="N764" s="88"/>
      <c r="O764" s="90"/>
      <c r="P764" s="88"/>
      <c r="Q764" s="88"/>
      <c r="R764" s="92"/>
      <c r="S764" s="92"/>
      <c r="T764" s="92"/>
      <c r="U764" s="92"/>
      <c r="V764" s="92"/>
      <c r="W764" s="92"/>
      <c r="X764" s="92"/>
      <c r="Y764" s="92"/>
      <c r="Z764" s="92"/>
      <c r="AA764" s="92"/>
      <c r="AB764" s="92"/>
      <c r="AC764" s="92"/>
      <c r="AD764" s="92"/>
      <c r="AE764" s="92"/>
      <c r="AF764" s="92"/>
      <c r="AG764" s="92"/>
      <c r="AH764" s="92"/>
      <c r="AI764" s="92"/>
      <c r="AJ764" s="92"/>
      <c r="AK764" s="88"/>
      <c r="AL764" s="88"/>
      <c r="AM764" s="88"/>
      <c r="AN764" s="88"/>
      <c r="AO764" s="88"/>
      <c r="AP764" s="88"/>
      <c r="AQ764" s="88"/>
      <c r="AR764" s="88"/>
    </row>
    <row r="765" spans="1:44" ht="12.75" customHeight="1">
      <c r="A765" s="87"/>
      <c r="B765" s="87"/>
      <c r="C765" s="88"/>
      <c r="D765" s="88"/>
      <c r="E765" s="88"/>
      <c r="F765" s="89"/>
      <c r="G765" s="89"/>
      <c r="H765" s="89"/>
      <c r="I765" s="89"/>
      <c r="J765" s="89"/>
      <c r="K765" s="88"/>
      <c r="L765" s="88"/>
      <c r="M765" s="88"/>
      <c r="N765" s="88"/>
      <c r="O765" s="90"/>
      <c r="P765" s="88"/>
      <c r="Q765" s="88"/>
      <c r="R765" s="92"/>
      <c r="S765" s="92"/>
      <c r="T765" s="92"/>
      <c r="U765" s="92"/>
      <c r="V765" s="92"/>
      <c r="W765" s="92"/>
      <c r="X765" s="92"/>
      <c r="Y765" s="92"/>
      <c r="Z765" s="92"/>
      <c r="AA765" s="92"/>
      <c r="AB765" s="92"/>
      <c r="AC765" s="92"/>
      <c r="AD765" s="92"/>
      <c r="AE765" s="92"/>
      <c r="AF765" s="92"/>
      <c r="AG765" s="92"/>
      <c r="AH765" s="92"/>
      <c r="AI765" s="92"/>
      <c r="AJ765" s="92"/>
      <c r="AK765" s="88"/>
      <c r="AL765" s="88"/>
      <c r="AM765" s="88"/>
      <c r="AN765" s="88"/>
      <c r="AO765" s="88"/>
      <c r="AP765" s="88"/>
      <c r="AQ765" s="88"/>
      <c r="AR765" s="88"/>
    </row>
    <row r="766" spans="1:44" ht="12.75" customHeight="1">
      <c r="A766" s="87"/>
      <c r="B766" s="87"/>
      <c r="C766" s="88"/>
      <c r="D766" s="88"/>
      <c r="E766" s="88"/>
      <c r="F766" s="89"/>
      <c r="G766" s="89"/>
      <c r="H766" s="89"/>
      <c r="I766" s="89"/>
      <c r="J766" s="89"/>
      <c r="K766" s="88"/>
      <c r="L766" s="88"/>
      <c r="M766" s="88"/>
      <c r="N766" s="88"/>
      <c r="O766" s="90"/>
      <c r="P766" s="88"/>
      <c r="Q766" s="88"/>
      <c r="R766" s="92"/>
      <c r="S766" s="92"/>
      <c r="T766" s="92"/>
      <c r="U766" s="92"/>
      <c r="V766" s="92"/>
      <c r="W766" s="92"/>
      <c r="X766" s="92"/>
      <c r="Y766" s="92"/>
      <c r="Z766" s="92"/>
      <c r="AA766" s="92"/>
      <c r="AB766" s="92"/>
      <c r="AC766" s="92"/>
      <c r="AD766" s="92"/>
      <c r="AE766" s="92"/>
      <c r="AF766" s="92"/>
      <c r="AG766" s="92"/>
      <c r="AH766" s="92"/>
      <c r="AI766" s="92"/>
      <c r="AJ766" s="92"/>
      <c r="AK766" s="88"/>
      <c r="AL766" s="88"/>
      <c r="AM766" s="88"/>
      <c r="AN766" s="88"/>
      <c r="AO766" s="88"/>
      <c r="AP766" s="88"/>
      <c r="AQ766" s="88"/>
      <c r="AR766" s="88"/>
    </row>
    <row r="767" spans="1:44" ht="12.75" customHeight="1">
      <c r="A767" s="87"/>
      <c r="B767" s="87"/>
      <c r="C767" s="88"/>
      <c r="D767" s="88"/>
      <c r="E767" s="88"/>
      <c r="F767" s="89"/>
      <c r="G767" s="89"/>
      <c r="H767" s="89"/>
      <c r="I767" s="89"/>
      <c r="J767" s="89"/>
      <c r="K767" s="88"/>
      <c r="L767" s="88"/>
      <c r="M767" s="88"/>
      <c r="N767" s="88"/>
      <c r="O767" s="90"/>
      <c r="P767" s="88"/>
      <c r="Q767" s="88"/>
      <c r="R767" s="92"/>
      <c r="S767" s="92"/>
      <c r="T767" s="92"/>
      <c r="U767" s="92"/>
      <c r="V767" s="92"/>
      <c r="W767" s="92"/>
      <c r="X767" s="92"/>
      <c r="Y767" s="92"/>
      <c r="Z767" s="92"/>
      <c r="AA767" s="92"/>
      <c r="AB767" s="92"/>
      <c r="AC767" s="92"/>
      <c r="AD767" s="92"/>
      <c r="AE767" s="92"/>
      <c r="AF767" s="92"/>
      <c r="AG767" s="92"/>
      <c r="AH767" s="92"/>
      <c r="AI767" s="92"/>
      <c r="AJ767" s="92"/>
      <c r="AK767" s="88"/>
      <c r="AL767" s="88"/>
      <c r="AM767" s="88"/>
      <c r="AN767" s="88"/>
      <c r="AO767" s="88"/>
      <c r="AP767" s="88"/>
      <c r="AQ767" s="88"/>
      <c r="AR767" s="88"/>
    </row>
    <row r="768" spans="1:44" ht="12.75" customHeight="1">
      <c r="A768" s="87"/>
      <c r="B768" s="87"/>
      <c r="C768" s="88"/>
      <c r="D768" s="88"/>
      <c r="E768" s="88"/>
      <c r="F768" s="89"/>
      <c r="G768" s="89"/>
      <c r="H768" s="89"/>
      <c r="I768" s="89"/>
      <c r="J768" s="89"/>
      <c r="K768" s="88"/>
      <c r="L768" s="88"/>
      <c r="M768" s="88"/>
      <c r="N768" s="88"/>
      <c r="O768" s="90"/>
      <c r="P768" s="88"/>
      <c r="Q768" s="88"/>
      <c r="R768" s="92"/>
      <c r="S768" s="92"/>
      <c r="T768" s="92"/>
      <c r="U768" s="92"/>
      <c r="V768" s="92"/>
      <c r="W768" s="92"/>
      <c r="X768" s="92"/>
      <c r="Y768" s="92"/>
      <c r="Z768" s="92"/>
      <c r="AA768" s="92"/>
      <c r="AB768" s="92"/>
      <c r="AC768" s="92"/>
      <c r="AD768" s="92"/>
      <c r="AE768" s="92"/>
      <c r="AF768" s="92"/>
      <c r="AG768" s="92"/>
      <c r="AH768" s="92"/>
      <c r="AI768" s="92"/>
      <c r="AJ768" s="92"/>
      <c r="AK768" s="88"/>
      <c r="AL768" s="88"/>
      <c r="AM768" s="88"/>
      <c r="AN768" s="88"/>
      <c r="AO768" s="88"/>
      <c r="AP768" s="88"/>
      <c r="AQ768" s="88"/>
      <c r="AR768" s="88"/>
    </row>
    <row r="769" spans="1:44" ht="12.75" customHeight="1">
      <c r="A769" s="87"/>
      <c r="B769" s="87"/>
      <c r="C769" s="88"/>
      <c r="D769" s="88"/>
      <c r="E769" s="88"/>
      <c r="F769" s="89"/>
      <c r="G769" s="89"/>
      <c r="H769" s="89"/>
      <c r="I769" s="89"/>
      <c r="J769" s="89"/>
      <c r="K769" s="88"/>
      <c r="L769" s="88"/>
      <c r="M769" s="88"/>
      <c r="N769" s="88"/>
      <c r="O769" s="90"/>
      <c r="P769" s="88"/>
      <c r="Q769" s="88"/>
      <c r="R769" s="92"/>
      <c r="S769" s="92"/>
      <c r="T769" s="92"/>
      <c r="U769" s="92"/>
      <c r="V769" s="92"/>
      <c r="W769" s="92"/>
      <c r="X769" s="92"/>
      <c r="Y769" s="92"/>
      <c r="Z769" s="92"/>
      <c r="AA769" s="92"/>
      <c r="AB769" s="92"/>
      <c r="AC769" s="92"/>
      <c r="AD769" s="92"/>
      <c r="AE769" s="92"/>
      <c r="AF769" s="92"/>
      <c r="AG769" s="92"/>
      <c r="AH769" s="92"/>
      <c r="AI769" s="92"/>
      <c r="AJ769" s="92"/>
      <c r="AK769" s="88"/>
      <c r="AL769" s="88"/>
      <c r="AM769" s="88"/>
      <c r="AN769" s="88"/>
      <c r="AO769" s="88"/>
      <c r="AP769" s="88"/>
      <c r="AQ769" s="88"/>
      <c r="AR769" s="88"/>
    </row>
    <row r="770" spans="1:44" ht="12.75" customHeight="1">
      <c r="A770" s="87"/>
      <c r="B770" s="87"/>
      <c r="C770" s="88"/>
      <c r="D770" s="88"/>
      <c r="E770" s="88"/>
      <c r="F770" s="89"/>
      <c r="G770" s="89"/>
      <c r="H770" s="89"/>
      <c r="I770" s="89"/>
      <c r="J770" s="89"/>
      <c r="K770" s="88"/>
      <c r="L770" s="88"/>
      <c r="M770" s="88"/>
      <c r="N770" s="88"/>
      <c r="O770" s="90"/>
      <c r="P770" s="88"/>
      <c r="Q770" s="88"/>
      <c r="R770" s="92"/>
      <c r="S770" s="92"/>
      <c r="T770" s="92"/>
      <c r="U770" s="92"/>
      <c r="V770" s="92"/>
      <c r="W770" s="92"/>
      <c r="X770" s="92"/>
      <c r="Y770" s="92"/>
      <c r="Z770" s="92"/>
      <c r="AA770" s="92"/>
      <c r="AB770" s="92"/>
      <c r="AC770" s="92"/>
      <c r="AD770" s="92"/>
      <c r="AE770" s="92"/>
      <c r="AF770" s="92"/>
      <c r="AG770" s="92"/>
      <c r="AH770" s="92"/>
      <c r="AI770" s="92"/>
      <c r="AJ770" s="92"/>
      <c r="AK770" s="88"/>
      <c r="AL770" s="88"/>
      <c r="AM770" s="88"/>
      <c r="AN770" s="88"/>
      <c r="AO770" s="88"/>
      <c r="AP770" s="88"/>
      <c r="AQ770" s="88"/>
      <c r="AR770" s="88"/>
    </row>
    <row r="771" spans="1:44" ht="12.75" customHeight="1">
      <c r="A771" s="87"/>
      <c r="B771" s="87"/>
      <c r="C771" s="88"/>
      <c r="D771" s="88"/>
      <c r="E771" s="88"/>
      <c r="F771" s="89"/>
      <c r="G771" s="89"/>
      <c r="H771" s="89"/>
      <c r="I771" s="89"/>
      <c r="J771" s="89"/>
      <c r="K771" s="88"/>
      <c r="L771" s="88"/>
      <c r="M771" s="88"/>
      <c r="N771" s="88"/>
      <c r="O771" s="90"/>
      <c r="P771" s="88"/>
      <c r="Q771" s="88"/>
      <c r="R771" s="92"/>
      <c r="S771" s="92"/>
      <c r="T771" s="92"/>
      <c r="U771" s="92"/>
      <c r="V771" s="92"/>
      <c r="W771" s="92"/>
      <c r="X771" s="92"/>
      <c r="Y771" s="92"/>
      <c r="Z771" s="92"/>
      <c r="AA771" s="92"/>
      <c r="AB771" s="92"/>
      <c r="AC771" s="92"/>
      <c r="AD771" s="92"/>
      <c r="AE771" s="92"/>
      <c r="AF771" s="92"/>
      <c r="AG771" s="92"/>
      <c r="AH771" s="92"/>
      <c r="AI771" s="92"/>
      <c r="AJ771" s="92"/>
      <c r="AK771" s="88"/>
      <c r="AL771" s="88"/>
      <c r="AM771" s="88"/>
      <c r="AN771" s="88"/>
      <c r="AO771" s="88"/>
      <c r="AP771" s="88"/>
      <c r="AQ771" s="88"/>
      <c r="AR771" s="88"/>
    </row>
    <row r="772" spans="1:44" ht="12.75" customHeight="1">
      <c r="A772" s="87"/>
      <c r="B772" s="87"/>
      <c r="C772" s="88"/>
      <c r="D772" s="88"/>
      <c r="E772" s="88"/>
      <c r="F772" s="89"/>
      <c r="G772" s="89"/>
      <c r="H772" s="89"/>
      <c r="I772" s="89"/>
      <c r="J772" s="89"/>
      <c r="K772" s="88"/>
      <c r="L772" s="88"/>
      <c r="M772" s="88"/>
      <c r="N772" s="88"/>
      <c r="O772" s="90"/>
      <c r="P772" s="88"/>
      <c r="Q772" s="88"/>
      <c r="R772" s="92"/>
      <c r="S772" s="92"/>
      <c r="T772" s="92"/>
      <c r="U772" s="92"/>
      <c r="V772" s="92"/>
      <c r="W772" s="92"/>
      <c r="X772" s="92"/>
      <c r="Y772" s="92"/>
      <c r="Z772" s="92"/>
      <c r="AA772" s="92"/>
      <c r="AB772" s="92"/>
      <c r="AC772" s="92"/>
      <c r="AD772" s="92"/>
      <c r="AE772" s="92"/>
      <c r="AF772" s="92"/>
      <c r="AG772" s="92"/>
      <c r="AH772" s="92"/>
      <c r="AI772" s="92"/>
      <c r="AJ772" s="92"/>
      <c r="AK772" s="88"/>
      <c r="AL772" s="88"/>
      <c r="AM772" s="88"/>
      <c r="AN772" s="88"/>
      <c r="AO772" s="88"/>
      <c r="AP772" s="88"/>
      <c r="AQ772" s="88"/>
      <c r="AR772" s="88"/>
    </row>
    <row r="773" spans="1:44" ht="12.75" customHeight="1">
      <c r="A773" s="87"/>
      <c r="B773" s="87"/>
      <c r="C773" s="88"/>
      <c r="D773" s="88"/>
      <c r="E773" s="88"/>
      <c r="F773" s="89"/>
      <c r="G773" s="89"/>
      <c r="H773" s="89"/>
      <c r="I773" s="89"/>
      <c r="J773" s="89"/>
      <c r="K773" s="88"/>
      <c r="L773" s="88"/>
      <c r="M773" s="88"/>
      <c r="N773" s="88"/>
      <c r="O773" s="90"/>
      <c r="P773" s="88"/>
      <c r="Q773" s="88"/>
      <c r="R773" s="92"/>
      <c r="S773" s="92"/>
      <c r="T773" s="92"/>
      <c r="U773" s="92"/>
      <c r="V773" s="92"/>
      <c r="W773" s="92"/>
      <c r="X773" s="92"/>
      <c r="Y773" s="92"/>
      <c r="Z773" s="92"/>
      <c r="AA773" s="92"/>
      <c r="AB773" s="92"/>
      <c r="AC773" s="92"/>
      <c r="AD773" s="92"/>
      <c r="AE773" s="92"/>
      <c r="AF773" s="92"/>
      <c r="AG773" s="92"/>
      <c r="AH773" s="92"/>
      <c r="AI773" s="92"/>
      <c r="AJ773" s="92"/>
      <c r="AK773" s="88"/>
      <c r="AL773" s="88"/>
      <c r="AM773" s="88"/>
      <c r="AN773" s="88"/>
      <c r="AO773" s="88"/>
      <c r="AP773" s="88"/>
      <c r="AQ773" s="88"/>
      <c r="AR773" s="88"/>
    </row>
    <row r="774" spans="1:44" ht="12.75" customHeight="1">
      <c r="A774" s="87"/>
      <c r="B774" s="87"/>
      <c r="C774" s="88"/>
      <c r="D774" s="88"/>
      <c r="E774" s="88"/>
      <c r="F774" s="89"/>
      <c r="G774" s="89"/>
      <c r="H774" s="89"/>
      <c r="I774" s="89"/>
      <c r="J774" s="89"/>
      <c r="K774" s="88"/>
      <c r="L774" s="88"/>
      <c r="M774" s="88"/>
      <c r="N774" s="88"/>
      <c r="O774" s="90"/>
      <c r="P774" s="88"/>
      <c r="Q774" s="88"/>
      <c r="R774" s="92"/>
      <c r="S774" s="92"/>
      <c r="T774" s="92"/>
      <c r="U774" s="92"/>
      <c r="V774" s="92"/>
      <c r="W774" s="92"/>
      <c r="X774" s="92"/>
      <c r="Y774" s="92"/>
      <c r="Z774" s="92"/>
      <c r="AA774" s="92"/>
      <c r="AB774" s="92"/>
      <c r="AC774" s="92"/>
      <c r="AD774" s="92"/>
      <c r="AE774" s="92"/>
      <c r="AF774" s="92"/>
      <c r="AG774" s="92"/>
      <c r="AH774" s="92"/>
      <c r="AI774" s="92"/>
      <c r="AJ774" s="92"/>
      <c r="AK774" s="88"/>
      <c r="AL774" s="88"/>
      <c r="AM774" s="88"/>
      <c r="AN774" s="88"/>
      <c r="AO774" s="88"/>
      <c r="AP774" s="88"/>
      <c r="AQ774" s="88"/>
      <c r="AR774" s="88"/>
    </row>
    <row r="775" spans="1:44" ht="12.75" customHeight="1">
      <c r="A775" s="87"/>
      <c r="B775" s="87"/>
      <c r="C775" s="88"/>
      <c r="D775" s="88"/>
      <c r="E775" s="88"/>
      <c r="F775" s="89"/>
      <c r="G775" s="89"/>
      <c r="H775" s="89"/>
      <c r="I775" s="89"/>
      <c r="J775" s="89"/>
      <c r="K775" s="88"/>
      <c r="L775" s="88"/>
      <c r="M775" s="88"/>
      <c r="N775" s="88"/>
      <c r="O775" s="90"/>
      <c r="P775" s="88"/>
      <c r="Q775" s="88"/>
      <c r="R775" s="92"/>
      <c r="S775" s="92"/>
      <c r="T775" s="92"/>
      <c r="U775" s="92"/>
      <c r="V775" s="92"/>
      <c r="W775" s="92"/>
      <c r="X775" s="92"/>
      <c r="Y775" s="92"/>
      <c r="Z775" s="92"/>
      <c r="AA775" s="92"/>
      <c r="AB775" s="92"/>
      <c r="AC775" s="92"/>
      <c r="AD775" s="92"/>
      <c r="AE775" s="92"/>
      <c r="AF775" s="92"/>
      <c r="AG775" s="92"/>
      <c r="AH775" s="92"/>
      <c r="AI775" s="92"/>
      <c r="AJ775" s="92"/>
      <c r="AK775" s="88"/>
      <c r="AL775" s="88"/>
      <c r="AM775" s="88"/>
      <c r="AN775" s="88"/>
      <c r="AO775" s="88"/>
      <c r="AP775" s="88"/>
      <c r="AQ775" s="88"/>
      <c r="AR775" s="88"/>
    </row>
    <row r="776" spans="1:44" ht="12.75" customHeight="1">
      <c r="A776" s="87"/>
      <c r="B776" s="87"/>
      <c r="C776" s="88"/>
      <c r="D776" s="88"/>
      <c r="E776" s="88"/>
      <c r="F776" s="89"/>
      <c r="G776" s="89"/>
      <c r="H776" s="89"/>
      <c r="I776" s="89"/>
      <c r="J776" s="89"/>
      <c r="K776" s="88"/>
      <c r="L776" s="88"/>
      <c r="M776" s="88"/>
      <c r="N776" s="88"/>
      <c r="O776" s="90"/>
      <c r="P776" s="88"/>
      <c r="Q776" s="88"/>
      <c r="R776" s="92"/>
      <c r="S776" s="92"/>
      <c r="T776" s="92"/>
      <c r="U776" s="92"/>
      <c r="V776" s="92"/>
      <c r="W776" s="92"/>
      <c r="X776" s="92"/>
      <c r="Y776" s="92"/>
      <c r="Z776" s="92"/>
      <c r="AA776" s="92"/>
      <c r="AB776" s="92"/>
      <c r="AC776" s="92"/>
      <c r="AD776" s="92"/>
      <c r="AE776" s="92"/>
      <c r="AF776" s="92"/>
      <c r="AG776" s="92"/>
      <c r="AH776" s="92"/>
      <c r="AI776" s="92"/>
      <c r="AJ776" s="92"/>
      <c r="AK776" s="88"/>
      <c r="AL776" s="88"/>
      <c r="AM776" s="88"/>
      <c r="AN776" s="88"/>
      <c r="AO776" s="88"/>
      <c r="AP776" s="88"/>
      <c r="AQ776" s="88"/>
      <c r="AR776" s="88"/>
    </row>
    <row r="777" spans="1:44" ht="12.75" customHeight="1">
      <c r="A777" s="87"/>
      <c r="B777" s="87"/>
      <c r="C777" s="88"/>
      <c r="D777" s="88"/>
      <c r="E777" s="88"/>
      <c r="F777" s="89"/>
      <c r="G777" s="89"/>
      <c r="H777" s="89"/>
      <c r="I777" s="89"/>
      <c r="J777" s="89"/>
      <c r="K777" s="88"/>
      <c r="L777" s="88"/>
      <c r="M777" s="88"/>
      <c r="N777" s="88"/>
      <c r="O777" s="90"/>
      <c r="P777" s="88"/>
      <c r="Q777" s="88"/>
      <c r="R777" s="92"/>
      <c r="S777" s="92"/>
      <c r="T777" s="92"/>
      <c r="U777" s="92"/>
      <c r="V777" s="92"/>
      <c r="W777" s="92"/>
      <c r="X777" s="92"/>
      <c r="Y777" s="92"/>
      <c r="Z777" s="92"/>
      <c r="AA777" s="92"/>
      <c r="AB777" s="92"/>
      <c r="AC777" s="92"/>
      <c r="AD777" s="92"/>
      <c r="AE777" s="92"/>
      <c r="AF777" s="92"/>
      <c r="AG777" s="92"/>
      <c r="AH777" s="92"/>
      <c r="AI777" s="92"/>
      <c r="AJ777" s="92"/>
      <c r="AK777" s="88"/>
      <c r="AL777" s="88"/>
      <c r="AM777" s="88"/>
      <c r="AN777" s="88"/>
      <c r="AO777" s="88"/>
      <c r="AP777" s="88"/>
      <c r="AQ777" s="88"/>
      <c r="AR777" s="88"/>
    </row>
    <row r="778" spans="1:44" ht="12.75" customHeight="1">
      <c r="A778" s="87"/>
      <c r="B778" s="87"/>
      <c r="C778" s="88"/>
      <c r="D778" s="88"/>
      <c r="E778" s="88"/>
      <c r="F778" s="89"/>
      <c r="G778" s="89"/>
      <c r="H778" s="89"/>
      <c r="I778" s="89"/>
      <c r="J778" s="89"/>
      <c r="K778" s="88"/>
      <c r="L778" s="88"/>
      <c r="M778" s="88"/>
      <c r="N778" s="88"/>
      <c r="O778" s="90"/>
      <c r="P778" s="88"/>
      <c r="Q778" s="88"/>
      <c r="R778" s="92"/>
      <c r="S778" s="92"/>
      <c r="T778" s="92"/>
      <c r="U778" s="92"/>
      <c r="V778" s="92"/>
      <c r="W778" s="92"/>
      <c r="X778" s="92"/>
      <c r="Y778" s="92"/>
      <c r="Z778" s="92"/>
      <c r="AA778" s="92"/>
      <c r="AB778" s="92"/>
      <c r="AC778" s="92"/>
      <c r="AD778" s="92"/>
      <c r="AE778" s="92"/>
      <c r="AF778" s="92"/>
      <c r="AG778" s="92"/>
      <c r="AH778" s="92"/>
      <c r="AI778" s="92"/>
      <c r="AJ778" s="92"/>
      <c r="AK778" s="88"/>
      <c r="AL778" s="88"/>
      <c r="AM778" s="88"/>
      <c r="AN778" s="88"/>
      <c r="AO778" s="88"/>
      <c r="AP778" s="88"/>
      <c r="AQ778" s="88"/>
      <c r="AR778" s="88"/>
    </row>
    <row r="779" spans="1:44" ht="12.75" customHeight="1">
      <c r="A779" s="87"/>
      <c r="B779" s="87"/>
      <c r="C779" s="88"/>
      <c r="D779" s="88"/>
      <c r="E779" s="88"/>
      <c r="F779" s="89"/>
      <c r="G779" s="89"/>
      <c r="H779" s="89"/>
      <c r="I779" s="89"/>
      <c r="J779" s="89"/>
      <c r="K779" s="88"/>
      <c r="L779" s="88"/>
      <c r="M779" s="88"/>
      <c r="N779" s="88"/>
      <c r="O779" s="90"/>
      <c r="P779" s="88"/>
      <c r="Q779" s="88"/>
      <c r="R779" s="92"/>
      <c r="S779" s="92"/>
      <c r="T779" s="92"/>
      <c r="U779" s="92"/>
      <c r="V779" s="92"/>
      <c r="W779" s="92"/>
      <c r="X779" s="92"/>
      <c r="Y779" s="92"/>
      <c r="Z779" s="92"/>
      <c r="AA779" s="92"/>
      <c r="AB779" s="92"/>
      <c r="AC779" s="92"/>
      <c r="AD779" s="92"/>
      <c r="AE779" s="92"/>
      <c r="AF779" s="92"/>
      <c r="AG779" s="92"/>
      <c r="AH779" s="92"/>
      <c r="AI779" s="92"/>
      <c r="AJ779" s="92"/>
      <c r="AK779" s="88"/>
      <c r="AL779" s="88"/>
      <c r="AM779" s="88"/>
      <c r="AN779" s="88"/>
      <c r="AO779" s="88"/>
      <c r="AP779" s="88"/>
      <c r="AQ779" s="88"/>
      <c r="AR779" s="88"/>
    </row>
    <row r="780" spans="1:44" ht="12.75" customHeight="1">
      <c r="A780" s="87"/>
      <c r="B780" s="87"/>
      <c r="C780" s="88"/>
      <c r="D780" s="88"/>
      <c r="E780" s="88"/>
      <c r="F780" s="89"/>
      <c r="G780" s="89"/>
      <c r="H780" s="89"/>
      <c r="I780" s="89"/>
      <c r="J780" s="89"/>
      <c r="K780" s="88"/>
      <c r="L780" s="88"/>
      <c r="M780" s="88"/>
      <c r="N780" s="88"/>
      <c r="O780" s="90"/>
      <c r="P780" s="88"/>
      <c r="Q780" s="88"/>
      <c r="R780" s="92"/>
      <c r="S780" s="92"/>
      <c r="T780" s="92"/>
      <c r="U780" s="92"/>
      <c r="V780" s="92"/>
      <c r="W780" s="92"/>
      <c r="X780" s="92"/>
      <c r="Y780" s="92"/>
      <c r="Z780" s="92"/>
      <c r="AA780" s="92"/>
      <c r="AB780" s="92"/>
      <c r="AC780" s="92"/>
      <c r="AD780" s="92"/>
      <c r="AE780" s="92"/>
      <c r="AF780" s="92"/>
      <c r="AG780" s="92"/>
      <c r="AH780" s="92"/>
      <c r="AI780" s="92"/>
      <c r="AJ780" s="92"/>
      <c r="AK780" s="88"/>
      <c r="AL780" s="88"/>
      <c r="AM780" s="88"/>
      <c r="AN780" s="88"/>
      <c r="AO780" s="88"/>
      <c r="AP780" s="88"/>
      <c r="AQ780" s="88"/>
      <c r="AR780" s="88"/>
    </row>
    <row r="781" spans="1:44" ht="12.75" customHeight="1">
      <c r="A781" s="87"/>
      <c r="B781" s="87"/>
      <c r="C781" s="88"/>
      <c r="D781" s="88"/>
      <c r="E781" s="88"/>
      <c r="F781" s="89"/>
      <c r="G781" s="89"/>
      <c r="H781" s="89"/>
      <c r="I781" s="89"/>
      <c r="J781" s="89"/>
      <c r="K781" s="88"/>
      <c r="L781" s="88"/>
      <c r="M781" s="88"/>
      <c r="N781" s="88"/>
      <c r="O781" s="90"/>
      <c r="P781" s="88"/>
      <c r="Q781" s="88"/>
      <c r="R781" s="92"/>
      <c r="S781" s="92"/>
      <c r="T781" s="92"/>
      <c r="U781" s="92"/>
      <c r="V781" s="92"/>
      <c r="W781" s="92"/>
      <c r="X781" s="92"/>
      <c r="Y781" s="92"/>
      <c r="Z781" s="92"/>
      <c r="AA781" s="92"/>
      <c r="AB781" s="92"/>
      <c r="AC781" s="92"/>
      <c r="AD781" s="92"/>
      <c r="AE781" s="92"/>
      <c r="AF781" s="92"/>
      <c r="AG781" s="92"/>
      <c r="AH781" s="92"/>
      <c r="AI781" s="92"/>
      <c r="AJ781" s="92"/>
      <c r="AK781" s="88"/>
      <c r="AL781" s="88"/>
      <c r="AM781" s="88"/>
      <c r="AN781" s="88"/>
      <c r="AO781" s="88"/>
      <c r="AP781" s="88"/>
      <c r="AQ781" s="88"/>
      <c r="AR781" s="88"/>
    </row>
    <row r="782" spans="1:44" ht="12.75" customHeight="1">
      <c r="A782" s="87"/>
      <c r="B782" s="87"/>
      <c r="C782" s="88"/>
      <c r="D782" s="88"/>
      <c r="E782" s="88"/>
      <c r="F782" s="89"/>
      <c r="G782" s="89"/>
      <c r="H782" s="89"/>
      <c r="I782" s="89"/>
      <c r="J782" s="89"/>
      <c r="K782" s="88"/>
      <c r="L782" s="88"/>
      <c r="M782" s="88"/>
      <c r="N782" s="88"/>
      <c r="O782" s="90"/>
      <c r="P782" s="88"/>
      <c r="Q782" s="88"/>
      <c r="R782" s="92"/>
      <c r="S782" s="92"/>
      <c r="T782" s="92"/>
      <c r="U782" s="92"/>
      <c r="V782" s="92"/>
      <c r="W782" s="92"/>
      <c r="X782" s="92"/>
      <c r="Y782" s="92"/>
      <c r="Z782" s="92"/>
      <c r="AA782" s="92"/>
      <c r="AB782" s="92"/>
      <c r="AC782" s="92"/>
      <c r="AD782" s="92"/>
      <c r="AE782" s="92"/>
      <c r="AF782" s="92"/>
      <c r="AG782" s="92"/>
      <c r="AH782" s="92"/>
      <c r="AI782" s="92"/>
      <c r="AJ782" s="92"/>
      <c r="AK782" s="88"/>
      <c r="AL782" s="88"/>
      <c r="AM782" s="88"/>
      <c r="AN782" s="88"/>
      <c r="AO782" s="88"/>
      <c r="AP782" s="88"/>
      <c r="AQ782" s="88"/>
      <c r="AR782" s="88"/>
    </row>
    <row r="783" spans="1:44" ht="12.75" customHeight="1">
      <c r="A783" s="87"/>
      <c r="B783" s="87"/>
      <c r="C783" s="88"/>
      <c r="D783" s="88"/>
      <c r="E783" s="88"/>
      <c r="F783" s="89"/>
      <c r="G783" s="89"/>
      <c r="H783" s="89"/>
      <c r="I783" s="89"/>
      <c r="J783" s="89"/>
      <c r="K783" s="88"/>
      <c r="L783" s="88"/>
      <c r="M783" s="88"/>
      <c r="N783" s="88"/>
      <c r="O783" s="90"/>
      <c r="P783" s="88"/>
      <c r="Q783" s="88"/>
      <c r="R783" s="92"/>
      <c r="S783" s="92"/>
      <c r="T783" s="92"/>
      <c r="U783" s="92"/>
      <c r="V783" s="92"/>
      <c r="W783" s="92"/>
      <c r="X783" s="92"/>
      <c r="Y783" s="92"/>
      <c r="Z783" s="92"/>
      <c r="AA783" s="92"/>
      <c r="AB783" s="92"/>
      <c r="AC783" s="92"/>
      <c r="AD783" s="92"/>
      <c r="AE783" s="92"/>
      <c r="AF783" s="92"/>
      <c r="AG783" s="92"/>
      <c r="AH783" s="92"/>
      <c r="AI783" s="92"/>
      <c r="AJ783" s="92"/>
      <c r="AK783" s="88"/>
      <c r="AL783" s="88"/>
      <c r="AM783" s="88"/>
      <c r="AN783" s="88"/>
      <c r="AO783" s="88"/>
      <c r="AP783" s="88"/>
      <c r="AQ783" s="88"/>
      <c r="AR783" s="88"/>
    </row>
    <row r="784" spans="1:44" ht="12.75" customHeight="1">
      <c r="A784" s="87"/>
      <c r="B784" s="87"/>
      <c r="C784" s="88"/>
      <c r="D784" s="88"/>
      <c r="E784" s="88"/>
      <c r="F784" s="89"/>
      <c r="G784" s="89"/>
      <c r="H784" s="89"/>
      <c r="I784" s="89"/>
      <c r="J784" s="89"/>
      <c r="K784" s="88"/>
      <c r="L784" s="88"/>
      <c r="M784" s="88"/>
      <c r="N784" s="88"/>
      <c r="O784" s="90"/>
      <c r="P784" s="88"/>
      <c r="Q784" s="88"/>
      <c r="R784" s="92"/>
      <c r="S784" s="92"/>
      <c r="T784" s="92"/>
      <c r="U784" s="92"/>
      <c r="V784" s="92"/>
      <c r="W784" s="92"/>
      <c r="X784" s="92"/>
      <c r="Y784" s="92"/>
      <c r="Z784" s="92"/>
      <c r="AA784" s="92"/>
      <c r="AB784" s="92"/>
      <c r="AC784" s="92"/>
      <c r="AD784" s="92"/>
      <c r="AE784" s="92"/>
      <c r="AF784" s="92"/>
      <c r="AG784" s="92"/>
      <c r="AH784" s="92"/>
      <c r="AI784" s="92"/>
      <c r="AJ784" s="92"/>
      <c r="AK784" s="88"/>
      <c r="AL784" s="88"/>
      <c r="AM784" s="88"/>
      <c r="AN784" s="88"/>
      <c r="AO784" s="88"/>
      <c r="AP784" s="88"/>
      <c r="AQ784" s="88"/>
      <c r="AR784" s="88"/>
    </row>
    <row r="785" spans="1:44" ht="12.75" customHeight="1">
      <c r="A785" s="87"/>
      <c r="B785" s="87"/>
      <c r="C785" s="88"/>
      <c r="D785" s="88"/>
      <c r="E785" s="88"/>
      <c r="F785" s="89"/>
      <c r="G785" s="89"/>
      <c r="H785" s="89"/>
      <c r="I785" s="89"/>
      <c r="J785" s="89"/>
      <c r="K785" s="88"/>
      <c r="L785" s="88"/>
      <c r="M785" s="88"/>
      <c r="N785" s="88"/>
      <c r="O785" s="90"/>
      <c r="P785" s="88"/>
      <c r="Q785" s="88"/>
      <c r="R785" s="92"/>
      <c r="S785" s="92"/>
      <c r="T785" s="92"/>
      <c r="U785" s="92"/>
      <c r="V785" s="92"/>
      <c r="W785" s="92"/>
      <c r="X785" s="92"/>
      <c r="Y785" s="92"/>
      <c r="Z785" s="92"/>
      <c r="AA785" s="92"/>
      <c r="AB785" s="92"/>
      <c r="AC785" s="92"/>
      <c r="AD785" s="92"/>
      <c r="AE785" s="92"/>
      <c r="AF785" s="92"/>
      <c r="AG785" s="92"/>
      <c r="AH785" s="92"/>
      <c r="AI785" s="92"/>
      <c r="AJ785" s="92"/>
      <c r="AK785" s="88"/>
      <c r="AL785" s="88"/>
      <c r="AM785" s="88"/>
      <c r="AN785" s="88"/>
      <c r="AO785" s="88"/>
      <c r="AP785" s="88"/>
      <c r="AQ785" s="88"/>
      <c r="AR785" s="88"/>
    </row>
    <row r="786" spans="1:44" ht="12.75" customHeight="1">
      <c r="A786" s="87"/>
      <c r="B786" s="87"/>
      <c r="C786" s="88"/>
      <c r="D786" s="88"/>
      <c r="E786" s="88"/>
      <c r="F786" s="89"/>
      <c r="G786" s="89"/>
      <c r="H786" s="89"/>
      <c r="I786" s="89"/>
      <c r="J786" s="89"/>
      <c r="K786" s="88"/>
      <c r="L786" s="88"/>
      <c r="M786" s="88"/>
      <c r="N786" s="88"/>
      <c r="O786" s="90"/>
      <c r="P786" s="88"/>
      <c r="Q786" s="88"/>
      <c r="R786" s="92"/>
      <c r="S786" s="92"/>
      <c r="T786" s="92"/>
      <c r="U786" s="92"/>
      <c r="V786" s="92"/>
      <c r="W786" s="92"/>
      <c r="X786" s="92"/>
      <c r="Y786" s="92"/>
      <c r="Z786" s="92"/>
      <c r="AA786" s="92"/>
      <c r="AB786" s="92"/>
      <c r="AC786" s="92"/>
      <c r="AD786" s="92"/>
      <c r="AE786" s="92"/>
      <c r="AF786" s="92"/>
      <c r="AG786" s="92"/>
      <c r="AH786" s="92"/>
      <c r="AI786" s="92"/>
      <c r="AJ786" s="92"/>
      <c r="AK786" s="88"/>
      <c r="AL786" s="88"/>
      <c r="AM786" s="88"/>
      <c r="AN786" s="88"/>
      <c r="AO786" s="88"/>
      <c r="AP786" s="88"/>
      <c r="AQ786" s="88"/>
      <c r="AR786" s="88"/>
    </row>
    <row r="787" spans="1:44" ht="12.75" customHeight="1">
      <c r="A787" s="87"/>
      <c r="B787" s="87"/>
      <c r="C787" s="88"/>
      <c r="D787" s="88"/>
      <c r="E787" s="88"/>
      <c r="F787" s="89"/>
      <c r="G787" s="89"/>
      <c r="H787" s="89"/>
      <c r="I787" s="89"/>
      <c r="J787" s="89"/>
      <c r="K787" s="88"/>
      <c r="L787" s="88"/>
      <c r="M787" s="88"/>
      <c r="N787" s="88"/>
      <c r="O787" s="90"/>
      <c r="P787" s="88"/>
      <c r="Q787" s="88"/>
      <c r="R787" s="92"/>
      <c r="S787" s="92"/>
      <c r="T787" s="92"/>
      <c r="U787" s="92"/>
      <c r="V787" s="92"/>
      <c r="W787" s="92"/>
      <c r="X787" s="92"/>
      <c r="Y787" s="92"/>
      <c r="Z787" s="92"/>
      <c r="AA787" s="92"/>
      <c r="AB787" s="92"/>
      <c r="AC787" s="92"/>
      <c r="AD787" s="92"/>
      <c r="AE787" s="92"/>
      <c r="AF787" s="92"/>
      <c r="AG787" s="92"/>
      <c r="AH787" s="92"/>
      <c r="AI787" s="92"/>
      <c r="AJ787" s="92"/>
      <c r="AK787" s="88"/>
      <c r="AL787" s="88"/>
      <c r="AM787" s="88"/>
      <c r="AN787" s="88"/>
      <c r="AO787" s="88"/>
      <c r="AP787" s="88"/>
      <c r="AQ787" s="88"/>
      <c r="AR787" s="88"/>
    </row>
    <row r="788" spans="1:44" ht="12.75" customHeight="1">
      <c r="A788" s="87"/>
      <c r="B788" s="87"/>
      <c r="C788" s="88"/>
      <c r="D788" s="88"/>
      <c r="E788" s="88"/>
      <c r="F788" s="89"/>
      <c r="G788" s="89"/>
      <c r="H788" s="89"/>
      <c r="I788" s="89"/>
      <c r="J788" s="89"/>
      <c r="K788" s="88"/>
      <c r="L788" s="88"/>
      <c r="M788" s="88"/>
      <c r="N788" s="88"/>
      <c r="O788" s="90"/>
      <c r="P788" s="88"/>
      <c r="Q788" s="88"/>
      <c r="R788" s="92"/>
      <c r="S788" s="92"/>
      <c r="T788" s="92"/>
      <c r="U788" s="92"/>
      <c r="V788" s="92"/>
      <c r="W788" s="92"/>
      <c r="X788" s="92"/>
      <c r="Y788" s="92"/>
      <c r="Z788" s="92"/>
      <c r="AA788" s="92"/>
      <c r="AB788" s="92"/>
      <c r="AC788" s="92"/>
      <c r="AD788" s="92"/>
      <c r="AE788" s="92"/>
      <c r="AF788" s="92"/>
      <c r="AG788" s="92"/>
      <c r="AH788" s="92"/>
      <c r="AI788" s="92"/>
      <c r="AJ788" s="92"/>
      <c r="AK788" s="88"/>
      <c r="AL788" s="88"/>
      <c r="AM788" s="88"/>
      <c r="AN788" s="88"/>
      <c r="AO788" s="88"/>
      <c r="AP788" s="88"/>
      <c r="AQ788" s="88"/>
      <c r="AR788" s="88"/>
    </row>
    <row r="789" spans="1:44" ht="12.75" customHeight="1">
      <c r="A789" s="87"/>
      <c r="B789" s="87"/>
      <c r="C789" s="88"/>
      <c r="D789" s="88"/>
      <c r="E789" s="88"/>
      <c r="F789" s="89"/>
      <c r="G789" s="89"/>
      <c r="H789" s="89"/>
      <c r="I789" s="89"/>
      <c r="J789" s="89"/>
      <c r="K789" s="88"/>
      <c r="L789" s="88"/>
      <c r="M789" s="88"/>
      <c r="N789" s="88"/>
      <c r="O789" s="90"/>
      <c r="P789" s="88"/>
      <c r="Q789" s="88"/>
      <c r="R789" s="92"/>
      <c r="S789" s="92"/>
      <c r="T789" s="92"/>
      <c r="U789" s="92"/>
      <c r="V789" s="92"/>
      <c r="W789" s="92"/>
      <c r="X789" s="92"/>
      <c r="Y789" s="92"/>
      <c r="Z789" s="92"/>
      <c r="AA789" s="92"/>
      <c r="AB789" s="92"/>
      <c r="AC789" s="92"/>
      <c r="AD789" s="92"/>
      <c r="AE789" s="92"/>
      <c r="AF789" s="92"/>
      <c r="AG789" s="92"/>
      <c r="AH789" s="92"/>
      <c r="AI789" s="92"/>
      <c r="AJ789" s="92"/>
      <c r="AK789" s="88"/>
      <c r="AL789" s="88"/>
      <c r="AM789" s="88"/>
      <c r="AN789" s="88"/>
      <c r="AO789" s="88"/>
      <c r="AP789" s="88"/>
      <c r="AQ789" s="88"/>
      <c r="AR789" s="88"/>
    </row>
    <row r="790" spans="1:44" ht="12.75" customHeight="1">
      <c r="A790" s="87"/>
      <c r="B790" s="87"/>
      <c r="C790" s="88"/>
      <c r="D790" s="88"/>
      <c r="E790" s="88"/>
      <c r="F790" s="89"/>
      <c r="G790" s="89"/>
      <c r="H790" s="89"/>
      <c r="I790" s="89"/>
      <c r="J790" s="89"/>
      <c r="K790" s="88"/>
      <c r="L790" s="88"/>
      <c r="M790" s="88"/>
      <c r="N790" s="88"/>
      <c r="O790" s="90"/>
      <c r="P790" s="88"/>
      <c r="Q790" s="88"/>
      <c r="R790" s="92"/>
      <c r="S790" s="92"/>
      <c r="T790" s="92"/>
      <c r="U790" s="92"/>
      <c r="V790" s="92"/>
      <c r="W790" s="92"/>
      <c r="X790" s="92"/>
      <c r="Y790" s="92"/>
      <c r="Z790" s="92"/>
      <c r="AA790" s="92"/>
      <c r="AB790" s="92"/>
      <c r="AC790" s="92"/>
      <c r="AD790" s="92"/>
      <c r="AE790" s="92"/>
      <c r="AF790" s="92"/>
      <c r="AG790" s="92"/>
      <c r="AH790" s="92"/>
      <c r="AI790" s="92"/>
      <c r="AJ790" s="92"/>
      <c r="AK790" s="88"/>
      <c r="AL790" s="88"/>
      <c r="AM790" s="88"/>
      <c r="AN790" s="88"/>
      <c r="AO790" s="88"/>
      <c r="AP790" s="88"/>
      <c r="AQ790" s="88"/>
      <c r="AR790" s="88"/>
    </row>
    <row r="791" spans="1:44" ht="12.75" customHeight="1">
      <c r="A791" s="87"/>
      <c r="B791" s="87"/>
      <c r="C791" s="88"/>
      <c r="D791" s="88"/>
      <c r="E791" s="88"/>
      <c r="F791" s="89"/>
      <c r="G791" s="89"/>
      <c r="H791" s="89"/>
      <c r="I791" s="89"/>
      <c r="J791" s="89"/>
      <c r="K791" s="88"/>
      <c r="L791" s="88"/>
      <c r="M791" s="88"/>
      <c r="N791" s="88"/>
      <c r="O791" s="90"/>
      <c r="P791" s="88"/>
      <c r="Q791" s="88"/>
      <c r="R791" s="92"/>
      <c r="S791" s="92"/>
      <c r="T791" s="92"/>
      <c r="U791" s="92"/>
      <c r="V791" s="92"/>
      <c r="W791" s="92"/>
      <c r="X791" s="92"/>
      <c r="Y791" s="92"/>
      <c r="Z791" s="92"/>
      <c r="AA791" s="92"/>
      <c r="AB791" s="92"/>
      <c r="AC791" s="92"/>
      <c r="AD791" s="92"/>
      <c r="AE791" s="92"/>
      <c r="AF791" s="92"/>
      <c r="AG791" s="92"/>
      <c r="AH791" s="92"/>
      <c r="AI791" s="92"/>
      <c r="AJ791" s="92"/>
      <c r="AK791" s="88"/>
      <c r="AL791" s="88"/>
      <c r="AM791" s="88"/>
      <c r="AN791" s="88"/>
      <c r="AO791" s="88"/>
      <c r="AP791" s="88"/>
      <c r="AQ791" s="88"/>
      <c r="AR791" s="88"/>
    </row>
    <row r="792" spans="1:44" ht="12.75" customHeight="1">
      <c r="A792" s="87"/>
      <c r="B792" s="87"/>
      <c r="C792" s="88"/>
      <c r="D792" s="88"/>
      <c r="E792" s="88"/>
      <c r="F792" s="89"/>
      <c r="G792" s="89"/>
      <c r="H792" s="89"/>
      <c r="I792" s="89"/>
      <c r="J792" s="89"/>
      <c r="K792" s="88"/>
      <c r="L792" s="88"/>
      <c r="M792" s="88"/>
      <c r="N792" s="88"/>
      <c r="O792" s="90"/>
      <c r="P792" s="88"/>
      <c r="Q792" s="88"/>
      <c r="R792" s="92"/>
      <c r="S792" s="92"/>
      <c r="T792" s="92"/>
      <c r="U792" s="92"/>
      <c r="V792" s="92"/>
      <c r="W792" s="92"/>
      <c r="X792" s="92"/>
      <c r="Y792" s="92"/>
      <c r="Z792" s="92"/>
      <c r="AA792" s="92"/>
      <c r="AB792" s="92"/>
      <c r="AC792" s="92"/>
      <c r="AD792" s="92"/>
      <c r="AE792" s="92"/>
      <c r="AF792" s="92"/>
      <c r="AG792" s="92"/>
      <c r="AH792" s="92"/>
      <c r="AI792" s="92"/>
      <c r="AJ792" s="92"/>
      <c r="AK792" s="88"/>
      <c r="AL792" s="88"/>
      <c r="AM792" s="88"/>
      <c r="AN792" s="88"/>
      <c r="AO792" s="88"/>
      <c r="AP792" s="88"/>
      <c r="AQ792" s="88"/>
      <c r="AR792" s="88"/>
    </row>
    <row r="793" spans="1:44" ht="12.75" customHeight="1">
      <c r="A793" s="87"/>
      <c r="B793" s="87"/>
      <c r="C793" s="88"/>
      <c r="D793" s="88"/>
      <c r="E793" s="88"/>
      <c r="F793" s="89"/>
      <c r="G793" s="89"/>
      <c r="H793" s="89"/>
      <c r="I793" s="89"/>
      <c r="J793" s="89"/>
      <c r="K793" s="88"/>
      <c r="L793" s="88"/>
      <c r="M793" s="88"/>
      <c r="N793" s="88"/>
      <c r="O793" s="90"/>
      <c r="P793" s="88"/>
      <c r="Q793" s="88"/>
      <c r="R793" s="92"/>
      <c r="S793" s="92"/>
      <c r="T793" s="92"/>
      <c r="U793" s="92"/>
      <c r="V793" s="92"/>
      <c r="W793" s="92"/>
      <c r="X793" s="92"/>
      <c r="Y793" s="92"/>
      <c r="Z793" s="92"/>
      <c r="AA793" s="92"/>
      <c r="AB793" s="92"/>
      <c r="AC793" s="92"/>
      <c r="AD793" s="92"/>
      <c r="AE793" s="92"/>
      <c r="AF793" s="92"/>
      <c r="AG793" s="92"/>
      <c r="AH793" s="92"/>
      <c r="AI793" s="92"/>
      <c r="AJ793" s="92"/>
      <c r="AK793" s="88"/>
      <c r="AL793" s="88"/>
      <c r="AM793" s="88"/>
      <c r="AN793" s="88"/>
      <c r="AO793" s="88"/>
      <c r="AP793" s="88"/>
      <c r="AQ793" s="88"/>
      <c r="AR793" s="88"/>
    </row>
    <row r="794" spans="1:44" ht="12.75" customHeight="1">
      <c r="A794" s="87"/>
      <c r="B794" s="87"/>
      <c r="C794" s="88"/>
      <c r="D794" s="88"/>
      <c r="E794" s="88"/>
      <c r="F794" s="89"/>
      <c r="G794" s="89"/>
      <c r="H794" s="89"/>
      <c r="I794" s="89"/>
      <c r="J794" s="89"/>
      <c r="K794" s="88"/>
      <c r="L794" s="88"/>
      <c r="M794" s="88"/>
      <c r="N794" s="88"/>
      <c r="O794" s="90"/>
      <c r="P794" s="88"/>
      <c r="Q794" s="88"/>
      <c r="R794" s="92"/>
      <c r="S794" s="92"/>
      <c r="T794" s="92"/>
      <c r="U794" s="92"/>
      <c r="V794" s="92"/>
      <c r="W794" s="92"/>
      <c r="X794" s="92"/>
      <c r="Y794" s="92"/>
      <c r="Z794" s="92"/>
      <c r="AA794" s="92"/>
      <c r="AB794" s="92"/>
      <c r="AC794" s="92"/>
      <c r="AD794" s="92"/>
      <c r="AE794" s="92"/>
      <c r="AF794" s="92"/>
      <c r="AG794" s="92"/>
      <c r="AH794" s="92"/>
      <c r="AI794" s="92"/>
      <c r="AJ794" s="92"/>
      <c r="AK794" s="88"/>
      <c r="AL794" s="88"/>
      <c r="AM794" s="88"/>
      <c r="AN794" s="88"/>
      <c r="AO794" s="88"/>
      <c r="AP794" s="88"/>
      <c r="AQ794" s="88"/>
      <c r="AR794" s="88"/>
    </row>
    <row r="795" spans="1:44" ht="12.75" customHeight="1">
      <c r="A795" s="87"/>
      <c r="B795" s="87"/>
      <c r="C795" s="88"/>
      <c r="D795" s="88"/>
      <c r="E795" s="88"/>
      <c r="F795" s="89"/>
      <c r="G795" s="89"/>
      <c r="H795" s="89"/>
      <c r="I795" s="89"/>
      <c r="J795" s="89"/>
      <c r="K795" s="88"/>
      <c r="L795" s="88"/>
      <c r="M795" s="88"/>
      <c r="N795" s="88"/>
      <c r="O795" s="90"/>
      <c r="P795" s="88"/>
      <c r="Q795" s="88"/>
      <c r="R795" s="92"/>
      <c r="S795" s="92"/>
      <c r="T795" s="92"/>
      <c r="U795" s="92"/>
      <c r="V795" s="92"/>
      <c r="W795" s="92"/>
      <c r="X795" s="92"/>
      <c r="Y795" s="92"/>
      <c r="Z795" s="92"/>
      <c r="AA795" s="92"/>
      <c r="AB795" s="92"/>
      <c r="AC795" s="92"/>
      <c r="AD795" s="92"/>
      <c r="AE795" s="92"/>
      <c r="AF795" s="92"/>
      <c r="AG795" s="92"/>
      <c r="AH795" s="92"/>
      <c r="AI795" s="92"/>
      <c r="AJ795" s="92"/>
      <c r="AK795" s="88"/>
      <c r="AL795" s="88"/>
      <c r="AM795" s="88"/>
      <c r="AN795" s="88"/>
      <c r="AO795" s="88"/>
      <c r="AP795" s="88"/>
      <c r="AQ795" s="88"/>
      <c r="AR795" s="88"/>
    </row>
    <row r="796" spans="1:44" ht="12.75" customHeight="1">
      <c r="A796" s="87"/>
      <c r="B796" s="87"/>
      <c r="C796" s="88"/>
      <c r="D796" s="88"/>
      <c r="E796" s="88"/>
      <c r="F796" s="89"/>
      <c r="G796" s="89"/>
      <c r="H796" s="89"/>
      <c r="I796" s="89"/>
      <c r="J796" s="89"/>
      <c r="K796" s="88"/>
      <c r="L796" s="88"/>
      <c r="M796" s="88"/>
      <c r="N796" s="88"/>
      <c r="O796" s="90"/>
      <c r="P796" s="88"/>
      <c r="Q796" s="88"/>
      <c r="R796" s="92"/>
      <c r="S796" s="92"/>
      <c r="T796" s="92"/>
      <c r="U796" s="92"/>
      <c r="V796" s="92"/>
      <c r="W796" s="92"/>
      <c r="X796" s="92"/>
      <c r="Y796" s="92"/>
      <c r="Z796" s="92"/>
      <c r="AA796" s="92"/>
      <c r="AB796" s="92"/>
      <c r="AC796" s="92"/>
      <c r="AD796" s="92"/>
      <c r="AE796" s="92"/>
      <c r="AF796" s="92"/>
      <c r="AG796" s="92"/>
      <c r="AH796" s="92"/>
      <c r="AI796" s="92"/>
      <c r="AJ796" s="92"/>
      <c r="AK796" s="88"/>
      <c r="AL796" s="88"/>
      <c r="AM796" s="88"/>
      <c r="AN796" s="88"/>
      <c r="AO796" s="88"/>
      <c r="AP796" s="88"/>
      <c r="AQ796" s="88"/>
      <c r="AR796" s="88"/>
    </row>
    <row r="797" spans="1:44" ht="12.75" customHeight="1">
      <c r="A797" s="87"/>
      <c r="B797" s="87"/>
      <c r="C797" s="88"/>
      <c r="D797" s="88"/>
      <c r="E797" s="88"/>
      <c r="F797" s="89"/>
      <c r="G797" s="89"/>
      <c r="H797" s="89"/>
      <c r="I797" s="89"/>
      <c r="J797" s="89"/>
      <c r="K797" s="88"/>
      <c r="L797" s="88"/>
      <c r="M797" s="88"/>
      <c r="N797" s="88"/>
      <c r="O797" s="90"/>
      <c r="P797" s="88"/>
      <c r="Q797" s="88"/>
      <c r="R797" s="92"/>
      <c r="S797" s="92"/>
      <c r="T797" s="92"/>
      <c r="U797" s="92"/>
      <c r="V797" s="92"/>
      <c r="W797" s="92"/>
      <c r="X797" s="92"/>
      <c r="Y797" s="92"/>
      <c r="Z797" s="92"/>
      <c r="AA797" s="92"/>
      <c r="AB797" s="92"/>
      <c r="AC797" s="92"/>
      <c r="AD797" s="92"/>
      <c r="AE797" s="92"/>
      <c r="AF797" s="92"/>
      <c r="AG797" s="92"/>
      <c r="AH797" s="92"/>
      <c r="AI797" s="92"/>
      <c r="AJ797" s="92"/>
      <c r="AK797" s="88"/>
      <c r="AL797" s="88"/>
      <c r="AM797" s="88"/>
      <c r="AN797" s="88"/>
      <c r="AO797" s="88"/>
      <c r="AP797" s="88"/>
      <c r="AQ797" s="88"/>
      <c r="AR797" s="88"/>
    </row>
    <row r="798" spans="1:44" ht="12.75" customHeight="1">
      <c r="A798" s="87"/>
      <c r="B798" s="87"/>
      <c r="C798" s="88"/>
      <c r="D798" s="88"/>
      <c r="E798" s="88"/>
      <c r="F798" s="89"/>
      <c r="G798" s="89"/>
      <c r="H798" s="89"/>
      <c r="I798" s="89"/>
      <c r="J798" s="89"/>
      <c r="K798" s="88"/>
      <c r="L798" s="88"/>
      <c r="M798" s="88"/>
      <c r="N798" s="88"/>
      <c r="O798" s="90"/>
      <c r="P798" s="88"/>
      <c r="Q798" s="88"/>
      <c r="R798" s="92"/>
      <c r="S798" s="92"/>
      <c r="T798" s="92"/>
      <c r="U798" s="92"/>
      <c r="V798" s="92"/>
      <c r="W798" s="92"/>
      <c r="X798" s="92"/>
      <c r="Y798" s="92"/>
      <c r="Z798" s="92"/>
      <c r="AA798" s="92"/>
      <c r="AB798" s="92"/>
      <c r="AC798" s="92"/>
      <c r="AD798" s="92"/>
      <c r="AE798" s="92"/>
      <c r="AF798" s="92"/>
      <c r="AG798" s="92"/>
      <c r="AH798" s="92"/>
      <c r="AI798" s="92"/>
      <c r="AJ798" s="92"/>
      <c r="AK798" s="88"/>
      <c r="AL798" s="88"/>
      <c r="AM798" s="88"/>
      <c r="AN798" s="88"/>
      <c r="AO798" s="88"/>
      <c r="AP798" s="88"/>
      <c r="AQ798" s="88"/>
      <c r="AR798" s="88"/>
    </row>
    <row r="799" spans="1:44" ht="12.75" customHeight="1">
      <c r="A799" s="87"/>
      <c r="B799" s="87"/>
      <c r="C799" s="88"/>
      <c r="D799" s="88"/>
      <c r="E799" s="88"/>
      <c r="F799" s="89"/>
      <c r="G799" s="89"/>
      <c r="H799" s="89"/>
      <c r="I799" s="89"/>
      <c r="J799" s="89"/>
      <c r="K799" s="88"/>
      <c r="L799" s="88"/>
      <c r="M799" s="88"/>
      <c r="N799" s="88"/>
      <c r="O799" s="90"/>
      <c r="P799" s="88"/>
      <c r="Q799" s="88"/>
      <c r="R799" s="92"/>
      <c r="S799" s="92"/>
      <c r="T799" s="92"/>
      <c r="U799" s="92"/>
      <c r="V799" s="92"/>
      <c r="W799" s="92"/>
      <c r="X799" s="92"/>
      <c r="Y799" s="92"/>
      <c r="Z799" s="92"/>
      <c r="AA799" s="92"/>
      <c r="AB799" s="92"/>
      <c r="AC799" s="92"/>
      <c r="AD799" s="92"/>
      <c r="AE799" s="92"/>
      <c r="AF799" s="92"/>
      <c r="AG799" s="92"/>
      <c r="AH799" s="92"/>
      <c r="AI799" s="92"/>
      <c r="AJ799" s="92"/>
      <c r="AK799" s="88"/>
      <c r="AL799" s="88"/>
      <c r="AM799" s="88"/>
      <c r="AN799" s="88"/>
      <c r="AO799" s="88"/>
      <c r="AP799" s="88"/>
      <c r="AQ799" s="88"/>
      <c r="AR799" s="88"/>
    </row>
    <row r="800" spans="1:44" ht="12.75" customHeight="1">
      <c r="A800" s="87"/>
      <c r="B800" s="87"/>
      <c r="C800" s="88"/>
      <c r="D800" s="88"/>
      <c r="E800" s="88"/>
      <c r="F800" s="89"/>
      <c r="G800" s="89"/>
      <c r="H800" s="89"/>
      <c r="I800" s="89"/>
      <c r="J800" s="89"/>
      <c r="K800" s="88"/>
      <c r="L800" s="88"/>
      <c r="M800" s="88"/>
      <c r="N800" s="88"/>
      <c r="O800" s="90"/>
      <c r="P800" s="88"/>
      <c r="Q800" s="88"/>
      <c r="R800" s="92"/>
      <c r="S800" s="92"/>
      <c r="T800" s="92"/>
      <c r="U800" s="92"/>
      <c r="V800" s="92"/>
      <c r="W800" s="92"/>
      <c r="X800" s="92"/>
      <c r="Y800" s="92"/>
      <c r="Z800" s="92"/>
      <c r="AA800" s="92"/>
      <c r="AB800" s="92"/>
      <c r="AC800" s="92"/>
      <c r="AD800" s="92"/>
      <c r="AE800" s="92"/>
      <c r="AF800" s="92"/>
      <c r="AG800" s="92"/>
      <c r="AH800" s="92"/>
      <c r="AI800" s="92"/>
      <c r="AJ800" s="92"/>
      <c r="AK800" s="88"/>
      <c r="AL800" s="88"/>
      <c r="AM800" s="88"/>
      <c r="AN800" s="88"/>
      <c r="AO800" s="88"/>
      <c r="AP800" s="88"/>
      <c r="AQ800" s="88"/>
      <c r="AR800" s="88"/>
    </row>
    <row r="801" spans="1:44" ht="12.75" customHeight="1">
      <c r="A801" s="87"/>
      <c r="B801" s="87"/>
      <c r="C801" s="88"/>
      <c r="D801" s="88"/>
      <c r="E801" s="88"/>
      <c r="F801" s="89"/>
      <c r="G801" s="89"/>
      <c r="H801" s="89"/>
      <c r="I801" s="89"/>
      <c r="J801" s="89"/>
      <c r="K801" s="88"/>
      <c r="L801" s="88"/>
      <c r="M801" s="88"/>
      <c r="N801" s="88"/>
      <c r="O801" s="90"/>
      <c r="P801" s="88"/>
      <c r="Q801" s="88"/>
      <c r="R801" s="92"/>
      <c r="S801" s="92"/>
      <c r="T801" s="92"/>
      <c r="U801" s="92"/>
      <c r="V801" s="92"/>
      <c r="W801" s="92"/>
      <c r="X801" s="92"/>
      <c r="Y801" s="92"/>
      <c r="Z801" s="92"/>
      <c r="AA801" s="92"/>
      <c r="AB801" s="92"/>
      <c r="AC801" s="92"/>
      <c r="AD801" s="92"/>
      <c r="AE801" s="92"/>
      <c r="AF801" s="92"/>
      <c r="AG801" s="92"/>
      <c r="AH801" s="92"/>
      <c r="AI801" s="92"/>
      <c r="AJ801" s="92"/>
      <c r="AK801" s="88"/>
      <c r="AL801" s="88"/>
      <c r="AM801" s="88"/>
      <c r="AN801" s="88"/>
      <c r="AO801" s="88"/>
      <c r="AP801" s="88"/>
      <c r="AQ801" s="88"/>
      <c r="AR801" s="88"/>
    </row>
    <row r="802" spans="1:44" ht="12.75" customHeight="1">
      <c r="A802" s="87"/>
      <c r="B802" s="87"/>
      <c r="C802" s="88"/>
      <c r="D802" s="88"/>
      <c r="E802" s="88"/>
      <c r="F802" s="89"/>
      <c r="G802" s="89"/>
      <c r="H802" s="89"/>
      <c r="I802" s="89"/>
      <c r="J802" s="89"/>
      <c r="K802" s="88"/>
      <c r="L802" s="88"/>
      <c r="M802" s="88"/>
      <c r="N802" s="88"/>
      <c r="O802" s="90"/>
      <c r="P802" s="88"/>
      <c r="Q802" s="88"/>
      <c r="R802" s="92"/>
      <c r="S802" s="92"/>
      <c r="T802" s="92"/>
      <c r="U802" s="92"/>
      <c r="V802" s="92"/>
      <c r="W802" s="92"/>
      <c r="X802" s="92"/>
      <c r="Y802" s="92"/>
      <c r="Z802" s="92"/>
      <c r="AA802" s="92"/>
      <c r="AB802" s="92"/>
      <c r="AC802" s="92"/>
      <c r="AD802" s="92"/>
      <c r="AE802" s="92"/>
      <c r="AF802" s="92"/>
      <c r="AG802" s="92"/>
      <c r="AH802" s="92"/>
      <c r="AI802" s="92"/>
      <c r="AJ802" s="92"/>
      <c r="AK802" s="88"/>
      <c r="AL802" s="88"/>
      <c r="AM802" s="88"/>
      <c r="AN802" s="88"/>
      <c r="AO802" s="88"/>
      <c r="AP802" s="88"/>
      <c r="AQ802" s="88"/>
      <c r="AR802" s="88"/>
    </row>
    <row r="803" spans="1:44" ht="12.75" customHeight="1">
      <c r="A803" s="87"/>
      <c r="B803" s="87"/>
      <c r="C803" s="88"/>
      <c r="D803" s="88"/>
      <c r="E803" s="88"/>
      <c r="F803" s="89"/>
      <c r="G803" s="89"/>
      <c r="H803" s="89"/>
      <c r="I803" s="89"/>
      <c r="J803" s="89"/>
      <c r="K803" s="88"/>
      <c r="L803" s="88"/>
      <c r="M803" s="88"/>
      <c r="N803" s="88"/>
      <c r="O803" s="90"/>
      <c r="P803" s="88"/>
      <c r="Q803" s="88"/>
      <c r="R803" s="92"/>
      <c r="S803" s="92"/>
      <c r="T803" s="92"/>
      <c r="U803" s="92"/>
      <c r="V803" s="92"/>
      <c r="W803" s="92"/>
      <c r="X803" s="92"/>
      <c r="Y803" s="92"/>
      <c r="Z803" s="92"/>
      <c r="AA803" s="92"/>
      <c r="AB803" s="92"/>
      <c r="AC803" s="92"/>
      <c r="AD803" s="92"/>
      <c r="AE803" s="92"/>
      <c r="AF803" s="92"/>
      <c r="AG803" s="92"/>
      <c r="AH803" s="92"/>
      <c r="AI803" s="92"/>
      <c r="AJ803" s="92"/>
      <c r="AK803" s="88"/>
      <c r="AL803" s="88"/>
      <c r="AM803" s="88"/>
      <c r="AN803" s="88"/>
      <c r="AO803" s="88"/>
      <c r="AP803" s="88"/>
      <c r="AQ803" s="88"/>
      <c r="AR803" s="88"/>
    </row>
    <row r="804" spans="1:44" ht="12.75" customHeight="1">
      <c r="A804" s="87"/>
      <c r="B804" s="87"/>
      <c r="C804" s="88"/>
      <c r="D804" s="88"/>
      <c r="E804" s="88"/>
      <c r="F804" s="89"/>
      <c r="G804" s="89"/>
      <c r="H804" s="89"/>
      <c r="I804" s="89"/>
      <c r="J804" s="89"/>
      <c r="K804" s="88"/>
      <c r="L804" s="88"/>
      <c r="M804" s="88"/>
      <c r="N804" s="88"/>
      <c r="O804" s="90"/>
      <c r="P804" s="88"/>
      <c r="Q804" s="88"/>
      <c r="R804" s="92"/>
      <c r="S804" s="92"/>
      <c r="T804" s="92"/>
      <c r="U804" s="92"/>
      <c r="V804" s="92"/>
      <c r="W804" s="92"/>
      <c r="X804" s="92"/>
      <c r="Y804" s="92"/>
      <c r="Z804" s="92"/>
      <c r="AA804" s="92"/>
      <c r="AB804" s="92"/>
      <c r="AC804" s="92"/>
      <c r="AD804" s="92"/>
      <c r="AE804" s="92"/>
      <c r="AF804" s="92"/>
      <c r="AG804" s="92"/>
      <c r="AH804" s="92"/>
      <c r="AI804" s="92"/>
      <c r="AJ804" s="92"/>
      <c r="AK804" s="88"/>
      <c r="AL804" s="88"/>
      <c r="AM804" s="88"/>
      <c r="AN804" s="88"/>
      <c r="AO804" s="88"/>
      <c r="AP804" s="88"/>
      <c r="AQ804" s="88"/>
      <c r="AR804" s="88"/>
    </row>
    <row r="805" spans="1:44" ht="12.75" customHeight="1">
      <c r="A805" s="87"/>
      <c r="B805" s="87"/>
      <c r="C805" s="88"/>
      <c r="D805" s="88"/>
      <c r="E805" s="88"/>
      <c r="F805" s="89"/>
      <c r="G805" s="89"/>
      <c r="H805" s="89"/>
      <c r="I805" s="89"/>
      <c r="J805" s="89"/>
      <c r="K805" s="88"/>
      <c r="L805" s="88"/>
      <c r="M805" s="88"/>
      <c r="N805" s="88"/>
      <c r="O805" s="90"/>
      <c r="P805" s="88"/>
      <c r="Q805" s="88"/>
      <c r="R805" s="92"/>
      <c r="S805" s="92"/>
      <c r="T805" s="92"/>
      <c r="U805" s="92"/>
      <c r="V805" s="92"/>
      <c r="W805" s="92"/>
      <c r="X805" s="92"/>
      <c r="Y805" s="92"/>
      <c r="Z805" s="92"/>
      <c r="AA805" s="92"/>
      <c r="AB805" s="92"/>
      <c r="AC805" s="92"/>
      <c r="AD805" s="92"/>
      <c r="AE805" s="92"/>
      <c r="AF805" s="92"/>
      <c r="AG805" s="92"/>
      <c r="AH805" s="92"/>
      <c r="AI805" s="92"/>
      <c r="AJ805" s="92"/>
      <c r="AK805" s="88"/>
      <c r="AL805" s="88"/>
      <c r="AM805" s="88"/>
      <c r="AN805" s="88"/>
      <c r="AO805" s="88"/>
      <c r="AP805" s="88"/>
      <c r="AQ805" s="88"/>
      <c r="AR805" s="88"/>
    </row>
    <row r="806" spans="1:44" ht="12.75" customHeight="1">
      <c r="A806" s="87"/>
      <c r="B806" s="87"/>
      <c r="C806" s="88"/>
      <c r="D806" s="88"/>
      <c r="E806" s="88"/>
      <c r="F806" s="89"/>
      <c r="G806" s="89"/>
      <c r="H806" s="89"/>
      <c r="I806" s="89"/>
      <c r="J806" s="89"/>
      <c r="K806" s="88"/>
      <c r="L806" s="88"/>
      <c r="M806" s="88"/>
      <c r="N806" s="88"/>
      <c r="O806" s="90"/>
      <c r="P806" s="88"/>
      <c r="Q806" s="88"/>
      <c r="R806" s="92"/>
      <c r="S806" s="92"/>
      <c r="T806" s="92"/>
      <c r="U806" s="92"/>
      <c r="V806" s="92"/>
      <c r="W806" s="92"/>
      <c r="X806" s="92"/>
      <c r="Y806" s="92"/>
      <c r="Z806" s="92"/>
      <c r="AA806" s="92"/>
      <c r="AB806" s="92"/>
      <c r="AC806" s="92"/>
      <c r="AD806" s="92"/>
      <c r="AE806" s="92"/>
      <c r="AF806" s="92"/>
      <c r="AG806" s="92"/>
      <c r="AH806" s="92"/>
      <c r="AI806" s="92"/>
      <c r="AJ806" s="92"/>
      <c r="AK806" s="88"/>
      <c r="AL806" s="88"/>
      <c r="AM806" s="88"/>
      <c r="AN806" s="88"/>
      <c r="AO806" s="88"/>
      <c r="AP806" s="88"/>
      <c r="AQ806" s="88"/>
      <c r="AR806" s="88"/>
    </row>
    <row r="807" spans="1:44" ht="12.75" customHeight="1">
      <c r="A807" s="87"/>
      <c r="B807" s="87"/>
      <c r="C807" s="88"/>
      <c r="D807" s="88"/>
      <c r="E807" s="88"/>
      <c r="F807" s="89"/>
      <c r="G807" s="89"/>
      <c r="H807" s="89"/>
      <c r="I807" s="89"/>
      <c r="J807" s="89"/>
      <c r="K807" s="88"/>
      <c r="L807" s="88"/>
      <c r="M807" s="88"/>
      <c r="N807" s="88"/>
      <c r="O807" s="90"/>
      <c r="P807" s="88"/>
      <c r="Q807" s="88"/>
      <c r="R807" s="92"/>
      <c r="S807" s="92"/>
      <c r="T807" s="92"/>
      <c r="U807" s="92"/>
      <c r="V807" s="92"/>
      <c r="W807" s="92"/>
      <c r="X807" s="92"/>
      <c r="Y807" s="92"/>
      <c r="Z807" s="92"/>
      <c r="AA807" s="92"/>
      <c r="AB807" s="92"/>
      <c r="AC807" s="92"/>
      <c r="AD807" s="92"/>
      <c r="AE807" s="92"/>
      <c r="AF807" s="92"/>
      <c r="AG807" s="92"/>
      <c r="AH807" s="92"/>
      <c r="AI807" s="92"/>
      <c r="AJ807" s="92"/>
      <c r="AK807" s="88"/>
      <c r="AL807" s="88"/>
      <c r="AM807" s="88"/>
      <c r="AN807" s="88"/>
      <c r="AO807" s="88"/>
      <c r="AP807" s="88"/>
      <c r="AQ807" s="88"/>
      <c r="AR807" s="88"/>
    </row>
    <row r="808" spans="1:44" ht="12.75" customHeight="1">
      <c r="A808" s="87"/>
      <c r="B808" s="87"/>
      <c r="C808" s="88"/>
      <c r="D808" s="88"/>
      <c r="E808" s="88"/>
      <c r="F808" s="89"/>
      <c r="G808" s="89"/>
      <c r="H808" s="89"/>
      <c r="I808" s="89"/>
      <c r="J808" s="89"/>
      <c r="K808" s="88"/>
      <c r="L808" s="88"/>
      <c r="M808" s="88"/>
      <c r="N808" s="88"/>
      <c r="O808" s="90"/>
      <c r="P808" s="88"/>
      <c r="Q808" s="88"/>
      <c r="R808" s="92"/>
      <c r="S808" s="92"/>
      <c r="T808" s="92"/>
      <c r="U808" s="92"/>
      <c r="V808" s="92"/>
      <c r="W808" s="92"/>
      <c r="X808" s="92"/>
      <c r="Y808" s="92"/>
      <c r="Z808" s="92"/>
      <c r="AA808" s="92"/>
      <c r="AB808" s="92"/>
      <c r="AC808" s="92"/>
      <c r="AD808" s="92"/>
      <c r="AE808" s="92"/>
      <c r="AF808" s="92"/>
      <c r="AG808" s="92"/>
      <c r="AH808" s="92"/>
      <c r="AI808" s="92"/>
      <c r="AJ808" s="92"/>
      <c r="AK808" s="88"/>
      <c r="AL808" s="88"/>
      <c r="AM808" s="88"/>
      <c r="AN808" s="88"/>
      <c r="AO808" s="88"/>
      <c r="AP808" s="88"/>
      <c r="AQ808" s="88"/>
      <c r="AR808" s="88"/>
    </row>
    <row r="809" spans="1:44" ht="12.75" customHeight="1">
      <c r="A809" s="87"/>
      <c r="B809" s="87"/>
      <c r="C809" s="88"/>
      <c r="D809" s="88"/>
      <c r="E809" s="88"/>
      <c r="F809" s="89"/>
      <c r="G809" s="89"/>
      <c r="H809" s="89"/>
      <c r="I809" s="89"/>
      <c r="J809" s="89"/>
      <c r="K809" s="88"/>
      <c r="L809" s="88"/>
      <c r="M809" s="88"/>
      <c r="N809" s="88"/>
      <c r="O809" s="90"/>
      <c r="P809" s="88"/>
      <c r="Q809" s="88"/>
      <c r="R809" s="92"/>
      <c r="S809" s="92"/>
      <c r="T809" s="92"/>
      <c r="U809" s="92"/>
      <c r="V809" s="92"/>
      <c r="W809" s="92"/>
      <c r="X809" s="92"/>
      <c r="Y809" s="92"/>
      <c r="Z809" s="92"/>
      <c r="AA809" s="92"/>
      <c r="AB809" s="92"/>
      <c r="AC809" s="92"/>
      <c r="AD809" s="92"/>
      <c r="AE809" s="92"/>
      <c r="AF809" s="92"/>
      <c r="AG809" s="92"/>
      <c r="AH809" s="92"/>
      <c r="AI809" s="92"/>
      <c r="AJ809" s="92"/>
      <c r="AK809" s="88"/>
      <c r="AL809" s="88"/>
      <c r="AM809" s="88"/>
      <c r="AN809" s="88"/>
      <c r="AO809" s="88"/>
      <c r="AP809" s="88"/>
      <c r="AQ809" s="88"/>
      <c r="AR809" s="88"/>
    </row>
    <row r="810" spans="1:44" ht="12.75" customHeight="1">
      <c r="A810" s="87"/>
      <c r="B810" s="87"/>
      <c r="C810" s="88"/>
      <c r="D810" s="88"/>
      <c r="E810" s="88"/>
      <c r="F810" s="89"/>
      <c r="G810" s="89"/>
      <c r="H810" s="89"/>
      <c r="I810" s="89"/>
      <c r="J810" s="89"/>
      <c r="K810" s="88"/>
      <c r="L810" s="88"/>
      <c r="M810" s="88"/>
      <c r="N810" s="88"/>
      <c r="O810" s="90"/>
      <c r="P810" s="88"/>
      <c r="Q810" s="88"/>
      <c r="R810" s="92"/>
      <c r="S810" s="92"/>
      <c r="T810" s="92"/>
      <c r="U810" s="92"/>
      <c r="V810" s="92"/>
      <c r="W810" s="92"/>
      <c r="X810" s="92"/>
      <c r="Y810" s="92"/>
      <c r="Z810" s="92"/>
      <c r="AA810" s="92"/>
      <c r="AB810" s="92"/>
      <c r="AC810" s="92"/>
      <c r="AD810" s="92"/>
      <c r="AE810" s="92"/>
      <c r="AF810" s="92"/>
      <c r="AG810" s="92"/>
      <c r="AH810" s="92"/>
      <c r="AI810" s="92"/>
      <c r="AJ810" s="92"/>
      <c r="AK810" s="88"/>
      <c r="AL810" s="88"/>
      <c r="AM810" s="88"/>
      <c r="AN810" s="88"/>
      <c r="AO810" s="88"/>
      <c r="AP810" s="88"/>
      <c r="AQ810" s="88"/>
      <c r="AR810" s="88"/>
    </row>
    <row r="811" spans="1:44" ht="12.75" customHeight="1">
      <c r="A811" s="87"/>
      <c r="B811" s="87"/>
      <c r="C811" s="88"/>
      <c r="D811" s="88"/>
      <c r="E811" s="88"/>
      <c r="F811" s="89"/>
      <c r="G811" s="89"/>
      <c r="H811" s="89"/>
      <c r="I811" s="89"/>
      <c r="J811" s="89"/>
      <c r="K811" s="88"/>
      <c r="L811" s="88"/>
      <c r="M811" s="88"/>
      <c r="N811" s="88"/>
      <c r="O811" s="90"/>
      <c r="P811" s="88"/>
      <c r="Q811" s="88"/>
      <c r="R811" s="92"/>
      <c r="S811" s="92"/>
      <c r="T811" s="92"/>
      <c r="U811" s="92"/>
      <c r="V811" s="92"/>
      <c r="W811" s="92"/>
      <c r="X811" s="92"/>
      <c r="Y811" s="92"/>
      <c r="Z811" s="92"/>
      <c r="AA811" s="92"/>
      <c r="AB811" s="92"/>
      <c r="AC811" s="92"/>
      <c r="AD811" s="92"/>
      <c r="AE811" s="92"/>
      <c r="AF811" s="92"/>
      <c r="AG811" s="92"/>
      <c r="AH811" s="92"/>
      <c r="AI811" s="92"/>
      <c r="AJ811" s="92"/>
      <c r="AK811" s="88"/>
      <c r="AL811" s="88"/>
      <c r="AM811" s="88"/>
      <c r="AN811" s="88"/>
      <c r="AO811" s="88"/>
      <c r="AP811" s="88"/>
      <c r="AQ811" s="88"/>
      <c r="AR811" s="88"/>
    </row>
    <row r="812" spans="1:44" ht="12.75" customHeight="1">
      <c r="A812" s="87"/>
      <c r="B812" s="87"/>
      <c r="C812" s="88"/>
      <c r="D812" s="88"/>
      <c r="E812" s="88"/>
      <c r="F812" s="89"/>
      <c r="G812" s="89"/>
      <c r="H812" s="89"/>
      <c r="I812" s="89"/>
      <c r="J812" s="89"/>
      <c r="K812" s="88"/>
      <c r="L812" s="88"/>
      <c r="M812" s="88"/>
      <c r="N812" s="88"/>
      <c r="O812" s="90"/>
      <c r="P812" s="88"/>
      <c r="Q812" s="88"/>
      <c r="R812" s="92"/>
      <c r="S812" s="92"/>
      <c r="T812" s="92"/>
      <c r="U812" s="92"/>
      <c r="V812" s="92"/>
      <c r="W812" s="92"/>
      <c r="X812" s="92"/>
      <c r="Y812" s="92"/>
      <c r="Z812" s="92"/>
      <c r="AA812" s="92"/>
      <c r="AB812" s="92"/>
      <c r="AC812" s="92"/>
      <c r="AD812" s="92"/>
      <c r="AE812" s="92"/>
      <c r="AF812" s="92"/>
      <c r="AG812" s="92"/>
      <c r="AH812" s="92"/>
      <c r="AI812" s="92"/>
      <c r="AJ812" s="92"/>
      <c r="AK812" s="88"/>
      <c r="AL812" s="88"/>
      <c r="AM812" s="88"/>
      <c r="AN812" s="88"/>
      <c r="AO812" s="88"/>
      <c r="AP812" s="88"/>
      <c r="AQ812" s="88"/>
      <c r="AR812" s="88"/>
    </row>
    <row r="813" spans="1:44" ht="12.75" customHeight="1">
      <c r="A813" s="87"/>
      <c r="B813" s="87"/>
      <c r="C813" s="88"/>
      <c r="D813" s="88"/>
      <c r="E813" s="88"/>
      <c r="F813" s="89"/>
      <c r="G813" s="89"/>
      <c r="H813" s="89"/>
      <c r="I813" s="89"/>
      <c r="J813" s="89"/>
      <c r="K813" s="88"/>
      <c r="L813" s="88"/>
      <c r="M813" s="88"/>
      <c r="N813" s="88"/>
      <c r="O813" s="90"/>
      <c r="P813" s="88"/>
      <c r="Q813" s="88"/>
      <c r="R813" s="92"/>
      <c r="S813" s="92"/>
      <c r="T813" s="92"/>
      <c r="U813" s="92"/>
      <c r="V813" s="92"/>
      <c r="W813" s="92"/>
      <c r="X813" s="92"/>
      <c r="Y813" s="92"/>
      <c r="Z813" s="92"/>
      <c r="AA813" s="92"/>
      <c r="AB813" s="92"/>
      <c r="AC813" s="92"/>
      <c r="AD813" s="92"/>
      <c r="AE813" s="92"/>
      <c r="AF813" s="92"/>
      <c r="AG813" s="92"/>
      <c r="AH813" s="92"/>
      <c r="AI813" s="92"/>
      <c r="AJ813" s="92"/>
      <c r="AK813" s="88"/>
      <c r="AL813" s="88"/>
      <c r="AM813" s="88"/>
      <c r="AN813" s="88"/>
      <c r="AO813" s="88"/>
      <c r="AP813" s="88"/>
      <c r="AQ813" s="88"/>
      <c r="AR813" s="88"/>
    </row>
    <row r="814" spans="1:44" ht="12.75" customHeight="1">
      <c r="A814" s="87"/>
      <c r="B814" s="87"/>
      <c r="C814" s="88"/>
      <c r="D814" s="88"/>
      <c r="E814" s="88"/>
      <c r="F814" s="89"/>
      <c r="G814" s="89"/>
      <c r="H814" s="89"/>
      <c r="I814" s="89"/>
      <c r="J814" s="89"/>
      <c r="K814" s="88"/>
      <c r="L814" s="88"/>
      <c r="M814" s="88"/>
      <c r="N814" s="88"/>
      <c r="O814" s="90"/>
      <c r="P814" s="88"/>
      <c r="Q814" s="88"/>
      <c r="R814" s="92"/>
      <c r="S814" s="92"/>
      <c r="T814" s="92"/>
      <c r="U814" s="92"/>
      <c r="V814" s="92"/>
      <c r="W814" s="92"/>
      <c r="X814" s="92"/>
      <c r="Y814" s="92"/>
      <c r="Z814" s="92"/>
      <c r="AA814" s="92"/>
      <c r="AB814" s="92"/>
      <c r="AC814" s="92"/>
      <c r="AD814" s="92"/>
      <c r="AE814" s="92"/>
      <c r="AF814" s="92"/>
      <c r="AG814" s="92"/>
      <c r="AH814" s="92"/>
      <c r="AI814" s="92"/>
      <c r="AJ814" s="92"/>
      <c r="AK814" s="88"/>
      <c r="AL814" s="88"/>
      <c r="AM814" s="88"/>
      <c r="AN814" s="88"/>
      <c r="AO814" s="88"/>
      <c r="AP814" s="88"/>
      <c r="AQ814" s="88"/>
      <c r="AR814" s="88"/>
    </row>
    <row r="815" spans="1:44" ht="12.75" customHeight="1">
      <c r="A815" s="87"/>
      <c r="B815" s="87"/>
      <c r="C815" s="88"/>
      <c r="D815" s="88"/>
      <c r="E815" s="88"/>
      <c r="F815" s="89"/>
      <c r="G815" s="89"/>
      <c r="H815" s="89"/>
      <c r="I815" s="89"/>
      <c r="J815" s="89"/>
      <c r="K815" s="88"/>
      <c r="L815" s="88"/>
      <c r="M815" s="88"/>
      <c r="N815" s="88"/>
      <c r="O815" s="90"/>
      <c r="P815" s="88"/>
      <c r="Q815" s="88"/>
      <c r="R815" s="92"/>
      <c r="S815" s="92"/>
      <c r="T815" s="92"/>
      <c r="U815" s="92"/>
      <c r="V815" s="92"/>
      <c r="W815" s="92"/>
      <c r="X815" s="92"/>
      <c r="Y815" s="92"/>
      <c r="Z815" s="92"/>
      <c r="AA815" s="92"/>
      <c r="AB815" s="92"/>
      <c r="AC815" s="92"/>
      <c r="AD815" s="92"/>
      <c r="AE815" s="92"/>
      <c r="AF815" s="92"/>
      <c r="AG815" s="92"/>
      <c r="AH815" s="92"/>
      <c r="AI815" s="92"/>
      <c r="AJ815" s="92"/>
      <c r="AK815" s="88"/>
      <c r="AL815" s="88"/>
      <c r="AM815" s="88"/>
      <c r="AN815" s="88"/>
      <c r="AO815" s="88"/>
      <c r="AP815" s="88"/>
      <c r="AQ815" s="88"/>
      <c r="AR815" s="88"/>
    </row>
    <row r="816" spans="1:44" ht="12.75" customHeight="1">
      <c r="A816" s="87"/>
      <c r="B816" s="87"/>
      <c r="C816" s="88"/>
      <c r="D816" s="88"/>
      <c r="E816" s="88"/>
      <c r="F816" s="89"/>
      <c r="G816" s="89"/>
      <c r="H816" s="89"/>
      <c r="I816" s="89"/>
      <c r="J816" s="89"/>
      <c r="K816" s="88"/>
      <c r="L816" s="88"/>
      <c r="M816" s="88"/>
      <c r="N816" s="88"/>
      <c r="O816" s="90"/>
      <c r="P816" s="88"/>
      <c r="Q816" s="88"/>
      <c r="R816" s="92"/>
      <c r="S816" s="92"/>
      <c r="T816" s="92"/>
      <c r="U816" s="92"/>
      <c r="V816" s="92"/>
      <c r="W816" s="92"/>
      <c r="X816" s="92"/>
      <c r="Y816" s="92"/>
      <c r="Z816" s="92"/>
      <c r="AA816" s="92"/>
      <c r="AB816" s="92"/>
      <c r="AC816" s="92"/>
      <c r="AD816" s="92"/>
      <c r="AE816" s="92"/>
      <c r="AF816" s="92"/>
      <c r="AG816" s="92"/>
      <c r="AH816" s="92"/>
      <c r="AI816" s="92"/>
      <c r="AJ816" s="92"/>
      <c r="AK816" s="88"/>
      <c r="AL816" s="88"/>
      <c r="AM816" s="88"/>
      <c r="AN816" s="88"/>
      <c r="AO816" s="88"/>
      <c r="AP816" s="88"/>
      <c r="AQ816" s="88"/>
      <c r="AR816" s="88"/>
    </row>
    <row r="817" spans="1:44" ht="12.75" customHeight="1">
      <c r="A817" s="87"/>
      <c r="B817" s="87"/>
      <c r="C817" s="88"/>
      <c r="D817" s="88"/>
      <c r="E817" s="88"/>
      <c r="F817" s="89"/>
      <c r="G817" s="89"/>
      <c r="H817" s="89"/>
      <c r="I817" s="89"/>
      <c r="J817" s="89"/>
      <c r="K817" s="88"/>
      <c r="L817" s="88"/>
      <c r="M817" s="88"/>
      <c r="N817" s="88"/>
      <c r="O817" s="90"/>
      <c r="P817" s="88"/>
      <c r="Q817" s="88"/>
      <c r="R817" s="92"/>
      <c r="S817" s="92"/>
      <c r="T817" s="92"/>
      <c r="U817" s="92"/>
      <c r="V817" s="92"/>
      <c r="W817" s="92"/>
      <c r="X817" s="92"/>
      <c r="Y817" s="92"/>
      <c r="Z817" s="92"/>
      <c r="AA817" s="92"/>
      <c r="AB817" s="92"/>
      <c r="AC817" s="92"/>
      <c r="AD817" s="92"/>
      <c r="AE817" s="92"/>
      <c r="AF817" s="92"/>
      <c r="AG817" s="92"/>
      <c r="AH817" s="92"/>
      <c r="AI817" s="92"/>
      <c r="AJ817" s="92"/>
      <c r="AK817" s="88"/>
      <c r="AL817" s="88"/>
      <c r="AM817" s="88"/>
      <c r="AN817" s="88"/>
      <c r="AO817" s="88"/>
      <c r="AP817" s="88"/>
      <c r="AQ817" s="88"/>
      <c r="AR817" s="88"/>
    </row>
    <row r="818" spans="1:44" ht="12.75" customHeight="1">
      <c r="A818" s="87"/>
      <c r="B818" s="87"/>
      <c r="C818" s="88"/>
      <c r="D818" s="88"/>
      <c r="E818" s="88"/>
      <c r="F818" s="89"/>
      <c r="G818" s="89"/>
      <c r="H818" s="89"/>
      <c r="I818" s="89"/>
      <c r="J818" s="89"/>
      <c r="K818" s="88"/>
      <c r="L818" s="88"/>
      <c r="M818" s="88"/>
      <c r="N818" s="88"/>
      <c r="O818" s="90"/>
      <c r="P818" s="88"/>
      <c r="Q818" s="88"/>
      <c r="R818" s="92"/>
      <c r="S818" s="92"/>
      <c r="T818" s="92"/>
      <c r="U818" s="92"/>
      <c r="V818" s="92"/>
      <c r="W818" s="92"/>
      <c r="X818" s="92"/>
      <c r="Y818" s="92"/>
      <c r="Z818" s="92"/>
      <c r="AA818" s="92"/>
      <c r="AB818" s="92"/>
      <c r="AC818" s="92"/>
      <c r="AD818" s="92"/>
      <c r="AE818" s="92"/>
      <c r="AF818" s="92"/>
      <c r="AG818" s="92"/>
      <c r="AH818" s="92"/>
      <c r="AI818" s="92"/>
      <c r="AJ818" s="92"/>
      <c r="AK818" s="88"/>
      <c r="AL818" s="88"/>
      <c r="AM818" s="88"/>
      <c r="AN818" s="88"/>
      <c r="AO818" s="88"/>
      <c r="AP818" s="88"/>
      <c r="AQ818" s="88"/>
      <c r="AR818" s="88"/>
    </row>
    <row r="819" spans="1:44" ht="12.75" customHeight="1">
      <c r="A819" s="87"/>
      <c r="B819" s="87"/>
      <c r="C819" s="88"/>
      <c r="D819" s="88"/>
      <c r="E819" s="88"/>
      <c r="F819" s="89"/>
      <c r="G819" s="89"/>
      <c r="H819" s="89"/>
      <c r="I819" s="89"/>
      <c r="J819" s="89"/>
      <c r="K819" s="88"/>
      <c r="L819" s="88"/>
      <c r="M819" s="88"/>
      <c r="N819" s="88"/>
      <c r="O819" s="90"/>
      <c r="P819" s="88"/>
      <c r="Q819" s="88"/>
      <c r="R819" s="92"/>
      <c r="S819" s="92"/>
      <c r="T819" s="92"/>
      <c r="U819" s="92"/>
      <c r="V819" s="92"/>
      <c r="W819" s="92"/>
      <c r="X819" s="92"/>
      <c r="Y819" s="92"/>
      <c r="Z819" s="92"/>
      <c r="AA819" s="92"/>
      <c r="AB819" s="92"/>
      <c r="AC819" s="92"/>
      <c r="AD819" s="92"/>
      <c r="AE819" s="92"/>
      <c r="AF819" s="92"/>
      <c r="AG819" s="92"/>
      <c r="AH819" s="92"/>
      <c r="AI819" s="92"/>
      <c r="AJ819" s="92"/>
      <c r="AK819" s="88"/>
      <c r="AL819" s="88"/>
      <c r="AM819" s="88"/>
      <c r="AN819" s="88"/>
      <c r="AO819" s="88"/>
      <c r="AP819" s="88"/>
      <c r="AQ819" s="88"/>
      <c r="AR819" s="88"/>
    </row>
    <row r="820" spans="1:44" ht="12.75" customHeight="1">
      <c r="A820" s="87"/>
      <c r="B820" s="87"/>
      <c r="C820" s="88"/>
      <c r="D820" s="88"/>
      <c r="E820" s="88"/>
      <c r="F820" s="89"/>
      <c r="G820" s="89"/>
      <c r="H820" s="89"/>
      <c r="I820" s="89"/>
      <c r="J820" s="89"/>
      <c r="K820" s="88"/>
      <c r="L820" s="88"/>
      <c r="M820" s="88"/>
      <c r="N820" s="88"/>
      <c r="O820" s="90"/>
      <c r="P820" s="88"/>
      <c r="Q820" s="88"/>
      <c r="R820" s="92"/>
      <c r="S820" s="92"/>
      <c r="T820" s="92"/>
      <c r="U820" s="92"/>
      <c r="V820" s="92"/>
      <c r="W820" s="92"/>
      <c r="X820" s="92"/>
      <c r="Y820" s="92"/>
      <c r="Z820" s="92"/>
      <c r="AA820" s="92"/>
      <c r="AB820" s="92"/>
      <c r="AC820" s="92"/>
      <c r="AD820" s="92"/>
      <c r="AE820" s="92"/>
      <c r="AF820" s="92"/>
      <c r="AG820" s="92"/>
      <c r="AH820" s="92"/>
      <c r="AI820" s="92"/>
      <c r="AJ820" s="92"/>
      <c r="AK820" s="88"/>
      <c r="AL820" s="88"/>
      <c r="AM820" s="88"/>
      <c r="AN820" s="88"/>
      <c r="AO820" s="88"/>
      <c r="AP820" s="88"/>
      <c r="AQ820" s="88"/>
      <c r="AR820" s="88"/>
    </row>
    <row r="821" spans="1:44" ht="12.75" customHeight="1">
      <c r="A821" s="87"/>
      <c r="B821" s="87"/>
      <c r="C821" s="88"/>
      <c r="D821" s="88"/>
      <c r="E821" s="88"/>
      <c r="F821" s="89"/>
      <c r="G821" s="89"/>
      <c r="H821" s="89"/>
      <c r="I821" s="89"/>
      <c r="J821" s="89"/>
      <c r="K821" s="88"/>
      <c r="L821" s="88"/>
      <c r="M821" s="88"/>
      <c r="N821" s="88"/>
      <c r="O821" s="90"/>
      <c r="P821" s="88"/>
      <c r="Q821" s="88"/>
      <c r="R821" s="92"/>
      <c r="S821" s="92"/>
      <c r="T821" s="92"/>
      <c r="U821" s="92"/>
      <c r="V821" s="92"/>
      <c r="W821" s="92"/>
      <c r="X821" s="92"/>
      <c r="Y821" s="92"/>
      <c r="Z821" s="92"/>
      <c r="AA821" s="92"/>
      <c r="AB821" s="92"/>
      <c r="AC821" s="92"/>
      <c r="AD821" s="92"/>
      <c r="AE821" s="92"/>
      <c r="AF821" s="92"/>
      <c r="AG821" s="92"/>
      <c r="AH821" s="92"/>
      <c r="AI821" s="92"/>
      <c r="AJ821" s="92"/>
      <c r="AK821" s="88"/>
      <c r="AL821" s="88"/>
      <c r="AM821" s="88"/>
      <c r="AN821" s="88"/>
      <c r="AO821" s="88"/>
      <c r="AP821" s="88"/>
      <c r="AQ821" s="88"/>
      <c r="AR821" s="88"/>
    </row>
    <row r="822" spans="1:44" ht="12.75" customHeight="1">
      <c r="A822" s="87"/>
      <c r="B822" s="87"/>
      <c r="C822" s="88"/>
      <c r="D822" s="88"/>
      <c r="E822" s="88"/>
      <c r="F822" s="89"/>
      <c r="G822" s="89"/>
      <c r="H822" s="89"/>
      <c r="I822" s="89"/>
      <c r="J822" s="89"/>
      <c r="K822" s="88"/>
      <c r="L822" s="88"/>
      <c r="M822" s="88"/>
      <c r="N822" s="88"/>
      <c r="O822" s="90"/>
      <c r="P822" s="88"/>
      <c r="Q822" s="88"/>
      <c r="R822" s="92"/>
      <c r="S822" s="92"/>
      <c r="T822" s="92"/>
      <c r="U822" s="92"/>
      <c r="V822" s="92"/>
      <c r="W822" s="92"/>
      <c r="X822" s="92"/>
      <c r="Y822" s="92"/>
      <c r="Z822" s="92"/>
      <c r="AA822" s="92"/>
      <c r="AB822" s="92"/>
      <c r="AC822" s="92"/>
      <c r="AD822" s="92"/>
      <c r="AE822" s="92"/>
      <c r="AF822" s="92"/>
      <c r="AG822" s="92"/>
      <c r="AH822" s="92"/>
      <c r="AI822" s="92"/>
      <c r="AJ822" s="92"/>
      <c r="AK822" s="88"/>
      <c r="AL822" s="88"/>
      <c r="AM822" s="88"/>
      <c r="AN822" s="88"/>
      <c r="AO822" s="88"/>
      <c r="AP822" s="88"/>
      <c r="AQ822" s="88"/>
      <c r="AR822" s="88"/>
    </row>
    <row r="823" spans="1:44" ht="12.75" customHeight="1">
      <c r="A823" s="87"/>
      <c r="B823" s="87"/>
      <c r="C823" s="88"/>
      <c r="D823" s="88"/>
      <c r="E823" s="88"/>
      <c r="F823" s="89"/>
      <c r="G823" s="89"/>
      <c r="H823" s="89"/>
      <c r="I823" s="89"/>
      <c r="J823" s="89"/>
      <c r="K823" s="88"/>
      <c r="L823" s="88"/>
      <c r="M823" s="88"/>
      <c r="N823" s="88"/>
      <c r="O823" s="90"/>
      <c r="P823" s="88"/>
      <c r="Q823" s="88"/>
      <c r="R823" s="92"/>
      <c r="S823" s="92"/>
      <c r="T823" s="92"/>
      <c r="U823" s="92"/>
      <c r="V823" s="92"/>
      <c r="W823" s="92"/>
      <c r="X823" s="92"/>
      <c r="Y823" s="92"/>
      <c r="Z823" s="92"/>
      <c r="AA823" s="92"/>
      <c r="AB823" s="92"/>
      <c r="AC823" s="92"/>
      <c r="AD823" s="92"/>
      <c r="AE823" s="92"/>
      <c r="AF823" s="92"/>
      <c r="AG823" s="92"/>
      <c r="AH823" s="92"/>
      <c r="AI823" s="92"/>
      <c r="AJ823" s="92"/>
      <c r="AK823" s="88"/>
      <c r="AL823" s="88"/>
      <c r="AM823" s="88"/>
      <c r="AN823" s="88"/>
      <c r="AO823" s="88"/>
      <c r="AP823" s="88"/>
      <c r="AQ823" s="88"/>
      <c r="AR823" s="88"/>
    </row>
    <row r="824" spans="1:44" ht="12.75" customHeight="1">
      <c r="A824" s="87"/>
      <c r="B824" s="87"/>
      <c r="C824" s="88"/>
      <c r="D824" s="88"/>
      <c r="E824" s="88"/>
      <c r="F824" s="89"/>
      <c r="G824" s="89"/>
      <c r="H824" s="89"/>
      <c r="I824" s="89"/>
      <c r="J824" s="89"/>
      <c r="K824" s="88"/>
      <c r="L824" s="88"/>
      <c r="M824" s="88"/>
      <c r="N824" s="88"/>
      <c r="O824" s="90"/>
      <c r="P824" s="88"/>
      <c r="Q824" s="88"/>
      <c r="R824" s="92"/>
      <c r="S824" s="92"/>
      <c r="T824" s="92"/>
      <c r="U824" s="92"/>
      <c r="V824" s="92"/>
      <c r="W824" s="92"/>
      <c r="X824" s="92"/>
      <c r="Y824" s="92"/>
      <c r="Z824" s="92"/>
      <c r="AA824" s="92"/>
      <c r="AB824" s="92"/>
      <c r="AC824" s="92"/>
      <c r="AD824" s="92"/>
      <c r="AE824" s="92"/>
      <c r="AF824" s="92"/>
      <c r="AG824" s="92"/>
      <c r="AH824" s="92"/>
      <c r="AI824" s="92"/>
      <c r="AJ824" s="92"/>
      <c r="AK824" s="88"/>
      <c r="AL824" s="88"/>
      <c r="AM824" s="88"/>
      <c r="AN824" s="88"/>
      <c r="AO824" s="88"/>
      <c r="AP824" s="88"/>
      <c r="AQ824" s="88"/>
      <c r="AR824" s="88"/>
    </row>
    <row r="825" spans="1:44" ht="12.75" customHeight="1">
      <c r="A825" s="87"/>
      <c r="B825" s="87"/>
      <c r="C825" s="88"/>
      <c r="D825" s="88"/>
      <c r="E825" s="88"/>
      <c r="F825" s="89"/>
      <c r="G825" s="89"/>
      <c r="H825" s="89"/>
      <c r="I825" s="89"/>
      <c r="J825" s="89"/>
      <c r="K825" s="88"/>
      <c r="L825" s="88"/>
      <c r="M825" s="88"/>
      <c r="N825" s="88"/>
      <c r="O825" s="90"/>
      <c r="P825" s="88"/>
      <c r="Q825" s="88"/>
      <c r="R825" s="92"/>
      <c r="S825" s="92"/>
      <c r="T825" s="92"/>
      <c r="U825" s="92"/>
      <c r="V825" s="92"/>
      <c r="W825" s="92"/>
      <c r="X825" s="92"/>
      <c r="Y825" s="92"/>
      <c r="Z825" s="92"/>
      <c r="AA825" s="92"/>
      <c r="AB825" s="92"/>
      <c r="AC825" s="92"/>
      <c r="AD825" s="92"/>
      <c r="AE825" s="92"/>
      <c r="AF825" s="92"/>
      <c r="AG825" s="92"/>
      <c r="AH825" s="92"/>
      <c r="AI825" s="92"/>
      <c r="AJ825" s="92"/>
      <c r="AK825" s="88"/>
      <c r="AL825" s="88"/>
      <c r="AM825" s="88"/>
      <c r="AN825" s="88"/>
      <c r="AO825" s="88"/>
      <c r="AP825" s="88"/>
      <c r="AQ825" s="88"/>
      <c r="AR825" s="88"/>
    </row>
    <row r="826" spans="1:44" ht="12.75" customHeight="1">
      <c r="A826" s="87"/>
      <c r="B826" s="87"/>
      <c r="C826" s="88"/>
      <c r="D826" s="88"/>
      <c r="E826" s="88"/>
      <c r="F826" s="89"/>
      <c r="G826" s="89"/>
      <c r="H826" s="89"/>
      <c r="I826" s="89"/>
      <c r="J826" s="89"/>
      <c r="K826" s="88"/>
      <c r="L826" s="88"/>
      <c r="M826" s="88"/>
      <c r="N826" s="88"/>
      <c r="O826" s="90"/>
      <c r="P826" s="88"/>
      <c r="Q826" s="88"/>
      <c r="R826" s="92"/>
      <c r="S826" s="92"/>
      <c r="T826" s="92"/>
      <c r="U826" s="92"/>
      <c r="V826" s="92"/>
      <c r="W826" s="92"/>
      <c r="X826" s="92"/>
      <c r="Y826" s="92"/>
      <c r="Z826" s="92"/>
      <c r="AA826" s="92"/>
      <c r="AB826" s="92"/>
      <c r="AC826" s="92"/>
      <c r="AD826" s="92"/>
      <c r="AE826" s="92"/>
      <c r="AF826" s="92"/>
      <c r="AG826" s="92"/>
      <c r="AH826" s="92"/>
      <c r="AI826" s="92"/>
      <c r="AJ826" s="92"/>
      <c r="AK826" s="88"/>
      <c r="AL826" s="88"/>
      <c r="AM826" s="88"/>
      <c r="AN826" s="88"/>
      <c r="AO826" s="88"/>
      <c r="AP826" s="88"/>
      <c r="AQ826" s="88"/>
      <c r="AR826" s="88"/>
    </row>
    <row r="827" spans="1:44" ht="12.75" customHeight="1">
      <c r="A827" s="87"/>
      <c r="B827" s="87"/>
      <c r="C827" s="88"/>
      <c r="D827" s="88"/>
      <c r="E827" s="88"/>
      <c r="F827" s="89"/>
      <c r="G827" s="89"/>
      <c r="H827" s="89"/>
      <c r="I827" s="89"/>
      <c r="J827" s="89"/>
      <c r="K827" s="88"/>
      <c r="L827" s="88"/>
      <c r="M827" s="88"/>
      <c r="N827" s="88"/>
      <c r="O827" s="90"/>
      <c r="P827" s="88"/>
      <c r="Q827" s="88"/>
      <c r="R827" s="92"/>
      <c r="S827" s="92"/>
      <c r="T827" s="92"/>
      <c r="U827" s="92"/>
      <c r="V827" s="92"/>
      <c r="W827" s="92"/>
      <c r="X827" s="92"/>
      <c r="Y827" s="92"/>
      <c r="Z827" s="92"/>
      <c r="AA827" s="92"/>
      <c r="AB827" s="92"/>
      <c r="AC827" s="92"/>
      <c r="AD827" s="92"/>
      <c r="AE827" s="92"/>
      <c r="AF827" s="92"/>
      <c r="AG827" s="92"/>
      <c r="AH827" s="92"/>
      <c r="AI827" s="92"/>
      <c r="AJ827" s="92"/>
      <c r="AK827" s="88"/>
      <c r="AL827" s="88"/>
      <c r="AM827" s="88"/>
      <c r="AN827" s="88"/>
      <c r="AO827" s="88"/>
      <c r="AP827" s="88"/>
      <c r="AQ827" s="88"/>
      <c r="AR827" s="88"/>
    </row>
    <row r="828" spans="1:44" ht="12.75" customHeight="1">
      <c r="A828" s="87"/>
      <c r="B828" s="87"/>
      <c r="C828" s="88"/>
      <c r="D828" s="88"/>
      <c r="E828" s="88"/>
      <c r="F828" s="89"/>
      <c r="G828" s="89"/>
      <c r="H828" s="89"/>
      <c r="I828" s="89"/>
      <c r="J828" s="89"/>
      <c r="K828" s="88"/>
      <c r="L828" s="88"/>
      <c r="M828" s="88"/>
      <c r="N828" s="88"/>
      <c r="O828" s="90"/>
      <c r="P828" s="88"/>
      <c r="Q828" s="88"/>
      <c r="R828" s="92"/>
      <c r="S828" s="92"/>
      <c r="T828" s="92"/>
      <c r="U828" s="92"/>
      <c r="V828" s="92"/>
      <c r="W828" s="92"/>
      <c r="X828" s="92"/>
      <c r="Y828" s="92"/>
      <c r="Z828" s="92"/>
      <c r="AA828" s="92"/>
      <c r="AB828" s="92"/>
      <c r="AC828" s="92"/>
      <c r="AD828" s="92"/>
      <c r="AE828" s="92"/>
      <c r="AF828" s="92"/>
      <c r="AG828" s="92"/>
      <c r="AH828" s="92"/>
      <c r="AI828" s="92"/>
      <c r="AJ828" s="92"/>
      <c r="AK828" s="88"/>
      <c r="AL828" s="88"/>
      <c r="AM828" s="88"/>
      <c r="AN828" s="88"/>
      <c r="AO828" s="88"/>
      <c r="AP828" s="88"/>
      <c r="AQ828" s="88"/>
      <c r="AR828" s="88"/>
    </row>
    <row r="829" spans="1:44" ht="12.75" customHeight="1">
      <c r="A829" s="87"/>
      <c r="B829" s="87"/>
      <c r="C829" s="88"/>
      <c r="D829" s="88"/>
      <c r="E829" s="88"/>
      <c r="F829" s="89"/>
      <c r="G829" s="89"/>
      <c r="H829" s="89"/>
      <c r="I829" s="89"/>
      <c r="J829" s="89"/>
      <c r="K829" s="88"/>
      <c r="L829" s="88"/>
      <c r="M829" s="88"/>
      <c r="N829" s="88"/>
      <c r="O829" s="90"/>
      <c r="P829" s="88"/>
      <c r="Q829" s="88"/>
      <c r="R829" s="92"/>
      <c r="S829" s="92"/>
      <c r="T829" s="92"/>
      <c r="U829" s="92"/>
      <c r="V829" s="92"/>
      <c r="W829" s="92"/>
      <c r="X829" s="92"/>
      <c r="Y829" s="92"/>
      <c r="Z829" s="92"/>
      <c r="AA829" s="92"/>
      <c r="AB829" s="92"/>
      <c r="AC829" s="92"/>
      <c r="AD829" s="92"/>
      <c r="AE829" s="92"/>
      <c r="AF829" s="92"/>
      <c r="AG829" s="92"/>
      <c r="AH829" s="92"/>
      <c r="AI829" s="92"/>
      <c r="AJ829" s="92"/>
      <c r="AK829" s="88"/>
      <c r="AL829" s="88"/>
      <c r="AM829" s="88"/>
      <c r="AN829" s="88"/>
      <c r="AO829" s="88"/>
      <c r="AP829" s="88"/>
      <c r="AQ829" s="88"/>
      <c r="AR829" s="88"/>
    </row>
    <row r="830" spans="1:44" ht="12.75" customHeight="1">
      <c r="A830" s="87"/>
      <c r="B830" s="87"/>
      <c r="C830" s="88"/>
      <c r="D830" s="88"/>
      <c r="E830" s="88"/>
      <c r="F830" s="89"/>
      <c r="G830" s="89"/>
      <c r="H830" s="89"/>
      <c r="I830" s="89"/>
      <c r="J830" s="89"/>
      <c r="K830" s="88"/>
      <c r="L830" s="88"/>
      <c r="M830" s="88"/>
      <c r="N830" s="88"/>
      <c r="O830" s="90"/>
      <c r="P830" s="88"/>
      <c r="Q830" s="88"/>
      <c r="R830" s="92"/>
      <c r="S830" s="92"/>
      <c r="T830" s="92"/>
      <c r="U830" s="92"/>
      <c r="V830" s="92"/>
      <c r="W830" s="92"/>
      <c r="X830" s="92"/>
      <c r="Y830" s="92"/>
      <c r="Z830" s="92"/>
      <c r="AA830" s="92"/>
      <c r="AB830" s="92"/>
      <c r="AC830" s="92"/>
      <c r="AD830" s="92"/>
      <c r="AE830" s="92"/>
      <c r="AF830" s="92"/>
      <c r="AG830" s="92"/>
      <c r="AH830" s="92"/>
      <c r="AI830" s="92"/>
      <c r="AJ830" s="92"/>
      <c r="AK830" s="88"/>
      <c r="AL830" s="88"/>
      <c r="AM830" s="88"/>
      <c r="AN830" s="88"/>
      <c r="AO830" s="88"/>
      <c r="AP830" s="88"/>
      <c r="AQ830" s="88"/>
      <c r="AR830" s="88"/>
    </row>
    <row r="831" spans="1:44" ht="12.75" customHeight="1">
      <c r="A831" s="87"/>
      <c r="B831" s="87"/>
      <c r="C831" s="88"/>
      <c r="D831" s="88"/>
      <c r="E831" s="88"/>
      <c r="F831" s="89"/>
      <c r="G831" s="89"/>
      <c r="H831" s="89"/>
      <c r="I831" s="89"/>
      <c r="J831" s="89"/>
      <c r="K831" s="88"/>
      <c r="L831" s="88"/>
      <c r="M831" s="88"/>
      <c r="N831" s="88"/>
      <c r="O831" s="90"/>
      <c r="P831" s="88"/>
      <c r="Q831" s="88"/>
      <c r="R831" s="92"/>
      <c r="S831" s="92"/>
      <c r="T831" s="92"/>
      <c r="U831" s="92"/>
      <c r="V831" s="92"/>
      <c r="W831" s="92"/>
      <c r="X831" s="92"/>
      <c r="Y831" s="92"/>
      <c r="Z831" s="92"/>
      <c r="AA831" s="92"/>
      <c r="AB831" s="92"/>
      <c r="AC831" s="92"/>
      <c r="AD831" s="92"/>
      <c r="AE831" s="92"/>
      <c r="AF831" s="92"/>
      <c r="AG831" s="92"/>
      <c r="AH831" s="92"/>
      <c r="AI831" s="92"/>
      <c r="AJ831" s="92"/>
      <c r="AK831" s="88"/>
      <c r="AL831" s="88"/>
      <c r="AM831" s="88"/>
      <c r="AN831" s="88"/>
      <c r="AO831" s="88"/>
      <c r="AP831" s="88"/>
      <c r="AQ831" s="88"/>
      <c r="AR831" s="88"/>
    </row>
    <row r="832" spans="1:44" ht="12.75" customHeight="1">
      <c r="A832" s="87"/>
      <c r="B832" s="87"/>
      <c r="C832" s="88"/>
      <c r="D832" s="88"/>
      <c r="E832" s="88"/>
      <c r="F832" s="89"/>
      <c r="G832" s="89"/>
      <c r="H832" s="89"/>
      <c r="I832" s="89"/>
      <c r="J832" s="89"/>
      <c r="K832" s="88"/>
      <c r="L832" s="88"/>
      <c r="M832" s="88"/>
      <c r="N832" s="88"/>
      <c r="O832" s="90"/>
      <c r="P832" s="88"/>
      <c r="Q832" s="88"/>
      <c r="R832" s="92"/>
      <c r="S832" s="92"/>
      <c r="T832" s="92"/>
      <c r="U832" s="92"/>
      <c r="V832" s="92"/>
      <c r="W832" s="92"/>
      <c r="X832" s="92"/>
      <c r="Y832" s="92"/>
      <c r="Z832" s="92"/>
      <c r="AA832" s="92"/>
      <c r="AB832" s="92"/>
      <c r="AC832" s="92"/>
      <c r="AD832" s="92"/>
      <c r="AE832" s="92"/>
      <c r="AF832" s="92"/>
      <c r="AG832" s="92"/>
      <c r="AH832" s="92"/>
      <c r="AI832" s="92"/>
      <c r="AJ832" s="92"/>
      <c r="AK832" s="88"/>
      <c r="AL832" s="88"/>
      <c r="AM832" s="88"/>
      <c r="AN832" s="88"/>
      <c r="AO832" s="88"/>
      <c r="AP832" s="88"/>
      <c r="AQ832" s="88"/>
      <c r="AR832" s="88"/>
    </row>
    <row r="833" spans="1:44" ht="12.75" customHeight="1">
      <c r="A833" s="87"/>
      <c r="B833" s="87"/>
      <c r="C833" s="88"/>
      <c r="D833" s="88"/>
      <c r="E833" s="88"/>
      <c r="F833" s="89"/>
      <c r="G833" s="89"/>
      <c r="H833" s="89"/>
      <c r="I833" s="89"/>
      <c r="J833" s="89"/>
      <c r="K833" s="88"/>
      <c r="L833" s="88"/>
      <c r="M833" s="88"/>
      <c r="N833" s="88"/>
      <c r="O833" s="90"/>
      <c r="P833" s="88"/>
      <c r="Q833" s="88"/>
      <c r="R833" s="92"/>
      <c r="S833" s="92"/>
      <c r="T833" s="92"/>
      <c r="U833" s="92"/>
      <c r="V833" s="92"/>
      <c r="W833" s="92"/>
      <c r="X833" s="92"/>
      <c r="Y833" s="92"/>
      <c r="Z833" s="92"/>
      <c r="AA833" s="92"/>
      <c r="AB833" s="92"/>
      <c r="AC833" s="92"/>
      <c r="AD833" s="92"/>
      <c r="AE833" s="92"/>
      <c r="AF833" s="92"/>
      <c r="AG833" s="92"/>
      <c r="AH833" s="92"/>
      <c r="AI833" s="92"/>
      <c r="AJ833" s="92"/>
      <c r="AK833" s="88"/>
      <c r="AL833" s="88"/>
      <c r="AM833" s="88"/>
      <c r="AN833" s="88"/>
      <c r="AO833" s="88"/>
      <c r="AP833" s="88"/>
      <c r="AQ833" s="88"/>
      <c r="AR833" s="88"/>
    </row>
    <row r="834" spans="1:44" ht="12.75" customHeight="1">
      <c r="A834" s="87"/>
      <c r="B834" s="87"/>
      <c r="C834" s="88"/>
      <c r="D834" s="88"/>
      <c r="E834" s="88"/>
      <c r="F834" s="89"/>
      <c r="G834" s="89"/>
      <c r="H834" s="89"/>
      <c r="I834" s="89"/>
      <c r="J834" s="89"/>
      <c r="K834" s="88"/>
      <c r="L834" s="88"/>
      <c r="M834" s="88"/>
      <c r="N834" s="88"/>
      <c r="O834" s="90"/>
      <c r="P834" s="88"/>
      <c r="Q834" s="88"/>
      <c r="R834" s="92"/>
      <c r="S834" s="92"/>
      <c r="T834" s="92"/>
      <c r="U834" s="92"/>
      <c r="V834" s="92"/>
      <c r="W834" s="92"/>
      <c r="X834" s="92"/>
      <c r="Y834" s="92"/>
      <c r="Z834" s="92"/>
      <c r="AA834" s="92"/>
      <c r="AB834" s="92"/>
      <c r="AC834" s="92"/>
      <c r="AD834" s="92"/>
      <c r="AE834" s="92"/>
      <c r="AF834" s="92"/>
      <c r="AG834" s="92"/>
      <c r="AH834" s="92"/>
      <c r="AI834" s="92"/>
      <c r="AJ834" s="92"/>
      <c r="AK834" s="88"/>
      <c r="AL834" s="88"/>
      <c r="AM834" s="88"/>
      <c r="AN834" s="88"/>
      <c r="AO834" s="88"/>
      <c r="AP834" s="88"/>
      <c r="AQ834" s="88"/>
      <c r="AR834" s="88"/>
    </row>
    <row r="835" spans="1:44" ht="12.75" customHeight="1">
      <c r="A835" s="87"/>
      <c r="B835" s="87"/>
      <c r="C835" s="88"/>
      <c r="D835" s="88"/>
      <c r="E835" s="88"/>
      <c r="F835" s="89"/>
      <c r="G835" s="89"/>
      <c r="H835" s="89"/>
      <c r="I835" s="89"/>
      <c r="J835" s="89"/>
      <c r="K835" s="88"/>
      <c r="L835" s="88"/>
      <c r="M835" s="88"/>
      <c r="N835" s="88"/>
      <c r="O835" s="90"/>
      <c r="P835" s="88"/>
      <c r="Q835" s="88"/>
      <c r="R835" s="92"/>
      <c r="S835" s="92"/>
      <c r="T835" s="92"/>
      <c r="U835" s="92"/>
      <c r="V835" s="92"/>
      <c r="W835" s="92"/>
      <c r="X835" s="92"/>
      <c r="Y835" s="92"/>
      <c r="Z835" s="92"/>
      <c r="AA835" s="92"/>
      <c r="AB835" s="92"/>
      <c r="AC835" s="92"/>
      <c r="AD835" s="92"/>
      <c r="AE835" s="92"/>
      <c r="AF835" s="92"/>
      <c r="AG835" s="92"/>
      <c r="AH835" s="92"/>
      <c r="AI835" s="92"/>
      <c r="AJ835" s="92"/>
      <c r="AK835" s="88"/>
      <c r="AL835" s="88"/>
      <c r="AM835" s="88"/>
      <c r="AN835" s="88"/>
      <c r="AO835" s="88"/>
      <c r="AP835" s="88"/>
      <c r="AQ835" s="88"/>
      <c r="AR835" s="88"/>
    </row>
    <row r="836" spans="1:44" ht="12.75" customHeight="1">
      <c r="A836" s="87"/>
      <c r="B836" s="87"/>
      <c r="C836" s="88"/>
      <c r="D836" s="88"/>
      <c r="E836" s="88"/>
      <c r="F836" s="89"/>
      <c r="G836" s="89"/>
      <c r="H836" s="89"/>
      <c r="I836" s="89"/>
      <c r="J836" s="89"/>
      <c r="K836" s="88"/>
      <c r="L836" s="88"/>
      <c r="M836" s="88"/>
      <c r="N836" s="88"/>
      <c r="O836" s="90"/>
      <c r="P836" s="88"/>
      <c r="Q836" s="88"/>
      <c r="R836" s="92"/>
      <c r="S836" s="92"/>
      <c r="T836" s="92"/>
      <c r="U836" s="92"/>
      <c r="V836" s="92"/>
      <c r="W836" s="92"/>
      <c r="X836" s="92"/>
      <c r="Y836" s="92"/>
      <c r="Z836" s="92"/>
      <c r="AA836" s="92"/>
      <c r="AB836" s="92"/>
      <c r="AC836" s="92"/>
      <c r="AD836" s="92"/>
      <c r="AE836" s="92"/>
      <c r="AF836" s="92"/>
      <c r="AG836" s="92"/>
      <c r="AH836" s="92"/>
      <c r="AI836" s="92"/>
      <c r="AJ836" s="92"/>
      <c r="AK836" s="88"/>
      <c r="AL836" s="88"/>
      <c r="AM836" s="88"/>
      <c r="AN836" s="88"/>
      <c r="AO836" s="88"/>
      <c r="AP836" s="88"/>
      <c r="AQ836" s="88"/>
      <c r="AR836" s="88"/>
    </row>
    <row r="837" spans="1:44" ht="12.75" customHeight="1">
      <c r="A837" s="87"/>
      <c r="B837" s="87"/>
      <c r="C837" s="88"/>
      <c r="D837" s="88"/>
      <c r="E837" s="88"/>
      <c r="F837" s="89"/>
      <c r="G837" s="89"/>
      <c r="H837" s="89"/>
      <c r="I837" s="89"/>
      <c r="J837" s="89"/>
      <c r="K837" s="88"/>
      <c r="L837" s="88"/>
      <c r="M837" s="88"/>
      <c r="N837" s="88"/>
      <c r="O837" s="90"/>
      <c r="P837" s="88"/>
      <c r="Q837" s="88"/>
      <c r="R837" s="92"/>
      <c r="S837" s="92"/>
      <c r="T837" s="92"/>
      <c r="U837" s="92"/>
      <c r="V837" s="92"/>
      <c r="W837" s="92"/>
      <c r="X837" s="92"/>
      <c r="Y837" s="92"/>
      <c r="Z837" s="92"/>
      <c r="AA837" s="92"/>
      <c r="AB837" s="92"/>
      <c r="AC837" s="92"/>
      <c r="AD837" s="92"/>
      <c r="AE837" s="92"/>
      <c r="AF837" s="92"/>
      <c r="AG837" s="92"/>
      <c r="AH837" s="92"/>
      <c r="AI837" s="92"/>
      <c r="AJ837" s="92"/>
      <c r="AK837" s="88"/>
      <c r="AL837" s="88"/>
      <c r="AM837" s="88"/>
      <c r="AN837" s="88"/>
      <c r="AO837" s="88"/>
      <c r="AP837" s="88"/>
      <c r="AQ837" s="88"/>
      <c r="AR837" s="88"/>
    </row>
    <row r="838" spans="1:44" ht="12.75" customHeight="1">
      <c r="A838" s="87"/>
      <c r="B838" s="87"/>
      <c r="C838" s="88"/>
      <c r="D838" s="88"/>
      <c r="E838" s="88"/>
      <c r="F838" s="89"/>
      <c r="G838" s="89"/>
      <c r="H838" s="89"/>
      <c r="I838" s="89"/>
      <c r="J838" s="89"/>
      <c r="K838" s="88"/>
      <c r="L838" s="88"/>
      <c r="M838" s="88"/>
      <c r="N838" s="88"/>
      <c r="O838" s="90"/>
      <c r="P838" s="88"/>
      <c r="Q838" s="88"/>
      <c r="R838" s="92"/>
      <c r="S838" s="92"/>
      <c r="T838" s="92"/>
      <c r="U838" s="92"/>
      <c r="V838" s="92"/>
      <c r="W838" s="92"/>
      <c r="X838" s="92"/>
      <c r="Y838" s="92"/>
      <c r="Z838" s="92"/>
      <c r="AA838" s="92"/>
      <c r="AB838" s="92"/>
      <c r="AC838" s="92"/>
      <c r="AD838" s="92"/>
      <c r="AE838" s="92"/>
      <c r="AF838" s="92"/>
      <c r="AG838" s="92"/>
      <c r="AH838" s="92"/>
      <c r="AI838" s="92"/>
      <c r="AJ838" s="92"/>
      <c r="AK838" s="88"/>
      <c r="AL838" s="88"/>
      <c r="AM838" s="88"/>
      <c r="AN838" s="88"/>
      <c r="AO838" s="88"/>
      <c r="AP838" s="88"/>
      <c r="AQ838" s="88"/>
      <c r="AR838" s="88"/>
    </row>
    <row r="839" spans="1:44" ht="12.75" customHeight="1">
      <c r="A839" s="87"/>
      <c r="B839" s="87"/>
      <c r="C839" s="88"/>
      <c r="D839" s="88"/>
      <c r="E839" s="88"/>
      <c r="F839" s="89"/>
      <c r="G839" s="89"/>
      <c r="H839" s="89"/>
      <c r="I839" s="89"/>
      <c r="J839" s="89"/>
      <c r="K839" s="88"/>
      <c r="L839" s="88"/>
      <c r="M839" s="88"/>
      <c r="N839" s="88"/>
      <c r="O839" s="90"/>
      <c r="P839" s="88"/>
      <c r="Q839" s="88"/>
      <c r="R839" s="92"/>
      <c r="S839" s="92"/>
      <c r="T839" s="92"/>
      <c r="U839" s="92"/>
      <c r="V839" s="92"/>
      <c r="W839" s="92"/>
      <c r="X839" s="92"/>
      <c r="Y839" s="92"/>
      <c r="Z839" s="92"/>
      <c r="AA839" s="92"/>
      <c r="AB839" s="92"/>
      <c r="AC839" s="92"/>
      <c r="AD839" s="92"/>
      <c r="AE839" s="92"/>
      <c r="AF839" s="92"/>
      <c r="AG839" s="92"/>
      <c r="AH839" s="92"/>
      <c r="AI839" s="92"/>
      <c r="AJ839" s="92"/>
      <c r="AK839" s="88"/>
      <c r="AL839" s="88"/>
      <c r="AM839" s="88"/>
      <c r="AN839" s="88"/>
      <c r="AO839" s="88"/>
      <c r="AP839" s="88"/>
      <c r="AQ839" s="88"/>
      <c r="AR839" s="88"/>
    </row>
    <row r="840" spans="1:44" ht="12.75" customHeight="1">
      <c r="A840" s="87"/>
      <c r="B840" s="87"/>
      <c r="C840" s="88"/>
      <c r="D840" s="88"/>
      <c r="E840" s="88"/>
      <c r="F840" s="89"/>
      <c r="G840" s="89"/>
      <c r="H840" s="89"/>
      <c r="I840" s="89"/>
      <c r="J840" s="89"/>
      <c r="K840" s="88"/>
      <c r="L840" s="88"/>
      <c r="M840" s="88"/>
      <c r="N840" s="88"/>
      <c r="O840" s="90"/>
      <c r="P840" s="88"/>
      <c r="Q840" s="88"/>
      <c r="R840" s="92"/>
      <c r="S840" s="92"/>
      <c r="T840" s="92"/>
      <c r="U840" s="92"/>
      <c r="V840" s="92"/>
      <c r="W840" s="92"/>
      <c r="X840" s="92"/>
      <c r="Y840" s="92"/>
      <c r="Z840" s="92"/>
      <c r="AA840" s="92"/>
      <c r="AB840" s="92"/>
      <c r="AC840" s="92"/>
      <c r="AD840" s="92"/>
      <c r="AE840" s="92"/>
      <c r="AF840" s="92"/>
      <c r="AG840" s="92"/>
      <c r="AH840" s="92"/>
      <c r="AI840" s="92"/>
      <c r="AJ840" s="92"/>
      <c r="AK840" s="88"/>
      <c r="AL840" s="88"/>
      <c r="AM840" s="88"/>
      <c r="AN840" s="88"/>
      <c r="AO840" s="88"/>
      <c r="AP840" s="88"/>
      <c r="AQ840" s="88"/>
      <c r="AR840" s="88"/>
    </row>
    <row r="841" spans="1:44" ht="12.75" customHeight="1">
      <c r="A841" s="87"/>
      <c r="B841" s="87"/>
      <c r="C841" s="88"/>
      <c r="D841" s="88"/>
      <c r="E841" s="88"/>
      <c r="F841" s="89"/>
      <c r="G841" s="89"/>
      <c r="H841" s="89"/>
      <c r="I841" s="89"/>
      <c r="J841" s="89"/>
      <c r="K841" s="88"/>
      <c r="L841" s="88"/>
      <c r="M841" s="88"/>
      <c r="N841" s="88"/>
      <c r="O841" s="90"/>
      <c r="P841" s="88"/>
      <c r="Q841" s="88"/>
      <c r="R841" s="92"/>
      <c r="S841" s="92"/>
      <c r="T841" s="92"/>
      <c r="U841" s="92"/>
      <c r="V841" s="92"/>
      <c r="W841" s="92"/>
      <c r="X841" s="92"/>
      <c r="Y841" s="92"/>
      <c r="Z841" s="92"/>
      <c r="AA841" s="92"/>
      <c r="AB841" s="92"/>
      <c r="AC841" s="92"/>
      <c r="AD841" s="92"/>
      <c r="AE841" s="92"/>
      <c r="AF841" s="92"/>
      <c r="AG841" s="92"/>
      <c r="AH841" s="92"/>
      <c r="AI841" s="92"/>
      <c r="AJ841" s="92"/>
      <c r="AK841" s="88"/>
      <c r="AL841" s="88"/>
      <c r="AM841" s="88"/>
      <c r="AN841" s="88"/>
      <c r="AO841" s="88"/>
      <c r="AP841" s="88"/>
      <c r="AQ841" s="88"/>
      <c r="AR841" s="88"/>
    </row>
    <row r="842" spans="1:44" ht="12.75" customHeight="1">
      <c r="A842" s="87"/>
      <c r="B842" s="87"/>
      <c r="C842" s="88"/>
      <c r="D842" s="88"/>
      <c r="E842" s="88"/>
      <c r="F842" s="89"/>
      <c r="G842" s="89"/>
      <c r="H842" s="89"/>
      <c r="I842" s="89"/>
      <c r="J842" s="89"/>
      <c r="K842" s="88"/>
      <c r="L842" s="88"/>
      <c r="M842" s="88"/>
      <c r="N842" s="88"/>
      <c r="O842" s="90"/>
      <c r="P842" s="88"/>
      <c r="Q842" s="88"/>
      <c r="R842" s="92"/>
      <c r="S842" s="92"/>
      <c r="T842" s="92"/>
      <c r="U842" s="92"/>
      <c r="V842" s="92"/>
      <c r="W842" s="92"/>
      <c r="X842" s="92"/>
      <c r="Y842" s="92"/>
      <c r="Z842" s="92"/>
      <c r="AA842" s="92"/>
      <c r="AB842" s="92"/>
      <c r="AC842" s="92"/>
      <c r="AD842" s="92"/>
      <c r="AE842" s="92"/>
      <c r="AF842" s="92"/>
      <c r="AG842" s="92"/>
      <c r="AH842" s="92"/>
      <c r="AI842" s="92"/>
      <c r="AJ842" s="92"/>
      <c r="AK842" s="88"/>
      <c r="AL842" s="88"/>
      <c r="AM842" s="88"/>
      <c r="AN842" s="88"/>
      <c r="AO842" s="88"/>
      <c r="AP842" s="88"/>
      <c r="AQ842" s="88"/>
      <c r="AR842" s="88"/>
    </row>
    <row r="843" spans="1:44" ht="12.75" customHeight="1">
      <c r="A843" s="87"/>
      <c r="B843" s="87"/>
      <c r="C843" s="88"/>
      <c r="D843" s="88"/>
      <c r="E843" s="88"/>
      <c r="F843" s="89"/>
      <c r="G843" s="89"/>
      <c r="H843" s="89"/>
      <c r="I843" s="89"/>
      <c r="J843" s="89"/>
      <c r="K843" s="88"/>
      <c r="L843" s="88"/>
      <c r="M843" s="88"/>
      <c r="N843" s="88"/>
      <c r="O843" s="90"/>
      <c r="P843" s="88"/>
      <c r="Q843" s="88"/>
      <c r="R843" s="92"/>
      <c r="S843" s="92"/>
      <c r="T843" s="92"/>
      <c r="U843" s="92"/>
      <c r="V843" s="92"/>
      <c r="W843" s="92"/>
      <c r="X843" s="92"/>
      <c r="Y843" s="92"/>
      <c r="Z843" s="92"/>
      <c r="AA843" s="92"/>
      <c r="AB843" s="92"/>
      <c r="AC843" s="92"/>
      <c r="AD843" s="92"/>
      <c r="AE843" s="92"/>
      <c r="AF843" s="92"/>
      <c r="AG843" s="92"/>
      <c r="AH843" s="92"/>
      <c r="AI843" s="92"/>
      <c r="AJ843" s="92"/>
      <c r="AK843" s="88"/>
      <c r="AL843" s="88"/>
      <c r="AM843" s="88"/>
      <c r="AN843" s="88"/>
      <c r="AO843" s="88"/>
      <c r="AP843" s="88"/>
      <c r="AQ843" s="88"/>
      <c r="AR843" s="88"/>
    </row>
    <row r="844" spans="1:44" ht="12.75" customHeight="1">
      <c r="A844" s="87"/>
      <c r="B844" s="87"/>
      <c r="C844" s="88"/>
      <c r="D844" s="88"/>
      <c r="E844" s="88"/>
      <c r="F844" s="89"/>
      <c r="G844" s="89"/>
      <c r="H844" s="89"/>
      <c r="I844" s="89"/>
      <c r="J844" s="89"/>
      <c r="K844" s="88"/>
      <c r="L844" s="88"/>
      <c r="M844" s="88"/>
      <c r="N844" s="88"/>
      <c r="O844" s="90"/>
      <c r="P844" s="88"/>
      <c r="Q844" s="88"/>
      <c r="R844" s="92"/>
      <c r="S844" s="92"/>
      <c r="T844" s="92"/>
      <c r="U844" s="92"/>
      <c r="V844" s="92"/>
      <c r="W844" s="92"/>
      <c r="X844" s="92"/>
      <c r="Y844" s="92"/>
      <c r="Z844" s="92"/>
      <c r="AA844" s="92"/>
      <c r="AB844" s="92"/>
      <c r="AC844" s="92"/>
      <c r="AD844" s="92"/>
      <c r="AE844" s="92"/>
      <c r="AF844" s="92"/>
      <c r="AG844" s="92"/>
      <c r="AH844" s="92"/>
      <c r="AI844" s="92"/>
      <c r="AJ844" s="92"/>
      <c r="AK844" s="88"/>
      <c r="AL844" s="88"/>
      <c r="AM844" s="88"/>
      <c r="AN844" s="88"/>
      <c r="AO844" s="88"/>
      <c r="AP844" s="88"/>
      <c r="AQ844" s="88"/>
      <c r="AR844" s="88"/>
    </row>
    <row r="845" spans="1:44" ht="12.75" customHeight="1">
      <c r="A845" s="87"/>
      <c r="B845" s="87"/>
      <c r="C845" s="88"/>
      <c r="D845" s="88"/>
      <c r="E845" s="88"/>
      <c r="F845" s="89"/>
      <c r="G845" s="89"/>
      <c r="H845" s="89"/>
      <c r="I845" s="89"/>
      <c r="J845" s="89"/>
      <c r="K845" s="88"/>
      <c r="L845" s="88"/>
      <c r="M845" s="88"/>
      <c r="N845" s="88"/>
      <c r="O845" s="90"/>
      <c r="P845" s="88"/>
      <c r="Q845" s="88"/>
      <c r="R845" s="92"/>
      <c r="S845" s="92"/>
      <c r="T845" s="92"/>
      <c r="U845" s="92"/>
      <c r="V845" s="92"/>
      <c r="W845" s="92"/>
      <c r="X845" s="92"/>
      <c r="Y845" s="92"/>
      <c r="Z845" s="92"/>
      <c r="AA845" s="92"/>
      <c r="AB845" s="92"/>
      <c r="AC845" s="92"/>
      <c r="AD845" s="92"/>
      <c r="AE845" s="92"/>
      <c r="AF845" s="92"/>
      <c r="AG845" s="92"/>
      <c r="AH845" s="92"/>
      <c r="AI845" s="92"/>
      <c r="AJ845" s="92"/>
      <c r="AK845" s="88"/>
      <c r="AL845" s="88"/>
      <c r="AM845" s="88"/>
      <c r="AN845" s="88"/>
      <c r="AO845" s="88"/>
      <c r="AP845" s="88"/>
      <c r="AQ845" s="88"/>
      <c r="AR845" s="88"/>
    </row>
    <row r="846" spans="1:44" ht="12.75" customHeight="1">
      <c r="A846" s="87"/>
      <c r="B846" s="87"/>
      <c r="C846" s="88"/>
      <c r="D846" s="88"/>
      <c r="E846" s="88"/>
      <c r="F846" s="89"/>
      <c r="G846" s="89"/>
      <c r="H846" s="89"/>
      <c r="I846" s="89"/>
      <c r="J846" s="89"/>
      <c r="K846" s="88"/>
      <c r="L846" s="88"/>
      <c r="M846" s="88"/>
      <c r="N846" s="88"/>
      <c r="O846" s="90"/>
      <c r="P846" s="88"/>
      <c r="Q846" s="88"/>
      <c r="R846" s="92"/>
      <c r="S846" s="92"/>
      <c r="T846" s="92"/>
      <c r="U846" s="92"/>
      <c r="V846" s="92"/>
      <c r="W846" s="92"/>
      <c r="X846" s="92"/>
      <c r="Y846" s="92"/>
      <c r="Z846" s="92"/>
      <c r="AA846" s="92"/>
      <c r="AB846" s="92"/>
      <c r="AC846" s="92"/>
      <c r="AD846" s="92"/>
      <c r="AE846" s="92"/>
      <c r="AF846" s="92"/>
      <c r="AG846" s="92"/>
      <c r="AH846" s="92"/>
      <c r="AI846" s="92"/>
      <c r="AJ846" s="92"/>
      <c r="AK846" s="88"/>
      <c r="AL846" s="88"/>
      <c r="AM846" s="88"/>
      <c r="AN846" s="88"/>
      <c r="AO846" s="88"/>
      <c r="AP846" s="88"/>
      <c r="AQ846" s="88"/>
      <c r="AR846" s="88"/>
    </row>
    <row r="847" spans="1:44" ht="12.75" customHeight="1">
      <c r="A847" s="87"/>
      <c r="B847" s="87"/>
      <c r="C847" s="88"/>
      <c r="D847" s="88"/>
      <c r="E847" s="88"/>
      <c r="F847" s="89"/>
      <c r="G847" s="89"/>
      <c r="H847" s="89"/>
      <c r="I847" s="89"/>
      <c r="J847" s="89"/>
      <c r="K847" s="88"/>
      <c r="L847" s="88"/>
      <c r="M847" s="88"/>
      <c r="N847" s="88"/>
      <c r="O847" s="90"/>
      <c r="P847" s="88"/>
      <c r="Q847" s="88"/>
      <c r="R847" s="92"/>
      <c r="S847" s="92"/>
      <c r="T847" s="92"/>
      <c r="U847" s="92"/>
      <c r="V847" s="92"/>
      <c r="W847" s="92"/>
      <c r="X847" s="92"/>
      <c r="Y847" s="92"/>
      <c r="Z847" s="92"/>
      <c r="AA847" s="92"/>
      <c r="AB847" s="92"/>
      <c r="AC847" s="92"/>
      <c r="AD847" s="92"/>
      <c r="AE847" s="92"/>
      <c r="AF847" s="92"/>
      <c r="AG847" s="92"/>
      <c r="AH847" s="92"/>
      <c r="AI847" s="92"/>
      <c r="AJ847" s="92"/>
      <c r="AK847" s="88"/>
      <c r="AL847" s="88"/>
      <c r="AM847" s="88"/>
      <c r="AN847" s="88"/>
      <c r="AO847" s="88"/>
      <c r="AP847" s="88"/>
      <c r="AQ847" s="88"/>
      <c r="AR847" s="88"/>
    </row>
    <row r="848" spans="1:44" ht="12.75" customHeight="1">
      <c r="A848" s="87"/>
      <c r="B848" s="87"/>
      <c r="C848" s="88"/>
      <c r="D848" s="88"/>
      <c r="E848" s="88"/>
      <c r="F848" s="89"/>
      <c r="G848" s="89"/>
      <c r="H848" s="89"/>
      <c r="I848" s="89"/>
      <c r="J848" s="89"/>
      <c r="K848" s="88"/>
      <c r="L848" s="88"/>
      <c r="M848" s="88"/>
      <c r="N848" s="88"/>
      <c r="O848" s="90"/>
      <c r="P848" s="88"/>
      <c r="Q848" s="88"/>
      <c r="R848" s="92"/>
      <c r="S848" s="92"/>
      <c r="T848" s="92"/>
      <c r="U848" s="92"/>
      <c r="V848" s="92"/>
      <c r="W848" s="92"/>
      <c r="X848" s="92"/>
      <c r="Y848" s="92"/>
      <c r="Z848" s="92"/>
      <c r="AA848" s="92"/>
      <c r="AB848" s="92"/>
      <c r="AC848" s="92"/>
      <c r="AD848" s="92"/>
      <c r="AE848" s="92"/>
      <c r="AF848" s="92"/>
      <c r="AG848" s="92"/>
      <c r="AH848" s="92"/>
      <c r="AI848" s="92"/>
      <c r="AJ848" s="92"/>
      <c r="AK848" s="88"/>
      <c r="AL848" s="88"/>
      <c r="AM848" s="88"/>
      <c r="AN848" s="88"/>
      <c r="AO848" s="88"/>
      <c r="AP848" s="88"/>
      <c r="AQ848" s="88"/>
      <c r="AR848" s="88"/>
    </row>
    <row r="849" spans="1:44" ht="12.75" customHeight="1">
      <c r="A849" s="87"/>
      <c r="B849" s="87"/>
      <c r="C849" s="88"/>
      <c r="D849" s="88"/>
      <c r="E849" s="88"/>
      <c r="F849" s="89"/>
      <c r="G849" s="89"/>
      <c r="H849" s="89"/>
      <c r="I849" s="89"/>
      <c r="J849" s="89"/>
      <c r="K849" s="88"/>
      <c r="L849" s="88"/>
      <c r="M849" s="88"/>
      <c r="N849" s="88"/>
      <c r="O849" s="90"/>
      <c r="P849" s="88"/>
      <c r="Q849" s="88"/>
      <c r="R849" s="92"/>
      <c r="S849" s="92"/>
      <c r="T849" s="92"/>
      <c r="U849" s="92"/>
      <c r="V849" s="92"/>
      <c r="W849" s="92"/>
      <c r="X849" s="92"/>
      <c r="Y849" s="92"/>
      <c r="Z849" s="92"/>
      <c r="AA849" s="92"/>
      <c r="AB849" s="92"/>
      <c r="AC849" s="92"/>
      <c r="AD849" s="92"/>
      <c r="AE849" s="92"/>
      <c r="AF849" s="92"/>
      <c r="AG849" s="92"/>
      <c r="AH849" s="92"/>
      <c r="AI849" s="92"/>
      <c r="AJ849" s="92"/>
      <c r="AK849" s="88"/>
      <c r="AL849" s="88"/>
      <c r="AM849" s="88"/>
      <c r="AN849" s="88"/>
      <c r="AO849" s="88"/>
      <c r="AP849" s="88"/>
      <c r="AQ849" s="88"/>
      <c r="AR849" s="88"/>
    </row>
    <row r="850" spans="1:44" ht="12.75" customHeight="1">
      <c r="A850" s="87"/>
      <c r="B850" s="87"/>
      <c r="C850" s="88"/>
      <c r="D850" s="88"/>
      <c r="E850" s="88"/>
      <c r="F850" s="89"/>
      <c r="G850" s="89"/>
      <c r="H850" s="89"/>
      <c r="I850" s="89"/>
      <c r="J850" s="89"/>
      <c r="K850" s="88"/>
      <c r="L850" s="88"/>
      <c r="M850" s="88"/>
      <c r="N850" s="88"/>
      <c r="O850" s="90"/>
      <c r="P850" s="88"/>
      <c r="Q850" s="88"/>
      <c r="R850" s="92"/>
      <c r="S850" s="92"/>
      <c r="T850" s="92"/>
      <c r="U850" s="92"/>
      <c r="V850" s="92"/>
      <c r="W850" s="92"/>
      <c r="X850" s="92"/>
      <c r="Y850" s="92"/>
      <c r="Z850" s="92"/>
      <c r="AA850" s="92"/>
      <c r="AB850" s="92"/>
      <c r="AC850" s="92"/>
      <c r="AD850" s="92"/>
      <c r="AE850" s="92"/>
      <c r="AF850" s="92"/>
      <c r="AG850" s="92"/>
      <c r="AH850" s="92"/>
      <c r="AI850" s="92"/>
      <c r="AJ850" s="92"/>
      <c r="AK850" s="88"/>
      <c r="AL850" s="88"/>
      <c r="AM850" s="88"/>
      <c r="AN850" s="88"/>
      <c r="AO850" s="88"/>
      <c r="AP850" s="88"/>
      <c r="AQ850" s="88"/>
      <c r="AR850" s="88"/>
    </row>
    <row r="851" spans="1:44" ht="12.75" customHeight="1">
      <c r="A851" s="87"/>
      <c r="B851" s="87"/>
      <c r="C851" s="88"/>
      <c r="D851" s="88"/>
      <c r="E851" s="88"/>
      <c r="F851" s="89"/>
      <c r="G851" s="89"/>
      <c r="H851" s="89"/>
      <c r="I851" s="89"/>
      <c r="J851" s="89"/>
      <c r="K851" s="88"/>
      <c r="L851" s="88"/>
      <c r="M851" s="88"/>
      <c r="N851" s="88"/>
      <c r="O851" s="90"/>
      <c r="P851" s="88"/>
      <c r="Q851" s="88"/>
      <c r="R851" s="92"/>
      <c r="S851" s="92"/>
      <c r="T851" s="92"/>
      <c r="U851" s="92"/>
      <c r="V851" s="92"/>
      <c r="W851" s="92"/>
      <c r="X851" s="92"/>
      <c r="Y851" s="92"/>
      <c r="Z851" s="92"/>
      <c r="AA851" s="92"/>
      <c r="AB851" s="92"/>
      <c r="AC851" s="92"/>
      <c r="AD851" s="92"/>
      <c r="AE851" s="92"/>
      <c r="AF851" s="92"/>
      <c r="AG851" s="92"/>
      <c r="AH851" s="92"/>
      <c r="AI851" s="92"/>
      <c r="AJ851" s="92"/>
      <c r="AK851" s="88"/>
      <c r="AL851" s="88"/>
      <c r="AM851" s="88"/>
      <c r="AN851" s="88"/>
      <c r="AO851" s="88"/>
      <c r="AP851" s="88"/>
      <c r="AQ851" s="88"/>
      <c r="AR851" s="88"/>
    </row>
    <row r="852" spans="1:44" ht="12.75" customHeight="1">
      <c r="A852" s="87"/>
      <c r="B852" s="87"/>
      <c r="C852" s="88"/>
      <c r="D852" s="88"/>
      <c r="E852" s="88"/>
      <c r="F852" s="89"/>
      <c r="G852" s="89"/>
      <c r="H852" s="89"/>
      <c r="I852" s="89"/>
      <c r="J852" s="89"/>
      <c r="K852" s="88"/>
      <c r="L852" s="88"/>
      <c r="M852" s="88"/>
      <c r="N852" s="88"/>
      <c r="O852" s="90"/>
      <c r="P852" s="88"/>
      <c r="Q852" s="88"/>
      <c r="R852" s="92"/>
      <c r="S852" s="92"/>
      <c r="T852" s="92"/>
      <c r="U852" s="92"/>
      <c r="V852" s="92"/>
      <c r="W852" s="92"/>
      <c r="X852" s="92"/>
      <c r="Y852" s="92"/>
      <c r="Z852" s="92"/>
      <c r="AA852" s="92"/>
      <c r="AB852" s="92"/>
      <c r="AC852" s="92"/>
      <c r="AD852" s="92"/>
      <c r="AE852" s="92"/>
      <c r="AF852" s="92"/>
      <c r="AG852" s="92"/>
      <c r="AH852" s="92"/>
      <c r="AI852" s="92"/>
      <c r="AJ852" s="92"/>
      <c r="AK852" s="88"/>
      <c r="AL852" s="88"/>
      <c r="AM852" s="88"/>
      <c r="AN852" s="88"/>
      <c r="AO852" s="88"/>
      <c r="AP852" s="88"/>
      <c r="AQ852" s="88"/>
      <c r="AR852" s="88"/>
    </row>
    <row r="853" spans="1:44" ht="12.75" customHeight="1">
      <c r="A853" s="87"/>
      <c r="B853" s="87"/>
      <c r="C853" s="88"/>
      <c r="D853" s="88"/>
      <c r="E853" s="88"/>
      <c r="F853" s="89"/>
      <c r="G853" s="89"/>
      <c r="H853" s="89"/>
      <c r="I853" s="89"/>
      <c r="J853" s="89"/>
      <c r="K853" s="88"/>
      <c r="L853" s="88"/>
      <c r="M853" s="88"/>
      <c r="N853" s="88"/>
      <c r="O853" s="90"/>
      <c r="P853" s="88"/>
      <c r="Q853" s="88"/>
      <c r="R853" s="92"/>
      <c r="S853" s="92"/>
      <c r="T853" s="92"/>
      <c r="U853" s="92"/>
      <c r="V853" s="92"/>
      <c r="W853" s="92"/>
      <c r="X853" s="92"/>
      <c r="Y853" s="92"/>
      <c r="Z853" s="92"/>
      <c r="AA853" s="92"/>
      <c r="AB853" s="92"/>
      <c r="AC853" s="92"/>
      <c r="AD853" s="92"/>
      <c r="AE853" s="92"/>
      <c r="AF853" s="92"/>
      <c r="AG853" s="92"/>
      <c r="AH853" s="92"/>
      <c r="AI853" s="92"/>
      <c r="AJ853" s="92"/>
      <c r="AK853" s="88"/>
      <c r="AL853" s="88"/>
      <c r="AM853" s="88"/>
      <c r="AN853" s="88"/>
      <c r="AO853" s="88"/>
      <c r="AP853" s="88"/>
      <c r="AQ853" s="88"/>
      <c r="AR853" s="88"/>
    </row>
    <row r="854" spans="1:44" ht="12.75" customHeight="1">
      <c r="A854" s="87"/>
      <c r="B854" s="87"/>
      <c r="C854" s="88"/>
      <c r="D854" s="88"/>
      <c r="E854" s="88"/>
      <c r="F854" s="89"/>
      <c r="G854" s="89"/>
      <c r="H854" s="89"/>
      <c r="I854" s="89"/>
      <c r="J854" s="89"/>
      <c r="K854" s="88"/>
      <c r="L854" s="88"/>
      <c r="M854" s="88"/>
      <c r="N854" s="88"/>
      <c r="O854" s="90"/>
      <c r="P854" s="88"/>
      <c r="Q854" s="88"/>
      <c r="R854" s="92"/>
      <c r="S854" s="92"/>
      <c r="T854" s="92"/>
      <c r="U854" s="92"/>
      <c r="V854" s="92"/>
      <c r="W854" s="92"/>
      <c r="X854" s="92"/>
      <c r="Y854" s="92"/>
      <c r="Z854" s="92"/>
      <c r="AA854" s="92"/>
      <c r="AB854" s="92"/>
      <c r="AC854" s="92"/>
      <c r="AD854" s="92"/>
      <c r="AE854" s="92"/>
      <c r="AF854" s="92"/>
      <c r="AG854" s="92"/>
      <c r="AH854" s="92"/>
      <c r="AI854" s="92"/>
      <c r="AJ854" s="92"/>
      <c r="AK854" s="88"/>
      <c r="AL854" s="88"/>
      <c r="AM854" s="88"/>
      <c r="AN854" s="88"/>
      <c r="AO854" s="88"/>
      <c r="AP854" s="88"/>
      <c r="AQ854" s="88"/>
      <c r="AR854" s="88"/>
    </row>
    <row r="855" spans="1:44" ht="12.75" customHeight="1">
      <c r="A855" s="87"/>
      <c r="B855" s="87"/>
      <c r="C855" s="88"/>
      <c r="D855" s="88"/>
      <c r="E855" s="88"/>
      <c r="F855" s="89"/>
      <c r="G855" s="89"/>
      <c r="H855" s="89"/>
      <c r="I855" s="89"/>
      <c r="J855" s="89"/>
      <c r="K855" s="88"/>
      <c r="L855" s="88"/>
      <c r="M855" s="88"/>
      <c r="N855" s="88"/>
      <c r="O855" s="90"/>
      <c r="P855" s="88"/>
      <c r="Q855" s="88"/>
      <c r="R855" s="92"/>
      <c r="S855" s="92"/>
      <c r="T855" s="92"/>
      <c r="U855" s="92"/>
      <c r="V855" s="92"/>
      <c r="W855" s="92"/>
      <c r="X855" s="92"/>
      <c r="Y855" s="92"/>
      <c r="Z855" s="92"/>
      <c r="AA855" s="92"/>
      <c r="AB855" s="92"/>
      <c r="AC855" s="92"/>
      <c r="AD855" s="92"/>
      <c r="AE855" s="92"/>
      <c r="AF855" s="92"/>
      <c r="AG855" s="92"/>
      <c r="AH855" s="92"/>
      <c r="AI855" s="92"/>
      <c r="AJ855" s="92"/>
      <c r="AK855" s="88"/>
      <c r="AL855" s="88"/>
      <c r="AM855" s="88"/>
      <c r="AN855" s="88"/>
      <c r="AO855" s="88"/>
      <c r="AP855" s="88"/>
      <c r="AQ855" s="88"/>
      <c r="AR855" s="88"/>
    </row>
    <row r="856" spans="1:44" ht="12.75" customHeight="1">
      <c r="A856" s="87"/>
      <c r="B856" s="87"/>
      <c r="C856" s="88"/>
      <c r="D856" s="88"/>
      <c r="E856" s="88"/>
      <c r="F856" s="89"/>
      <c r="G856" s="89"/>
      <c r="H856" s="89"/>
      <c r="I856" s="89"/>
      <c r="J856" s="89"/>
      <c r="K856" s="88"/>
      <c r="L856" s="88"/>
      <c r="M856" s="88"/>
      <c r="N856" s="88"/>
      <c r="O856" s="90"/>
      <c r="P856" s="88"/>
      <c r="Q856" s="88"/>
      <c r="R856" s="92"/>
      <c r="S856" s="92"/>
      <c r="T856" s="92"/>
      <c r="U856" s="92"/>
      <c r="V856" s="92"/>
      <c r="W856" s="92"/>
      <c r="X856" s="92"/>
      <c r="Y856" s="92"/>
      <c r="Z856" s="92"/>
      <c r="AA856" s="92"/>
      <c r="AB856" s="92"/>
      <c r="AC856" s="92"/>
      <c r="AD856" s="92"/>
      <c r="AE856" s="92"/>
      <c r="AF856" s="92"/>
      <c r="AG856" s="92"/>
      <c r="AH856" s="92"/>
      <c r="AI856" s="92"/>
      <c r="AJ856" s="92"/>
      <c r="AK856" s="88"/>
      <c r="AL856" s="88"/>
      <c r="AM856" s="88"/>
      <c r="AN856" s="88"/>
      <c r="AO856" s="88"/>
      <c r="AP856" s="88"/>
      <c r="AQ856" s="88"/>
      <c r="AR856" s="88"/>
    </row>
    <row r="857" spans="1:44" ht="12.75" customHeight="1">
      <c r="A857" s="87"/>
      <c r="B857" s="87"/>
      <c r="C857" s="88"/>
      <c r="D857" s="88"/>
      <c r="E857" s="88"/>
      <c r="F857" s="89"/>
      <c r="G857" s="89"/>
      <c r="H857" s="89"/>
      <c r="I857" s="89"/>
      <c r="J857" s="89"/>
      <c r="K857" s="88"/>
      <c r="L857" s="88"/>
      <c r="M857" s="88"/>
      <c r="N857" s="88"/>
      <c r="O857" s="90"/>
      <c r="P857" s="88"/>
      <c r="Q857" s="88"/>
      <c r="R857" s="92"/>
      <c r="S857" s="92"/>
      <c r="T857" s="92"/>
      <c r="U857" s="92"/>
      <c r="V857" s="92"/>
      <c r="W857" s="92"/>
      <c r="X857" s="92"/>
      <c r="Y857" s="92"/>
      <c r="Z857" s="92"/>
      <c r="AA857" s="92"/>
      <c r="AB857" s="92"/>
      <c r="AC857" s="92"/>
      <c r="AD857" s="92"/>
      <c r="AE857" s="92"/>
      <c r="AF857" s="92"/>
      <c r="AG857" s="92"/>
      <c r="AH857" s="92"/>
      <c r="AI857" s="92"/>
      <c r="AJ857" s="92"/>
      <c r="AK857" s="88"/>
      <c r="AL857" s="88"/>
      <c r="AM857" s="88"/>
      <c r="AN857" s="88"/>
      <c r="AO857" s="88"/>
      <c r="AP857" s="88"/>
      <c r="AQ857" s="88"/>
      <c r="AR857" s="88"/>
    </row>
    <row r="858" spans="1:44" ht="12.75" customHeight="1">
      <c r="A858" s="87"/>
      <c r="B858" s="87"/>
      <c r="C858" s="88"/>
      <c r="D858" s="88"/>
      <c r="E858" s="88"/>
      <c r="F858" s="89"/>
      <c r="G858" s="89"/>
      <c r="H858" s="89"/>
      <c r="I858" s="89"/>
      <c r="J858" s="89"/>
      <c r="K858" s="88"/>
      <c r="L858" s="88"/>
      <c r="M858" s="88"/>
      <c r="N858" s="88"/>
      <c r="O858" s="90"/>
      <c r="P858" s="88"/>
      <c r="Q858" s="88"/>
      <c r="R858" s="92"/>
      <c r="S858" s="92"/>
      <c r="T858" s="92"/>
      <c r="U858" s="92"/>
      <c r="V858" s="92"/>
      <c r="W858" s="92"/>
      <c r="X858" s="92"/>
      <c r="Y858" s="92"/>
      <c r="Z858" s="92"/>
      <c r="AA858" s="92"/>
      <c r="AB858" s="92"/>
      <c r="AC858" s="92"/>
      <c r="AD858" s="92"/>
      <c r="AE858" s="92"/>
      <c r="AF858" s="92"/>
      <c r="AG858" s="92"/>
      <c r="AH858" s="92"/>
      <c r="AI858" s="92"/>
      <c r="AJ858" s="92"/>
      <c r="AK858" s="88"/>
      <c r="AL858" s="88"/>
      <c r="AM858" s="88"/>
      <c r="AN858" s="88"/>
      <c r="AO858" s="88"/>
      <c r="AP858" s="88"/>
      <c r="AQ858" s="88"/>
      <c r="AR858" s="88"/>
    </row>
    <row r="859" spans="1:44" ht="12.75" customHeight="1">
      <c r="A859" s="87"/>
      <c r="B859" s="87"/>
      <c r="C859" s="88"/>
      <c r="D859" s="88"/>
      <c r="E859" s="88"/>
      <c r="F859" s="89"/>
      <c r="G859" s="89"/>
      <c r="H859" s="89"/>
      <c r="I859" s="89"/>
      <c r="J859" s="89"/>
      <c r="K859" s="88"/>
      <c r="L859" s="88"/>
      <c r="M859" s="88"/>
      <c r="N859" s="88"/>
      <c r="O859" s="90"/>
      <c r="P859" s="88"/>
      <c r="Q859" s="88"/>
      <c r="R859" s="92"/>
      <c r="S859" s="92"/>
      <c r="T859" s="92"/>
      <c r="U859" s="92"/>
      <c r="V859" s="92"/>
      <c r="W859" s="92"/>
      <c r="X859" s="92"/>
      <c r="Y859" s="92"/>
      <c r="Z859" s="92"/>
      <c r="AA859" s="92"/>
      <c r="AB859" s="92"/>
      <c r="AC859" s="92"/>
      <c r="AD859" s="92"/>
      <c r="AE859" s="92"/>
      <c r="AF859" s="92"/>
      <c r="AG859" s="92"/>
      <c r="AH859" s="92"/>
      <c r="AI859" s="92"/>
      <c r="AJ859" s="92"/>
      <c r="AK859" s="88"/>
      <c r="AL859" s="88"/>
      <c r="AM859" s="88"/>
      <c r="AN859" s="88"/>
      <c r="AO859" s="88"/>
      <c r="AP859" s="88"/>
      <c r="AQ859" s="88"/>
      <c r="AR859" s="88"/>
    </row>
    <row r="860" spans="1:44" ht="12.75" customHeight="1">
      <c r="A860" s="87"/>
      <c r="B860" s="87"/>
      <c r="C860" s="88"/>
      <c r="D860" s="88"/>
      <c r="E860" s="88"/>
      <c r="F860" s="89"/>
      <c r="G860" s="89"/>
      <c r="H860" s="89"/>
      <c r="I860" s="89"/>
      <c r="J860" s="89"/>
      <c r="K860" s="88"/>
      <c r="L860" s="88"/>
      <c r="M860" s="88"/>
      <c r="N860" s="88"/>
      <c r="O860" s="90"/>
      <c r="P860" s="88"/>
      <c r="Q860" s="88"/>
      <c r="R860" s="92"/>
      <c r="S860" s="92"/>
      <c r="T860" s="92"/>
      <c r="U860" s="92"/>
      <c r="V860" s="92"/>
      <c r="W860" s="92"/>
      <c r="X860" s="92"/>
      <c r="Y860" s="92"/>
      <c r="Z860" s="92"/>
      <c r="AA860" s="92"/>
      <c r="AB860" s="92"/>
      <c r="AC860" s="92"/>
      <c r="AD860" s="92"/>
      <c r="AE860" s="92"/>
      <c r="AF860" s="92"/>
      <c r="AG860" s="92"/>
      <c r="AH860" s="92"/>
      <c r="AI860" s="92"/>
      <c r="AJ860" s="92"/>
      <c r="AK860" s="88"/>
      <c r="AL860" s="88"/>
      <c r="AM860" s="88"/>
      <c r="AN860" s="88"/>
      <c r="AO860" s="88"/>
      <c r="AP860" s="88"/>
      <c r="AQ860" s="88"/>
      <c r="AR860" s="88"/>
    </row>
    <row r="861" spans="1:44" ht="12.75" customHeight="1">
      <c r="A861" s="87"/>
      <c r="B861" s="87"/>
      <c r="C861" s="88"/>
      <c r="D861" s="88"/>
      <c r="E861" s="88"/>
      <c r="F861" s="89"/>
      <c r="G861" s="89"/>
      <c r="H861" s="89"/>
      <c r="I861" s="89"/>
      <c r="J861" s="89"/>
      <c r="K861" s="88"/>
      <c r="L861" s="88"/>
      <c r="M861" s="88"/>
      <c r="N861" s="88"/>
      <c r="O861" s="90"/>
      <c r="P861" s="88"/>
      <c r="Q861" s="88"/>
      <c r="R861" s="92"/>
      <c r="S861" s="92"/>
      <c r="T861" s="92"/>
      <c r="U861" s="92"/>
      <c r="V861" s="92"/>
      <c r="W861" s="92"/>
      <c r="X861" s="92"/>
      <c r="Y861" s="92"/>
      <c r="Z861" s="92"/>
      <c r="AA861" s="92"/>
      <c r="AB861" s="92"/>
      <c r="AC861" s="92"/>
      <c r="AD861" s="92"/>
      <c r="AE861" s="92"/>
      <c r="AF861" s="92"/>
      <c r="AG861" s="92"/>
      <c r="AH861" s="92"/>
      <c r="AI861" s="92"/>
      <c r="AJ861" s="92"/>
      <c r="AK861" s="88"/>
      <c r="AL861" s="88"/>
      <c r="AM861" s="88"/>
      <c r="AN861" s="88"/>
      <c r="AO861" s="88"/>
      <c r="AP861" s="88"/>
      <c r="AQ861" s="88"/>
      <c r="AR861" s="88"/>
    </row>
    <row r="862" spans="1:44" ht="12.75" customHeight="1">
      <c r="A862" s="87"/>
      <c r="B862" s="87"/>
      <c r="C862" s="88"/>
      <c r="D862" s="88"/>
      <c r="E862" s="88"/>
      <c r="F862" s="89"/>
      <c r="G862" s="89"/>
      <c r="H862" s="89"/>
      <c r="I862" s="89"/>
      <c r="J862" s="89"/>
      <c r="K862" s="88"/>
      <c r="L862" s="88"/>
      <c r="M862" s="88"/>
      <c r="N862" s="88"/>
      <c r="O862" s="90"/>
      <c r="P862" s="88"/>
      <c r="Q862" s="88"/>
      <c r="R862" s="92"/>
      <c r="S862" s="92"/>
      <c r="T862" s="92"/>
      <c r="U862" s="92"/>
      <c r="V862" s="92"/>
      <c r="W862" s="92"/>
      <c r="X862" s="92"/>
      <c r="Y862" s="92"/>
      <c r="Z862" s="92"/>
      <c r="AA862" s="92"/>
      <c r="AB862" s="92"/>
      <c r="AC862" s="92"/>
      <c r="AD862" s="92"/>
      <c r="AE862" s="92"/>
      <c r="AF862" s="92"/>
      <c r="AG862" s="92"/>
      <c r="AH862" s="92"/>
      <c r="AI862" s="92"/>
      <c r="AJ862" s="92"/>
      <c r="AK862" s="88"/>
      <c r="AL862" s="88"/>
      <c r="AM862" s="88"/>
      <c r="AN862" s="88"/>
      <c r="AO862" s="88"/>
      <c r="AP862" s="88"/>
      <c r="AQ862" s="88"/>
      <c r="AR862" s="88"/>
    </row>
    <row r="863" spans="1:44" ht="12.75" customHeight="1">
      <c r="A863" s="87"/>
      <c r="B863" s="87"/>
      <c r="C863" s="88"/>
      <c r="D863" s="88"/>
      <c r="E863" s="88"/>
      <c r="F863" s="89"/>
      <c r="G863" s="89"/>
      <c r="H863" s="89"/>
      <c r="I863" s="89"/>
      <c r="J863" s="89"/>
      <c r="K863" s="88"/>
      <c r="L863" s="88"/>
      <c r="M863" s="88"/>
      <c r="N863" s="88"/>
      <c r="O863" s="90"/>
      <c r="P863" s="88"/>
      <c r="Q863" s="88"/>
      <c r="R863" s="92"/>
      <c r="S863" s="92"/>
      <c r="T863" s="92"/>
      <c r="U863" s="92"/>
      <c r="V863" s="92"/>
      <c r="W863" s="92"/>
      <c r="X863" s="92"/>
      <c r="Y863" s="92"/>
      <c r="Z863" s="92"/>
      <c r="AA863" s="92"/>
      <c r="AB863" s="92"/>
      <c r="AC863" s="92"/>
      <c r="AD863" s="92"/>
      <c r="AE863" s="92"/>
      <c r="AF863" s="92"/>
      <c r="AG863" s="92"/>
      <c r="AH863" s="92"/>
      <c r="AI863" s="92"/>
      <c r="AJ863" s="92"/>
      <c r="AK863" s="88"/>
      <c r="AL863" s="88"/>
      <c r="AM863" s="88"/>
      <c r="AN863" s="88"/>
      <c r="AO863" s="88"/>
      <c r="AP863" s="88"/>
      <c r="AQ863" s="88"/>
      <c r="AR863" s="88"/>
    </row>
    <row r="864" spans="1:44" ht="12.75" customHeight="1">
      <c r="A864" s="87"/>
      <c r="B864" s="87"/>
      <c r="C864" s="88"/>
      <c r="D864" s="88"/>
      <c r="E864" s="88"/>
      <c r="F864" s="89"/>
      <c r="G864" s="89"/>
      <c r="H864" s="89"/>
      <c r="I864" s="89"/>
      <c r="J864" s="89"/>
      <c r="K864" s="88"/>
      <c r="L864" s="88"/>
      <c r="M864" s="88"/>
      <c r="N864" s="88"/>
      <c r="O864" s="90"/>
      <c r="P864" s="88"/>
      <c r="Q864" s="88"/>
      <c r="R864" s="92"/>
      <c r="S864" s="92"/>
      <c r="T864" s="92"/>
      <c r="U864" s="92"/>
      <c r="V864" s="92"/>
      <c r="W864" s="92"/>
      <c r="X864" s="92"/>
      <c r="Y864" s="92"/>
      <c r="Z864" s="92"/>
      <c r="AA864" s="92"/>
      <c r="AB864" s="92"/>
      <c r="AC864" s="92"/>
      <c r="AD864" s="92"/>
      <c r="AE864" s="92"/>
      <c r="AF864" s="92"/>
      <c r="AG864" s="92"/>
      <c r="AH864" s="92"/>
      <c r="AI864" s="92"/>
      <c r="AJ864" s="92"/>
      <c r="AK864" s="88"/>
      <c r="AL864" s="88"/>
      <c r="AM864" s="88"/>
      <c r="AN864" s="88"/>
      <c r="AO864" s="88"/>
      <c r="AP864" s="88"/>
      <c r="AQ864" s="88"/>
      <c r="AR864" s="88"/>
    </row>
    <row r="865" spans="1:44" ht="12.75" customHeight="1">
      <c r="A865" s="87"/>
      <c r="B865" s="87"/>
      <c r="C865" s="88"/>
      <c r="D865" s="88"/>
      <c r="E865" s="88"/>
      <c r="F865" s="89"/>
      <c r="G865" s="89"/>
      <c r="H865" s="89"/>
      <c r="I865" s="89"/>
      <c r="J865" s="89"/>
      <c r="K865" s="88"/>
      <c r="L865" s="88"/>
      <c r="M865" s="88"/>
      <c r="N865" s="88"/>
      <c r="O865" s="90"/>
      <c r="P865" s="88"/>
      <c r="Q865" s="88"/>
      <c r="R865" s="92"/>
      <c r="S865" s="92"/>
      <c r="T865" s="92"/>
      <c r="U865" s="92"/>
      <c r="V865" s="92"/>
      <c r="W865" s="92"/>
      <c r="X865" s="92"/>
      <c r="Y865" s="92"/>
      <c r="Z865" s="92"/>
      <c r="AA865" s="92"/>
      <c r="AB865" s="92"/>
      <c r="AC865" s="92"/>
      <c r="AD865" s="92"/>
      <c r="AE865" s="92"/>
      <c r="AF865" s="92"/>
      <c r="AG865" s="92"/>
      <c r="AH865" s="92"/>
      <c r="AI865" s="92"/>
      <c r="AJ865" s="92"/>
      <c r="AK865" s="88"/>
      <c r="AL865" s="88"/>
      <c r="AM865" s="88"/>
      <c r="AN865" s="88"/>
      <c r="AO865" s="88"/>
      <c r="AP865" s="88"/>
      <c r="AQ865" s="88"/>
      <c r="AR865" s="88"/>
    </row>
    <row r="866" spans="1:44" ht="12.75" customHeight="1">
      <c r="A866" s="87"/>
      <c r="B866" s="87"/>
      <c r="C866" s="88"/>
      <c r="D866" s="88"/>
      <c r="E866" s="88"/>
      <c r="F866" s="89"/>
      <c r="G866" s="89"/>
      <c r="H866" s="89"/>
      <c r="I866" s="89"/>
      <c r="J866" s="89"/>
      <c r="K866" s="88"/>
      <c r="L866" s="88"/>
      <c r="M866" s="88"/>
      <c r="N866" s="88"/>
      <c r="O866" s="90"/>
      <c r="P866" s="88"/>
      <c r="Q866" s="88"/>
      <c r="R866" s="92"/>
      <c r="S866" s="92"/>
      <c r="T866" s="92"/>
      <c r="U866" s="92"/>
      <c r="V866" s="92"/>
      <c r="W866" s="92"/>
      <c r="X866" s="92"/>
      <c r="Y866" s="92"/>
      <c r="Z866" s="92"/>
      <c r="AA866" s="92"/>
      <c r="AB866" s="92"/>
      <c r="AC866" s="92"/>
      <c r="AD866" s="92"/>
      <c r="AE866" s="92"/>
      <c r="AF866" s="92"/>
      <c r="AG866" s="92"/>
      <c r="AH866" s="92"/>
      <c r="AI866" s="92"/>
      <c r="AJ866" s="92"/>
      <c r="AK866" s="88"/>
      <c r="AL866" s="88"/>
      <c r="AM866" s="88"/>
      <c r="AN866" s="88"/>
      <c r="AO866" s="88"/>
      <c r="AP866" s="88"/>
      <c r="AQ866" s="88"/>
      <c r="AR866" s="88"/>
    </row>
    <row r="867" spans="1:44" ht="12.75" customHeight="1">
      <c r="A867" s="87"/>
      <c r="B867" s="87"/>
      <c r="C867" s="88"/>
      <c r="D867" s="88"/>
      <c r="E867" s="88"/>
      <c r="F867" s="89"/>
      <c r="G867" s="89"/>
      <c r="H867" s="89"/>
      <c r="I867" s="89"/>
      <c r="J867" s="89"/>
      <c r="K867" s="88"/>
      <c r="L867" s="88"/>
      <c r="M867" s="88"/>
      <c r="N867" s="88"/>
      <c r="O867" s="90"/>
      <c r="P867" s="88"/>
      <c r="Q867" s="88"/>
      <c r="R867" s="92"/>
      <c r="S867" s="92"/>
      <c r="T867" s="92"/>
      <c r="U867" s="92"/>
      <c r="V867" s="92"/>
      <c r="W867" s="92"/>
      <c r="X867" s="92"/>
      <c r="Y867" s="92"/>
      <c r="Z867" s="92"/>
      <c r="AA867" s="92"/>
      <c r="AB867" s="92"/>
      <c r="AC867" s="92"/>
      <c r="AD867" s="92"/>
      <c r="AE867" s="92"/>
      <c r="AF867" s="92"/>
      <c r="AG867" s="92"/>
      <c r="AH867" s="92"/>
      <c r="AI867" s="92"/>
      <c r="AJ867" s="92"/>
      <c r="AK867" s="88"/>
      <c r="AL867" s="88"/>
      <c r="AM867" s="88"/>
      <c r="AN867" s="88"/>
      <c r="AO867" s="88"/>
      <c r="AP867" s="88"/>
      <c r="AQ867" s="88"/>
      <c r="AR867" s="88"/>
    </row>
    <row r="868" spans="1:44" ht="12.75" customHeight="1">
      <c r="A868" s="87"/>
      <c r="B868" s="87"/>
      <c r="C868" s="88"/>
      <c r="D868" s="88"/>
      <c r="E868" s="88"/>
      <c r="F868" s="89"/>
      <c r="G868" s="89"/>
      <c r="H868" s="89"/>
      <c r="I868" s="89"/>
      <c r="J868" s="89"/>
      <c r="K868" s="88"/>
      <c r="L868" s="88"/>
      <c r="M868" s="88"/>
      <c r="N868" s="88"/>
      <c r="O868" s="90"/>
      <c r="P868" s="88"/>
      <c r="Q868" s="88"/>
      <c r="R868" s="92"/>
      <c r="S868" s="92"/>
      <c r="T868" s="92"/>
      <c r="U868" s="92"/>
      <c r="V868" s="92"/>
      <c r="W868" s="92"/>
      <c r="X868" s="92"/>
      <c r="Y868" s="92"/>
      <c r="Z868" s="92"/>
      <c r="AA868" s="92"/>
      <c r="AB868" s="92"/>
      <c r="AC868" s="92"/>
      <c r="AD868" s="92"/>
      <c r="AE868" s="92"/>
      <c r="AF868" s="92"/>
      <c r="AG868" s="92"/>
      <c r="AH868" s="92"/>
      <c r="AI868" s="92"/>
      <c r="AJ868" s="92"/>
      <c r="AK868" s="88"/>
      <c r="AL868" s="88"/>
      <c r="AM868" s="88"/>
      <c r="AN868" s="88"/>
      <c r="AO868" s="88"/>
      <c r="AP868" s="88"/>
      <c r="AQ868" s="88"/>
      <c r="AR868" s="88"/>
    </row>
    <row r="869" spans="1:44" ht="12.75" customHeight="1">
      <c r="A869" s="87"/>
      <c r="B869" s="87"/>
      <c r="C869" s="88"/>
      <c r="D869" s="88"/>
      <c r="E869" s="88"/>
      <c r="F869" s="89"/>
      <c r="G869" s="89"/>
      <c r="H869" s="89"/>
      <c r="I869" s="89"/>
      <c r="J869" s="89"/>
      <c r="K869" s="88"/>
      <c r="L869" s="88"/>
      <c r="M869" s="88"/>
      <c r="N869" s="88"/>
      <c r="O869" s="90"/>
      <c r="P869" s="88"/>
      <c r="Q869" s="88"/>
      <c r="R869" s="92"/>
      <c r="S869" s="92"/>
      <c r="T869" s="92"/>
      <c r="U869" s="92"/>
      <c r="V869" s="92"/>
      <c r="W869" s="92"/>
      <c r="X869" s="92"/>
      <c r="Y869" s="92"/>
      <c r="Z869" s="92"/>
      <c r="AA869" s="92"/>
      <c r="AB869" s="92"/>
      <c r="AC869" s="92"/>
      <c r="AD869" s="92"/>
      <c r="AE869" s="92"/>
      <c r="AF869" s="92"/>
      <c r="AG869" s="92"/>
      <c r="AH869" s="92"/>
      <c r="AI869" s="92"/>
      <c r="AJ869" s="92"/>
      <c r="AK869" s="88"/>
      <c r="AL869" s="88"/>
      <c r="AM869" s="88"/>
      <c r="AN869" s="88"/>
      <c r="AO869" s="88"/>
      <c r="AP869" s="88"/>
      <c r="AQ869" s="88"/>
      <c r="AR869" s="88"/>
    </row>
    <row r="870" spans="1:44" ht="12.75" customHeight="1">
      <c r="A870" s="87"/>
      <c r="B870" s="87"/>
      <c r="C870" s="88"/>
      <c r="D870" s="88"/>
      <c r="E870" s="88"/>
      <c r="F870" s="89"/>
      <c r="G870" s="89"/>
      <c r="H870" s="89"/>
      <c r="I870" s="89"/>
      <c r="J870" s="89"/>
      <c r="K870" s="88"/>
      <c r="L870" s="88"/>
      <c r="M870" s="88"/>
      <c r="N870" s="88"/>
      <c r="O870" s="90"/>
      <c r="P870" s="88"/>
      <c r="Q870" s="88"/>
      <c r="R870" s="92"/>
      <c r="S870" s="92"/>
      <c r="T870" s="92"/>
      <c r="U870" s="92"/>
      <c r="V870" s="92"/>
      <c r="W870" s="92"/>
      <c r="X870" s="92"/>
      <c r="Y870" s="92"/>
      <c r="Z870" s="92"/>
      <c r="AA870" s="92"/>
      <c r="AB870" s="92"/>
      <c r="AC870" s="92"/>
      <c r="AD870" s="92"/>
      <c r="AE870" s="92"/>
      <c r="AF870" s="92"/>
      <c r="AG870" s="92"/>
      <c r="AH870" s="92"/>
      <c r="AI870" s="92"/>
      <c r="AJ870" s="92"/>
      <c r="AK870" s="88"/>
      <c r="AL870" s="88"/>
      <c r="AM870" s="88"/>
      <c r="AN870" s="88"/>
      <c r="AO870" s="88"/>
      <c r="AP870" s="88"/>
      <c r="AQ870" s="88"/>
      <c r="AR870" s="88"/>
    </row>
    <row r="871" spans="1:44" ht="12.75" customHeight="1">
      <c r="A871" s="87"/>
      <c r="B871" s="87"/>
      <c r="C871" s="88"/>
      <c r="D871" s="88"/>
      <c r="E871" s="88"/>
      <c r="F871" s="89"/>
      <c r="G871" s="89"/>
      <c r="H871" s="89"/>
      <c r="I871" s="89"/>
      <c r="J871" s="89"/>
      <c r="K871" s="88"/>
      <c r="L871" s="88"/>
      <c r="M871" s="88"/>
      <c r="N871" s="88"/>
      <c r="O871" s="90"/>
      <c r="P871" s="88"/>
      <c r="Q871" s="88"/>
      <c r="R871" s="92"/>
      <c r="S871" s="92"/>
      <c r="T871" s="92"/>
      <c r="U871" s="92"/>
      <c r="V871" s="92"/>
      <c r="W871" s="92"/>
      <c r="X871" s="92"/>
      <c r="Y871" s="92"/>
      <c r="Z871" s="92"/>
      <c r="AA871" s="92"/>
      <c r="AB871" s="92"/>
      <c r="AC871" s="92"/>
      <c r="AD871" s="92"/>
      <c r="AE871" s="92"/>
      <c r="AF871" s="92"/>
      <c r="AG871" s="92"/>
      <c r="AH871" s="92"/>
      <c r="AI871" s="92"/>
      <c r="AJ871" s="92"/>
      <c r="AK871" s="88"/>
      <c r="AL871" s="88"/>
      <c r="AM871" s="88"/>
      <c r="AN871" s="88"/>
      <c r="AO871" s="88"/>
      <c r="AP871" s="88"/>
      <c r="AQ871" s="88"/>
      <c r="AR871" s="88"/>
    </row>
    <row r="872" spans="1:44" ht="12.75" customHeight="1">
      <c r="A872" s="87"/>
      <c r="B872" s="87"/>
      <c r="C872" s="88"/>
      <c r="D872" s="88"/>
      <c r="E872" s="88"/>
      <c r="F872" s="89"/>
      <c r="G872" s="89"/>
      <c r="H872" s="89"/>
      <c r="I872" s="89"/>
      <c r="J872" s="89"/>
      <c r="K872" s="88"/>
      <c r="L872" s="88"/>
      <c r="M872" s="88"/>
      <c r="N872" s="88"/>
      <c r="O872" s="90"/>
      <c r="P872" s="88"/>
      <c r="Q872" s="88"/>
      <c r="R872" s="92"/>
      <c r="S872" s="92"/>
      <c r="T872" s="92"/>
      <c r="U872" s="92"/>
      <c r="V872" s="92"/>
      <c r="W872" s="92"/>
      <c r="X872" s="92"/>
      <c r="Y872" s="92"/>
      <c r="Z872" s="92"/>
      <c r="AA872" s="92"/>
      <c r="AB872" s="92"/>
      <c r="AC872" s="92"/>
      <c r="AD872" s="92"/>
      <c r="AE872" s="92"/>
      <c r="AF872" s="92"/>
      <c r="AG872" s="92"/>
      <c r="AH872" s="92"/>
      <c r="AI872" s="92"/>
      <c r="AJ872" s="92"/>
      <c r="AK872" s="88"/>
      <c r="AL872" s="88"/>
      <c r="AM872" s="88"/>
      <c r="AN872" s="88"/>
      <c r="AO872" s="88"/>
      <c r="AP872" s="88"/>
      <c r="AQ872" s="88"/>
      <c r="AR872" s="88"/>
    </row>
    <row r="873" spans="1:44" ht="12.75" customHeight="1">
      <c r="A873" s="87"/>
      <c r="B873" s="87"/>
      <c r="C873" s="88"/>
      <c r="D873" s="88"/>
      <c r="E873" s="88"/>
      <c r="F873" s="89"/>
      <c r="G873" s="89"/>
      <c r="H873" s="89"/>
      <c r="I873" s="89"/>
      <c r="J873" s="89"/>
      <c r="K873" s="88"/>
      <c r="L873" s="88"/>
      <c r="M873" s="88"/>
      <c r="N873" s="88"/>
      <c r="O873" s="90"/>
      <c r="P873" s="88"/>
      <c r="Q873" s="88"/>
      <c r="R873" s="92"/>
      <c r="S873" s="92"/>
      <c r="T873" s="92"/>
      <c r="U873" s="92"/>
      <c r="V873" s="92"/>
      <c r="W873" s="92"/>
      <c r="X873" s="92"/>
      <c r="Y873" s="92"/>
      <c r="Z873" s="92"/>
      <c r="AA873" s="92"/>
      <c r="AB873" s="92"/>
      <c r="AC873" s="92"/>
      <c r="AD873" s="92"/>
      <c r="AE873" s="92"/>
      <c r="AF873" s="92"/>
      <c r="AG873" s="92"/>
      <c r="AH873" s="92"/>
      <c r="AI873" s="92"/>
      <c r="AJ873" s="92"/>
      <c r="AK873" s="88"/>
      <c r="AL873" s="88"/>
      <c r="AM873" s="88"/>
      <c r="AN873" s="88"/>
      <c r="AO873" s="88"/>
      <c r="AP873" s="88"/>
      <c r="AQ873" s="88"/>
      <c r="AR873" s="88"/>
    </row>
    <row r="874" spans="1:44" ht="12.75" customHeight="1">
      <c r="A874" s="87"/>
      <c r="B874" s="87"/>
      <c r="C874" s="88"/>
      <c r="D874" s="88"/>
      <c r="E874" s="88"/>
      <c r="F874" s="89"/>
      <c r="G874" s="89"/>
      <c r="H874" s="89"/>
      <c r="I874" s="89"/>
      <c r="J874" s="89"/>
      <c r="K874" s="88"/>
      <c r="L874" s="88"/>
      <c r="M874" s="88"/>
      <c r="N874" s="88"/>
      <c r="O874" s="90"/>
      <c r="P874" s="88"/>
      <c r="Q874" s="88"/>
      <c r="R874" s="92"/>
      <c r="S874" s="92"/>
      <c r="T874" s="92"/>
      <c r="U874" s="92"/>
      <c r="V874" s="92"/>
      <c r="W874" s="92"/>
      <c r="X874" s="92"/>
      <c r="Y874" s="92"/>
      <c r="Z874" s="92"/>
      <c r="AA874" s="92"/>
      <c r="AB874" s="92"/>
      <c r="AC874" s="92"/>
      <c r="AD874" s="92"/>
      <c r="AE874" s="92"/>
      <c r="AF874" s="92"/>
      <c r="AG874" s="92"/>
      <c r="AH874" s="92"/>
      <c r="AI874" s="92"/>
      <c r="AJ874" s="92"/>
      <c r="AK874" s="88"/>
      <c r="AL874" s="88"/>
      <c r="AM874" s="88"/>
      <c r="AN874" s="88"/>
      <c r="AO874" s="88"/>
      <c r="AP874" s="88"/>
      <c r="AQ874" s="88"/>
      <c r="AR874" s="88"/>
    </row>
    <row r="875" spans="1:44" ht="12.75" customHeight="1">
      <c r="A875" s="87"/>
      <c r="B875" s="87"/>
      <c r="C875" s="88"/>
      <c r="D875" s="88"/>
      <c r="E875" s="88"/>
      <c r="F875" s="89"/>
      <c r="G875" s="89"/>
      <c r="H875" s="89"/>
      <c r="I875" s="89"/>
      <c r="J875" s="89"/>
      <c r="K875" s="88"/>
      <c r="L875" s="88"/>
      <c r="M875" s="88"/>
      <c r="N875" s="88"/>
      <c r="O875" s="90"/>
      <c r="P875" s="88"/>
      <c r="Q875" s="88"/>
      <c r="R875" s="92"/>
      <c r="S875" s="92"/>
      <c r="T875" s="92"/>
      <c r="U875" s="92"/>
      <c r="V875" s="92"/>
      <c r="W875" s="92"/>
      <c r="X875" s="92"/>
      <c r="Y875" s="92"/>
      <c r="Z875" s="92"/>
      <c r="AA875" s="92"/>
      <c r="AB875" s="92"/>
      <c r="AC875" s="92"/>
      <c r="AD875" s="92"/>
      <c r="AE875" s="92"/>
      <c r="AF875" s="92"/>
      <c r="AG875" s="92"/>
      <c r="AH875" s="92"/>
      <c r="AI875" s="92"/>
      <c r="AJ875" s="92"/>
      <c r="AK875" s="88"/>
      <c r="AL875" s="88"/>
      <c r="AM875" s="88"/>
      <c r="AN875" s="88"/>
      <c r="AO875" s="88"/>
      <c r="AP875" s="88"/>
      <c r="AQ875" s="88"/>
      <c r="AR875" s="88"/>
    </row>
    <row r="876" spans="1:44" ht="12.75" customHeight="1">
      <c r="A876" s="87"/>
      <c r="B876" s="87"/>
      <c r="C876" s="88"/>
      <c r="D876" s="88"/>
      <c r="E876" s="88"/>
      <c r="F876" s="89"/>
      <c r="G876" s="89"/>
      <c r="H876" s="89"/>
      <c r="I876" s="89"/>
      <c r="J876" s="89"/>
      <c r="K876" s="88"/>
      <c r="L876" s="88"/>
      <c r="M876" s="88"/>
      <c r="N876" s="88"/>
      <c r="O876" s="90"/>
      <c r="P876" s="88"/>
      <c r="Q876" s="88"/>
      <c r="R876" s="92"/>
      <c r="S876" s="92"/>
      <c r="T876" s="92"/>
      <c r="U876" s="92"/>
      <c r="V876" s="92"/>
      <c r="W876" s="92"/>
      <c r="X876" s="92"/>
      <c r="Y876" s="92"/>
      <c r="Z876" s="92"/>
      <c r="AA876" s="92"/>
      <c r="AB876" s="92"/>
      <c r="AC876" s="92"/>
      <c r="AD876" s="92"/>
      <c r="AE876" s="92"/>
      <c r="AF876" s="92"/>
      <c r="AG876" s="92"/>
      <c r="AH876" s="92"/>
      <c r="AI876" s="92"/>
      <c r="AJ876" s="92"/>
      <c r="AK876" s="88"/>
      <c r="AL876" s="88"/>
      <c r="AM876" s="88"/>
      <c r="AN876" s="88"/>
      <c r="AO876" s="88"/>
      <c r="AP876" s="88"/>
      <c r="AQ876" s="88"/>
      <c r="AR876" s="88"/>
    </row>
    <row r="877" spans="1:44" ht="12.75" customHeight="1">
      <c r="A877" s="87"/>
      <c r="B877" s="87"/>
      <c r="C877" s="88"/>
      <c r="D877" s="88"/>
      <c r="E877" s="88"/>
      <c r="F877" s="89"/>
      <c r="G877" s="89"/>
      <c r="H877" s="89"/>
      <c r="I877" s="89"/>
      <c r="J877" s="89"/>
      <c r="K877" s="88"/>
      <c r="L877" s="88"/>
      <c r="M877" s="88"/>
      <c r="N877" s="88"/>
      <c r="O877" s="90"/>
      <c r="P877" s="88"/>
      <c r="Q877" s="88"/>
      <c r="R877" s="92"/>
      <c r="S877" s="92"/>
      <c r="T877" s="92"/>
      <c r="U877" s="92"/>
      <c r="V877" s="92"/>
      <c r="W877" s="92"/>
      <c r="X877" s="92"/>
      <c r="Y877" s="92"/>
      <c r="Z877" s="92"/>
      <c r="AA877" s="92"/>
      <c r="AB877" s="92"/>
      <c r="AC877" s="92"/>
      <c r="AD877" s="92"/>
      <c r="AE877" s="92"/>
      <c r="AF877" s="92"/>
      <c r="AG877" s="92"/>
      <c r="AH877" s="92"/>
      <c r="AI877" s="92"/>
      <c r="AJ877" s="92"/>
      <c r="AK877" s="88"/>
      <c r="AL877" s="88"/>
      <c r="AM877" s="88"/>
      <c r="AN877" s="88"/>
      <c r="AO877" s="88"/>
      <c r="AP877" s="88"/>
      <c r="AQ877" s="88"/>
      <c r="AR877" s="88"/>
    </row>
    <row r="878" spans="1:44" ht="12.75" customHeight="1">
      <c r="A878" s="87"/>
      <c r="B878" s="87"/>
      <c r="C878" s="88"/>
      <c r="D878" s="88"/>
      <c r="E878" s="88"/>
      <c r="F878" s="89"/>
      <c r="G878" s="89"/>
      <c r="H878" s="89"/>
      <c r="I878" s="89"/>
      <c r="J878" s="89"/>
      <c r="K878" s="88"/>
      <c r="L878" s="88"/>
      <c r="M878" s="88"/>
      <c r="N878" s="88"/>
      <c r="O878" s="90"/>
      <c r="P878" s="88"/>
      <c r="Q878" s="88"/>
      <c r="R878" s="92"/>
      <c r="S878" s="92"/>
      <c r="T878" s="92"/>
      <c r="U878" s="92"/>
      <c r="V878" s="92"/>
      <c r="W878" s="92"/>
      <c r="X878" s="92"/>
      <c r="Y878" s="92"/>
      <c r="Z878" s="92"/>
      <c r="AA878" s="92"/>
      <c r="AB878" s="92"/>
      <c r="AC878" s="92"/>
      <c r="AD878" s="92"/>
      <c r="AE878" s="92"/>
      <c r="AF878" s="92"/>
      <c r="AG878" s="92"/>
      <c r="AH878" s="92"/>
      <c r="AI878" s="92"/>
      <c r="AJ878" s="92"/>
      <c r="AK878" s="88"/>
      <c r="AL878" s="88"/>
      <c r="AM878" s="88"/>
      <c r="AN878" s="88"/>
      <c r="AO878" s="88"/>
      <c r="AP878" s="88"/>
      <c r="AQ878" s="88"/>
      <c r="AR878" s="88"/>
    </row>
    <row r="879" spans="1:44" ht="12.75" customHeight="1">
      <c r="A879" s="87"/>
      <c r="B879" s="87"/>
      <c r="C879" s="88"/>
      <c r="D879" s="88"/>
      <c r="E879" s="88"/>
      <c r="F879" s="89"/>
      <c r="G879" s="89"/>
      <c r="H879" s="89"/>
      <c r="I879" s="89"/>
      <c r="J879" s="89"/>
      <c r="K879" s="88"/>
      <c r="L879" s="88"/>
      <c r="M879" s="88"/>
      <c r="N879" s="88"/>
      <c r="O879" s="90"/>
      <c r="P879" s="88"/>
      <c r="Q879" s="88"/>
      <c r="R879" s="92"/>
      <c r="S879" s="92"/>
      <c r="T879" s="92"/>
      <c r="U879" s="92"/>
      <c r="V879" s="92"/>
      <c r="W879" s="92"/>
      <c r="X879" s="92"/>
      <c r="Y879" s="92"/>
      <c r="Z879" s="92"/>
      <c r="AA879" s="92"/>
      <c r="AB879" s="92"/>
      <c r="AC879" s="92"/>
      <c r="AD879" s="92"/>
      <c r="AE879" s="92"/>
      <c r="AF879" s="92"/>
      <c r="AG879" s="92"/>
      <c r="AH879" s="92"/>
      <c r="AI879" s="92"/>
      <c r="AJ879" s="92"/>
      <c r="AK879" s="88"/>
      <c r="AL879" s="88"/>
      <c r="AM879" s="88"/>
      <c r="AN879" s="88"/>
      <c r="AO879" s="88"/>
      <c r="AP879" s="88"/>
      <c r="AQ879" s="88"/>
      <c r="AR879" s="88"/>
    </row>
    <row r="880" spans="1:44" ht="12.75" customHeight="1">
      <c r="A880" s="87"/>
      <c r="B880" s="87"/>
      <c r="C880" s="88"/>
      <c r="D880" s="88"/>
      <c r="E880" s="88"/>
      <c r="F880" s="89"/>
      <c r="G880" s="89"/>
      <c r="H880" s="89"/>
      <c r="I880" s="89"/>
      <c r="J880" s="89"/>
      <c r="K880" s="88"/>
      <c r="L880" s="88"/>
      <c r="M880" s="88"/>
      <c r="N880" s="88"/>
      <c r="O880" s="90"/>
      <c r="P880" s="88"/>
      <c r="Q880" s="88"/>
      <c r="R880" s="92"/>
      <c r="S880" s="92"/>
      <c r="T880" s="92"/>
      <c r="U880" s="92"/>
      <c r="V880" s="92"/>
      <c r="W880" s="92"/>
      <c r="X880" s="92"/>
      <c r="Y880" s="92"/>
      <c r="Z880" s="92"/>
      <c r="AA880" s="92"/>
      <c r="AB880" s="92"/>
      <c r="AC880" s="92"/>
      <c r="AD880" s="92"/>
      <c r="AE880" s="92"/>
      <c r="AF880" s="92"/>
      <c r="AG880" s="92"/>
      <c r="AH880" s="92"/>
      <c r="AI880" s="92"/>
      <c r="AJ880" s="92"/>
      <c r="AK880" s="88"/>
      <c r="AL880" s="88"/>
      <c r="AM880" s="88"/>
      <c r="AN880" s="88"/>
      <c r="AO880" s="88"/>
      <c r="AP880" s="88"/>
      <c r="AQ880" s="88"/>
      <c r="AR880" s="88"/>
    </row>
    <row r="881" spans="1:44" ht="12.75" customHeight="1">
      <c r="A881" s="87"/>
      <c r="B881" s="87"/>
      <c r="C881" s="88"/>
      <c r="D881" s="88"/>
      <c r="E881" s="88"/>
      <c r="F881" s="89"/>
      <c r="G881" s="89"/>
      <c r="H881" s="89"/>
      <c r="I881" s="89"/>
      <c r="J881" s="89"/>
      <c r="K881" s="88"/>
      <c r="L881" s="88"/>
      <c r="M881" s="88"/>
      <c r="N881" s="88"/>
      <c r="O881" s="90"/>
      <c r="P881" s="88"/>
      <c r="Q881" s="88"/>
      <c r="R881" s="92"/>
      <c r="S881" s="92"/>
      <c r="T881" s="92"/>
      <c r="U881" s="92"/>
      <c r="V881" s="92"/>
      <c r="W881" s="92"/>
      <c r="X881" s="92"/>
      <c r="Y881" s="92"/>
      <c r="Z881" s="92"/>
      <c r="AA881" s="92"/>
      <c r="AB881" s="92"/>
      <c r="AC881" s="92"/>
      <c r="AD881" s="92"/>
      <c r="AE881" s="92"/>
      <c r="AF881" s="92"/>
      <c r="AG881" s="92"/>
      <c r="AH881" s="92"/>
      <c r="AI881" s="92"/>
      <c r="AJ881" s="92"/>
      <c r="AK881" s="88"/>
      <c r="AL881" s="88"/>
      <c r="AM881" s="88"/>
      <c r="AN881" s="88"/>
      <c r="AO881" s="88"/>
      <c r="AP881" s="88"/>
      <c r="AQ881" s="88"/>
      <c r="AR881" s="88"/>
    </row>
    <row r="882" spans="1:44" ht="12.75" customHeight="1">
      <c r="A882" s="87"/>
      <c r="B882" s="87"/>
      <c r="C882" s="88"/>
      <c r="D882" s="88"/>
      <c r="E882" s="88"/>
      <c r="F882" s="89"/>
      <c r="G882" s="89"/>
      <c r="H882" s="89"/>
      <c r="I882" s="89"/>
      <c r="J882" s="89"/>
      <c r="K882" s="88"/>
      <c r="L882" s="88"/>
      <c r="M882" s="88"/>
      <c r="N882" s="88"/>
      <c r="O882" s="90"/>
      <c r="P882" s="88"/>
      <c r="Q882" s="88"/>
      <c r="R882" s="92"/>
      <c r="S882" s="92"/>
      <c r="T882" s="92"/>
      <c r="U882" s="92"/>
      <c r="V882" s="92"/>
      <c r="W882" s="92"/>
      <c r="X882" s="92"/>
      <c r="Y882" s="92"/>
      <c r="Z882" s="92"/>
      <c r="AA882" s="92"/>
      <c r="AB882" s="92"/>
      <c r="AC882" s="92"/>
      <c r="AD882" s="92"/>
      <c r="AE882" s="92"/>
      <c r="AF882" s="92"/>
      <c r="AG882" s="92"/>
      <c r="AH882" s="92"/>
      <c r="AI882" s="92"/>
      <c r="AJ882" s="92"/>
      <c r="AK882" s="88"/>
      <c r="AL882" s="88"/>
      <c r="AM882" s="88"/>
      <c r="AN882" s="88"/>
      <c r="AO882" s="88"/>
      <c r="AP882" s="88"/>
      <c r="AQ882" s="88"/>
      <c r="AR882" s="88"/>
    </row>
    <row r="883" spans="1:44" ht="12.75" customHeight="1">
      <c r="A883" s="87"/>
      <c r="B883" s="87"/>
      <c r="C883" s="88"/>
      <c r="D883" s="88"/>
      <c r="E883" s="88"/>
      <c r="F883" s="89"/>
      <c r="G883" s="89"/>
      <c r="H883" s="89"/>
      <c r="I883" s="89"/>
      <c r="J883" s="89"/>
      <c r="K883" s="88"/>
      <c r="L883" s="88"/>
      <c r="M883" s="88"/>
      <c r="N883" s="88"/>
      <c r="O883" s="90"/>
      <c r="P883" s="88"/>
      <c r="Q883" s="88"/>
      <c r="R883" s="92"/>
      <c r="S883" s="92"/>
      <c r="T883" s="92"/>
      <c r="U883" s="92"/>
      <c r="V883" s="92"/>
      <c r="W883" s="92"/>
      <c r="X883" s="92"/>
      <c r="Y883" s="92"/>
      <c r="Z883" s="92"/>
      <c r="AA883" s="92"/>
      <c r="AB883" s="92"/>
      <c r="AC883" s="92"/>
      <c r="AD883" s="92"/>
      <c r="AE883" s="92"/>
      <c r="AF883" s="92"/>
      <c r="AG883" s="92"/>
      <c r="AH883" s="92"/>
      <c r="AI883" s="92"/>
      <c r="AJ883" s="92"/>
      <c r="AK883" s="88"/>
      <c r="AL883" s="88"/>
      <c r="AM883" s="88"/>
      <c r="AN883" s="88"/>
      <c r="AO883" s="88"/>
      <c r="AP883" s="88"/>
      <c r="AQ883" s="88"/>
      <c r="AR883" s="88"/>
    </row>
    <row r="884" spans="1:44" ht="12.75" customHeight="1">
      <c r="A884" s="87"/>
      <c r="B884" s="87"/>
      <c r="C884" s="88"/>
      <c r="D884" s="88"/>
      <c r="E884" s="88"/>
      <c r="F884" s="89"/>
      <c r="G884" s="89"/>
      <c r="H884" s="89"/>
      <c r="I884" s="89"/>
      <c r="J884" s="89"/>
      <c r="K884" s="88"/>
      <c r="L884" s="88"/>
      <c r="M884" s="88"/>
      <c r="N884" s="88"/>
      <c r="O884" s="90"/>
      <c r="P884" s="88"/>
      <c r="Q884" s="88"/>
      <c r="R884" s="92"/>
      <c r="S884" s="92"/>
      <c r="T884" s="92"/>
      <c r="U884" s="92"/>
      <c r="V884" s="92"/>
      <c r="W884" s="92"/>
      <c r="X884" s="92"/>
      <c r="Y884" s="92"/>
      <c r="Z884" s="92"/>
      <c r="AA884" s="92"/>
      <c r="AB884" s="92"/>
      <c r="AC884" s="92"/>
      <c r="AD884" s="92"/>
      <c r="AE884" s="92"/>
      <c r="AF884" s="92"/>
      <c r="AG884" s="92"/>
      <c r="AH884" s="92"/>
      <c r="AI884" s="92"/>
      <c r="AJ884" s="92"/>
      <c r="AK884" s="88"/>
      <c r="AL884" s="88"/>
      <c r="AM884" s="88"/>
      <c r="AN884" s="88"/>
      <c r="AO884" s="88"/>
      <c r="AP884" s="88"/>
      <c r="AQ884" s="88"/>
      <c r="AR884" s="88"/>
    </row>
    <row r="885" spans="1:44" ht="12.75" customHeight="1">
      <c r="A885" s="87"/>
      <c r="B885" s="87"/>
      <c r="C885" s="88"/>
      <c r="D885" s="88"/>
      <c r="E885" s="88"/>
      <c r="F885" s="89"/>
      <c r="G885" s="89"/>
      <c r="H885" s="89"/>
      <c r="I885" s="89"/>
      <c r="J885" s="89"/>
      <c r="K885" s="88"/>
      <c r="L885" s="88"/>
      <c r="M885" s="88"/>
      <c r="N885" s="88"/>
      <c r="O885" s="90"/>
      <c r="P885" s="88"/>
      <c r="Q885" s="88"/>
      <c r="R885" s="92"/>
      <c r="S885" s="92"/>
      <c r="T885" s="92"/>
      <c r="U885" s="92"/>
      <c r="V885" s="92"/>
      <c r="W885" s="92"/>
      <c r="X885" s="92"/>
      <c r="Y885" s="92"/>
      <c r="Z885" s="92"/>
      <c r="AA885" s="92"/>
      <c r="AB885" s="92"/>
      <c r="AC885" s="92"/>
      <c r="AD885" s="92"/>
      <c r="AE885" s="92"/>
      <c r="AF885" s="92"/>
      <c r="AG885" s="92"/>
      <c r="AH885" s="92"/>
      <c r="AI885" s="92"/>
      <c r="AJ885" s="92"/>
      <c r="AK885" s="88"/>
      <c r="AL885" s="88"/>
      <c r="AM885" s="88"/>
      <c r="AN885" s="88"/>
      <c r="AO885" s="88"/>
      <c r="AP885" s="88"/>
      <c r="AQ885" s="88"/>
      <c r="AR885" s="88"/>
    </row>
    <row r="886" spans="1:44" ht="12.75" customHeight="1">
      <c r="A886" s="87"/>
      <c r="B886" s="87"/>
      <c r="C886" s="88"/>
      <c r="D886" s="88"/>
      <c r="E886" s="88"/>
      <c r="F886" s="89"/>
      <c r="G886" s="89"/>
      <c r="H886" s="89"/>
      <c r="I886" s="89"/>
      <c r="J886" s="89"/>
      <c r="K886" s="88"/>
      <c r="L886" s="88"/>
      <c r="M886" s="88"/>
      <c r="N886" s="88"/>
      <c r="O886" s="90"/>
      <c r="P886" s="88"/>
      <c r="Q886" s="88"/>
      <c r="R886" s="92"/>
      <c r="S886" s="92"/>
      <c r="T886" s="92"/>
      <c r="U886" s="92"/>
      <c r="V886" s="92"/>
      <c r="W886" s="92"/>
      <c r="X886" s="92"/>
      <c r="Y886" s="92"/>
      <c r="Z886" s="92"/>
      <c r="AA886" s="92"/>
      <c r="AB886" s="92"/>
      <c r="AC886" s="92"/>
      <c r="AD886" s="92"/>
      <c r="AE886" s="92"/>
      <c r="AF886" s="92"/>
      <c r="AG886" s="92"/>
      <c r="AH886" s="92"/>
      <c r="AI886" s="92"/>
      <c r="AJ886" s="92"/>
      <c r="AK886" s="88"/>
      <c r="AL886" s="88"/>
      <c r="AM886" s="88"/>
      <c r="AN886" s="88"/>
      <c r="AO886" s="88"/>
      <c r="AP886" s="88"/>
      <c r="AQ886" s="88"/>
      <c r="AR886" s="88"/>
    </row>
    <row r="887" spans="1:44" ht="12.75" customHeight="1">
      <c r="A887" s="87"/>
      <c r="B887" s="87"/>
      <c r="C887" s="88"/>
      <c r="D887" s="88"/>
      <c r="E887" s="88"/>
      <c r="F887" s="89"/>
      <c r="G887" s="89"/>
      <c r="H887" s="89"/>
      <c r="I887" s="89"/>
      <c r="J887" s="89"/>
      <c r="K887" s="88"/>
      <c r="L887" s="88"/>
      <c r="M887" s="88"/>
      <c r="N887" s="88"/>
      <c r="O887" s="90"/>
      <c r="P887" s="88"/>
      <c r="Q887" s="88"/>
      <c r="R887" s="92"/>
      <c r="S887" s="92"/>
      <c r="T887" s="92"/>
      <c r="U887" s="92"/>
      <c r="V887" s="92"/>
      <c r="W887" s="92"/>
      <c r="X887" s="92"/>
      <c r="Y887" s="92"/>
      <c r="Z887" s="92"/>
      <c r="AA887" s="92"/>
      <c r="AB887" s="92"/>
      <c r="AC887" s="92"/>
      <c r="AD887" s="92"/>
      <c r="AE887" s="92"/>
      <c r="AF887" s="92"/>
      <c r="AG887" s="92"/>
      <c r="AH887" s="92"/>
      <c r="AI887" s="92"/>
      <c r="AJ887" s="92"/>
      <c r="AK887" s="88"/>
      <c r="AL887" s="88"/>
      <c r="AM887" s="88"/>
      <c r="AN887" s="88"/>
      <c r="AO887" s="88"/>
      <c r="AP887" s="88"/>
      <c r="AQ887" s="88"/>
      <c r="AR887" s="88"/>
    </row>
    <row r="888" spans="1:44" ht="12.75" customHeight="1">
      <c r="A888" s="87"/>
      <c r="B888" s="87"/>
      <c r="C888" s="88"/>
      <c r="D888" s="88"/>
      <c r="E888" s="88"/>
      <c r="F888" s="89"/>
      <c r="G888" s="89"/>
      <c r="H888" s="89"/>
      <c r="I888" s="89"/>
      <c r="J888" s="89"/>
      <c r="K888" s="88"/>
      <c r="L888" s="88"/>
      <c r="M888" s="88"/>
      <c r="N888" s="88"/>
      <c r="O888" s="90"/>
      <c r="P888" s="88"/>
      <c r="Q888" s="88"/>
      <c r="R888" s="92"/>
      <c r="S888" s="92"/>
      <c r="T888" s="92"/>
      <c r="U888" s="92"/>
      <c r="V888" s="92"/>
      <c r="W888" s="92"/>
      <c r="X888" s="92"/>
      <c r="Y888" s="92"/>
      <c r="Z888" s="92"/>
      <c r="AA888" s="92"/>
      <c r="AB888" s="92"/>
      <c r="AC888" s="92"/>
      <c r="AD888" s="92"/>
      <c r="AE888" s="92"/>
      <c r="AF888" s="92"/>
      <c r="AG888" s="92"/>
      <c r="AH888" s="92"/>
      <c r="AI888" s="92"/>
      <c r="AJ888" s="92"/>
      <c r="AK888" s="88"/>
      <c r="AL888" s="88"/>
      <c r="AM888" s="88"/>
      <c r="AN888" s="88"/>
      <c r="AO888" s="88"/>
      <c r="AP888" s="88"/>
      <c r="AQ888" s="88"/>
      <c r="AR888" s="88"/>
    </row>
    <row r="889" spans="1:44" ht="12.75" customHeight="1">
      <c r="A889" s="87"/>
      <c r="B889" s="87"/>
      <c r="C889" s="88"/>
      <c r="D889" s="88"/>
      <c r="E889" s="88"/>
      <c r="F889" s="89"/>
      <c r="G889" s="89"/>
      <c r="H889" s="89"/>
      <c r="I889" s="89"/>
      <c r="J889" s="89"/>
      <c r="K889" s="88"/>
      <c r="L889" s="88"/>
      <c r="M889" s="88"/>
      <c r="N889" s="88"/>
      <c r="O889" s="90"/>
      <c r="P889" s="88"/>
      <c r="Q889" s="88"/>
      <c r="R889" s="92"/>
      <c r="S889" s="92"/>
      <c r="T889" s="92"/>
      <c r="U889" s="92"/>
      <c r="V889" s="92"/>
      <c r="W889" s="92"/>
      <c r="X889" s="92"/>
      <c r="Y889" s="92"/>
      <c r="Z889" s="92"/>
      <c r="AA889" s="92"/>
      <c r="AB889" s="92"/>
      <c r="AC889" s="92"/>
      <c r="AD889" s="92"/>
      <c r="AE889" s="92"/>
      <c r="AF889" s="92"/>
      <c r="AG889" s="92"/>
      <c r="AH889" s="92"/>
      <c r="AI889" s="92"/>
      <c r="AJ889" s="92"/>
      <c r="AK889" s="88"/>
      <c r="AL889" s="88"/>
      <c r="AM889" s="88"/>
      <c r="AN889" s="88"/>
      <c r="AO889" s="88"/>
      <c r="AP889" s="88"/>
      <c r="AQ889" s="88"/>
      <c r="AR889" s="88"/>
    </row>
    <row r="890" spans="1:44" ht="12.75" customHeight="1">
      <c r="A890" s="87"/>
      <c r="B890" s="87"/>
      <c r="C890" s="88"/>
      <c r="D890" s="88"/>
      <c r="E890" s="88"/>
      <c r="F890" s="89"/>
      <c r="G890" s="89"/>
      <c r="H890" s="89"/>
      <c r="I890" s="89"/>
      <c r="J890" s="89"/>
      <c r="K890" s="88"/>
      <c r="L890" s="88"/>
      <c r="M890" s="88"/>
      <c r="N890" s="88"/>
      <c r="O890" s="90"/>
      <c r="P890" s="88"/>
      <c r="Q890" s="88"/>
      <c r="R890" s="92"/>
      <c r="S890" s="92"/>
      <c r="T890" s="92"/>
      <c r="U890" s="92"/>
      <c r="V890" s="92"/>
      <c r="W890" s="92"/>
      <c r="X890" s="92"/>
      <c r="Y890" s="92"/>
      <c r="Z890" s="92"/>
      <c r="AA890" s="92"/>
      <c r="AB890" s="92"/>
      <c r="AC890" s="92"/>
      <c r="AD890" s="92"/>
      <c r="AE890" s="92"/>
      <c r="AF890" s="92"/>
      <c r="AG890" s="92"/>
      <c r="AH890" s="92"/>
      <c r="AI890" s="92"/>
      <c r="AJ890" s="92"/>
      <c r="AK890" s="88"/>
      <c r="AL890" s="88"/>
      <c r="AM890" s="88"/>
      <c r="AN890" s="88"/>
      <c r="AO890" s="88"/>
      <c r="AP890" s="88"/>
      <c r="AQ890" s="88"/>
      <c r="AR890" s="88"/>
    </row>
    <row r="891" spans="1:44" ht="12.75" customHeight="1">
      <c r="A891" s="87"/>
      <c r="B891" s="87"/>
      <c r="C891" s="88"/>
      <c r="D891" s="88"/>
      <c r="E891" s="88"/>
      <c r="F891" s="89"/>
      <c r="G891" s="89"/>
      <c r="H891" s="89"/>
      <c r="I891" s="89"/>
      <c r="J891" s="89"/>
      <c r="K891" s="88"/>
      <c r="L891" s="88"/>
      <c r="M891" s="88"/>
      <c r="N891" s="88"/>
      <c r="O891" s="90"/>
      <c r="P891" s="88"/>
      <c r="Q891" s="88"/>
      <c r="R891" s="92"/>
      <c r="S891" s="92"/>
      <c r="T891" s="92"/>
      <c r="U891" s="92"/>
      <c r="V891" s="92"/>
      <c r="W891" s="92"/>
      <c r="X891" s="92"/>
      <c r="Y891" s="92"/>
      <c r="Z891" s="92"/>
      <c r="AA891" s="92"/>
      <c r="AB891" s="92"/>
      <c r="AC891" s="92"/>
      <c r="AD891" s="92"/>
      <c r="AE891" s="92"/>
      <c r="AF891" s="92"/>
      <c r="AG891" s="92"/>
      <c r="AH891" s="92"/>
      <c r="AI891" s="92"/>
      <c r="AJ891" s="92"/>
      <c r="AK891" s="88"/>
      <c r="AL891" s="88"/>
      <c r="AM891" s="88"/>
      <c r="AN891" s="88"/>
      <c r="AO891" s="88"/>
      <c r="AP891" s="88"/>
      <c r="AQ891" s="88"/>
      <c r="AR891" s="88"/>
    </row>
    <row r="892" spans="1:44" ht="12.75" customHeight="1">
      <c r="A892" s="87"/>
      <c r="B892" s="87"/>
      <c r="C892" s="88"/>
      <c r="D892" s="88"/>
      <c r="E892" s="88"/>
      <c r="F892" s="89"/>
      <c r="G892" s="89"/>
      <c r="H892" s="89"/>
      <c r="I892" s="89"/>
      <c r="J892" s="89"/>
      <c r="K892" s="88"/>
      <c r="L892" s="88"/>
      <c r="M892" s="88"/>
      <c r="N892" s="88"/>
      <c r="O892" s="90"/>
      <c r="P892" s="88"/>
      <c r="Q892" s="88"/>
      <c r="R892" s="92"/>
      <c r="S892" s="92"/>
      <c r="T892" s="92"/>
      <c r="U892" s="92"/>
      <c r="V892" s="92"/>
      <c r="W892" s="92"/>
      <c r="X892" s="92"/>
      <c r="Y892" s="92"/>
      <c r="Z892" s="92"/>
      <c r="AA892" s="92"/>
      <c r="AB892" s="92"/>
      <c r="AC892" s="92"/>
      <c r="AD892" s="92"/>
      <c r="AE892" s="92"/>
      <c r="AF892" s="92"/>
      <c r="AG892" s="92"/>
      <c r="AH892" s="92"/>
      <c r="AI892" s="92"/>
      <c r="AJ892" s="92"/>
      <c r="AK892" s="88"/>
      <c r="AL892" s="88"/>
      <c r="AM892" s="88"/>
      <c r="AN892" s="88"/>
      <c r="AO892" s="88"/>
      <c r="AP892" s="88"/>
      <c r="AQ892" s="88"/>
      <c r="AR892" s="88"/>
    </row>
    <row r="893" spans="1:44" ht="12.75" customHeight="1">
      <c r="A893" s="87"/>
      <c r="B893" s="87"/>
      <c r="C893" s="88"/>
      <c r="D893" s="88"/>
      <c r="E893" s="88"/>
      <c r="F893" s="89"/>
      <c r="G893" s="89"/>
      <c r="H893" s="89"/>
      <c r="I893" s="89"/>
      <c r="J893" s="89"/>
      <c r="K893" s="88"/>
      <c r="L893" s="88"/>
      <c r="M893" s="88"/>
      <c r="N893" s="88"/>
      <c r="O893" s="90"/>
      <c r="P893" s="88"/>
      <c r="Q893" s="88"/>
      <c r="R893" s="92"/>
      <c r="S893" s="92"/>
      <c r="T893" s="92"/>
      <c r="U893" s="92"/>
      <c r="V893" s="92"/>
      <c r="W893" s="92"/>
      <c r="X893" s="92"/>
      <c r="Y893" s="92"/>
      <c r="Z893" s="92"/>
      <c r="AA893" s="92"/>
      <c r="AB893" s="92"/>
      <c r="AC893" s="92"/>
      <c r="AD893" s="92"/>
      <c r="AE893" s="92"/>
      <c r="AF893" s="92"/>
      <c r="AG893" s="92"/>
      <c r="AH893" s="92"/>
      <c r="AI893" s="92"/>
      <c r="AJ893" s="92"/>
      <c r="AK893" s="88"/>
      <c r="AL893" s="88"/>
      <c r="AM893" s="88"/>
      <c r="AN893" s="88"/>
      <c r="AO893" s="88"/>
      <c r="AP893" s="88"/>
      <c r="AQ893" s="88"/>
      <c r="AR893" s="88"/>
    </row>
    <row r="894" spans="1:44" ht="12.75" customHeight="1">
      <c r="A894" s="87"/>
      <c r="B894" s="87"/>
      <c r="C894" s="88"/>
      <c r="D894" s="88"/>
      <c r="E894" s="88"/>
      <c r="F894" s="89"/>
      <c r="G894" s="89"/>
      <c r="H894" s="89"/>
      <c r="I894" s="89"/>
      <c r="J894" s="89"/>
      <c r="K894" s="88"/>
      <c r="L894" s="88"/>
      <c r="M894" s="88"/>
      <c r="N894" s="88"/>
      <c r="O894" s="90"/>
      <c r="P894" s="88"/>
      <c r="Q894" s="88"/>
      <c r="R894" s="92"/>
      <c r="S894" s="92"/>
      <c r="T894" s="92"/>
      <c r="U894" s="92"/>
      <c r="V894" s="92"/>
      <c r="W894" s="92"/>
      <c r="X894" s="92"/>
      <c r="Y894" s="92"/>
      <c r="Z894" s="92"/>
      <c r="AA894" s="92"/>
      <c r="AB894" s="92"/>
      <c r="AC894" s="92"/>
      <c r="AD894" s="92"/>
      <c r="AE894" s="92"/>
      <c r="AF894" s="92"/>
      <c r="AG894" s="92"/>
      <c r="AH894" s="92"/>
      <c r="AI894" s="92"/>
      <c r="AJ894" s="92"/>
      <c r="AK894" s="88"/>
      <c r="AL894" s="88"/>
      <c r="AM894" s="88"/>
      <c r="AN894" s="88"/>
      <c r="AO894" s="88"/>
      <c r="AP894" s="88"/>
      <c r="AQ894" s="88"/>
      <c r="AR894" s="88"/>
    </row>
    <row r="895" spans="1:44" ht="12.75" customHeight="1">
      <c r="A895" s="87"/>
      <c r="B895" s="87"/>
      <c r="C895" s="88"/>
      <c r="D895" s="88"/>
      <c r="E895" s="88"/>
      <c r="F895" s="89"/>
      <c r="G895" s="89"/>
      <c r="H895" s="89"/>
      <c r="I895" s="89"/>
      <c r="J895" s="89"/>
      <c r="K895" s="88"/>
      <c r="L895" s="88"/>
      <c r="M895" s="88"/>
      <c r="N895" s="88"/>
      <c r="O895" s="90"/>
      <c r="P895" s="88"/>
      <c r="Q895" s="88"/>
      <c r="R895" s="92"/>
      <c r="S895" s="92"/>
      <c r="T895" s="92"/>
      <c r="U895" s="92"/>
      <c r="V895" s="92"/>
      <c r="W895" s="92"/>
      <c r="X895" s="92"/>
      <c r="Y895" s="92"/>
      <c r="Z895" s="92"/>
      <c r="AA895" s="92"/>
      <c r="AB895" s="92"/>
      <c r="AC895" s="92"/>
      <c r="AD895" s="92"/>
      <c r="AE895" s="92"/>
      <c r="AF895" s="92"/>
      <c r="AG895" s="92"/>
      <c r="AH895" s="92"/>
      <c r="AI895" s="92"/>
      <c r="AJ895" s="92"/>
      <c r="AK895" s="88"/>
      <c r="AL895" s="88"/>
      <c r="AM895" s="88"/>
      <c r="AN895" s="88"/>
      <c r="AO895" s="88"/>
      <c r="AP895" s="88"/>
      <c r="AQ895" s="88"/>
      <c r="AR895" s="88"/>
    </row>
    <row r="896" spans="1:44" ht="12.75" customHeight="1">
      <c r="A896" s="87"/>
      <c r="B896" s="87"/>
      <c r="C896" s="88"/>
      <c r="D896" s="88"/>
      <c r="E896" s="88"/>
      <c r="F896" s="89"/>
      <c r="G896" s="89"/>
      <c r="H896" s="89"/>
      <c r="I896" s="89"/>
      <c r="J896" s="89"/>
      <c r="K896" s="88"/>
      <c r="L896" s="88"/>
      <c r="M896" s="88"/>
      <c r="N896" s="88"/>
      <c r="O896" s="90"/>
      <c r="P896" s="88"/>
      <c r="Q896" s="88"/>
      <c r="R896" s="92"/>
      <c r="S896" s="92"/>
      <c r="T896" s="92"/>
      <c r="U896" s="92"/>
      <c r="V896" s="92"/>
      <c r="W896" s="92"/>
      <c r="X896" s="92"/>
      <c r="Y896" s="92"/>
      <c r="Z896" s="92"/>
      <c r="AA896" s="92"/>
      <c r="AB896" s="92"/>
      <c r="AC896" s="92"/>
      <c r="AD896" s="92"/>
      <c r="AE896" s="92"/>
      <c r="AF896" s="92"/>
      <c r="AG896" s="92"/>
      <c r="AH896" s="92"/>
      <c r="AI896" s="92"/>
      <c r="AJ896" s="92"/>
      <c r="AK896" s="88"/>
      <c r="AL896" s="88"/>
      <c r="AM896" s="88"/>
      <c r="AN896" s="88"/>
      <c r="AO896" s="88"/>
      <c r="AP896" s="88"/>
      <c r="AQ896" s="88"/>
      <c r="AR896" s="88"/>
    </row>
    <row r="897" spans="1:44" ht="12.75" customHeight="1">
      <c r="A897" s="87"/>
      <c r="B897" s="87"/>
      <c r="C897" s="88"/>
      <c r="D897" s="88"/>
      <c r="E897" s="88"/>
      <c r="F897" s="89"/>
      <c r="G897" s="89"/>
      <c r="H897" s="89"/>
      <c r="I897" s="89"/>
      <c r="J897" s="89"/>
      <c r="K897" s="88"/>
      <c r="L897" s="88"/>
      <c r="M897" s="88"/>
      <c r="N897" s="88"/>
      <c r="O897" s="90"/>
      <c r="P897" s="88"/>
      <c r="Q897" s="88"/>
      <c r="R897" s="92"/>
      <c r="S897" s="92"/>
      <c r="T897" s="92"/>
      <c r="U897" s="92"/>
      <c r="V897" s="92"/>
      <c r="W897" s="92"/>
      <c r="X897" s="92"/>
      <c r="Y897" s="92"/>
      <c r="Z897" s="92"/>
      <c r="AA897" s="92"/>
      <c r="AB897" s="92"/>
      <c r="AC897" s="92"/>
      <c r="AD897" s="92"/>
      <c r="AE897" s="92"/>
      <c r="AF897" s="92"/>
      <c r="AG897" s="92"/>
      <c r="AH897" s="92"/>
      <c r="AI897" s="92"/>
      <c r="AJ897" s="92"/>
      <c r="AK897" s="88"/>
      <c r="AL897" s="88"/>
      <c r="AM897" s="88"/>
      <c r="AN897" s="88"/>
      <c r="AO897" s="88"/>
      <c r="AP897" s="88"/>
      <c r="AQ897" s="88"/>
      <c r="AR897" s="88"/>
    </row>
    <row r="898" spans="1:44" ht="12.75" customHeight="1">
      <c r="A898" s="87"/>
      <c r="B898" s="87"/>
      <c r="C898" s="88"/>
      <c r="D898" s="88"/>
      <c r="E898" s="88"/>
      <c r="F898" s="89"/>
      <c r="G898" s="89"/>
      <c r="H898" s="89"/>
      <c r="I898" s="89"/>
      <c r="J898" s="89"/>
      <c r="K898" s="88"/>
      <c r="L898" s="88"/>
      <c r="M898" s="88"/>
      <c r="N898" s="88"/>
      <c r="O898" s="90"/>
      <c r="P898" s="88"/>
      <c r="Q898" s="88"/>
      <c r="R898" s="92"/>
      <c r="S898" s="92"/>
      <c r="T898" s="92"/>
      <c r="U898" s="92"/>
      <c r="V898" s="92"/>
      <c r="W898" s="92"/>
      <c r="X898" s="92"/>
      <c r="Y898" s="92"/>
      <c r="Z898" s="92"/>
      <c r="AA898" s="92"/>
      <c r="AB898" s="92"/>
      <c r="AC898" s="92"/>
      <c r="AD898" s="92"/>
      <c r="AE898" s="92"/>
      <c r="AF898" s="92"/>
      <c r="AG898" s="92"/>
      <c r="AH898" s="92"/>
      <c r="AI898" s="92"/>
      <c r="AJ898" s="92"/>
      <c r="AK898" s="88"/>
      <c r="AL898" s="88"/>
      <c r="AM898" s="88"/>
      <c r="AN898" s="88"/>
      <c r="AO898" s="88"/>
      <c r="AP898" s="88"/>
      <c r="AQ898" s="88"/>
      <c r="AR898" s="88"/>
    </row>
    <row r="899" spans="1:44" ht="12.75" customHeight="1">
      <c r="A899" s="87"/>
      <c r="B899" s="87"/>
      <c r="C899" s="88"/>
      <c r="D899" s="88"/>
      <c r="E899" s="88"/>
      <c r="F899" s="89"/>
      <c r="G899" s="89"/>
      <c r="H899" s="89"/>
      <c r="I899" s="89"/>
      <c r="J899" s="89"/>
      <c r="K899" s="88"/>
      <c r="L899" s="88"/>
      <c r="M899" s="88"/>
      <c r="N899" s="88"/>
      <c r="O899" s="90"/>
      <c r="P899" s="88"/>
      <c r="Q899" s="88"/>
      <c r="R899" s="92"/>
      <c r="S899" s="92"/>
      <c r="T899" s="92"/>
      <c r="U899" s="92"/>
      <c r="V899" s="92"/>
      <c r="W899" s="92"/>
      <c r="X899" s="92"/>
      <c r="Y899" s="92"/>
      <c r="Z899" s="92"/>
      <c r="AA899" s="92"/>
      <c r="AB899" s="92"/>
      <c r="AC899" s="92"/>
      <c r="AD899" s="92"/>
      <c r="AE899" s="92"/>
      <c r="AF899" s="92"/>
      <c r="AG899" s="92"/>
      <c r="AH899" s="92"/>
      <c r="AI899" s="92"/>
      <c r="AJ899" s="92"/>
      <c r="AK899" s="88"/>
      <c r="AL899" s="88"/>
      <c r="AM899" s="88"/>
      <c r="AN899" s="88"/>
      <c r="AO899" s="88"/>
      <c r="AP899" s="88"/>
      <c r="AQ899" s="88"/>
      <c r="AR899" s="88"/>
    </row>
    <row r="900" spans="1:44" ht="12.75" customHeight="1">
      <c r="A900" s="87"/>
      <c r="B900" s="87"/>
      <c r="C900" s="88"/>
      <c r="D900" s="88"/>
      <c r="E900" s="88"/>
      <c r="F900" s="89"/>
      <c r="G900" s="89"/>
      <c r="H900" s="89"/>
      <c r="I900" s="89"/>
      <c r="J900" s="89"/>
      <c r="K900" s="88"/>
      <c r="L900" s="88"/>
      <c r="M900" s="88"/>
      <c r="N900" s="88"/>
      <c r="O900" s="90"/>
      <c r="P900" s="88"/>
      <c r="Q900" s="88"/>
      <c r="R900" s="92"/>
      <c r="S900" s="92"/>
      <c r="T900" s="92"/>
      <c r="U900" s="92"/>
      <c r="V900" s="92"/>
      <c r="W900" s="92"/>
      <c r="X900" s="92"/>
      <c r="Y900" s="92"/>
      <c r="Z900" s="92"/>
      <c r="AA900" s="92"/>
      <c r="AB900" s="92"/>
      <c r="AC900" s="92"/>
      <c r="AD900" s="92"/>
      <c r="AE900" s="92"/>
      <c r="AF900" s="92"/>
      <c r="AG900" s="92"/>
      <c r="AH900" s="92"/>
      <c r="AI900" s="92"/>
      <c r="AJ900" s="92"/>
      <c r="AK900" s="88"/>
      <c r="AL900" s="88"/>
      <c r="AM900" s="88"/>
      <c r="AN900" s="88"/>
      <c r="AO900" s="88"/>
      <c r="AP900" s="88"/>
      <c r="AQ900" s="88"/>
      <c r="AR900" s="88"/>
    </row>
    <row r="901" spans="1:44" ht="12.75" customHeight="1">
      <c r="A901" s="87"/>
      <c r="B901" s="87"/>
      <c r="C901" s="88"/>
      <c r="D901" s="88"/>
      <c r="E901" s="88"/>
      <c r="F901" s="89"/>
      <c r="G901" s="89"/>
      <c r="H901" s="89"/>
      <c r="I901" s="89"/>
      <c r="J901" s="89"/>
      <c r="K901" s="88"/>
      <c r="L901" s="88"/>
      <c r="M901" s="88"/>
      <c r="N901" s="88"/>
      <c r="O901" s="90"/>
      <c r="P901" s="88"/>
      <c r="Q901" s="88"/>
      <c r="R901" s="92"/>
      <c r="S901" s="92"/>
      <c r="T901" s="92"/>
      <c r="U901" s="92"/>
      <c r="V901" s="92"/>
      <c r="W901" s="92"/>
      <c r="X901" s="92"/>
      <c r="Y901" s="92"/>
      <c r="Z901" s="92"/>
      <c r="AA901" s="92"/>
      <c r="AB901" s="92"/>
      <c r="AC901" s="92"/>
      <c r="AD901" s="92"/>
      <c r="AE901" s="92"/>
      <c r="AF901" s="92"/>
      <c r="AG901" s="92"/>
      <c r="AH901" s="92"/>
      <c r="AI901" s="92"/>
      <c r="AJ901" s="92"/>
      <c r="AK901" s="88"/>
      <c r="AL901" s="88"/>
      <c r="AM901" s="88"/>
      <c r="AN901" s="88"/>
      <c r="AO901" s="88"/>
      <c r="AP901" s="88"/>
      <c r="AQ901" s="88"/>
      <c r="AR901" s="88"/>
    </row>
    <row r="902" spans="1:44" ht="12.75" customHeight="1">
      <c r="A902" s="87"/>
      <c r="B902" s="87"/>
      <c r="C902" s="88"/>
      <c r="D902" s="88"/>
      <c r="E902" s="88"/>
      <c r="F902" s="89"/>
      <c r="G902" s="89"/>
      <c r="H902" s="89"/>
      <c r="I902" s="89"/>
      <c r="J902" s="89"/>
      <c r="K902" s="88"/>
      <c r="L902" s="88"/>
      <c r="M902" s="88"/>
      <c r="N902" s="88"/>
      <c r="O902" s="90"/>
      <c r="P902" s="88"/>
      <c r="Q902" s="88"/>
      <c r="R902" s="92"/>
      <c r="S902" s="92"/>
      <c r="T902" s="92"/>
      <c r="U902" s="92"/>
      <c r="V902" s="92"/>
      <c r="W902" s="92"/>
      <c r="X902" s="92"/>
      <c r="Y902" s="92"/>
      <c r="Z902" s="92"/>
      <c r="AA902" s="92"/>
      <c r="AB902" s="92"/>
      <c r="AC902" s="92"/>
      <c r="AD902" s="92"/>
      <c r="AE902" s="92"/>
      <c r="AF902" s="92"/>
      <c r="AG902" s="92"/>
      <c r="AH902" s="92"/>
      <c r="AI902" s="92"/>
      <c r="AJ902" s="92"/>
      <c r="AK902" s="88"/>
      <c r="AL902" s="88"/>
      <c r="AM902" s="88"/>
      <c r="AN902" s="88"/>
      <c r="AO902" s="88"/>
      <c r="AP902" s="88"/>
      <c r="AQ902" s="88"/>
      <c r="AR902" s="88"/>
    </row>
    <row r="903" spans="1:44" ht="12.75" customHeight="1">
      <c r="A903" s="87"/>
      <c r="B903" s="87"/>
      <c r="C903" s="88"/>
      <c r="D903" s="88"/>
      <c r="E903" s="88"/>
      <c r="F903" s="89"/>
      <c r="G903" s="89"/>
      <c r="H903" s="89"/>
      <c r="I903" s="89"/>
      <c r="J903" s="89"/>
      <c r="K903" s="88"/>
      <c r="L903" s="88"/>
      <c r="M903" s="88"/>
      <c r="N903" s="88"/>
      <c r="O903" s="90"/>
      <c r="P903" s="88"/>
      <c r="Q903" s="88"/>
      <c r="R903" s="92"/>
      <c r="S903" s="92"/>
      <c r="T903" s="92"/>
      <c r="U903" s="92"/>
      <c r="V903" s="92"/>
      <c r="W903" s="92"/>
      <c r="X903" s="92"/>
      <c r="Y903" s="92"/>
      <c r="Z903" s="92"/>
      <c r="AA903" s="92"/>
      <c r="AB903" s="92"/>
      <c r="AC903" s="92"/>
      <c r="AD903" s="92"/>
      <c r="AE903" s="92"/>
      <c r="AF903" s="92"/>
      <c r="AG903" s="92"/>
      <c r="AH903" s="92"/>
      <c r="AI903" s="92"/>
      <c r="AJ903" s="92"/>
      <c r="AK903" s="88"/>
      <c r="AL903" s="88"/>
      <c r="AM903" s="88"/>
      <c r="AN903" s="88"/>
      <c r="AO903" s="88"/>
      <c r="AP903" s="88"/>
      <c r="AQ903" s="88"/>
      <c r="AR903" s="88"/>
    </row>
    <row r="904" spans="1:44" ht="12.75" customHeight="1">
      <c r="A904" s="87"/>
      <c r="B904" s="87"/>
      <c r="C904" s="88"/>
      <c r="D904" s="88"/>
      <c r="E904" s="88"/>
      <c r="F904" s="89"/>
      <c r="G904" s="89"/>
      <c r="H904" s="89"/>
      <c r="I904" s="89"/>
      <c r="J904" s="89"/>
      <c r="K904" s="88"/>
      <c r="L904" s="88"/>
      <c r="M904" s="88"/>
      <c r="N904" s="88"/>
      <c r="O904" s="90"/>
      <c r="P904" s="88"/>
      <c r="Q904" s="88"/>
      <c r="R904" s="92"/>
      <c r="S904" s="92"/>
      <c r="T904" s="92"/>
      <c r="U904" s="92"/>
      <c r="V904" s="92"/>
      <c r="W904" s="92"/>
      <c r="X904" s="92"/>
      <c r="Y904" s="92"/>
      <c r="Z904" s="92"/>
      <c r="AA904" s="92"/>
      <c r="AB904" s="92"/>
      <c r="AC904" s="92"/>
      <c r="AD904" s="92"/>
      <c r="AE904" s="92"/>
      <c r="AF904" s="92"/>
      <c r="AG904" s="92"/>
      <c r="AH904" s="92"/>
      <c r="AI904" s="92"/>
      <c r="AJ904" s="92"/>
      <c r="AK904" s="88"/>
      <c r="AL904" s="88"/>
      <c r="AM904" s="88"/>
      <c r="AN904" s="88"/>
      <c r="AO904" s="88"/>
      <c r="AP904" s="88"/>
      <c r="AQ904" s="88"/>
      <c r="AR904" s="88"/>
    </row>
    <row r="905" spans="1:44" ht="12.75" customHeight="1">
      <c r="A905" s="87"/>
      <c r="B905" s="87"/>
      <c r="C905" s="88"/>
      <c r="D905" s="88"/>
      <c r="E905" s="88"/>
      <c r="F905" s="89"/>
      <c r="G905" s="89"/>
      <c r="H905" s="89"/>
      <c r="I905" s="89"/>
      <c r="J905" s="89"/>
      <c r="K905" s="88"/>
      <c r="L905" s="88"/>
      <c r="M905" s="88"/>
      <c r="N905" s="88"/>
      <c r="O905" s="90"/>
      <c r="P905" s="88"/>
      <c r="Q905" s="88"/>
      <c r="R905" s="92"/>
      <c r="S905" s="92"/>
      <c r="T905" s="92"/>
      <c r="U905" s="92"/>
      <c r="V905" s="92"/>
      <c r="W905" s="92"/>
      <c r="X905" s="92"/>
      <c r="Y905" s="92"/>
      <c r="Z905" s="92"/>
      <c r="AA905" s="92"/>
      <c r="AB905" s="92"/>
      <c r="AC905" s="92"/>
      <c r="AD905" s="92"/>
      <c r="AE905" s="92"/>
      <c r="AF905" s="92"/>
      <c r="AG905" s="92"/>
      <c r="AH905" s="92"/>
      <c r="AI905" s="92"/>
      <c r="AJ905" s="92"/>
      <c r="AK905" s="88"/>
      <c r="AL905" s="88"/>
      <c r="AM905" s="88"/>
      <c r="AN905" s="88"/>
      <c r="AO905" s="88"/>
      <c r="AP905" s="88"/>
      <c r="AQ905" s="88"/>
      <c r="AR905" s="88"/>
    </row>
    <row r="906" spans="1:44" ht="12.75" customHeight="1">
      <c r="A906" s="87"/>
      <c r="B906" s="87"/>
      <c r="C906" s="88"/>
      <c r="D906" s="88"/>
      <c r="E906" s="88"/>
      <c r="F906" s="89"/>
      <c r="G906" s="89"/>
      <c r="H906" s="89"/>
      <c r="I906" s="89"/>
      <c r="J906" s="89"/>
      <c r="K906" s="88"/>
      <c r="L906" s="88"/>
      <c r="M906" s="88"/>
      <c r="N906" s="88"/>
      <c r="O906" s="90"/>
      <c r="P906" s="88"/>
      <c r="Q906" s="88"/>
      <c r="R906" s="92"/>
      <c r="S906" s="92"/>
      <c r="T906" s="92"/>
      <c r="U906" s="92"/>
      <c r="V906" s="92"/>
      <c r="W906" s="92"/>
      <c r="X906" s="92"/>
      <c r="Y906" s="92"/>
      <c r="Z906" s="92"/>
      <c r="AA906" s="92"/>
      <c r="AB906" s="92"/>
      <c r="AC906" s="92"/>
      <c r="AD906" s="92"/>
      <c r="AE906" s="92"/>
      <c r="AF906" s="92"/>
      <c r="AG906" s="92"/>
      <c r="AH906" s="92"/>
      <c r="AI906" s="92"/>
      <c r="AJ906" s="92"/>
      <c r="AK906" s="88"/>
      <c r="AL906" s="88"/>
      <c r="AM906" s="88"/>
      <c r="AN906" s="88"/>
      <c r="AO906" s="88"/>
      <c r="AP906" s="88"/>
      <c r="AQ906" s="88"/>
      <c r="AR906" s="88"/>
    </row>
    <row r="907" spans="1:44" ht="12.75" customHeight="1">
      <c r="A907" s="87"/>
      <c r="B907" s="87"/>
      <c r="C907" s="88"/>
      <c r="D907" s="88"/>
      <c r="E907" s="88"/>
      <c r="F907" s="89"/>
      <c r="G907" s="89"/>
      <c r="H907" s="89"/>
      <c r="I907" s="89"/>
      <c r="J907" s="89"/>
      <c r="K907" s="88"/>
      <c r="L907" s="88"/>
      <c r="M907" s="88"/>
      <c r="N907" s="88"/>
      <c r="O907" s="90"/>
      <c r="P907" s="88"/>
      <c r="Q907" s="88"/>
      <c r="R907" s="92"/>
      <c r="S907" s="92"/>
      <c r="T907" s="92"/>
      <c r="U907" s="92"/>
      <c r="V907" s="92"/>
      <c r="W907" s="92"/>
      <c r="X907" s="92"/>
      <c r="Y907" s="92"/>
      <c r="Z907" s="92"/>
      <c r="AA907" s="92"/>
      <c r="AB907" s="92"/>
      <c r="AC907" s="92"/>
      <c r="AD907" s="92"/>
      <c r="AE907" s="92"/>
      <c r="AF907" s="92"/>
      <c r="AG907" s="92"/>
      <c r="AH907" s="92"/>
      <c r="AI907" s="92"/>
      <c r="AJ907" s="92"/>
      <c r="AK907" s="88"/>
      <c r="AL907" s="88"/>
      <c r="AM907" s="88"/>
      <c r="AN907" s="88"/>
      <c r="AO907" s="88"/>
      <c r="AP907" s="88"/>
      <c r="AQ907" s="88"/>
      <c r="AR907" s="88"/>
    </row>
    <row r="908" spans="1:44" ht="12.75" customHeight="1">
      <c r="A908" s="87"/>
      <c r="B908" s="87"/>
      <c r="C908" s="88"/>
      <c r="D908" s="88"/>
      <c r="E908" s="88"/>
      <c r="F908" s="89"/>
      <c r="G908" s="89"/>
      <c r="H908" s="89"/>
      <c r="I908" s="89"/>
      <c r="J908" s="89"/>
      <c r="K908" s="88"/>
      <c r="L908" s="88"/>
      <c r="M908" s="88"/>
      <c r="N908" s="88"/>
      <c r="O908" s="90"/>
      <c r="P908" s="88"/>
      <c r="Q908" s="88"/>
      <c r="R908" s="92"/>
      <c r="S908" s="92"/>
      <c r="T908" s="92"/>
      <c r="U908" s="92"/>
      <c r="V908" s="92"/>
      <c r="W908" s="92"/>
      <c r="X908" s="92"/>
      <c r="Y908" s="92"/>
      <c r="Z908" s="92"/>
      <c r="AA908" s="92"/>
      <c r="AB908" s="92"/>
      <c r="AC908" s="92"/>
      <c r="AD908" s="92"/>
      <c r="AE908" s="92"/>
      <c r="AF908" s="92"/>
      <c r="AG908" s="92"/>
      <c r="AH908" s="92"/>
      <c r="AI908" s="92"/>
      <c r="AJ908" s="92"/>
      <c r="AK908" s="88"/>
      <c r="AL908" s="88"/>
      <c r="AM908" s="88"/>
      <c r="AN908" s="88"/>
      <c r="AO908" s="88"/>
      <c r="AP908" s="88"/>
      <c r="AQ908" s="88"/>
      <c r="AR908" s="88"/>
    </row>
    <row r="909" spans="1:44" ht="12.75" customHeight="1">
      <c r="A909" s="87"/>
      <c r="B909" s="87"/>
      <c r="C909" s="88"/>
      <c r="D909" s="88"/>
      <c r="E909" s="88"/>
      <c r="F909" s="89"/>
      <c r="G909" s="89"/>
      <c r="H909" s="89"/>
      <c r="I909" s="89"/>
      <c r="J909" s="89"/>
      <c r="K909" s="88"/>
      <c r="L909" s="88"/>
      <c r="M909" s="88"/>
      <c r="N909" s="88"/>
      <c r="O909" s="90"/>
      <c r="P909" s="88"/>
      <c r="Q909" s="88"/>
      <c r="R909" s="92"/>
      <c r="S909" s="92"/>
      <c r="T909" s="92"/>
      <c r="U909" s="92"/>
      <c r="V909" s="92"/>
      <c r="W909" s="92"/>
      <c r="X909" s="92"/>
      <c r="Y909" s="92"/>
      <c r="Z909" s="92"/>
      <c r="AA909" s="92"/>
      <c r="AB909" s="92"/>
      <c r="AC909" s="92"/>
      <c r="AD909" s="92"/>
      <c r="AE909" s="92"/>
      <c r="AF909" s="92"/>
      <c r="AG909" s="92"/>
      <c r="AH909" s="92"/>
      <c r="AI909" s="92"/>
      <c r="AJ909" s="92"/>
      <c r="AK909" s="88"/>
      <c r="AL909" s="88"/>
      <c r="AM909" s="88"/>
      <c r="AN909" s="88"/>
      <c r="AO909" s="88"/>
      <c r="AP909" s="88"/>
      <c r="AQ909" s="88"/>
      <c r="AR909" s="88"/>
    </row>
    <row r="910" spans="1:44" ht="12.75" customHeight="1">
      <c r="A910" s="87"/>
      <c r="B910" s="87"/>
      <c r="C910" s="88"/>
      <c r="D910" s="88"/>
      <c r="E910" s="88"/>
      <c r="F910" s="89"/>
      <c r="G910" s="89"/>
      <c r="H910" s="89"/>
      <c r="I910" s="89"/>
      <c r="J910" s="89"/>
      <c r="K910" s="88"/>
      <c r="L910" s="88"/>
      <c r="M910" s="88"/>
      <c r="N910" s="88"/>
      <c r="O910" s="90"/>
      <c r="P910" s="88"/>
      <c r="Q910" s="88"/>
      <c r="R910" s="92"/>
      <c r="S910" s="92"/>
      <c r="T910" s="92"/>
      <c r="U910" s="92"/>
      <c r="V910" s="92"/>
      <c r="W910" s="92"/>
      <c r="X910" s="92"/>
      <c r="Y910" s="92"/>
      <c r="Z910" s="92"/>
      <c r="AA910" s="92"/>
      <c r="AB910" s="92"/>
      <c r="AC910" s="92"/>
      <c r="AD910" s="92"/>
      <c r="AE910" s="92"/>
      <c r="AF910" s="92"/>
      <c r="AG910" s="92"/>
      <c r="AH910" s="92"/>
      <c r="AI910" s="92"/>
      <c r="AJ910" s="92"/>
      <c r="AK910" s="88"/>
      <c r="AL910" s="88"/>
      <c r="AM910" s="88"/>
      <c r="AN910" s="88"/>
      <c r="AO910" s="88"/>
      <c r="AP910" s="88"/>
      <c r="AQ910" s="88"/>
      <c r="AR910" s="88"/>
    </row>
    <row r="911" spans="1:44" ht="12.75" customHeight="1">
      <c r="A911" s="87"/>
      <c r="B911" s="87"/>
      <c r="C911" s="88"/>
      <c r="D911" s="88"/>
      <c r="E911" s="88"/>
      <c r="F911" s="89"/>
      <c r="G911" s="89"/>
      <c r="H911" s="89"/>
      <c r="I911" s="89"/>
      <c r="J911" s="89"/>
      <c r="K911" s="88"/>
      <c r="L911" s="88"/>
      <c r="M911" s="88"/>
      <c r="N911" s="88"/>
      <c r="O911" s="90"/>
      <c r="P911" s="88"/>
      <c r="Q911" s="88"/>
      <c r="R911" s="92"/>
      <c r="S911" s="92"/>
      <c r="T911" s="92"/>
      <c r="U911" s="92"/>
      <c r="V911" s="92"/>
      <c r="W911" s="92"/>
      <c r="X911" s="92"/>
      <c r="Y911" s="92"/>
      <c r="Z911" s="92"/>
      <c r="AA911" s="92"/>
      <c r="AB911" s="92"/>
      <c r="AC911" s="92"/>
      <c r="AD911" s="92"/>
      <c r="AE911" s="92"/>
      <c r="AF911" s="92"/>
      <c r="AG911" s="92"/>
      <c r="AH911" s="92"/>
      <c r="AI911" s="92"/>
      <c r="AJ911" s="92"/>
      <c r="AK911" s="88"/>
      <c r="AL911" s="88"/>
      <c r="AM911" s="88"/>
      <c r="AN911" s="88"/>
      <c r="AO911" s="88"/>
      <c r="AP911" s="88"/>
      <c r="AQ911" s="88"/>
      <c r="AR911" s="88"/>
    </row>
    <row r="912" spans="1:44" ht="12.75" customHeight="1">
      <c r="A912" s="87"/>
      <c r="B912" s="87"/>
      <c r="C912" s="88"/>
      <c r="D912" s="88"/>
      <c r="E912" s="88"/>
      <c r="F912" s="89"/>
      <c r="G912" s="89"/>
      <c r="H912" s="89"/>
      <c r="I912" s="89"/>
      <c r="J912" s="89"/>
      <c r="K912" s="88"/>
      <c r="L912" s="88"/>
      <c r="M912" s="88"/>
      <c r="N912" s="88"/>
      <c r="O912" s="90"/>
      <c r="P912" s="88"/>
      <c r="Q912" s="88"/>
      <c r="R912" s="92"/>
      <c r="S912" s="92"/>
      <c r="T912" s="92"/>
      <c r="U912" s="92"/>
      <c r="V912" s="92"/>
      <c r="W912" s="92"/>
      <c r="X912" s="92"/>
      <c r="Y912" s="92"/>
      <c r="Z912" s="92"/>
      <c r="AA912" s="92"/>
      <c r="AB912" s="92"/>
      <c r="AC912" s="92"/>
      <c r="AD912" s="92"/>
      <c r="AE912" s="92"/>
      <c r="AF912" s="92"/>
      <c r="AG912" s="92"/>
      <c r="AH912" s="92"/>
      <c r="AI912" s="92"/>
      <c r="AJ912" s="92"/>
      <c r="AK912" s="88"/>
      <c r="AL912" s="88"/>
      <c r="AM912" s="88"/>
      <c r="AN912" s="88"/>
      <c r="AO912" s="88"/>
      <c r="AP912" s="88"/>
      <c r="AQ912" s="88"/>
      <c r="AR912" s="88"/>
    </row>
    <row r="913" spans="1:44" ht="12.75" customHeight="1">
      <c r="A913" s="87"/>
      <c r="B913" s="87"/>
      <c r="C913" s="88"/>
      <c r="D913" s="88"/>
      <c r="E913" s="88"/>
      <c r="F913" s="89"/>
      <c r="G913" s="89"/>
      <c r="H913" s="89"/>
      <c r="I913" s="89"/>
      <c r="J913" s="89"/>
      <c r="K913" s="88"/>
      <c r="L913" s="88"/>
      <c r="M913" s="88"/>
      <c r="N913" s="88"/>
      <c r="O913" s="90"/>
      <c r="P913" s="88"/>
      <c r="Q913" s="88"/>
      <c r="R913" s="92"/>
      <c r="S913" s="92"/>
      <c r="T913" s="92"/>
      <c r="U913" s="92"/>
      <c r="V913" s="92"/>
      <c r="W913" s="92"/>
      <c r="X913" s="92"/>
      <c r="Y913" s="92"/>
      <c r="Z913" s="92"/>
      <c r="AA913" s="92"/>
      <c r="AB913" s="92"/>
      <c r="AC913" s="92"/>
      <c r="AD913" s="92"/>
      <c r="AE913" s="92"/>
      <c r="AF913" s="92"/>
      <c r="AG913" s="92"/>
      <c r="AH913" s="92"/>
      <c r="AI913" s="92"/>
      <c r="AJ913" s="92"/>
      <c r="AK913" s="88"/>
      <c r="AL913" s="88"/>
      <c r="AM913" s="88"/>
      <c r="AN913" s="88"/>
      <c r="AO913" s="88"/>
      <c r="AP913" s="88"/>
      <c r="AQ913" s="88"/>
      <c r="AR913" s="88"/>
    </row>
    <row r="914" spans="1:44" ht="12.75" customHeight="1">
      <c r="A914" s="87"/>
      <c r="B914" s="87"/>
      <c r="C914" s="88"/>
      <c r="D914" s="88"/>
      <c r="E914" s="88"/>
      <c r="F914" s="89"/>
      <c r="G914" s="89"/>
      <c r="H914" s="89"/>
      <c r="I914" s="89"/>
      <c r="J914" s="89"/>
      <c r="K914" s="88"/>
      <c r="L914" s="88"/>
      <c r="M914" s="88"/>
      <c r="N914" s="88"/>
      <c r="O914" s="90"/>
      <c r="P914" s="88"/>
      <c r="Q914" s="88"/>
      <c r="R914" s="92"/>
      <c r="S914" s="92"/>
      <c r="T914" s="92"/>
      <c r="U914" s="92"/>
      <c r="V914" s="92"/>
      <c r="W914" s="92"/>
      <c r="X914" s="92"/>
      <c r="Y914" s="92"/>
      <c r="Z914" s="92"/>
      <c r="AA914" s="92"/>
      <c r="AB914" s="92"/>
      <c r="AC914" s="92"/>
      <c r="AD914" s="92"/>
      <c r="AE914" s="92"/>
      <c r="AF914" s="92"/>
      <c r="AG914" s="92"/>
      <c r="AH914" s="92"/>
      <c r="AI914" s="92"/>
      <c r="AJ914" s="92"/>
      <c r="AK914" s="88"/>
      <c r="AL914" s="88"/>
      <c r="AM914" s="88"/>
      <c r="AN914" s="88"/>
      <c r="AO914" s="88"/>
      <c r="AP914" s="88"/>
      <c r="AQ914" s="88"/>
      <c r="AR914" s="88"/>
    </row>
    <row r="915" spans="1:44" ht="12.75" customHeight="1">
      <c r="A915" s="87"/>
      <c r="B915" s="87"/>
      <c r="C915" s="88"/>
      <c r="D915" s="88"/>
      <c r="E915" s="88"/>
      <c r="F915" s="89"/>
      <c r="G915" s="89"/>
      <c r="H915" s="89"/>
      <c r="I915" s="89"/>
      <c r="J915" s="89"/>
      <c r="K915" s="88"/>
      <c r="L915" s="88"/>
      <c r="M915" s="88"/>
      <c r="N915" s="88"/>
      <c r="O915" s="90"/>
      <c r="P915" s="88"/>
      <c r="Q915" s="88"/>
      <c r="R915" s="92"/>
      <c r="S915" s="92"/>
      <c r="T915" s="92"/>
      <c r="U915" s="92"/>
      <c r="V915" s="92"/>
      <c r="W915" s="92"/>
      <c r="X915" s="92"/>
      <c r="Y915" s="92"/>
      <c r="Z915" s="92"/>
      <c r="AA915" s="92"/>
      <c r="AB915" s="92"/>
      <c r="AC915" s="92"/>
      <c r="AD915" s="92"/>
      <c r="AE915" s="92"/>
      <c r="AF915" s="92"/>
      <c r="AG915" s="92"/>
      <c r="AH915" s="92"/>
      <c r="AI915" s="92"/>
      <c r="AJ915" s="92"/>
      <c r="AK915" s="88"/>
      <c r="AL915" s="88"/>
      <c r="AM915" s="88"/>
      <c r="AN915" s="88"/>
      <c r="AO915" s="88"/>
      <c r="AP915" s="88"/>
      <c r="AQ915" s="88"/>
      <c r="AR915" s="88"/>
    </row>
    <row r="916" spans="1:44" ht="12.75" customHeight="1">
      <c r="A916" s="87"/>
      <c r="B916" s="87"/>
      <c r="C916" s="88"/>
      <c r="D916" s="88"/>
      <c r="E916" s="88"/>
      <c r="F916" s="89"/>
      <c r="G916" s="89"/>
      <c r="H916" s="89"/>
      <c r="I916" s="89"/>
      <c r="J916" s="89"/>
      <c r="K916" s="88"/>
      <c r="L916" s="88"/>
      <c r="M916" s="88"/>
      <c r="N916" s="88"/>
      <c r="O916" s="90"/>
      <c r="P916" s="88"/>
      <c r="Q916" s="88"/>
      <c r="R916" s="92"/>
      <c r="S916" s="92"/>
      <c r="T916" s="92"/>
      <c r="U916" s="92"/>
      <c r="V916" s="92"/>
      <c r="W916" s="92"/>
      <c r="X916" s="92"/>
      <c r="Y916" s="92"/>
      <c r="Z916" s="92"/>
      <c r="AA916" s="92"/>
      <c r="AB916" s="92"/>
      <c r="AC916" s="92"/>
      <c r="AD916" s="92"/>
      <c r="AE916" s="92"/>
      <c r="AF916" s="92"/>
      <c r="AG916" s="92"/>
      <c r="AH916" s="92"/>
      <c r="AI916" s="92"/>
      <c r="AJ916" s="92"/>
      <c r="AK916" s="88"/>
      <c r="AL916" s="88"/>
      <c r="AM916" s="88"/>
      <c r="AN916" s="88"/>
      <c r="AO916" s="88"/>
      <c r="AP916" s="88"/>
      <c r="AQ916" s="88"/>
      <c r="AR916" s="88"/>
    </row>
    <row r="917" spans="1:44" ht="12.75" customHeight="1">
      <c r="A917" s="87"/>
      <c r="B917" s="87"/>
      <c r="C917" s="88"/>
      <c r="D917" s="88"/>
      <c r="E917" s="88"/>
      <c r="F917" s="89"/>
      <c r="G917" s="89"/>
      <c r="H917" s="89"/>
      <c r="I917" s="89"/>
      <c r="J917" s="89"/>
      <c r="K917" s="88"/>
      <c r="L917" s="88"/>
      <c r="M917" s="88"/>
      <c r="N917" s="88"/>
      <c r="O917" s="90"/>
      <c r="P917" s="88"/>
      <c r="Q917" s="88"/>
      <c r="R917" s="92"/>
      <c r="S917" s="92"/>
      <c r="T917" s="92"/>
      <c r="U917" s="92"/>
      <c r="V917" s="92"/>
      <c r="W917" s="92"/>
      <c r="X917" s="92"/>
      <c r="Y917" s="92"/>
      <c r="Z917" s="92"/>
      <c r="AA917" s="92"/>
      <c r="AB917" s="92"/>
      <c r="AC917" s="92"/>
      <c r="AD917" s="92"/>
      <c r="AE917" s="92"/>
      <c r="AF917" s="92"/>
      <c r="AG917" s="92"/>
      <c r="AH917" s="92"/>
      <c r="AI917" s="92"/>
      <c r="AJ917" s="92"/>
      <c r="AK917" s="88"/>
      <c r="AL917" s="88"/>
      <c r="AM917" s="88"/>
      <c r="AN917" s="88"/>
      <c r="AO917" s="88"/>
      <c r="AP917" s="88"/>
      <c r="AQ917" s="88"/>
      <c r="AR917" s="88"/>
    </row>
    <row r="918" spans="1:44" ht="12.75" customHeight="1">
      <c r="A918" s="87"/>
      <c r="B918" s="87"/>
      <c r="C918" s="88"/>
      <c r="D918" s="88"/>
      <c r="E918" s="88"/>
      <c r="F918" s="89"/>
      <c r="G918" s="89"/>
      <c r="H918" s="89"/>
      <c r="I918" s="89"/>
      <c r="J918" s="89"/>
      <c r="K918" s="88"/>
      <c r="L918" s="88"/>
      <c r="M918" s="88"/>
      <c r="N918" s="88"/>
      <c r="O918" s="90"/>
      <c r="P918" s="88"/>
      <c r="Q918" s="88"/>
      <c r="R918" s="92"/>
      <c r="S918" s="92"/>
      <c r="T918" s="92"/>
      <c r="U918" s="92"/>
      <c r="V918" s="92"/>
      <c r="W918" s="92"/>
      <c r="X918" s="92"/>
      <c r="Y918" s="92"/>
      <c r="Z918" s="92"/>
      <c r="AA918" s="92"/>
      <c r="AB918" s="92"/>
      <c r="AC918" s="92"/>
      <c r="AD918" s="92"/>
      <c r="AE918" s="92"/>
      <c r="AF918" s="92"/>
      <c r="AG918" s="92"/>
      <c r="AH918" s="92"/>
      <c r="AI918" s="92"/>
      <c r="AJ918" s="92"/>
      <c r="AK918" s="88"/>
      <c r="AL918" s="88"/>
      <c r="AM918" s="88"/>
      <c r="AN918" s="88"/>
      <c r="AO918" s="88"/>
      <c r="AP918" s="88"/>
      <c r="AQ918" s="88"/>
      <c r="AR918" s="88"/>
    </row>
    <row r="919" spans="1:44" ht="12.75" customHeight="1">
      <c r="A919" s="87"/>
      <c r="B919" s="87"/>
      <c r="C919" s="88"/>
      <c r="D919" s="88"/>
      <c r="E919" s="88"/>
      <c r="F919" s="89"/>
      <c r="G919" s="89"/>
      <c r="H919" s="89"/>
      <c r="I919" s="89"/>
      <c r="J919" s="89"/>
      <c r="K919" s="88"/>
      <c r="L919" s="88"/>
      <c r="M919" s="88"/>
      <c r="N919" s="88"/>
      <c r="O919" s="90"/>
      <c r="P919" s="88"/>
      <c r="Q919" s="88"/>
      <c r="R919" s="92"/>
      <c r="S919" s="92"/>
      <c r="T919" s="92"/>
      <c r="U919" s="92"/>
      <c r="V919" s="92"/>
      <c r="W919" s="92"/>
      <c r="X919" s="92"/>
      <c r="Y919" s="92"/>
      <c r="Z919" s="92"/>
      <c r="AA919" s="92"/>
      <c r="AB919" s="92"/>
      <c r="AC919" s="92"/>
      <c r="AD919" s="92"/>
      <c r="AE919" s="92"/>
      <c r="AF919" s="92"/>
      <c r="AG919" s="92"/>
      <c r="AH919" s="92"/>
      <c r="AI919" s="92"/>
      <c r="AJ919" s="92"/>
      <c r="AK919" s="88"/>
      <c r="AL919" s="88"/>
      <c r="AM919" s="88"/>
      <c r="AN919" s="88"/>
      <c r="AO919" s="88"/>
      <c r="AP919" s="88"/>
      <c r="AQ919" s="88"/>
      <c r="AR919" s="88"/>
    </row>
    <row r="920" spans="1:44" ht="12.75" customHeight="1">
      <c r="A920" s="87"/>
      <c r="B920" s="87"/>
      <c r="C920" s="88"/>
      <c r="D920" s="88"/>
      <c r="E920" s="88"/>
      <c r="F920" s="89"/>
      <c r="G920" s="89"/>
      <c r="H920" s="89"/>
      <c r="I920" s="89"/>
      <c r="J920" s="89"/>
      <c r="K920" s="88"/>
      <c r="L920" s="88"/>
      <c r="M920" s="88"/>
      <c r="N920" s="88"/>
      <c r="O920" s="90"/>
      <c r="P920" s="88"/>
      <c r="Q920" s="88"/>
      <c r="R920" s="92"/>
      <c r="S920" s="92"/>
      <c r="T920" s="92"/>
      <c r="U920" s="92"/>
      <c r="V920" s="92"/>
      <c r="W920" s="92"/>
      <c r="X920" s="92"/>
      <c r="Y920" s="92"/>
      <c r="Z920" s="92"/>
      <c r="AA920" s="92"/>
      <c r="AB920" s="92"/>
      <c r="AC920" s="92"/>
      <c r="AD920" s="92"/>
      <c r="AE920" s="92"/>
      <c r="AF920" s="92"/>
      <c r="AG920" s="92"/>
      <c r="AH920" s="92"/>
      <c r="AI920" s="92"/>
      <c r="AJ920" s="92"/>
      <c r="AK920" s="88"/>
      <c r="AL920" s="88"/>
      <c r="AM920" s="88"/>
      <c r="AN920" s="88"/>
      <c r="AO920" s="88"/>
      <c r="AP920" s="88"/>
      <c r="AQ920" s="88"/>
      <c r="AR920" s="88"/>
    </row>
    <row r="921" spans="1:44" ht="12.75" customHeight="1">
      <c r="A921" s="87"/>
      <c r="B921" s="87"/>
      <c r="C921" s="88"/>
      <c r="D921" s="88"/>
      <c r="E921" s="88"/>
      <c r="F921" s="89"/>
      <c r="G921" s="89"/>
      <c r="H921" s="89"/>
      <c r="I921" s="89"/>
      <c r="J921" s="89"/>
      <c r="K921" s="88"/>
      <c r="L921" s="88"/>
      <c r="M921" s="88"/>
      <c r="N921" s="88"/>
      <c r="O921" s="90"/>
      <c r="P921" s="88"/>
      <c r="Q921" s="88"/>
      <c r="R921" s="92"/>
      <c r="S921" s="92"/>
      <c r="T921" s="92"/>
      <c r="U921" s="92"/>
      <c r="V921" s="92"/>
      <c r="W921" s="92"/>
      <c r="X921" s="92"/>
      <c r="Y921" s="92"/>
      <c r="Z921" s="92"/>
      <c r="AA921" s="92"/>
      <c r="AB921" s="92"/>
      <c r="AC921" s="92"/>
      <c r="AD921" s="92"/>
      <c r="AE921" s="92"/>
      <c r="AF921" s="92"/>
      <c r="AG921" s="92"/>
      <c r="AH921" s="92"/>
      <c r="AI921" s="92"/>
      <c r="AJ921" s="92"/>
      <c r="AK921" s="88"/>
      <c r="AL921" s="88"/>
      <c r="AM921" s="88"/>
      <c r="AN921" s="88"/>
      <c r="AO921" s="88"/>
      <c r="AP921" s="88"/>
      <c r="AQ921" s="88"/>
      <c r="AR921" s="88"/>
    </row>
    <row r="922" spans="1:44" ht="12.75" customHeight="1">
      <c r="A922" s="87"/>
      <c r="B922" s="87"/>
      <c r="C922" s="88"/>
      <c r="D922" s="88"/>
      <c r="E922" s="88"/>
      <c r="F922" s="89"/>
      <c r="G922" s="89"/>
      <c r="H922" s="89"/>
      <c r="I922" s="89"/>
      <c r="J922" s="89"/>
      <c r="K922" s="88"/>
      <c r="L922" s="88"/>
      <c r="M922" s="88"/>
      <c r="N922" s="88"/>
      <c r="O922" s="90"/>
      <c r="P922" s="88"/>
      <c r="Q922" s="88"/>
      <c r="R922" s="92"/>
      <c r="S922" s="92"/>
      <c r="T922" s="92"/>
      <c r="U922" s="92"/>
      <c r="V922" s="92"/>
      <c r="W922" s="92"/>
      <c r="X922" s="92"/>
      <c r="Y922" s="92"/>
      <c r="Z922" s="92"/>
      <c r="AA922" s="92"/>
      <c r="AB922" s="92"/>
      <c r="AC922" s="92"/>
      <c r="AD922" s="92"/>
      <c r="AE922" s="92"/>
      <c r="AF922" s="92"/>
      <c r="AG922" s="92"/>
      <c r="AH922" s="92"/>
      <c r="AI922" s="92"/>
      <c r="AJ922" s="92"/>
      <c r="AK922" s="88"/>
      <c r="AL922" s="88"/>
      <c r="AM922" s="88"/>
      <c r="AN922" s="88"/>
      <c r="AO922" s="88"/>
      <c r="AP922" s="88"/>
      <c r="AQ922" s="88"/>
      <c r="AR922" s="88"/>
    </row>
    <row r="923" spans="1:44" ht="12.75" customHeight="1">
      <c r="A923" s="87"/>
      <c r="B923" s="87"/>
      <c r="C923" s="88"/>
      <c r="D923" s="88"/>
      <c r="E923" s="88"/>
      <c r="F923" s="89"/>
      <c r="G923" s="89"/>
      <c r="H923" s="89"/>
      <c r="I923" s="89"/>
      <c r="J923" s="89"/>
      <c r="K923" s="88"/>
      <c r="L923" s="88"/>
      <c r="M923" s="88"/>
      <c r="N923" s="88"/>
      <c r="O923" s="90"/>
      <c r="P923" s="88"/>
      <c r="Q923" s="88"/>
      <c r="R923" s="92"/>
      <c r="S923" s="92"/>
      <c r="T923" s="92"/>
      <c r="U923" s="92"/>
      <c r="V923" s="92"/>
      <c r="W923" s="92"/>
      <c r="X923" s="92"/>
      <c r="Y923" s="92"/>
      <c r="Z923" s="92"/>
      <c r="AA923" s="92"/>
      <c r="AB923" s="92"/>
      <c r="AC923" s="92"/>
      <c r="AD923" s="92"/>
      <c r="AE923" s="92"/>
      <c r="AF923" s="92"/>
      <c r="AG923" s="92"/>
      <c r="AH923" s="92"/>
      <c r="AI923" s="92"/>
      <c r="AJ923" s="92"/>
      <c r="AK923" s="88"/>
      <c r="AL923" s="88"/>
      <c r="AM923" s="88"/>
      <c r="AN923" s="88"/>
      <c r="AO923" s="88"/>
      <c r="AP923" s="88"/>
      <c r="AQ923" s="88"/>
      <c r="AR923" s="88"/>
    </row>
    <row r="924" spans="1:44" ht="12.75" customHeight="1">
      <c r="A924" s="87"/>
      <c r="B924" s="87"/>
      <c r="C924" s="88"/>
      <c r="D924" s="88"/>
      <c r="E924" s="88"/>
      <c r="F924" s="89"/>
      <c r="G924" s="89"/>
      <c r="H924" s="89"/>
      <c r="I924" s="89"/>
      <c r="J924" s="89"/>
      <c r="K924" s="88"/>
      <c r="L924" s="88"/>
      <c r="M924" s="88"/>
      <c r="N924" s="88"/>
      <c r="O924" s="90"/>
      <c r="P924" s="88"/>
      <c r="Q924" s="88"/>
      <c r="R924" s="92"/>
      <c r="S924" s="92"/>
      <c r="T924" s="92"/>
      <c r="U924" s="92"/>
      <c r="V924" s="92"/>
      <c r="W924" s="92"/>
      <c r="X924" s="92"/>
      <c r="Y924" s="92"/>
      <c r="Z924" s="92"/>
      <c r="AA924" s="92"/>
      <c r="AB924" s="92"/>
      <c r="AC924" s="92"/>
      <c r="AD924" s="92"/>
      <c r="AE924" s="92"/>
      <c r="AF924" s="92"/>
      <c r="AG924" s="92"/>
      <c r="AH924" s="92"/>
      <c r="AI924" s="92"/>
      <c r="AJ924" s="92"/>
      <c r="AK924" s="88"/>
      <c r="AL924" s="88"/>
      <c r="AM924" s="88"/>
      <c r="AN924" s="88"/>
      <c r="AO924" s="88"/>
      <c r="AP924" s="88"/>
      <c r="AQ924" s="88"/>
      <c r="AR924" s="88"/>
    </row>
    <row r="925" spans="1:44" ht="12.75" customHeight="1">
      <c r="A925" s="87"/>
      <c r="B925" s="87"/>
      <c r="C925" s="88"/>
      <c r="D925" s="88"/>
      <c r="E925" s="88"/>
      <c r="F925" s="89"/>
      <c r="G925" s="89"/>
      <c r="H925" s="89"/>
      <c r="I925" s="89"/>
      <c r="J925" s="89"/>
      <c r="K925" s="88"/>
      <c r="L925" s="88"/>
      <c r="M925" s="88"/>
      <c r="N925" s="88"/>
      <c r="O925" s="90"/>
      <c r="P925" s="88"/>
      <c r="Q925" s="88"/>
      <c r="R925" s="92"/>
      <c r="S925" s="92"/>
      <c r="T925" s="92"/>
      <c r="U925" s="92"/>
      <c r="V925" s="92"/>
      <c r="W925" s="92"/>
      <c r="X925" s="92"/>
      <c r="Y925" s="92"/>
      <c r="Z925" s="92"/>
      <c r="AA925" s="92"/>
      <c r="AB925" s="92"/>
      <c r="AC925" s="92"/>
      <c r="AD925" s="92"/>
      <c r="AE925" s="92"/>
      <c r="AF925" s="92"/>
      <c r="AG925" s="92"/>
      <c r="AH925" s="92"/>
      <c r="AI925" s="92"/>
      <c r="AJ925" s="92"/>
      <c r="AK925" s="88"/>
      <c r="AL925" s="88"/>
      <c r="AM925" s="88"/>
      <c r="AN925" s="88"/>
      <c r="AO925" s="88"/>
      <c r="AP925" s="88"/>
      <c r="AQ925" s="88"/>
      <c r="AR925" s="88"/>
    </row>
    <row r="926" spans="1:44" ht="12.75" customHeight="1">
      <c r="A926" s="87"/>
      <c r="B926" s="87"/>
      <c r="C926" s="88"/>
      <c r="D926" s="88"/>
      <c r="E926" s="88"/>
      <c r="F926" s="89"/>
      <c r="G926" s="89"/>
      <c r="H926" s="89"/>
      <c r="I926" s="89"/>
      <c r="J926" s="89"/>
      <c r="K926" s="88"/>
      <c r="L926" s="88"/>
      <c r="M926" s="88"/>
      <c r="N926" s="88"/>
      <c r="O926" s="90"/>
      <c r="P926" s="88"/>
      <c r="Q926" s="88"/>
      <c r="R926" s="92"/>
      <c r="S926" s="92"/>
      <c r="T926" s="92"/>
      <c r="U926" s="92"/>
      <c r="V926" s="92"/>
      <c r="W926" s="92"/>
      <c r="X926" s="92"/>
      <c r="Y926" s="92"/>
      <c r="Z926" s="92"/>
      <c r="AA926" s="92"/>
      <c r="AB926" s="92"/>
      <c r="AC926" s="92"/>
      <c r="AD926" s="92"/>
      <c r="AE926" s="92"/>
      <c r="AF926" s="92"/>
      <c r="AG926" s="92"/>
      <c r="AH926" s="92"/>
      <c r="AI926" s="92"/>
      <c r="AJ926" s="92"/>
      <c r="AK926" s="88"/>
      <c r="AL926" s="88"/>
      <c r="AM926" s="88"/>
      <c r="AN926" s="88"/>
      <c r="AO926" s="88"/>
      <c r="AP926" s="88"/>
      <c r="AQ926" s="88"/>
      <c r="AR926" s="88"/>
    </row>
    <row r="927" spans="1:44" ht="12.75" customHeight="1">
      <c r="A927" s="87"/>
      <c r="B927" s="87"/>
      <c r="C927" s="88"/>
      <c r="D927" s="88"/>
      <c r="E927" s="88"/>
      <c r="F927" s="89"/>
      <c r="G927" s="89"/>
      <c r="H927" s="89"/>
      <c r="I927" s="89"/>
      <c r="J927" s="89"/>
      <c r="K927" s="88"/>
      <c r="L927" s="88"/>
      <c r="M927" s="88"/>
      <c r="N927" s="88"/>
      <c r="O927" s="90"/>
      <c r="P927" s="88"/>
      <c r="Q927" s="88"/>
      <c r="R927" s="92"/>
      <c r="S927" s="92"/>
      <c r="T927" s="92"/>
      <c r="U927" s="92"/>
      <c r="V927" s="92"/>
      <c r="W927" s="92"/>
      <c r="X927" s="92"/>
      <c r="Y927" s="92"/>
      <c r="Z927" s="92"/>
      <c r="AA927" s="92"/>
      <c r="AB927" s="92"/>
      <c r="AC927" s="92"/>
      <c r="AD927" s="92"/>
      <c r="AE927" s="92"/>
      <c r="AF927" s="92"/>
      <c r="AG927" s="92"/>
      <c r="AH927" s="92"/>
      <c r="AI927" s="92"/>
      <c r="AJ927" s="92"/>
      <c r="AK927" s="88"/>
      <c r="AL927" s="88"/>
      <c r="AM927" s="88"/>
      <c r="AN927" s="88"/>
      <c r="AO927" s="88"/>
      <c r="AP927" s="88"/>
      <c r="AQ927" s="88"/>
      <c r="AR927" s="88"/>
    </row>
    <row r="928" spans="1:44" ht="12.75" customHeight="1">
      <c r="A928" s="87"/>
      <c r="B928" s="87"/>
      <c r="C928" s="88"/>
      <c r="D928" s="88"/>
      <c r="E928" s="88"/>
      <c r="F928" s="89"/>
      <c r="G928" s="89"/>
      <c r="H928" s="89"/>
      <c r="I928" s="89"/>
      <c r="J928" s="89"/>
      <c r="K928" s="88"/>
      <c r="L928" s="88"/>
      <c r="M928" s="88"/>
      <c r="N928" s="88"/>
      <c r="O928" s="90"/>
      <c r="P928" s="88"/>
      <c r="Q928" s="88"/>
      <c r="R928" s="92"/>
      <c r="S928" s="92"/>
      <c r="T928" s="92"/>
      <c r="U928" s="92"/>
      <c r="V928" s="92"/>
      <c r="W928" s="92"/>
      <c r="X928" s="92"/>
      <c r="Y928" s="92"/>
      <c r="Z928" s="92"/>
      <c r="AA928" s="92"/>
      <c r="AB928" s="92"/>
      <c r="AC928" s="92"/>
      <c r="AD928" s="92"/>
      <c r="AE928" s="92"/>
      <c r="AF928" s="92"/>
      <c r="AG928" s="92"/>
      <c r="AH928" s="92"/>
      <c r="AI928" s="92"/>
      <c r="AJ928" s="92"/>
      <c r="AK928" s="88"/>
      <c r="AL928" s="88"/>
      <c r="AM928" s="88"/>
      <c r="AN928" s="88"/>
      <c r="AO928" s="88"/>
      <c r="AP928" s="88"/>
      <c r="AQ928" s="88"/>
      <c r="AR928" s="88"/>
    </row>
    <row r="929" spans="1:44" ht="12.75" customHeight="1">
      <c r="A929" s="87"/>
      <c r="B929" s="87"/>
      <c r="C929" s="88"/>
      <c r="D929" s="88"/>
      <c r="E929" s="88"/>
      <c r="F929" s="89"/>
      <c r="G929" s="89"/>
      <c r="H929" s="89"/>
      <c r="I929" s="89"/>
      <c r="J929" s="89"/>
      <c r="K929" s="88"/>
      <c r="L929" s="88"/>
      <c r="M929" s="88"/>
      <c r="N929" s="88"/>
      <c r="O929" s="90"/>
      <c r="P929" s="88"/>
      <c r="Q929" s="88"/>
      <c r="R929" s="92"/>
      <c r="S929" s="92"/>
      <c r="T929" s="92"/>
      <c r="U929" s="92"/>
      <c r="V929" s="92"/>
      <c r="W929" s="92"/>
      <c r="X929" s="92"/>
      <c r="Y929" s="92"/>
      <c r="Z929" s="92"/>
      <c r="AA929" s="92"/>
      <c r="AB929" s="92"/>
      <c r="AC929" s="92"/>
      <c r="AD929" s="92"/>
      <c r="AE929" s="92"/>
      <c r="AF929" s="92"/>
      <c r="AG929" s="92"/>
      <c r="AH929" s="92"/>
      <c r="AI929" s="92"/>
      <c r="AJ929" s="92"/>
      <c r="AK929" s="88"/>
      <c r="AL929" s="88"/>
      <c r="AM929" s="88"/>
      <c r="AN929" s="88"/>
      <c r="AO929" s="88"/>
      <c r="AP929" s="88"/>
      <c r="AQ929" s="88"/>
      <c r="AR929" s="88"/>
    </row>
    <row r="930" spans="1:44" ht="12.75" customHeight="1">
      <c r="A930" s="87"/>
      <c r="B930" s="87"/>
      <c r="C930" s="88"/>
      <c r="D930" s="88"/>
      <c r="E930" s="88"/>
      <c r="F930" s="89"/>
      <c r="G930" s="89"/>
      <c r="H930" s="89"/>
      <c r="I930" s="89"/>
      <c r="J930" s="89"/>
      <c r="K930" s="88"/>
      <c r="L930" s="88"/>
      <c r="M930" s="88"/>
      <c r="N930" s="88"/>
      <c r="O930" s="90"/>
      <c r="P930" s="88"/>
      <c r="Q930" s="88"/>
      <c r="R930" s="92"/>
      <c r="S930" s="92"/>
      <c r="T930" s="92"/>
      <c r="U930" s="92"/>
      <c r="V930" s="92"/>
      <c r="W930" s="92"/>
      <c r="X930" s="92"/>
      <c r="Y930" s="92"/>
      <c r="Z930" s="92"/>
      <c r="AA930" s="92"/>
      <c r="AB930" s="92"/>
      <c r="AC930" s="92"/>
      <c r="AD930" s="92"/>
      <c r="AE930" s="92"/>
      <c r="AF930" s="92"/>
      <c r="AG930" s="92"/>
      <c r="AH930" s="92"/>
      <c r="AI930" s="92"/>
      <c r="AJ930" s="92"/>
      <c r="AK930" s="88"/>
      <c r="AL930" s="88"/>
      <c r="AM930" s="88"/>
      <c r="AN930" s="88"/>
      <c r="AO930" s="88"/>
      <c r="AP930" s="88"/>
      <c r="AQ930" s="88"/>
      <c r="AR930" s="88"/>
    </row>
    <row r="931" spans="1:44" ht="12.75" customHeight="1">
      <c r="A931" s="87"/>
      <c r="B931" s="87"/>
      <c r="C931" s="88"/>
      <c r="D931" s="88"/>
      <c r="E931" s="88"/>
      <c r="F931" s="89"/>
      <c r="G931" s="89"/>
      <c r="H931" s="89"/>
      <c r="I931" s="89"/>
      <c r="J931" s="89"/>
      <c r="K931" s="88"/>
      <c r="L931" s="88"/>
      <c r="M931" s="88"/>
      <c r="N931" s="88"/>
      <c r="O931" s="90"/>
      <c r="P931" s="88"/>
      <c r="Q931" s="88"/>
      <c r="R931" s="92"/>
      <c r="S931" s="92"/>
      <c r="T931" s="92"/>
      <c r="U931" s="92"/>
      <c r="V931" s="92"/>
      <c r="W931" s="92"/>
      <c r="X931" s="92"/>
      <c r="Y931" s="92"/>
      <c r="Z931" s="92"/>
      <c r="AA931" s="92"/>
      <c r="AB931" s="92"/>
      <c r="AC931" s="92"/>
      <c r="AD931" s="92"/>
      <c r="AE931" s="92"/>
      <c r="AF931" s="92"/>
      <c r="AG931" s="92"/>
      <c r="AH931" s="92"/>
      <c r="AI931" s="92"/>
      <c r="AJ931" s="92"/>
      <c r="AK931" s="88"/>
      <c r="AL931" s="88"/>
      <c r="AM931" s="88"/>
      <c r="AN931" s="88"/>
      <c r="AO931" s="88"/>
      <c r="AP931" s="88"/>
      <c r="AQ931" s="88"/>
      <c r="AR931" s="88"/>
    </row>
    <row r="932" spans="1:44" ht="12.75" customHeight="1">
      <c r="A932" s="87"/>
      <c r="B932" s="87"/>
      <c r="C932" s="88"/>
      <c r="D932" s="88"/>
      <c r="E932" s="88"/>
      <c r="F932" s="89"/>
      <c r="G932" s="89"/>
      <c r="H932" s="89"/>
      <c r="I932" s="89"/>
      <c r="J932" s="89"/>
      <c r="K932" s="88"/>
      <c r="L932" s="88"/>
      <c r="M932" s="88"/>
      <c r="N932" s="88"/>
      <c r="O932" s="90"/>
      <c r="P932" s="88"/>
      <c r="Q932" s="88"/>
      <c r="R932" s="92"/>
      <c r="S932" s="92"/>
      <c r="T932" s="92"/>
      <c r="U932" s="92"/>
      <c r="V932" s="92"/>
      <c r="W932" s="92"/>
      <c r="X932" s="92"/>
      <c r="Y932" s="92"/>
      <c r="Z932" s="92"/>
      <c r="AA932" s="92"/>
      <c r="AB932" s="92"/>
      <c r="AC932" s="92"/>
      <c r="AD932" s="92"/>
      <c r="AE932" s="92"/>
      <c r="AF932" s="92"/>
      <c r="AG932" s="92"/>
      <c r="AH932" s="92"/>
      <c r="AI932" s="92"/>
      <c r="AJ932" s="92"/>
      <c r="AK932" s="88"/>
      <c r="AL932" s="88"/>
      <c r="AM932" s="88"/>
      <c r="AN932" s="88"/>
      <c r="AO932" s="88"/>
      <c r="AP932" s="88"/>
      <c r="AQ932" s="88"/>
      <c r="AR932" s="88"/>
    </row>
    <row r="933" spans="1:44" ht="12.75" customHeight="1">
      <c r="A933" s="87"/>
      <c r="B933" s="87"/>
      <c r="C933" s="88"/>
      <c r="D933" s="88"/>
      <c r="E933" s="88"/>
      <c r="F933" s="89"/>
      <c r="G933" s="89"/>
      <c r="H933" s="89"/>
      <c r="I933" s="89"/>
      <c r="J933" s="89"/>
      <c r="K933" s="88"/>
      <c r="L933" s="88"/>
      <c r="M933" s="88"/>
      <c r="N933" s="88"/>
      <c r="O933" s="90"/>
      <c r="P933" s="88"/>
      <c r="Q933" s="88"/>
      <c r="R933" s="92"/>
      <c r="S933" s="92"/>
      <c r="T933" s="92"/>
      <c r="U933" s="92"/>
      <c r="V933" s="92"/>
      <c r="W933" s="92"/>
      <c r="X933" s="92"/>
      <c r="Y933" s="92"/>
      <c r="Z933" s="92"/>
      <c r="AA933" s="92"/>
      <c r="AB933" s="92"/>
      <c r="AC933" s="92"/>
      <c r="AD933" s="92"/>
      <c r="AE933" s="92"/>
      <c r="AF933" s="92"/>
      <c r="AG933" s="92"/>
      <c r="AH933" s="92"/>
      <c r="AI933" s="92"/>
      <c r="AJ933" s="92"/>
      <c r="AK933" s="88"/>
      <c r="AL933" s="88"/>
      <c r="AM933" s="88"/>
      <c r="AN933" s="88"/>
      <c r="AO933" s="88"/>
      <c r="AP933" s="88"/>
      <c r="AQ933" s="88"/>
      <c r="AR933" s="88"/>
    </row>
    <row r="934" spans="1:44" ht="12.75" customHeight="1">
      <c r="A934" s="87"/>
      <c r="B934" s="87"/>
      <c r="C934" s="88"/>
      <c r="D934" s="88"/>
      <c r="E934" s="88"/>
      <c r="F934" s="89"/>
      <c r="G934" s="89"/>
      <c r="H934" s="89"/>
      <c r="I934" s="89"/>
      <c r="J934" s="89"/>
      <c r="K934" s="88"/>
      <c r="L934" s="88"/>
      <c r="M934" s="88"/>
      <c r="N934" s="88"/>
      <c r="O934" s="90"/>
      <c r="P934" s="88"/>
      <c r="Q934" s="88"/>
      <c r="R934" s="92"/>
      <c r="S934" s="92"/>
      <c r="T934" s="92"/>
      <c r="U934" s="92"/>
      <c r="V934" s="92"/>
      <c r="W934" s="92"/>
      <c r="X934" s="92"/>
      <c r="Y934" s="92"/>
      <c r="Z934" s="92"/>
      <c r="AA934" s="92"/>
      <c r="AB934" s="92"/>
      <c r="AC934" s="92"/>
      <c r="AD934" s="92"/>
      <c r="AE934" s="92"/>
      <c r="AF934" s="92"/>
      <c r="AG934" s="92"/>
      <c r="AH934" s="92"/>
      <c r="AI934" s="92"/>
      <c r="AJ934" s="92"/>
      <c r="AK934" s="88"/>
      <c r="AL934" s="88"/>
      <c r="AM934" s="88"/>
      <c r="AN934" s="88"/>
      <c r="AO934" s="88"/>
      <c r="AP934" s="88"/>
      <c r="AQ934" s="88"/>
      <c r="AR934" s="88"/>
    </row>
    <row r="935" spans="1:44" ht="12.75" customHeight="1">
      <c r="A935" s="87"/>
      <c r="B935" s="87"/>
      <c r="C935" s="88"/>
      <c r="D935" s="88"/>
      <c r="E935" s="88"/>
      <c r="F935" s="89"/>
      <c r="G935" s="89"/>
      <c r="H935" s="89"/>
      <c r="I935" s="89"/>
      <c r="J935" s="89"/>
      <c r="K935" s="88"/>
      <c r="L935" s="88"/>
      <c r="M935" s="88"/>
      <c r="N935" s="88"/>
      <c r="O935" s="90"/>
      <c r="P935" s="88"/>
      <c r="Q935" s="88"/>
      <c r="R935" s="92"/>
      <c r="S935" s="92"/>
      <c r="T935" s="92"/>
      <c r="U935" s="92"/>
      <c r="V935" s="92"/>
      <c r="W935" s="92"/>
      <c r="X935" s="92"/>
      <c r="Y935" s="92"/>
      <c r="Z935" s="92"/>
      <c r="AA935" s="92"/>
      <c r="AB935" s="92"/>
      <c r="AC935" s="92"/>
      <c r="AD935" s="92"/>
      <c r="AE935" s="92"/>
      <c r="AF935" s="92"/>
      <c r="AG935" s="92"/>
      <c r="AH935" s="92"/>
      <c r="AI935" s="92"/>
      <c r="AJ935" s="92"/>
      <c r="AK935" s="88"/>
      <c r="AL935" s="88"/>
      <c r="AM935" s="88"/>
      <c r="AN935" s="88"/>
      <c r="AO935" s="88"/>
      <c r="AP935" s="88"/>
      <c r="AQ935" s="88"/>
      <c r="AR935" s="88"/>
    </row>
    <row r="936" spans="1:44" ht="12.75" customHeight="1">
      <c r="A936" s="87"/>
      <c r="B936" s="87"/>
      <c r="C936" s="88"/>
      <c r="D936" s="88"/>
      <c r="E936" s="88"/>
      <c r="F936" s="89"/>
      <c r="G936" s="89"/>
      <c r="H936" s="89"/>
      <c r="I936" s="89"/>
      <c r="J936" s="89"/>
      <c r="K936" s="88"/>
      <c r="L936" s="88"/>
      <c r="M936" s="88"/>
      <c r="N936" s="88"/>
      <c r="O936" s="90"/>
      <c r="P936" s="88"/>
      <c r="Q936" s="88"/>
      <c r="R936" s="92"/>
      <c r="S936" s="92"/>
      <c r="T936" s="92"/>
      <c r="U936" s="92"/>
      <c r="V936" s="92"/>
      <c r="W936" s="92"/>
      <c r="X936" s="92"/>
      <c r="Y936" s="92"/>
      <c r="Z936" s="92"/>
      <c r="AA936" s="92"/>
      <c r="AB936" s="92"/>
      <c r="AC936" s="92"/>
      <c r="AD936" s="92"/>
      <c r="AE936" s="92"/>
      <c r="AF936" s="92"/>
      <c r="AG936" s="92"/>
      <c r="AH936" s="92"/>
      <c r="AI936" s="92"/>
      <c r="AJ936" s="92"/>
      <c r="AK936" s="88"/>
      <c r="AL936" s="88"/>
      <c r="AM936" s="88"/>
      <c r="AN936" s="88"/>
      <c r="AO936" s="88"/>
      <c r="AP936" s="88"/>
      <c r="AQ936" s="88"/>
      <c r="AR936" s="88"/>
    </row>
    <row r="937" spans="1:44" ht="12.75" customHeight="1">
      <c r="A937" s="87"/>
      <c r="B937" s="87"/>
      <c r="C937" s="88"/>
      <c r="D937" s="88"/>
      <c r="E937" s="88"/>
      <c r="F937" s="89"/>
      <c r="G937" s="89"/>
      <c r="H937" s="89"/>
      <c r="I937" s="89"/>
      <c r="J937" s="89"/>
      <c r="K937" s="88"/>
      <c r="L937" s="88"/>
      <c r="M937" s="88"/>
      <c r="N937" s="88"/>
      <c r="O937" s="90"/>
      <c r="P937" s="88"/>
      <c r="Q937" s="88"/>
      <c r="R937" s="92"/>
      <c r="S937" s="92"/>
      <c r="T937" s="92"/>
      <c r="U937" s="92"/>
      <c r="V937" s="92"/>
      <c r="W937" s="92"/>
      <c r="X937" s="92"/>
      <c r="Y937" s="92"/>
      <c r="Z937" s="92"/>
      <c r="AA937" s="92"/>
      <c r="AB937" s="92"/>
      <c r="AC937" s="92"/>
      <c r="AD937" s="92"/>
      <c r="AE937" s="92"/>
      <c r="AF937" s="92"/>
      <c r="AG937" s="92"/>
      <c r="AH937" s="92"/>
      <c r="AI937" s="92"/>
      <c r="AJ937" s="92"/>
      <c r="AK937" s="88"/>
      <c r="AL937" s="88"/>
      <c r="AM937" s="88"/>
      <c r="AN937" s="88"/>
      <c r="AO937" s="88"/>
      <c r="AP937" s="88"/>
      <c r="AQ937" s="88"/>
      <c r="AR937" s="88"/>
    </row>
    <row r="938" spans="1:44" ht="12.75" customHeight="1">
      <c r="A938" s="87"/>
      <c r="B938" s="87"/>
      <c r="C938" s="88"/>
      <c r="D938" s="88"/>
      <c r="E938" s="88"/>
      <c r="F938" s="89"/>
      <c r="G938" s="89"/>
      <c r="H938" s="89"/>
      <c r="I938" s="89"/>
      <c r="J938" s="89"/>
      <c r="K938" s="88"/>
      <c r="L938" s="88"/>
      <c r="M938" s="88"/>
      <c r="N938" s="88"/>
      <c r="O938" s="90"/>
      <c r="P938" s="88"/>
      <c r="Q938" s="88"/>
      <c r="R938" s="92"/>
      <c r="S938" s="92"/>
      <c r="T938" s="92"/>
      <c r="U938" s="92"/>
      <c r="V938" s="92"/>
      <c r="W938" s="92"/>
      <c r="X938" s="92"/>
      <c r="Y938" s="92"/>
      <c r="Z938" s="92"/>
      <c r="AA938" s="92"/>
      <c r="AB938" s="92"/>
      <c r="AC938" s="92"/>
      <c r="AD938" s="92"/>
      <c r="AE938" s="92"/>
      <c r="AF938" s="92"/>
      <c r="AG938" s="92"/>
      <c r="AH938" s="92"/>
      <c r="AI938" s="92"/>
      <c r="AJ938" s="92"/>
      <c r="AK938" s="88"/>
      <c r="AL938" s="88"/>
      <c r="AM938" s="88"/>
      <c r="AN938" s="88"/>
      <c r="AO938" s="88"/>
      <c r="AP938" s="88"/>
      <c r="AQ938" s="88"/>
      <c r="AR938" s="88"/>
    </row>
    <row r="939" spans="1:44" ht="12.75" customHeight="1">
      <c r="A939" s="87"/>
      <c r="B939" s="87"/>
      <c r="C939" s="88"/>
      <c r="D939" s="88"/>
      <c r="E939" s="88"/>
      <c r="F939" s="89"/>
      <c r="G939" s="89"/>
      <c r="H939" s="89"/>
      <c r="I939" s="89"/>
      <c r="J939" s="89"/>
      <c r="K939" s="88"/>
      <c r="L939" s="88"/>
      <c r="M939" s="88"/>
      <c r="N939" s="88"/>
      <c r="O939" s="90"/>
      <c r="P939" s="88"/>
      <c r="Q939" s="88"/>
      <c r="R939" s="92"/>
      <c r="S939" s="92"/>
      <c r="T939" s="92"/>
      <c r="U939" s="92"/>
      <c r="V939" s="92"/>
      <c r="W939" s="92"/>
      <c r="X939" s="92"/>
      <c r="Y939" s="92"/>
      <c r="Z939" s="92"/>
      <c r="AA939" s="92"/>
      <c r="AB939" s="92"/>
      <c r="AC939" s="92"/>
      <c r="AD939" s="92"/>
      <c r="AE939" s="92"/>
      <c r="AF939" s="92"/>
      <c r="AG939" s="92"/>
      <c r="AH939" s="92"/>
      <c r="AI939" s="92"/>
      <c r="AJ939" s="92"/>
      <c r="AK939" s="88"/>
      <c r="AL939" s="88"/>
      <c r="AM939" s="88"/>
      <c r="AN939" s="88"/>
      <c r="AO939" s="88"/>
      <c r="AP939" s="88"/>
      <c r="AQ939" s="88"/>
      <c r="AR939" s="88"/>
    </row>
    <row r="940" spans="1:44" ht="12.75" customHeight="1">
      <c r="A940" s="87"/>
      <c r="B940" s="87"/>
      <c r="C940" s="88"/>
      <c r="D940" s="88"/>
      <c r="E940" s="88"/>
      <c r="F940" s="89"/>
      <c r="G940" s="89"/>
      <c r="H940" s="89"/>
      <c r="I940" s="89"/>
      <c r="J940" s="89"/>
      <c r="K940" s="88"/>
      <c r="L940" s="88"/>
      <c r="M940" s="88"/>
      <c r="N940" s="88"/>
      <c r="O940" s="90"/>
      <c r="P940" s="88"/>
      <c r="Q940" s="88"/>
      <c r="R940" s="92"/>
      <c r="S940" s="92"/>
      <c r="T940" s="92"/>
      <c r="U940" s="92"/>
      <c r="V940" s="92"/>
      <c r="W940" s="92"/>
      <c r="X940" s="92"/>
      <c r="Y940" s="92"/>
      <c r="Z940" s="92"/>
      <c r="AA940" s="92"/>
      <c r="AB940" s="92"/>
      <c r="AC940" s="92"/>
      <c r="AD940" s="92"/>
      <c r="AE940" s="92"/>
      <c r="AF940" s="92"/>
      <c r="AG940" s="92"/>
      <c r="AH940" s="92"/>
      <c r="AI940" s="92"/>
      <c r="AJ940" s="92"/>
      <c r="AK940" s="88"/>
      <c r="AL940" s="88"/>
      <c r="AM940" s="88"/>
      <c r="AN940" s="88"/>
      <c r="AO940" s="88"/>
      <c r="AP940" s="88"/>
      <c r="AQ940" s="88"/>
      <c r="AR940" s="88"/>
    </row>
    <row r="941" spans="1:44" ht="12.75" customHeight="1">
      <c r="A941" s="87"/>
      <c r="B941" s="87"/>
      <c r="C941" s="88"/>
      <c r="D941" s="88"/>
      <c r="E941" s="88"/>
      <c r="F941" s="89"/>
      <c r="G941" s="89"/>
      <c r="H941" s="89"/>
      <c r="I941" s="89"/>
      <c r="J941" s="89"/>
      <c r="K941" s="88"/>
      <c r="L941" s="88"/>
      <c r="M941" s="88"/>
      <c r="N941" s="88"/>
      <c r="O941" s="90"/>
      <c r="P941" s="88"/>
      <c r="Q941" s="88"/>
      <c r="R941" s="92"/>
      <c r="S941" s="92"/>
      <c r="T941" s="92"/>
      <c r="U941" s="92"/>
      <c r="V941" s="92"/>
      <c r="W941" s="92"/>
      <c r="X941" s="92"/>
      <c r="Y941" s="92"/>
      <c r="Z941" s="92"/>
      <c r="AA941" s="92"/>
      <c r="AB941" s="92"/>
      <c r="AC941" s="92"/>
      <c r="AD941" s="92"/>
      <c r="AE941" s="92"/>
      <c r="AF941" s="92"/>
      <c r="AG941" s="92"/>
      <c r="AH941" s="92"/>
      <c r="AI941" s="92"/>
      <c r="AJ941" s="92"/>
      <c r="AK941" s="88"/>
      <c r="AL941" s="88"/>
      <c r="AM941" s="88"/>
      <c r="AN941" s="88"/>
      <c r="AO941" s="88"/>
      <c r="AP941" s="88"/>
      <c r="AQ941" s="88"/>
      <c r="AR941" s="88"/>
    </row>
    <row r="942" spans="1:44" ht="12.75" customHeight="1">
      <c r="A942" s="87"/>
      <c r="B942" s="87"/>
      <c r="C942" s="88"/>
      <c r="D942" s="88"/>
      <c r="E942" s="88"/>
      <c r="F942" s="89"/>
      <c r="G942" s="89"/>
      <c r="H942" s="89"/>
      <c r="I942" s="89"/>
      <c r="J942" s="89"/>
      <c r="K942" s="88"/>
      <c r="L942" s="88"/>
      <c r="M942" s="88"/>
      <c r="N942" s="88"/>
      <c r="O942" s="90"/>
      <c r="P942" s="88"/>
      <c r="Q942" s="88"/>
      <c r="R942" s="92"/>
      <c r="S942" s="92"/>
      <c r="T942" s="92"/>
      <c r="U942" s="92"/>
      <c r="V942" s="92"/>
      <c r="W942" s="92"/>
      <c r="X942" s="92"/>
      <c r="Y942" s="92"/>
      <c r="Z942" s="92"/>
      <c r="AA942" s="92"/>
      <c r="AB942" s="92"/>
      <c r="AC942" s="92"/>
      <c r="AD942" s="92"/>
      <c r="AE942" s="92"/>
      <c r="AF942" s="92"/>
      <c r="AG942" s="92"/>
      <c r="AH942" s="92"/>
      <c r="AI942" s="92"/>
      <c r="AJ942" s="92"/>
      <c r="AK942" s="88"/>
      <c r="AL942" s="88"/>
      <c r="AM942" s="88"/>
      <c r="AN942" s="88"/>
      <c r="AO942" s="88"/>
      <c r="AP942" s="88"/>
      <c r="AQ942" s="88"/>
      <c r="AR942" s="88"/>
    </row>
    <row r="943" spans="1:44" ht="12.75" customHeight="1">
      <c r="A943" s="87"/>
      <c r="B943" s="87"/>
      <c r="C943" s="88"/>
      <c r="D943" s="88"/>
      <c r="E943" s="88"/>
      <c r="F943" s="89"/>
      <c r="G943" s="89"/>
      <c r="H943" s="89"/>
      <c r="I943" s="89"/>
      <c r="J943" s="89"/>
      <c r="K943" s="88"/>
      <c r="L943" s="88"/>
      <c r="M943" s="88"/>
      <c r="N943" s="88"/>
      <c r="O943" s="90"/>
      <c r="P943" s="88"/>
      <c r="Q943" s="88"/>
      <c r="R943" s="92"/>
      <c r="S943" s="92"/>
      <c r="T943" s="92"/>
      <c r="U943" s="92"/>
      <c r="V943" s="92"/>
      <c r="W943" s="92"/>
      <c r="X943" s="92"/>
      <c r="Y943" s="92"/>
      <c r="Z943" s="92"/>
      <c r="AA943" s="92"/>
      <c r="AB943" s="92"/>
      <c r="AC943" s="92"/>
      <c r="AD943" s="92"/>
      <c r="AE943" s="92"/>
      <c r="AF943" s="92"/>
      <c r="AG943" s="92"/>
      <c r="AH943" s="92"/>
      <c r="AI943" s="92"/>
      <c r="AJ943" s="92"/>
      <c r="AK943" s="88"/>
      <c r="AL943" s="88"/>
      <c r="AM943" s="88"/>
      <c r="AN943" s="88"/>
      <c r="AO943" s="88"/>
      <c r="AP943" s="88"/>
      <c r="AQ943" s="88"/>
      <c r="AR943" s="88"/>
    </row>
    <row r="944" spans="1:44" ht="12.75" customHeight="1">
      <c r="A944" s="87"/>
      <c r="B944" s="87"/>
      <c r="C944" s="88"/>
      <c r="D944" s="88"/>
      <c r="E944" s="88"/>
      <c r="F944" s="89"/>
      <c r="G944" s="89"/>
      <c r="H944" s="89"/>
      <c r="I944" s="89"/>
      <c r="J944" s="89"/>
      <c r="K944" s="88"/>
      <c r="L944" s="88"/>
      <c r="M944" s="88"/>
      <c r="N944" s="88"/>
      <c r="O944" s="90"/>
      <c r="P944" s="88"/>
      <c r="Q944" s="88"/>
      <c r="R944" s="92"/>
      <c r="S944" s="92"/>
      <c r="T944" s="92"/>
      <c r="U944" s="92"/>
      <c r="V944" s="92"/>
      <c r="W944" s="92"/>
      <c r="X944" s="92"/>
      <c r="Y944" s="92"/>
      <c r="Z944" s="92"/>
      <c r="AA944" s="92"/>
      <c r="AB944" s="92"/>
      <c r="AC944" s="92"/>
      <c r="AD944" s="92"/>
      <c r="AE944" s="92"/>
      <c r="AF944" s="92"/>
      <c r="AG944" s="92"/>
      <c r="AH944" s="92"/>
      <c r="AI944" s="92"/>
      <c r="AJ944" s="92"/>
      <c r="AK944" s="88"/>
      <c r="AL944" s="88"/>
      <c r="AM944" s="88"/>
      <c r="AN944" s="88"/>
      <c r="AO944" s="88"/>
      <c r="AP944" s="88"/>
      <c r="AQ944" s="88"/>
      <c r="AR944" s="88"/>
    </row>
    <row r="945" spans="1:44" ht="12.75" customHeight="1">
      <c r="A945" s="87"/>
      <c r="B945" s="87"/>
      <c r="C945" s="88"/>
      <c r="D945" s="88"/>
      <c r="E945" s="88"/>
      <c r="F945" s="89"/>
      <c r="G945" s="89"/>
      <c r="H945" s="89"/>
      <c r="I945" s="89"/>
      <c r="J945" s="89"/>
      <c r="K945" s="88"/>
      <c r="L945" s="88"/>
      <c r="M945" s="88"/>
      <c r="N945" s="88"/>
      <c r="O945" s="90"/>
      <c r="P945" s="88"/>
      <c r="Q945" s="88"/>
      <c r="R945" s="92"/>
      <c r="S945" s="92"/>
      <c r="T945" s="92"/>
      <c r="U945" s="92"/>
      <c r="V945" s="92"/>
      <c r="W945" s="92"/>
      <c r="X945" s="92"/>
      <c r="Y945" s="92"/>
      <c r="Z945" s="92"/>
      <c r="AA945" s="92"/>
      <c r="AB945" s="92"/>
      <c r="AC945" s="92"/>
      <c r="AD945" s="92"/>
      <c r="AE945" s="92"/>
      <c r="AF945" s="92"/>
      <c r="AG945" s="92"/>
      <c r="AH945" s="92"/>
      <c r="AI945" s="92"/>
      <c r="AJ945" s="92"/>
      <c r="AK945" s="88"/>
      <c r="AL945" s="88"/>
      <c r="AM945" s="88"/>
      <c r="AN945" s="88"/>
      <c r="AO945" s="88"/>
      <c r="AP945" s="88"/>
      <c r="AQ945" s="88"/>
      <c r="AR945" s="88"/>
    </row>
    <row r="946" spans="1:44" ht="12.75" customHeight="1">
      <c r="A946" s="87"/>
      <c r="B946" s="87"/>
      <c r="C946" s="88"/>
      <c r="D946" s="88"/>
      <c r="E946" s="88"/>
      <c r="F946" s="89"/>
      <c r="G946" s="89"/>
      <c r="H946" s="89"/>
      <c r="I946" s="89"/>
      <c r="J946" s="89"/>
      <c r="K946" s="88"/>
      <c r="L946" s="88"/>
      <c r="M946" s="88"/>
      <c r="N946" s="88"/>
      <c r="O946" s="90"/>
      <c r="P946" s="88"/>
      <c r="Q946" s="88"/>
      <c r="R946" s="92"/>
      <c r="S946" s="92"/>
      <c r="T946" s="92"/>
      <c r="U946" s="92"/>
      <c r="V946" s="92"/>
      <c r="W946" s="92"/>
      <c r="X946" s="92"/>
      <c r="Y946" s="92"/>
      <c r="Z946" s="92"/>
      <c r="AA946" s="92"/>
      <c r="AB946" s="92"/>
      <c r="AC946" s="92"/>
      <c r="AD946" s="92"/>
      <c r="AE946" s="92"/>
      <c r="AF946" s="92"/>
      <c r="AG946" s="92"/>
      <c r="AH946" s="92"/>
      <c r="AI946" s="92"/>
      <c r="AJ946" s="92"/>
      <c r="AK946" s="88"/>
      <c r="AL946" s="88"/>
      <c r="AM946" s="88"/>
      <c r="AN946" s="88"/>
      <c r="AO946" s="88"/>
      <c r="AP946" s="88"/>
      <c r="AQ946" s="88"/>
      <c r="AR946" s="88"/>
    </row>
    <row r="947" spans="1:44" ht="12.75" customHeight="1">
      <c r="A947" s="87"/>
      <c r="B947" s="87"/>
      <c r="C947" s="88"/>
      <c r="D947" s="88"/>
      <c r="E947" s="88"/>
      <c r="F947" s="89"/>
      <c r="G947" s="89"/>
      <c r="H947" s="89"/>
      <c r="I947" s="89"/>
      <c r="J947" s="89"/>
      <c r="K947" s="88"/>
      <c r="L947" s="88"/>
      <c r="M947" s="88"/>
      <c r="N947" s="88"/>
      <c r="O947" s="90"/>
      <c r="P947" s="88"/>
      <c r="Q947" s="88"/>
      <c r="R947" s="92"/>
      <c r="S947" s="92"/>
      <c r="T947" s="92"/>
      <c r="U947" s="92"/>
      <c r="V947" s="92"/>
      <c r="W947" s="92"/>
      <c r="X947" s="92"/>
      <c r="Y947" s="92"/>
      <c r="Z947" s="92"/>
      <c r="AA947" s="92"/>
      <c r="AB947" s="92"/>
      <c r="AC947" s="92"/>
      <c r="AD947" s="92"/>
      <c r="AE947" s="92"/>
      <c r="AF947" s="92"/>
      <c r="AG947" s="92"/>
      <c r="AH947" s="92"/>
      <c r="AI947" s="92"/>
      <c r="AJ947" s="92"/>
      <c r="AK947" s="88"/>
      <c r="AL947" s="88"/>
      <c r="AM947" s="88"/>
      <c r="AN947" s="88"/>
      <c r="AO947" s="88"/>
      <c r="AP947" s="88"/>
      <c r="AQ947" s="88"/>
      <c r="AR947" s="88"/>
    </row>
    <row r="948" spans="1:44" ht="12.75" customHeight="1">
      <c r="A948" s="87"/>
      <c r="B948" s="87"/>
      <c r="C948" s="88"/>
      <c r="D948" s="88"/>
      <c r="E948" s="88"/>
      <c r="F948" s="89"/>
      <c r="G948" s="89"/>
      <c r="H948" s="89"/>
      <c r="I948" s="89"/>
      <c r="J948" s="89"/>
      <c r="K948" s="88"/>
      <c r="L948" s="88"/>
      <c r="M948" s="88"/>
      <c r="N948" s="88"/>
      <c r="O948" s="90"/>
      <c r="P948" s="88"/>
      <c r="Q948" s="88"/>
      <c r="R948" s="92"/>
      <c r="S948" s="92"/>
      <c r="T948" s="92"/>
      <c r="U948" s="92"/>
      <c r="V948" s="92"/>
      <c r="W948" s="92"/>
      <c r="X948" s="92"/>
      <c r="Y948" s="92"/>
      <c r="Z948" s="92"/>
      <c r="AA948" s="92"/>
      <c r="AB948" s="92"/>
      <c r="AC948" s="92"/>
      <c r="AD948" s="92"/>
      <c r="AE948" s="92"/>
      <c r="AF948" s="92"/>
      <c r="AG948" s="92"/>
      <c r="AH948" s="92"/>
      <c r="AI948" s="92"/>
      <c r="AJ948" s="92"/>
      <c r="AK948" s="88"/>
      <c r="AL948" s="88"/>
      <c r="AM948" s="88"/>
      <c r="AN948" s="88"/>
      <c r="AO948" s="88"/>
      <c r="AP948" s="88"/>
      <c r="AQ948" s="88"/>
      <c r="AR948" s="88"/>
    </row>
    <row r="949" spans="1:44" ht="12.75" customHeight="1">
      <c r="A949" s="87"/>
      <c r="B949" s="87"/>
      <c r="C949" s="88"/>
      <c r="D949" s="88"/>
      <c r="E949" s="88"/>
      <c r="F949" s="89"/>
      <c r="G949" s="89"/>
      <c r="H949" s="89"/>
      <c r="I949" s="89"/>
      <c r="J949" s="89"/>
      <c r="K949" s="88"/>
      <c r="L949" s="88"/>
      <c r="M949" s="88"/>
      <c r="N949" s="88"/>
      <c r="O949" s="90"/>
      <c r="P949" s="88"/>
      <c r="Q949" s="88"/>
      <c r="R949" s="92"/>
      <c r="S949" s="92"/>
      <c r="T949" s="92"/>
      <c r="U949" s="92"/>
      <c r="V949" s="92"/>
      <c r="W949" s="92"/>
      <c r="X949" s="92"/>
      <c r="Y949" s="92"/>
      <c r="Z949" s="92"/>
      <c r="AA949" s="92"/>
      <c r="AB949" s="92"/>
      <c r="AC949" s="92"/>
      <c r="AD949" s="92"/>
      <c r="AE949" s="92"/>
      <c r="AF949" s="92"/>
      <c r="AG949" s="92"/>
      <c r="AH949" s="92"/>
      <c r="AI949" s="92"/>
      <c r="AJ949" s="92"/>
      <c r="AK949" s="88"/>
      <c r="AL949" s="88"/>
      <c r="AM949" s="88"/>
      <c r="AN949" s="88"/>
      <c r="AO949" s="88"/>
      <c r="AP949" s="88"/>
      <c r="AQ949" s="88"/>
      <c r="AR949" s="88"/>
    </row>
    <row r="950" spans="1:44" ht="12.75" customHeight="1">
      <c r="A950" s="87"/>
      <c r="B950" s="87"/>
      <c r="C950" s="88"/>
      <c r="D950" s="88"/>
      <c r="E950" s="88"/>
      <c r="F950" s="89"/>
      <c r="G950" s="89"/>
      <c r="H950" s="89"/>
      <c r="I950" s="89"/>
      <c r="J950" s="89"/>
      <c r="K950" s="88"/>
      <c r="L950" s="88"/>
      <c r="M950" s="88"/>
      <c r="N950" s="88"/>
      <c r="O950" s="90"/>
      <c r="P950" s="88"/>
      <c r="Q950" s="88"/>
      <c r="R950" s="92"/>
      <c r="S950" s="92"/>
      <c r="T950" s="92"/>
      <c r="U950" s="92"/>
      <c r="V950" s="92"/>
      <c r="W950" s="92"/>
      <c r="X950" s="92"/>
      <c r="Y950" s="92"/>
      <c r="Z950" s="92"/>
      <c r="AA950" s="92"/>
      <c r="AB950" s="92"/>
      <c r="AC950" s="92"/>
      <c r="AD950" s="92"/>
      <c r="AE950" s="92"/>
      <c r="AF950" s="92"/>
      <c r="AG950" s="92"/>
      <c r="AH950" s="92"/>
      <c r="AI950" s="92"/>
      <c r="AJ950" s="92"/>
      <c r="AK950" s="88"/>
      <c r="AL950" s="88"/>
      <c r="AM950" s="88"/>
      <c r="AN950" s="88"/>
      <c r="AO950" s="88"/>
      <c r="AP950" s="88"/>
      <c r="AQ950" s="88"/>
      <c r="AR950" s="88"/>
    </row>
    <row r="951" spans="1:44" ht="12.75" customHeight="1">
      <c r="A951" s="87"/>
      <c r="B951" s="87"/>
      <c r="C951" s="88"/>
      <c r="D951" s="88"/>
      <c r="E951" s="88"/>
      <c r="F951" s="89"/>
      <c r="G951" s="89"/>
      <c r="H951" s="89"/>
      <c r="I951" s="89"/>
      <c r="J951" s="89"/>
      <c r="K951" s="88"/>
      <c r="L951" s="88"/>
      <c r="M951" s="88"/>
      <c r="N951" s="88"/>
      <c r="O951" s="90"/>
      <c r="P951" s="88"/>
      <c r="Q951" s="88"/>
      <c r="R951" s="92"/>
      <c r="S951" s="92"/>
      <c r="T951" s="92"/>
      <c r="U951" s="92"/>
      <c r="V951" s="92"/>
      <c r="W951" s="92"/>
      <c r="X951" s="92"/>
      <c r="Y951" s="92"/>
      <c r="Z951" s="92"/>
      <c r="AA951" s="92"/>
      <c r="AB951" s="92"/>
      <c r="AC951" s="92"/>
      <c r="AD951" s="92"/>
      <c r="AE951" s="92"/>
      <c r="AF951" s="92"/>
      <c r="AG951" s="92"/>
      <c r="AH951" s="92"/>
      <c r="AI951" s="92"/>
      <c r="AJ951" s="92"/>
      <c r="AK951" s="88"/>
      <c r="AL951" s="88"/>
      <c r="AM951" s="88"/>
      <c r="AN951" s="88"/>
      <c r="AO951" s="88"/>
      <c r="AP951" s="88"/>
      <c r="AQ951" s="88"/>
      <c r="AR951" s="88"/>
    </row>
    <row r="952" spans="1:44" ht="12.75" customHeight="1">
      <c r="A952" s="87"/>
      <c r="B952" s="87"/>
      <c r="C952" s="88"/>
      <c r="D952" s="88"/>
      <c r="E952" s="88"/>
      <c r="F952" s="89"/>
      <c r="G952" s="89"/>
      <c r="H952" s="89"/>
      <c r="I952" s="89"/>
      <c r="J952" s="89"/>
      <c r="K952" s="88"/>
      <c r="L952" s="88"/>
      <c r="M952" s="88"/>
      <c r="N952" s="88"/>
      <c r="O952" s="90"/>
      <c r="P952" s="88"/>
      <c r="Q952" s="88"/>
      <c r="R952" s="92"/>
      <c r="S952" s="92"/>
      <c r="T952" s="92"/>
      <c r="U952" s="92"/>
      <c r="V952" s="92"/>
      <c r="W952" s="92"/>
      <c r="X952" s="92"/>
      <c r="Y952" s="92"/>
      <c r="Z952" s="92"/>
      <c r="AA952" s="92"/>
      <c r="AB952" s="92"/>
      <c r="AC952" s="92"/>
      <c r="AD952" s="92"/>
      <c r="AE952" s="92"/>
      <c r="AF952" s="92"/>
      <c r="AG952" s="92"/>
      <c r="AH952" s="92"/>
      <c r="AI952" s="92"/>
      <c r="AJ952" s="92"/>
      <c r="AK952" s="88"/>
      <c r="AL952" s="88"/>
      <c r="AM952" s="88"/>
      <c r="AN952" s="88"/>
      <c r="AO952" s="88"/>
      <c r="AP952" s="88"/>
      <c r="AQ952" s="88"/>
      <c r="AR952" s="88"/>
    </row>
    <row r="953" spans="1:44" ht="12.75" customHeight="1">
      <c r="A953" s="87"/>
      <c r="B953" s="87"/>
      <c r="C953" s="88"/>
      <c r="D953" s="88"/>
      <c r="E953" s="88"/>
      <c r="F953" s="89"/>
      <c r="G953" s="89"/>
      <c r="H953" s="89"/>
      <c r="I953" s="89"/>
      <c r="J953" s="89"/>
      <c r="K953" s="88"/>
      <c r="L953" s="88"/>
      <c r="M953" s="88"/>
      <c r="N953" s="88"/>
      <c r="O953" s="90"/>
      <c r="P953" s="88"/>
      <c r="Q953" s="88"/>
      <c r="R953" s="92"/>
      <c r="S953" s="92"/>
      <c r="T953" s="92"/>
      <c r="U953" s="92"/>
      <c r="V953" s="92"/>
      <c r="W953" s="92"/>
      <c r="X953" s="92"/>
      <c r="Y953" s="92"/>
      <c r="Z953" s="92"/>
      <c r="AA953" s="92"/>
      <c r="AB953" s="92"/>
      <c r="AC953" s="92"/>
      <c r="AD953" s="92"/>
      <c r="AE953" s="92"/>
      <c r="AF953" s="92"/>
      <c r="AG953" s="92"/>
      <c r="AH953" s="92"/>
      <c r="AI953" s="92"/>
      <c r="AJ953" s="92"/>
      <c r="AK953" s="88"/>
      <c r="AL953" s="88"/>
      <c r="AM953" s="88"/>
      <c r="AN953" s="88"/>
      <c r="AO953" s="88"/>
      <c r="AP953" s="88"/>
      <c r="AQ953" s="88"/>
      <c r="AR953" s="88"/>
    </row>
    <row r="954" spans="1:44" ht="12.75" customHeight="1">
      <c r="A954" s="87"/>
      <c r="B954" s="87"/>
      <c r="C954" s="88"/>
      <c r="D954" s="88"/>
      <c r="E954" s="88"/>
      <c r="F954" s="89"/>
      <c r="G954" s="89"/>
      <c r="H954" s="89"/>
      <c r="I954" s="89"/>
      <c r="J954" s="89"/>
      <c r="K954" s="88"/>
      <c r="L954" s="88"/>
      <c r="M954" s="88"/>
      <c r="N954" s="88"/>
      <c r="O954" s="90"/>
      <c r="P954" s="88"/>
      <c r="Q954" s="88"/>
      <c r="R954" s="92"/>
      <c r="S954" s="92"/>
      <c r="T954" s="92"/>
      <c r="U954" s="92"/>
      <c r="V954" s="92"/>
      <c r="W954" s="92"/>
      <c r="X954" s="92"/>
      <c r="Y954" s="92"/>
      <c r="Z954" s="92"/>
      <c r="AA954" s="92"/>
      <c r="AB954" s="92"/>
      <c r="AC954" s="92"/>
      <c r="AD954" s="92"/>
      <c r="AE954" s="92"/>
      <c r="AF954" s="92"/>
      <c r="AG954" s="92"/>
      <c r="AH954" s="92"/>
      <c r="AI954" s="92"/>
      <c r="AJ954" s="92"/>
      <c r="AK954" s="88"/>
      <c r="AL954" s="88"/>
      <c r="AM954" s="88"/>
      <c r="AN954" s="88"/>
      <c r="AO954" s="88"/>
      <c r="AP954" s="88"/>
      <c r="AQ954" s="88"/>
      <c r="AR954" s="88"/>
    </row>
    <row r="955" spans="1:44" ht="12.75" customHeight="1">
      <c r="A955" s="87"/>
      <c r="B955" s="87"/>
      <c r="C955" s="88"/>
      <c r="D955" s="88"/>
      <c r="E955" s="88"/>
      <c r="F955" s="89"/>
      <c r="G955" s="89"/>
      <c r="H955" s="89"/>
      <c r="I955" s="89"/>
      <c r="J955" s="89"/>
      <c r="K955" s="88"/>
      <c r="L955" s="88"/>
      <c r="M955" s="88"/>
      <c r="N955" s="88"/>
      <c r="O955" s="90"/>
      <c r="P955" s="88"/>
      <c r="Q955" s="88"/>
      <c r="R955" s="92"/>
      <c r="S955" s="92"/>
      <c r="T955" s="92"/>
      <c r="U955" s="92"/>
      <c r="V955" s="92"/>
      <c r="W955" s="92"/>
      <c r="X955" s="92"/>
      <c r="Y955" s="92"/>
      <c r="Z955" s="92"/>
      <c r="AA955" s="92"/>
      <c r="AB955" s="92"/>
      <c r="AC955" s="92"/>
      <c r="AD955" s="92"/>
      <c r="AE955" s="92"/>
      <c r="AF955" s="92"/>
      <c r="AG955" s="92"/>
      <c r="AH955" s="92"/>
      <c r="AI955" s="92"/>
      <c r="AJ955" s="92"/>
      <c r="AK955" s="88"/>
      <c r="AL955" s="88"/>
      <c r="AM955" s="88"/>
      <c r="AN955" s="88"/>
      <c r="AO955" s="88"/>
      <c r="AP955" s="88"/>
      <c r="AQ955" s="88"/>
      <c r="AR955" s="88"/>
    </row>
    <row r="956" spans="1:44" ht="12.75" customHeight="1">
      <c r="A956" s="87"/>
      <c r="B956" s="87"/>
      <c r="C956" s="88"/>
      <c r="D956" s="88"/>
      <c r="E956" s="88"/>
      <c r="F956" s="89"/>
      <c r="G956" s="89"/>
      <c r="H956" s="89"/>
      <c r="I956" s="89"/>
      <c r="J956" s="89"/>
      <c r="K956" s="88"/>
      <c r="L956" s="88"/>
      <c r="M956" s="88"/>
      <c r="N956" s="88"/>
      <c r="O956" s="90"/>
      <c r="P956" s="88"/>
      <c r="Q956" s="88"/>
      <c r="R956" s="92"/>
      <c r="S956" s="92"/>
      <c r="T956" s="92"/>
      <c r="U956" s="92"/>
      <c r="V956" s="92"/>
      <c r="W956" s="92"/>
      <c r="X956" s="92"/>
      <c r="Y956" s="92"/>
      <c r="Z956" s="92"/>
      <c r="AA956" s="92"/>
      <c r="AB956" s="92"/>
      <c r="AC956" s="92"/>
      <c r="AD956" s="92"/>
      <c r="AE956" s="92"/>
      <c r="AF956" s="92"/>
      <c r="AG956" s="92"/>
      <c r="AH956" s="92"/>
      <c r="AI956" s="92"/>
      <c r="AJ956" s="92"/>
      <c r="AK956" s="88"/>
      <c r="AL956" s="88"/>
      <c r="AM956" s="88"/>
      <c r="AN956" s="88"/>
      <c r="AO956" s="88"/>
      <c r="AP956" s="88"/>
      <c r="AQ956" s="88"/>
      <c r="AR956" s="88"/>
    </row>
    <row r="957" spans="1:44" ht="12.75" customHeight="1">
      <c r="A957" s="87"/>
      <c r="B957" s="87"/>
      <c r="C957" s="88"/>
      <c r="D957" s="88"/>
      <c r="E957" s="88"/>
      <c r="F957" s="89"/>
      <c r="G957" s="89"/>
      <c r="H957" s="89"/>
      <c r="I957" s="89"/>
      <c r="J957" s="89"/>
      <c r="K957" s="88"/>
      <c r="L957" s="88"/>
      <c r="M957" s="88"/>
      <c r="N957" s="88"/>
      <c r="O957" s="90"/>
      <c r="P957" s="88"/>
      <c r="Q957" s="88"/>
      <c r="R957" s="92"/>
      <c r="S957" s="92"/>
      <c r="T957" s="92"/>
      <c r="U957" s="92"/>
      <c r="V957" s="92"/>
      <c r="W957" s="92"/>
      <c r="X957" s="92"/>
      <c r="Y957" s="92"/>
      <c r="Z957" s="92"/>
      <c r="AA957" s="92"/>
      <c r="AB957" s="92"/>
      <c r="AC957" s="92"/>
      <c r="AD957" s="92"/>
      <c r="AE957" s="92"/>
      <c r="AF957" s="92"/>
      <c r="AG957" s="92"/>
      <c r="AH957" s="92"/>
      <c r="AI957" s="92"/>
      <c r="AJ957" s="92"/>
      <c r="AK957" s="88"/>
      <c r="AL957" s="88"/>
      <c r="AM957" s="88"/>
      <c r="AN957" s="88"/>
      <c r="AO957" s="88"/>
      <c r="AP957" s="88"/>
      <c r="AQ957" s="88"/>
      <c r="AR957" s="88"/>
    </row>
    <row r="958" spans="1:44" ht="12.75" customHeight="1">
      <c r="A958" s="87"/>
      <c r="B958" s="87"/>
      <c r="C958" s="88"/>
      <c r="D958" s="88"/>
      <c r="E958" s="88"/>
      <c r="F958" s="89"/>
      <c r="G958" s="89"/>
      <c r="H958" s="89"/>
      <c r="I958" s="89"/>
      <c r="J958" s="89"/>
      <c r="K958" s="88"/>
      <c r="L958" s="88"/>
      <c r="M958" s="88"/>
      <c r="N958" s="88"/>
      <c r="O958" s="90"/>
      <c r="P958" s="88"/>
      <c r="Q958" s="88"/>
      <c r="R958" s="92"/>
      <c r="S958" s="92"/>
      <c r="T958" s="92"/>
      <c r="U958" s="92"/>
      <c r="V958" s="92"/>
      <c r="W958" s="92"/>
      <c r="X958" s="92"/>
      <c r="Y958" s="92"/>
      <c r="Z958" s="92"/>
      <c r="AA958" s="92"/>
      <c r="AB958" s="92"/>
      <c r="AC958" s="92"/>
      <c r="AD958" s="92"/>
      <c r="AE958" s="92"/>
      <c r="AF958" s="92"/>
      <c r="AG958" s="92"/>
      <c r="AH958" s="92"/>
      <c r="AI958" s="92"/>
      <c r="AJ958" s="92"/>
      <c r="AK958" s="88"/>
      <c r="AL958" s="88"/>
      <c r="AM958" s="88"/>
      <c r="AN958" s="88"/>
      <c r="AO958" s="88"/>
      <c r="AP958" s="88"/>
      <c r="AQ958" s="88"/>
      <c r="AR958" s="88"/>
    </row>
    <row r="959" spans="1:44" ht="12.75" customHeight="1">
      <c r="A959" s="87"/>
      <c r="B959" s="87"/>
      <c r="C959" s="88"/>
      <c r="D959" s="88"/>
      <c r="E959" s="88"/>
      <c r="F959" s="89"/>
      <c r="G959" s="89"/>
      <c r="H959" s="89"/>
      <c r="I959" s="89"/>
      <c r="J959" s="89"/>
      <c r="K959" s="88"/>
      <c r="L959" s="88"/>
      <c r="M959" s="88"/>
      <c r="N959" s="88"/>
      <c r="O959" s="90"/>
      <c r="P959" s="88"/>
      <c r="Q959" s="88"/>
      <c r="R959" s="92"/>
      <c r="S959" s="92"/>
      <c r="T959" s="92"/>
      <c r="U959" s="92"/>
      <c r="V959" s="92"/>
      <c r="W959" s="92"/>
      <c r="X959" s="92"/>
      <c r="Y959" s="92"/>
      <c r="Z959" s="92"/>
      <c r="AA959" s="92"/>
      <c r="AB959" s="92"/>
      <c r="AC959" s="92"/>
      <c r="AD959" s="92"/>
      <c r="AE959" s="92"/>
      <c r="AF959" s="92"/>
      <c r="AG959" s="92"/>
      <c r="AH959" s="92"/>
      <c r="AI959" s="92"/>
      <c r="AJ959" s="92"/>
      <c r="AK959" s="88"/>
      <c r="AL959" s="88"/>
      <c r="AM959" s="88"/>
      <c r="AN959" s="88"/>
      <c r="AO959" s="88"/>
      <c r="AP959" s="88"/>
      <c r="AQ959" s="88"/>
      <c r="AR959" s="88"/>
    </row>
    <row r="960" spans="1:44" ht="12.75" customHeight="1">
      <c r="A960" s="87"/>
      <c r="B960" s="87"/>
      <c r="C960" s="88"/>
      <c r="D960" s="88"/>
      <c r="E960" s="88"/>
      <c r="F960" s="89"/>
      <c r="G960" s="89"/>
      <c r="H960" s="89"/>
      <c r="I960" s="89"/>
      <c r="J960" s="89"/>
      <c r="K960" s="88"/>
      <c r="L960" s="88"/>
      <c r="M960" s="88"/>
      <c r="N960" s="88"/>
      <c r="O960" s="90"/>
      <c r="P960" s="88"/>
      <c r="Q960" s="88"/>
      <c r="R960" s="92"/>
      <c r="S960" s="92"/>
      <c r="T960" s="92"/>
      <c r="U960" s="92"/>
      <c r="V960" s="92"/>
      <c r="W960" s="92"/>
      <c r="X960" s="92"/>
      <c r="Y960" s="92"/>
      <c r="Z960" s="92"/>
      <c r="AA960" s="92"/>
      <c r="AB960" s="92"/>
      <c r="AC960" s="92"/>
      <c r="AD960" s="92"/>
      <c r="AE960" s="92"/>
      <c r="AF960" s="92"/>
      <c r="AG960" s="92"/>
      <c r="AH960" s="92"/>
      <c r="AI960" s="92"/>
      <c r="AJ960" s="92"/>
      <c r="AK960" s="88"/>
      <c r="AL960" s="88"/>
      <c r="AM960" s="88"/>
      <c r="AN960" s="88"/>
      <c r="AO960" s="88"/>
      <c r="AP960" s="88"/>
      <c r="AQ960" s="88"/>
      <c r="AR960" s="88"/>
    </row>
    <row r="961" spans="1:44" ht="12.75" customHeight="1">
      <c r="A961" s="87"/>
      <c r="B961" s="87"/>
      <c r="C961" s="88"/>
      <c r="D961" s="88"/>
      <c r="E961" s="88"/>
      <c r="F961" s="89"/>
      <c r="G961" s="89"/>
      <c r="H961" s="89"/>
      <c r="I961" s="89"/>
      <c r="J961" s="89"/>
      <c r="K961" s="88"/>
      <c r="L961" s="88"/>
      <c r="M961" s="88"/>
      <c r="N961" s="88"/>
      <c r="O961" s="90"/>
      <c r="P961" s="88"/>
      <c r="Q961" s="88"/>
      <c r="R961" s="92"/>
      <c r="S961" s="92"/>
      <c r="T961" s="92"/>
      <c r="U961" s="92"/>
      <c r="V961" s="92"/>
      <c r="W961" s="92"/>
      <c r="X961" s="92"/>
      <c r="Y961" s="92"/>
      <c r="Z961" s="92"/>
      <c r="AA961" s="92"/>
      <c r="AB961" s="92"/>
      <c r="AC961" s="92"/>
      <c r="AD961" s="92"/>
      <c r="AE961" s="92"/>
      <c r="AF961" s="92"/>
      <c r="AG961" s="92"/>
      <c r="AH961" s="92"/>
      <c r="AI961" s="92"/>
      <c r="AJ961" s="92"/>
      <c r="AK961" s="88"/>
      <c r="AL961" s="88"/>
      <c r="AM961" s="88"/>
      <c r="AN961" s="88"/>
      <c r="AO961" s="88"/>
      <c r="AP961" s="88"/>
      <c r="AQ961" s="88"/>
      <c r="AR961" s="88"/>
    </row>
    <row r="962" spans="1:44" ht="12.75" customHeight="1">
      <c r="A962" s="87"/>
      <c r="B962" s="87"/>
      <c r="C962" s="88"/>
      <c r="D962" s="88"/>
      <c r="E962" s="88"/>
      <c r="F962" s="89"/>
      <c r="G962" s="89"/>
      <c r="H962" s="89"/>
      <c r="I962" s="89"/>
      <c r="J962" s="89"/>
      <c r="K962" s="88"/>
      <c r="L962" s="88"/>
      <c r="M962" s="88"/>
      <c r="N962" s="88"/>
      <c r="O962" s="90"/>
      <c r="P962" s="88"/>
      <c r="Q962" s="88"/>
      <c r="R962" s="92"/>
      <c r="S962" s="92"/>
      <c r="T962" s="92"/>
      <c r="U962" s="92"/>
      <c r="V962" s="92"/>
      <c r="W962" s="92"/>
      <c r="X962" s="92"/>
      <c r="Y962" s="92"/>
      <c r="Z962" s="92"/>
      <c r="AA962" s="92"/>
      <c r="AB962" s="92"/>
      <c r="AC962" s="92"/>
      <c r="AD962" s="92"/>
      <c r="AE962" s="92"/>
      <c r="AF962" s="92"/>
      <c r="AG962" s="92"/>
      <c r="AH962" s="92"/>
      <c r="AI962" s="92"/>
      <c r="AJ962" s="92"/>
      <c r="AK962" s="88"/>
      <c r="AL962" s="88"/>
      <c r="AM962" s="88"/>
      <c r="AN962" s="88"/>
      <c r="AO962" s="88"/>
      <c r="AP962" s="88"/>
      <c r="AQ962" s="88"/>
      <c r="AR962" s="88"/>
    </row>
    <row r="963" spans="1:44" ht="12.75" customHeight="1">
      <c r="A963" s="87"/>
      <c r="B963" s="87"/>
      <c r="C963" s="88"/>
      <c r="D963" s="88"/>
      <c r="E963" s="88"/>
      <c r="F963" s="89"/>
      <c r="G963" s="89"/>
      <c r="H963" s="89"/>
      <c r="I963" s="89"/>
      <c r="J963" s="89"/>
      <c r="K963" s="88"/>
      <c r="L963" s="88"/>
      <c r="M963" s="88"/>
      <c r="N963" s="88"/>
      <c r="O963" s="90"/>
      <c r="P963" s="88"/>
      <c r="Q963" s="88"/>
      <c r="R963" s="92"/>
      <c r="S963" s="92"/>
      <c r="T963" s="92"/>
      <c r="U963" s="92"/>
      <c r="V963" s="92"/>
      <c r="W963" s="92"/>
      <c r="X963" s="92"/>
      <c r="Y963" s="92"/>
      <c r="Z963" s="92"/>
      <c r="AA963" s="92"/>
      <c r="AB963" s="92"/>
      <c r="AC963" s="92"/>
      <c r="AD963" s="92"/>
      <c r="AE963" s="92"/>
      <c r="AF963" s="92"/>
      <c r="AG963" s="92"/>
      <c r="AH963" s="92"/>
      <c r="AI963" s="92"/>
      <c r="AJ963" s="92"/>
      <c r="AK963" s="88"/>
      <c r="AL963" s="88"/>
      <c r="AM963" s="88"/>
      <c r="AN963" s="88"/>
      <c r="AO963" s="88"/>
      <c r="AP963" s="88"/>
      <c r="AQ963" s="88"/>
      <c r="AR963" s="88"/>
    </row>
    <row r="964" spans="1:44" ht="12.75" customHeight="1">
      <c r="A964" s="87"/>
      <c r="B964" s="87"/>
      <c r="C964" s="88"/>
      <c r="D964" s="88"/>
      <c r="E964" s="88"/>
      <c r="F964" s="89"/>
      <c r="G964" s="89"/>
      <c r="H964" s="89"/>
      <c r="I964" s="89"/>
      <c r="J964" s="89"/>
      <c r="K964" s="88"/>
      <c r="L964" s="88"/>
      <c r="M964" s="88"/>
      <c r="N964" s="88"/>
      <c r="O964" s="90"/>
      <c r="P964" s="88"/>
      <c r="Q964" s="88"/>
      <c r="R964" s="92"/>
      <c r="S964" s="92"/>
      <c r="T964" s="92"/>
      <c r="U964" s="92"/>
      <c r="V964" s="92"/>
      <c r="W964" s="92"/>
      <c r="X964" s="92"/>
      <c r="Y964" s="92"/>
      <c r="Z964" s="92"/>
      <c r="AA964" s="92"/>
      <c r="AB964" s="92"/>
      <c r="AC964" s="92"/>
      <c r="AD964" s="92"/>
      <c r="AE964" s="92"/>
      <c r="AF964" s="92"/>
      <c r="AG964" s="92"/>
      <c r="AH964" s="92"/>
      <c r="AI964" s="92"/>
      <c r="AJ964" s="92"/>
      <c r="AK964" s="88"/>
      <c r="AL964" s="88"/>
      <c r="AM964" s="88"/>
      <c r="AN964" s="88"/>
      <c r="AO964" s="88"/>
      <c r="AP964" s="88"/>
      <c r="AQ964" s="88"/>
      <c r="AR964" s="88"/>
    </row>
    <row r="965" spans="1:44" ht="12.75" customHeight="1">
      <c r="A965" s="87"/>
      <c r="B965" s="87"/>
      <c r="C965" s="88"/>
      <c r="D965" s="88"/>
      <c r="E965" s="88"/>
      <c r="F965" s="89"/>
      <c r="G965" s="89"/>
      <c r="H965" s="89"/>
      <c r="I965" s="89"/>
      <c r="J965" s="89"/>
      <c r="K965" s="88"/>
      <c r="L965" s="88"/>
      <c r="M965" s="88"/>
      <c r="N965" s="88"/>
      <c r="O965" s="90"/>
      <c r="P965" s="88"/>
      <c r="Q965" s="88"/>
      <c r="R965" s="92"/>
      <c r="S965" s="92"/>
      <c r="T965" s="92"/>
      <c r="U965" s="92"/>
      <c r="V965" s="92"/>
      <c r="W965" s="92"/>
      <c r="X965" s="92"/>
      <c r="Y965" s="92"/>
      <c r="Z965" s="92"/>
      <c r="AA965" s="92"/>
      <c r="AB965" s="92"/>
      <c r="AC965" s="92"/>
      <c r="AD965" s="92"/>
      <c r="AE965" s="92"/>
      <c r="AF965" s="92"/>
      <c r="AG965" s="92"/>
      <c r="AH965" s="92"/>
      <c r="AI965" s="92"/>
      <c r="AJ965" s="92"/>
      <c r="AK965" s="88"/>
      <c r="AL965" s="88"/>
      <c r="AM965" s="88"/>
      <c r="AN965" s="88"/>
      <c r="AO965" s="88"/>
      <c r="AP965" s="88"/>
      <c r="AQ965" s="88"/>
      <c r="AR965" s="88"/>
    </row>
    <row r="966" spans="1:44" ht="12.75" customHeight="1">
      <c r="A966" s="87"/>
      <c r="B966" s="87"/>
      <c r="C966" s="88"/>
      <c r="D966" s="88"/>
      <c r="E966" s="88"/>
      <c r="F966" s="89"/>
      <c r="G966" s="89"/>
      <c r="H966" s="89"/>
      <c r="I966" s="89"/>
      <c r="J966" s="89"/>
      <c r="K966" s="88"/>
      <c r="L966" s="88"/>
      <c r="M966" s="88"/>
      <c r="N966" s="88"/>
      <c r="O966" s="90"/>
      <c r="P966" s="88"/>
      <c r="Q966" s="88"/>
      <c r="R966" s="92"/>
      <c r="S966" s="92"/>
      <c r="T966" s="92"/>
      <c r="U966" s="92"/>
      <c r="V966" s="92"/>
      <c r="W966" s="92"/>
      <c r="X966" s="92"/>
      <c r="Y966" s="92"/>
      <c r="Z966" s="92"/>
      <c r="AA966" s="92"/>
      <c r="AB966" s="92"/>
      <c r="AC966" s="92"/>
      <c r="AD966" s="92"/>
      <c r="AE966" s="92"/>
      <c r="AF966" s="92"/>
      <c r="AG966" s="92"/>
      <c r="AH966" s="92"/>
      <c r="AI966" s="92"/>
      <c r="AJ966" s="92"/>
      <c r="AK966" s="88"/>
      <c r="AL966" s="88"/>
      <c r="AM966" s="88"/>
      <c r="AN966" s="88"/>
      <c r="AO966" s="88"/>
      <c r="AP966" s="88"/>
      <c r="AQ966" s="88"/>
      <c r="AR966" s="88"/>
    </row>
    <row r="967" spans="1:44" ht="12.75" customHeight="1">
      <c r="A967" s="87"/>
      <c r="B967" s="87"/>
      <c r="C967" s="88"/>
      <c r="D967" s="88"/>
      <c r="E967" s="88"/>
      <c r="F967" s="89"/>
      <c r="G967" s="89"/>
      <c r="H967" s="89"/>
      <c r="I967" s="89"/>
      <c r="J967" s="89"/>
      <c r="K967" s="88"/>
      <c r="L967" s="88"/>
      <c r="M967" s="88"/>
      <c r="N967" s="88"/>
      <c r="O967" s="90"/>
      <c r="P967" s="88"/>
      <c r="Q967" s="88"/>
      <c r="R967" s="92"/>
      <c r="S967" s="92"/>
      <c r="T967" s="92"/>
      <c r="U967" s="92"/>
      <c r="V967" s="92"/>
      <c r="W967" s="92"/>
      <c r="X967" s="92"/>
      <c r="Y967" s="92"/>
      <c r="Z967" s="92"/>
      <c r="AA967" s="92"/>
      <c r="AB967" s="92"/>
      <c r="AC967" s="92"/>
      <c r="AD967" s="92"/>
      <c r="AE967" s="92"/>
      <c r="AF967" s="92"/>
      <c r="AG967" s="92"/>
      <c r="AH967" s="92"/>
      <c r="AI967" s="92"/>
      <c r="AJ967" s="92"/>
      <c r="AK967" s="88"/>
      <c r="AL967" s="88"/>
      <c r="AM967" s="88"/>
      <c r="AN967" s="88"/>
      <c r="AO967" s="88"/>
      <c r="AP967" s="88"/>
      <c r="AQ967" s="88"/>
      <c r="AR967" s="88"/>
    </row>
    <row r="968" spans="1:44" ht="12.75" customHeight="1">
      <c r="A968" s="87"/>
      <c r="B968" s="87"/>
      <c r="C968" s="88"/>
      <c r="D968" s="88"/>
      <c r="E968" s="88"/>
      <c r="F968" s="89"/>
      <c r="G968" s="89"/>
      <c r="H968" s="89"/>
      <c r="I968" s="89"/>
      <c r="J968" s="89"/>
      <c r="K968" s="88"/>
      <c r="L968" s="88"/>
      <c r="M968" s="88"/>
      <c r="N968" s="88"/>
      <c r="O968" s="90"/>
      <c r="P968" s="88"/>
      <c r="Q968" s="88"/>
      <c r="R968" s="92"/>
      <c r="S968" s="92"/>
      <c r="T968" s="92"/>
      <c r="U968" s="92"/>
      <c r="V968" s="92"/>
      <c r="W968" s="92"/>
      <c r="X968" s="92"/>
      <c r="Y968" s="92"/>
      <c r="Z968" s="92"/>
      <c r="AA968" s="92"/>
      <c r="AB968" s="92"/>
      <c r="AC968" s="92"/>
      <c r="AD968" s="92"/>
      <c r="AE968" s="92"/>
      <c r="AF968" s="92"/>
      <c r="AG968" s="92"/>
      <c r="AH968" s="92"/>
      <c r="AI968" s="92"/>
      <c r="AJ968" s="92"/>
      <c r="AK968" s="88"/>
      <c r="AL968" s="88"/>
      <c r="AM968" s="88"/>
      <c r="AN968" s="88"/>
      <c r="AO968" s="88"/>
      <c r="AP968" s="88"/>
      <c r="AQ968" s="88"/>
      <c r="AR968" s="88"/>
    </row>
    <row r="969" spans="1:44" ht="12.75" customHeight="1">
      <c r="A969" s="87"/>
      <c r="B969" s="87"/>
      <c r="C969" s="88"/>
      <c r="D969" s="88"/>
      <c r="E969" s="88"/>
      <c r="F969" s="89"/>
      <c r="G969" s="89"/>
      <c r="H969" s="89"/>
      <c r="I969" s="89"/>
      <c r="J969" s="89"/>
      <c r="K969" s="88"/>
      <c r="L969" s="88"/>
      <c r="M969" s="88"/>
      <c r="N969" s="88"/>
      <c r="O969" s="90"/>
      <c r="P969" s="88"/>
      <c r="Q969" s="88"/>
      <c r="R969" s="92"/>
      <c r="S969" s="92"/>
      <c r="T969" s="92"/>
      <c r="U969" s="92"/>
      <c r="V969" s="92"/>
      <c r="W969" s="92"/>
      <c r="X969" s="92"/>
      <c r="Y969" s="92"/>
      <c r="Z969" s="92"/>
      <c r="AA969" s="92"/>
      <c r="AB969" s="92"/>
      <c r="AC969" s="92"/>
      <c r="AD969" s="92"/>
      <c r="AE969" s="92"/>
      <c r="AF969" s="92"/>
      <c r="AG969" s="92"/>
      <c r="AH969" s="92"/>
      <c r="AI969" s="92"/>
      <c r="AJ969" s="92"/>
      <c r="AK969" s="88"/>
      <c r="AL969" s="88"/>
      <c r="AM969" s="88"/>
      <c r="AN969" s="88"/>
      <c r="AO969" s="88"/>
      <c r="AP969" s="88"/>
      <c r="AQ969" s="88"/>
      <c r="AR969" s="88"/>
    </row>
    <row r="970" spans="1:44" ht="12.75" customHeight="1">
      <c r="A970" s="87"/>
      <c r="B970" s="87"/>
      <c r="C970" s="88"/>
      <c r="D970" s="88"/>
      <c r="E970" s="88"/>
      <c r="F970" s="89"/>
      <c r="G970" s="89"/>
      <c r="H970" s="89"/>
      <c r="I970" s="89"/>
      <c r="J970" s="89"/>
      <c r="K970" s="88"/>
      <c r="L970" s="88"/>
      <c r="M970" s="88"/>
      <c r="N970" s="88"/>
      <c r="O970" s="90"/>
      <c r="P970" s="88"/>
      <c r="Q970" s="88"/>
      <c r="R970" s="92"/>
      <c r="S970" s="92"/>
      <c r="T970" s="92"/>
      <c r="U970" s="92"/>
      <c r="V970" s="92"/>
      <c r="W970" s="92"/>
      <c r="X970" s="92"/>
      <c r="Y970" s="92"/>
      <c r="Z970" s="92"/>
      <c r="AA970" s="92"/>
      <c r="AB970" s="92"/>
      <c r="AC970" s="92"/>
      <c r="AD970" s="92"/>
      <c r="AE970" s="92"/>
      <c r="AF970" s="92"/>
      <c r="AG970" s="92"/>
      <c r="AH970" s="92"/>
      <c r="AI970" s="92"/>
      <c r="AJ970" s="92"/>
      <c r="AK970" s="88"/>
      <c r="AL970" s="88"/>
      <c r="AM970" s="88"/>
      <c r="AN970" s="88"/>
      <c r="AO970" s="88"/>
      <c r="AP970" s="88"/>
      <c r="AQ970" s="88"/>
      <c r="AR970" s="88"/>
    </row>
    <row r="971" spans="1:44" ht="12.75" customHeight="1">
      <c r="A971" s="87"/>
      <c r="B971" s="87"/>
      <c r="C971" s="88"/>
      <c r="D971" s="88"/>
      <c r="E971" s="88"/>
      <c r="F971" s="89"/>
      <c r="G971" s="89"/>
      <c r="H971" s="89"/>
      <c r="I971" s="89"/>
      <c r="J971" s="89"/>
      <c r="K971" s="88"/>
      <c r="L971" s="88"/>
      <c r="M971" s="88"/>
      <c r="N971" s="88"/>
      <c r="O971" s="90"/>
      <c r="P971" s="88"/>
      <c r="Q971" s="88"/>
      <c r="R971" s="92"/>
      <c r="S971" s="92"/>
      <c r="T971" s="92"/>
      <c r="U971" s="92"/>
      <c r="V971" s="92"/>
      <c r="W971" s="92"/>
      <c r="X971" s="92"/>
      <c r="Y971" s="92"/>
      <c r="Z971" s="92"/>
      <c r="AA971" s="92"/>
      <c r="AB971" s="92"/>
      <c r="AC971" s="92"/>
      <c r="AD971" s="92"/>
      <c r="AE971" s="92"/>
      <c r="AF971" s="92"/>
      <c r="AG971" s="92"/>
      <c r="AH971" s="92"/>
      <c r="AI971" s="92"/>
      <c r="AJ971" s="92"/>
      <c r="AK971" s="88"/>
      <c r="AL971" s="88"/>
      <c r="AM971" s="88"/>
      <c r="AN971" s="88"/>
      <c r="AO971" s="88"/>
      <c r="AP971" s="88"/>
      <c r="AQ971" s="88"/>
      <c r="AR971" s="88"/>
    </row>
    <row r="972" spans="1:44" ht="12.75" customHeight="1">
      <c r="A972" s="87"/>
      <c r="B972" s="87"/>
      <c r="C972" s="88"/>
      <c r="D972" s="88"/>
      <c r="E972" s="88"/>
      <c r="F972" s="89"/>
      <c r="G972" s="89"/>
      <c r="H972" s="89"/>
      <c r="I972" s="89"/>
      <c r="J972" s="89"/>
      <c r="K972" s="88"/>
      <c r="L972" s="88"/>
      <c r="M972" s="88"/>
      <c r="N972" s="88"/>
      <c r="O972" s="90"/>
      <c r="P972" s="88"/>
      <c r="Q972" s="88"/>
      <c r="R972" s="92"/>
      <c r="S972" s="92"/>
      <c r="T972" s="92"/>
      <c r="U972" s="92"/>
      <c r="V972" s="92"/>
      <c r="W972" s="92"/>
      <c r="X972" s="92"/>
      <c r="Y972" s="92"/>
      <c r="Z972" s="92"/>
      <c r="AA972" s="92"/>
      <c r="AB972" s="92"/>
      <c r="AC972" s="92"/>
      <c r="AD972" s="92"/>
      <c r="AE972" s="92"/>
      <c r="AF972" s="92"/>
      <c r="AG972" s="92"/>
      <c r="AH972" s="92"/>
      <c r="AI972" s="92"/>
      <c r="AJ972" s="92"/>
      <c r="AK972" s="88"/>
      <c r="AL972" s="88"/>
      <c r="AM972" s="88"/>
      <c r="AN972" s="88"/>
      <c r="AO972" s="88"/>
      <c r="AP972" s="88"/>
      <c r="AQ972" s="88"/>
      <c r="AR972" s="88"/>
    </row>
    <row r="973" spans="1:44" ht="12.75" customHeight="1">
      <c r="A973" s="87"/>
      <c r="B973" s="87"/>
      <c r="C973" s="88"/>
      <c r="D973" s="88"/>
      <c r="E973" s="88"/>
      <c r="F973" s="89"/>
      <c r="G973" s="89"/>
      <c r="H973" s="89"/>
      <c r="I973" s="89"/>
      <c r="J973" s="89"/>
      <c r="K973" s="88"/>
      <c r="L973" s="88"/>
      <c r="M973" s="88"/>
      <c r="N973" s="88"/>
      <c r="O973" s="90"/>
      <c r="P973" s="88"/>
      <c r="Q973" s="88"/>
      <c r="R973" s="92"/>
      <c r="S973" s="92"/>
      <c r="T973" s="92"/>
      <c r="U973" s="92"/>
      <c r="V973" s="92"/>
      <c r="W973" s="92"/>
      <c r="X973" s="92"/>
      <c r="Y973" s="92"/>
      <c r="Z973" s="92"/>
      <c r="AA973" s="92"/>
      <c r="AB973" s="92"/>
      <c r="AC973" s="92"/>
      <c r="AD973" s="92"/>
      <c r="AE973" s="92"/>
      <c r="AF973" s="92"/>
      <c r="AG973" s="92"/>
      <c r="AH973" s="92"/>
      <c r="AI973" s="92"/>
      <c r="AJ973" s="92"/>
      <c r="AK973" s="88"/>
      <c r="AL973" s="88"/>
      <c r="AM973" s="88"/>
      <c r="AN973" s="88"/>
      <c r="AO973" s="88"/>
      <c r="AP973" s="88"/>
      <c r="AQ973" s="88"/>
      <c r="AR973" s="88"/>
    </row>
    <row r="974" spans="1:44" ht="12.75" customHeight="1">
      <c r="A974" s="87"/>
      <c r="B974" s="87"/>
      <c r="C974" s="88"/>
      <c r="D974" s="88"/>
      <c r="E974" s="88"/>
      <c r="F974" s="89"/>
      <c r="G974" s="89"/>
      <c r="H974" s="89"/>
      <c r="I974" s="89"/>
      <c r="J974" s="89"/>
      <c r="K974" s="88"/>
      <c r="L974" s="88"/>
      <c r="M974" s="88"/>
      <c r="N974" s="88"/>
      <c r="O974" s="90"/>
      <c r="P974" s="88"/>
      <c r="Q974" s="88"/>
      <c r="R974" s="92"/>
      <c r="S974" s="92"/>
      <c r="T974" s="92"/>
      <c r="U974" s="92"/>
      <c r="V974" s="92"/>
      <c r="W974" s="92"/>
      <c r="X974" s="92"/>
      <c r="Y974" s="92"/>
      <c r="Z974" s="92"/>
      <c r="AA974" s="92"/>
      <c r="AB974" s="92"/>
      <c r="AC974" s="92"/>
      <c r="AD974" s="92"/>
      <c r="AE974" s="92"/>
      <c r="AF974" s="92"/>
      <c r="AG974" s="92"/>
      <c r="AH974" s="92"/>
      <c r="AI974" s="92"/>
      <c r="AJ974" s="92"/>
      <c r="AK974" s="88"/>
      <c r="AL974" s="88"/>
      <c r="AM974" s="88"/>
      <c r="AN974" s="88"/>
      <c r="AO974" s="88"/>
      <c r="AP974" s="88"/>
      <c r="AQ974" s="88"/>
      <c r="AR974" s="88"/>
    </row>
    <row r="975" spans="1:44" ht="12.75" customHeight="1">
      <c r="A975" s="87"/>
      <c r="B975" s="87"/>
      <c r="C975" s="88"/>
      <c r="D975" s="88"/>
      <c r="E975" s="88"/>
      <c r="F975" s="89"/>
      <c r="G975" s="89"/>
      <c r="H975" s="89"/>
      <c r="I975" s="89"/>
      <c r="J975" s="89"/>
      <c r="K975" s="88"/>
      <c r="L975" s="88"/>
      <c r="M975" s="88"/>
      <c r="N975" s="88"/>
      <c r="O975" s="90"/>
      <c r="P975" s="88"/>
      <c r="Q975" s="88"/>
      <c r="R975" s="92"/>
      <c r="S975" s="92"/>
      <c r="T975" s="92"/>
      <c r="U975" s="92"/>
      <c r="V975" s="92"/>
      <c r="W975" s="92"/>
      <c r="X975" s="92"/>
      <c r="Y975" s="92"/>
      <c r="Z975" s="92"/>
      <c r="AA975" s="92"/>
      <c r="AB975" s="92"/>
      <c r="AC975" s="92"/>
      <c r="AD975" s="92"/>
      <c r="AE975" s="92"/>
      <c r="AF975" s="92"/>
      <c r="AG975" s="92"/>
      <c r="AH975" s="92"/>
      <c r="AI975" s="92"/>
      <c r="AJ975" s="92"/>
      <c r="AK975" s="88"/>
      <c r="AL975" s="88"/>
      <c r="AM975" s="88"/>
      <c r="AN975" s="88"/>
      <c r="AO975" s="88"/>
      <c r="AP975" s="88"/>
      <c r="AQ975" s="88"/>
      <c r="AR975" s="88"/>
    </row>
    <row r="976" spans="1:44" ht="12.75" customHeight="1">
      <c r="A976" s="87"/>
      <c r="B976" s="87"/>
      <c r="C976" s="88"/>
      <c r="D976" s="88"/>
      <c r="E976" s="88"/>
      <c r="F976" s="89"/>
      <c r="G976" s="89"/>
      <c r="H976" s="89"/>
      <c r="I976" s="89"/>
      <c r="J976" s="89"/>
      <c r="K976" s="88"/>
      <c r="L976" s="88"/>
      <c r="M976" s="88"/>
      <c r="N976" s="88"/>
      <c r="O976" s="90"/>
      <c r="P976" s="88"/>
      <c r="Q976" s="88"/>
      <c r="R976" s="92"/>
      <c r="S976" s="92"/>
      <c r="T976" s="92"/>
      <c r="U976" s="92"/>
      <c r="V976" s="92"/>
      <c r="W976" s="92"/>
      <c r="X976" s="92"/>
      <c r="Y976" s="92"/>
      <c r="Z976" s="92"/>
      <c r="AA976" s="92"/>
      <c r="AB976" s="92"/>
      <c r="AC976" s="92"/>
      <c r="AD976" s="92"/>
      <c r="AE976" s="92"/>
      <c r="AF976" s="92"/>
      <c r="AG976" s="92"/>
      <c r="AH976" s="92"/>
      <c r="AI976" s="92"/>
      <c r="AJ976" s="92"/>
      <c r="AK976" s="88"/>
      <c r="AL976" s="88"/>
      <c r="AM976" s="88"/>
      <c r="AN976" s="88"/>
      <c r="AO976" s="88"/>
      <c r="AP976" s="88"/>
      <c r="AQ976" s="88"/>
      <c r="AR976" s="88"/>
    </row>
    <row r="977" spans="1:44" ht="12.75" customHeight="1">
      <c r="A977" s="87"/>
      <c r="B977" s="87"/>
      <c r="C977" s="88"/>
      <c r="D977" s="88"/>
      <c r="E977" s="88"/>
      <c r="F977" s="89"/>
      <c r="G977" s="89"/>
      <c r="H977" s="89"/>
      <c r="I977" s="89"/>
      <c r="J977" s="89"/>
      <c r="K977" s="88"/>
      <c r="L977" s="88"/>
      <c r="M977" s="88"/>
      <c r="N977" s="88"/>
      <c r="O977" s="90"/>
      <c r="P977" s="88"/>
      <c r="Q977" s="88"/>
      <c r="R977" s="92"/>
      <c r="S977" s="92"/>
      <c r="T977" s="92"/>
      <c r="U977" s="92"/>
      <c r="V977" s="92"/>
      <c r="W977" s="92"/>
      <c r="X977" s="92"/>
      <c r="Y977" s="92"/>
      <c r="Z977" s="92"/>
      <c r="AA977" s="92"/>
      <c r="AB977" s="92"/>
      <c r="AC977" s="92"/>
      <c r="AD977" s="92"/>
      <c r="AE977" s="92"/>
      <c r="AF977" s="92"/>
      <c r="AG977" s="92"/>
      <c r="AH977" s="92"/>
      <c r="AI977" s="92"/>
      <c r="AJ977" s="92"/>
      <c r="AK977" s="88"/>
      <c r="AL977" s="88"/>
      <c r="AM977" s="88"/>
      <c r="AN977" s="88"/>
      <c r="AO977" s="88"/>
      <c r="AP977" s="88"/>
      <c r="AQ977" s="88"/>
      <c r="AR977" s="88"/>
    </row>
    <row r="978" spans="1:44" ht="12.75" customHeight="1">
      <c r="A978" s="87"/>
      <c r="B978" s="87"/>
      <c r="C978" s="88"/>
      <c r="D978" s="88"/>
      <c r="E978" s="88"/>
      <c r="F978" s="89"/>
      <c r="G978" s="89"/>
      <c r="H978" s="89"/>
      <c r="I978" s="89"/>
      <c r="J978" s="89"/>
      <c r="K978" s="88"/>
      <c r="L978" s="88"/>
      <c r="M978" s="88"/>
      <c r="N978" s="88"/>
      <c r="O978" s="90"/>
      <c r="P978" s="88"/>
      <c r="Q978" s="88"/>
      <c r="R978" s="92"/>
      <c r="S978" s="92"/>
      <c r="T978" s="92"/>
      <c r="U978" s="92"/>
      <c r="V978" s="92"/>
      <c r="W978" s="92"/>
      <c r="X978" s="92"/>
      <c r="Y978" s="92"/>
      <c r="Z978" s="92"/>
      <c r="AA978" s="92"/>
      <c r="AB978" s="92"/>
      <c r="AC978" s="92"/>
      <c r="AD978" s="92"/>
      <c r="AE978" s="92"/>
      <c r="AF978" s="92"/>
      <c r="AG978" s="92"/>
      <c r="AH978" s="92"/>
      <c r="AI978" s="92"/>
      <c r="AJ978" s="92"/>
      <c r="AK978" s="88"/>
      <c r="AL978" s="88"/>
      <c r="AM978" s="88"/>
      <c r="AN978" s="88"/>
      <c r="AO978" s="88"/>
      <c r="AP978" s="88"/>
      <c r="AQ978" s="88"/>
      <c r="AR978" s="88"/>
    </row>
    <row r="979" spans="1:44" ht="12.75" customHeight="1">
      <c r="A979" s="87"/>
      <c r="B979" s="87"/>
      <c r="C979" s="88"/>
      <c r="D979" s="88"/>
      <c r="E979" s="88"/>
      <c r="F979" s="89"/>
      <c r="G979" s="89"/>
      <c r="H979" s="89"/>
      <c r="I979" s="89"/>
      <c r="J979" s="89"/>
      <c r="K979" s="88"/>
      <c r="L979" s="88"/>
      <c r="M979" s="88"/>
      <c r="N979" s="88"/>
      <c r="O979" s="90"/>
      <c r="P979" s="88"/>
      <c r="Q979" s="88"/>
      <c r="R979" s="92"/>
      <c r="S979" s="92"/>
      <c r="T979" s="92"/>
      <c r="U979" s="92"/>
      <c r="V979" s="92"/>
      <c r="W979" s="92"/>
      <c r="X979" s="92"/>
      <c r="Y979" s="92"/>
      <c r="Z979" s="92"/>
      <c r="AA979" s="92"/>
      <c r="AB979" s="92"/>
      <c r="AC979" s="92"/>
      <c r="AD979" s="92"/>
      <c r="AE979" s="92"/>
      <c r="AF979" s="92"/>
      <c r="AG979" s="92"/>
      <c r="AH979" s="92"/>
      <c r="AI979" s="92"/>
      <c r="AJ979" s="92"/>
      <c r="AK979" s="88"/>
      <c r="AL979" s="88"/>
      <c r="AM979" s="88"/>
      <c r="AN979" s="88"/>
      <c r="AO979" s="88"/>
      <c r="AP979" s="88"/>
      <c r="AQ979" s="88"/>
      <c r="AR979" s="88"/>
    </row>
    <row r="980" spans="1:44" ht="12.75" customHeight="1">
      <c r="A980" s="87"/>
      <c r="B980" s="87"/>
      <c r="C980" s="88"/>
      <c r="D980" s="88"/>
      <c r="E980" s="88"/>
      <c r="F980" s="89"/>
      <c r="G980" s="89"/>
      <c r="H980" s="89"/>
      <c r="I980" s="89"/>
      <c r="J980" s="89"/>
      <c r="K980" s="88"/>
      <c r="L980" s="88"/>
      <c r="M980" s="88"/>
      <c r="N980" s="88"/>
      <c r="O980" s="90"/>
      <c r="P980" s="88"/>
      <c r="Q980" s="88"/>
      <c r="R980" s="92"/>
      <c r="S980" s="92"/>
      <c r="T980" s="92"/>
      <c r="U980" s="92"/>
      <c r="V980" s="92"/>
      <c r="W980" s="92"/>
      <c r="X980" s="92"/>
      <c r="Y980" s="92"/>
      <c r="Z980" s="92"/>
      <c r="AA980" s="92"/>
      <c r="AB980" s="92"/>
      <c r="AC980" s="92"/>
      <c r="AD980" s="92"/>
      <c r="AE980" s="92"/>
      <c r="AF980" s="92"/>
      <c r="AG980" s="92"/>
      <c r="AH980" s="92"/>
      <c r="AI980" s="92"/>
      <c r="AJ980" s="92"/>
      <c r="AK980" s="88"/>
      <c r="AL980" s="88"/>
      <c r="AM980" s="88"/>
      <c r="AN980" s="88"/>
      <c r="AO980" s="88"/>
      <c r="AP980" s="88"/>
      <c r="AQ980" s="88"/>
      <c r="AR980" s="88"/>
    </row>
    <row r="981" spans="1:44" ht="12.75" customHeight="1">
      <c r="A981" s="87"/>
      <c r="B981" s="87"/>
      <c r="C981" s="88"/>
      <c r="D981" s="88"/>
      <c r="E981" s="88"/>
      <c r="F981" s="89"/>
      <c r="G981" s="89"/>
      <c r="H981" s="89"/>
      <c r="I981" s="89"/>
      <c r="J981" s="89"/>
      <c r="K981" s="88"/>
      <c r="L981" s="88"/>
      <c r="M981" s="88"/>
      <c r="N981" s="88"/>
      <c r="O981" s="90"/>
      <c r="P981" s="88"/>
      <c r="Q981" s="88"/>
      <c r="R981" s="92"/>
      <c r="S981" s="92"/>
      <c r="T981" s="92"/>
      <c r="U981" s="92"/>
      <c r="V981" s="92"/>
      <c r="W981" s="92"/>
      <c r="X981" s="92"/>
      <c r="Y981" s="92"/>
      <c r="Z981" s="92"/>
      <c r="AA981" s="92"/>
      <c r="AB981" s="92"/>
      <c r="AC981" s="92"/>
      <c r="AD981" s="92"/>
      <c r="AE981" s="92"/>
      <c r="AF981" s="92"/>
      <c r="AG981" s="92"/>
      <c r="AH981" s="92"/>
      <c r="AI981" s="92"/>
      <c r="AJ981" s="92"/>
      <c r="AK981" s="88"/>
      <c r="AL981" s="88"/>
      <c r="AM981" s="88"/>
      <c r="AN981" s="88"/>
      <c r="AO981" s="88"/>
      <c r="AP981" s="88"/>
      <c r="AQ981" s="88"/>
      <c r="AR981" s="88"/>
    </row>
    <row r="982" spans="1:44" ht="12.75" customHeight="1">
      <c r="A982" s="87"/>
      <c r="B982" s="87"/>
      <c r="C982" s="88"/>
      <c r="D982" s="88"/>
      <c r="E982" s="88"/>
      <c r="F982" s="89"/>
      <c r="G982" s="89"/>
      <c r="H982" s="89"/>
      <c r="I982" s="89"/>
      <c r="J982" s="89"/>
      <c r="K982" s="88"/>
      <c r="L982" s="88"/>
      <c r="M982" s="88"/>
      <c r="N982" s="88"/>
      <c r="O982" s="90"/>
      <c r="P982" s="88"/>
      <c r="Q982" s="88"/>
      <c r="R982" s="92"/>
      <c r="S982" s="92"/>
      <c r="T982" s="92"/>
      <c r="U982" s="92"/>
      <c r="V982" s="92"/>
      <c r="W982" s="92"/>
      <c r="X982" s="92"/>
      <c r="Y982" s="92"/>
      <c r="Z982" s="92"/>
      <c r="AA982" s="92"/>
      <c r="AB982" s="92"/>
      <c r="AC982" s="92"/>
      <c r="AD982" s="92"/>
      <c r="AE982" s="92"/>
      <c r="AF982" s="92"/>
      <c r="AG982" s="92"/>
      <c r="AH982" s="92"/>
      <c r="AI982" s="92"/>
      <c r="AJ982" s="92"/>
      <c r="AK982" s="88"/>
      <c r="AL982" s="88"/>
      <c r="AM982" s="88"/>
      <c r="AN982" s="88"/>
      <c r="AO982" s="88"/>
      <c r="AP982" s="88"/>
      <c r="AQ982" s="88"/>
      <c r="AR982" s="88"/>
    </row>
    <row r="983" spans="1:44" ht="12.75" customHeight="1">
      <c r="A983" s="87"/>
      <c r="B983" s="87"/>
      <c r="C983" s="88"/>
      <c r="D983" s="88"/>
      <c r="E983" s="88"/>
      <c r="F983" s="89"/>
      <c r="G983" s="89"/>
      <c r="H983" s="89"/>
      <c r="I983" s="89"/>
      <c r="J983" s="89"/>
      <c r="K983" s="88"/>
      <c r="L983" s="88"/>
      <c r="M983" s="88"/>
      <c r="N983" s="88"/>
      <c r="O983" s="90"/>
      <c r="P983" s="88"/>
      <c r="Q983" s="88"/>
      <c r="R983" s="92"/>
      <c r="S983" s="92"/>
      <c r="T983" s="92"/>
      <c r="U983" s="92"/>
      <c r="V983" s="92"/>
      <c r="W983" s="92"/>
      <c r="X983" s="92"/>
      <c r="Y983" s="92"/>
      <c r="Z983" s="92"/>
      <c r="AA983" s="92"/>
      <c r="AB983" s="92"/>
      <c r="AC983" s="92"/>
      <c r="AD983" s="92"/>
      <c r="AE983" s="92"/>
      <c r="AF983" s="92"/>
      <c r="AG983" s="92"/>
      <c r="AH983" s="92"/>
      <c r="AI983" s="92"/>
      <c r="AJ983" s="92"/>
      <c r="AK983" s="88"/>
      <c r="AL983" s="88"/>
      <c r="AM983" s="88"/>
      <c r="AN983" s="88"/>
      <c r="AO983" s="88"/>
      <c r="AP983" s="88"/>
      <c r="AQ983" s="88"/>
      <c r="AR983" s="88"/>
    </row>
    <row r="984" spans="1:44" ht="12.75" customHeight="1">
      <c r="A984" s="87"/>
      <c r="B984" s="87"/>
      <c r="C984" s="88"/>
      <c r="D984" s="88"/>
      <c r="E984" s="88"/>
      <c r="F984" s="89"/>
      <c r="G984" s="89"/>
      <c r="H984" s="89"/>
      <c r="I984" s="89"/>
      <c r="J984" s="89"/>
      <c r="K984" s="88"/>
      <c r="L984" s="88"/>
      <c r="M984" s="88"/>
      <c r="N984" s="88"/>
      <c r="O984" s="90"/>
      <c r="P984" s="88"/>
      <c r="Q984" s="88"/>
      <c r="R984" s="92"/>
      <c r="S984" s="92"/>
      <c r="T984" s="92"/>
      <c r="U984" s="92"/>
      <c r="V984" s="92"/>
      <c r="W984" s="92"/>
      <c r="X984" s="92"/>
      <c r="Y984" s="92"/>
      <c r="Z984" s="92"/>
      <c r="AA984" s="92"/>
      <c r="AB984" s="92"/>
      <c r="AC984" s="92"/>
      <c r="AD984" s="92"/>
      <c r="AE984" s="92"/>
      <c r="AF984" s="92"/>
      <c r="AG984" s="92"/>
      <c r="AH984" s="92"/>
      <c r="AI984" s="92"/>
      <c r="AJ984" s="92"/>
      <c r="AK984" s="88"/>
      <c r="AL984" s="88"/>
      <c r="AM984" s="88"/>
      <c r="AN984" s="88"/>
      <c r="AO984" s="88"/>
      <c r="AP984" s="88"/>
      <c r="AQ984" s="88"/>
      <c r="AR984" s="88"/>
    </row>
    <row r="985" spans="1:44" ht="12.75" customHeight="1">
      <c r="A985" s="87"/>
      <c r="B985" s="87"/>
      <c r="C985" s="88"/>
      <c r="D985" s="88"/>
      <c r="E985" s="88"/>
      <c r="F985" s="89"/>
      <c r="G985" s="89"/>
      <c r="H985" s="89"/>
      <c r="I985" s="89"/>
      <c r="J985" s="89"/>
      <c r="K985" s="88"/>
      <c r="L985" s="88"/>
      <c r="M985" s="88"/>
      <c r="N985" s="88"/>
      <c r="O985" s="90"/>
      <c r="P985" s="88"/>
      <c r="Q985" s="88"/>
      <c r="R985" s="92"/>
      <c r="S985" s="92"/>
      <c r="T985" s="92"/>
      <c r="U985" s="92"/>
      <c r="V985" s="92"/>
      <c r="W985" s="92"/>
      <c r="X985" s="92"/>
      <c r="Y985" s="92"/>
      <c r="Z985" s="92"/>
      <c r="AA985" s="92"/>
      <c r="AB985" s="92"/>
      <c r="AC985" s="92"/>
      <c r="AD985" s="92"/>
      <c r="AE985" s="92"/>
      <c r="AF985" s="92"/>
      <c r="AG985" s="92"/>
      <c r="AH985" s="92"/>
      <c r="AI985" s="92"/>
      <c r="AJ985" s="92"/>
      <c r="AK985" s="88"/>
      <c r="AL985" s="88"/>
      <c r="AM985" s="88"/>
      <c r="AN985" s="88"/>
      <c r="AO985" s="88"/>
      <c r="AP985" s="88"/>
      <c r="AQ985" s="88"/>
      <c r="AR985" s="88"/>
    </row>
    <row r="986" spans="1:44" ht="12.75" customHeight="1">
      <c r="A986" s="87"/>
      <c r="B986" s="87"/>
      <c r="C986" s="88"/>
      <c r="D986" s="88"/>
      <c r="E986" s="88"/>
      <c r="F986" s="89"/>
      <c r="G986" s="89"/>
      <c r="H986" s="89"/>
      <c r="I986" s="89"/>
      <c r="J986" s="89"/>
      <c r="K986" s="88"/>
      <c r="L986" s="88"/>
      <c r="M986" s="88"/>
      <c r="N986" s="88"/>
      <c r="O986" s="90"/>
      <c r="P986" s="88"/>
      <c r="Q986" s="88"/>
      <c r="R986" s="92"/>
      <c r="S986" s="92"/>
      <c r="T986" s="92"/>
      <c r="U986" s="92"/>
      <c r="V986" s="92"/>
      <c r="W986" s="92"/>
      <c r="X986" s="92"/>
      <c r="Y986" s="92"/>
      <c r="Z986" s="92"/>
      <c r="AA986" s="92"/>
      <c r="AB986" s="92"/>
      <c r="AC986" s="92"/>
      <c r="AD986" s="92"/>
      <c r="AE986" s="92"/>
      <c r="AF986" s="92"/>
      <c r="AG986" s="92"/>
      <c r="AH986" s="92"/>
      <c r="AI986" s="92"/>
      <c r="AJ986" s="92"/>
      <c r="AK986" s="88"/>
      <c r="AL986" s="88"/>
      <c r="AM986" s="88"/>
      <c r="AN986" s="88"/>
      <c r="AO986" s="88"/>
      <c r="AP986" s="88"/>
      <c r="AQ986" s="88"/>
      <c r="AR986" s="88"/>
    </row>
    <row r="987" spans="1:44" ht="12.75" customHeight="1">
      <c r="A987" s="87"/>
      <c r="B987" s="87"/>
      <c r="C987" s="88"/>
      <c r="D987" s="88"/>
      <c r="E987" s="88"/>
      <c r="F987" s="89"/>
      <c r="G987" s="89"/>
      <c r="H987" s="89"/>
      <c r="I987" s="89"/>
      <c r="J987" s="89"/>
      <c r="K987" s="88"/>
      <c r="L987" s="88"/>
      <c r="M987" s="88"/>
      <c r="N987" s="88"/>
      <c r="O987" s="90"/>
      <c r="P987" s="88"/>
      <c r="Q987" s="88"/>
      <c r="R987" s="92"/>
      <c r="S987" s="92"/>
      <c r="T987" s="92"/>
      <c r="U987" s="92"/>
      <c r="V987" s="92"/>
      <c r="W987" s="92"/>
      <c r="X987" s="92"/>
      <c r="Y987" s="92"/>
      <c r="Z987" s="92"/>
      <c r="AA987" s="92"/>
      <c r="AB987" s="92"/>
      <c r="AC987" s="92"/>
      <c r="AD987" s="92"/>
      <c r="AE987" s="92"/>
      <c r="AF987" s="92"/>
      <c r="AG987" s="92"/>
      <c r="AH987" s="92"/>
      <c r="AI987" s="92"/>
      <c r="AJ987" s="92"/>
      <c r="AK987" s="88"/>
      <c r="AL987" s="88"/>
      <c r="AM987" s="88"/>
      <c r="AN987" s="88"/>
      <c r="AO987" s="88"/>
      <c r="AP987" s="88"/>
      <c r="AQ987" s="88"/>
      <c r="AR987" s="88"/>
    </row>
    <row r="988" spans="1:44" ht="12.75" customHeight="1">
      <c r="A988" s="87"/>
      <c r="B988" s="87"/>
      <c r="C988" s="88"/>
      <c r="D988" s="88"/>
      <c r="E988" s="88"/>
      <c r="F988" s="89"/>
      <c r="G988" s="89"/>
      <c r="H988" s="89"/>
      <c r="I988" s="89"/>
      <c r="J988" s="89"/>
      <c r="K988" s="88"/>
      <c r="L988" s="88"/>
      <c r="M988" s="88"/>
      <c r="N988" s="88"/>
      <c r="O988" s="90"/>
      <c r="P988" s="88"/>
      <c r="Q988" s="88"/>
      <c r="R988" s="92"/>
      <c r="S988" s="92"/>
      <c r="T988" s="92"/>
      <c r="U988" s="92"/>
      <c r="V988" s="92"/>
      <c r="W988" s="92"/>
      <c r="X988" s="92"/>
      <c r="Y988" s="92"/>
      <c r="Z988" s="92"/>
      <c r="AA988" s="92"/>
      <c r="AB988" s="92"/>
      <c r="AC988" s="92"/>
      <c r="AD988" s="92"/>
      <c r="AE988" s="92"/>
      <c r="AF988" s="92"/>
      <c r="AG988" s="92"/>
      <c r="AH988" s="92"/>
      <c r="AI988" s="92"/>
      <c r="AJ988" s="92"/>
      <c r="AK988" s="88"/>
      <c r="AL988" s="88"/>
      <c r="AM988" s="88"/>
      <c r="AN988" s="88"/>
      <c r="AO988" s="88"/>
      <c r="AP988" s="88"/>
      <c r="AQ988" s="88"/>
      <c r="AR988" s="88"/>
    </row>
    <row r="989" spans="1:44" ht="12.75" customHeight="1">
      <c r="A989" s="87"/>
      <c r="B989" s="87"/>
      <c r="C989" s="88"/>
      <c r="D989" s="88"/>
      <c r="E989" s="88"/>
      <c r="F989" s="89"/>
      <c r="G989" s="89"/>
      <c r="H989" s="89"/>
      <c r="I989" s="89"/>
      <c r="J989" s="89"/>
      <c r="K989" s="88"/>
      <c r="L989" s="88"/>
      <c r="M989" s="88"/>
      <c r="N989" s="88"/>
      <c r="O989" s="90"/>
      <c r="P989" s="88"/>
      <c r="Q989" s="88"/>
      <c r="R989" s="92"/>
      <c r="S989" s="92"/>
      <c r="T989" s="92"/>
      <c r="U989" s="92"/>
      <c r="V989" s="92"/>
      <c r="W989" s="92"/>
      <c r="X989" s="92"/>
      <c r="Y989" s="92"/>
      <c r="Z989" s="92"/>
      <c r="AA989" s="92"/>
      <c r="AB989" s="92"/>
      <c r="AC989" s="92"/>
      <c r="AD989" s="92"/>
      <c r="AE989" s="92"/>
      <c r="AF989" s="92"/>
      <c r="AG989" s="92"/>
      <c r="AH989" s="92"/>
      <c r="AI989" s="92"/>
      <c r="AJ989" s="92"/>
      <c r="AK989" s="88"/>
      <c r="AL989" s="88"/>
      <c r="AM989" s="88"/>
      <c r="AN989" s="88"/>
      <c r="AO989" s="88"/>
      <c r="AP989" s="88"/>
      <c r="AQ989" s="88"/>
      <c r="AR989" s="88"/>
    </row>
    <row r="990" spans="1:44" ht="12.75" customHeight="1">
      <c r="A990" s="87"/>
      <c r="B990" s="87"/>
      <c r="C990" s="88"/>
      <c r="D990" s="88"/>
      <c r="E990" s="88"/>
      <c r="F990" s="89"/>
      <c r="G990" s="89"/>
      <c r="H990" s="89"/>
      <c r="I990" s="89"/>
      <c r="J990" s="89"/>
      <c r="K990" s="88"/>
      <c r="L990" s="88"/>
      <c r="M990" s="88"/>
      <c r="N990" s="88"/>
      <c r="O990" s="90"/>
      <c r="P990" s="88"/>
      <c r="Q990" s="88"/>
      <c r="R990" s="92"/>
      <c r="S990" s="92"/>
      <c r="T990" s="92"/>
      <c r="U990" s="92"/>
      <c r="V990" s="92"/>
      <c r="W990" s="92"/>
      <c r="X990" s="92"/>
      <c r="Y990" s="92"/>
      <c r="Z990" s="92"/>
      <c r="AA990" s="92"/>
      <c r="AB990" s="92"/>
      <c r="AC990" s="92"/>
      <c r="AD990" s="92"/>
      <c r="AE990" s="92"/>
      <c r="AF990" s="92"/>
      <c r="AG990" s="92"/>
      <c r="AH990" s="92"/>
      <c r="AI990" s="92"/>
      <c r="AJ990" s="92"/>
      <c r="AK990" s="88"/>
      <c r="AL990" s="88"/>
      <c r="AM990" s="88"/>
      <c r="AN990" s="88"/>
      <c r="AO990" s="88"/>
      <c r="AP990" s="88"/>
      <c r="AQ990" s="88"/>
      <c r="AR990" s="88"/>
    </row>
    <row r="991" spans="1:44" ht="12.75" customHeight="1">
      <c r="A991" s="87"/>
      <c r="B991" s="87"/>
      <c r="C991" s="88"/>
      <c r="D991" s="88"/>
      <c r="E991" s="88"/>
      <c r="F991" s="89"/>
      <c r="G991" s="89"/>
      <c r="H991" s="89"/>
      <c r="I991" s="89"/>
      <c r="J991" s="89"/>
      <c r="K991" s="88"/>
      <c r="L991" s="88"/>
      <c r="M991" s="88"/>
      <c r="N991" s="88"/>
      <c r="O991" s="90"/>
      <c r="P991" s="88"/>
      <c r="Q991" s="88"/>
      <c r="R991" s="92"/>
      <c r="S991" s="92"/>
      <c r="T991" s="92"/>
      <c r="U991" s="92"/>
      <c r="V991" s="92"/>
      <c r="W991" s="92"/>
      <c r="X991" s="92"/>
      <c r="Y991" s="92"/>
      <c r="Z991" s="92"/>
      <c r="AA991" s="92"/>
      <c r="AB991" s="92"/>
      <c r="AC991" s="92"/>
      <c r="AD991" s="92"/>
      <c r="AE991" s="92"/>
      <c r="AF991" s="92"/>
      <c r="AG991" s="92"/>
      <c r="AH991" s="92"/>
      <c r="AI991" s="92"/>
      <c r="AJ991" s="92"/>
      <c r="AK991" s="88"/>
      <c r="AL991" s="88"/>
      <c r="AM991" s="88"/>
      <c r="AN991" s="88"/>
      <c r="AO991" s="88"/>
      <c r="AP991" s="88"/>
      <c r="AQ991" s="88"/>
      <c r="AR991" s="88"/>
    </row>
    <row r="992" spans="1:44" ht="12.75" customHeight="1">
      <c r="A992" s="87"/>
      <c r="B992" s="87"/>
      <c r="C992" s="88"/>
      <c r="D992" s="88"/>
      <c r="E992" s="88"/>
      <c r="F992" s="89"/>
      <c r="G992" s="89"/>
      <c r="H992" s="89"/>
      <c r="I992" s="89"/>
      <c r="J992" s="89"/>
      <c r="K992" s="88"/>
      <c r="L992" s="88"/>
      <c r="M992" s="88"/>
      <c r="N992" s="88"/>
      <c r="O992" s="90"/>
      <c r="P992" s="88"/>
      <c r="Q992" s="88"/>
      <c r="R992" s="92"/>
      <c r="S992" s="92"/>
      <c r="T992" s="92"/>
      <c r="U992" s="92"/>
      <c r="V992" s="92"/>
      <c r="W992" s="92"/>
      <c r="X992" s="92"/>
      <c r="Y992" s="92"/>
      <c r="Z992" s="92"/>
      <c r="AA992" s="92"/>
      <c r="AB992" s="92"/>
      <c r="AC992" s="92"/>
      <c r="AD992" s="92"/>
      <c r="AE992" s="92"/>
      <c r="AF992" s="92"/>
      <c r="AG992" s="92"/>
      <c r="AH992" s="92"/>
      <c r="AI992" s="92"/>
      <c r="AJ992" s="92"/>
      <c r="AK992" s="88"/>
      <c r="AL992" s="88"/>
      <c r="AM992" s="88"/>
      <c r="AN992" s="88"/>
      <c r="AO992" s="88"/>
      <c r="AP992" s="88"/>
      <c r="AQ992" s="88"/>
      <c r="AR992" s="88"/>
    </row>
    <row r="993" spans="1:44" ht="12.75" customHeight="1">
      <c r="A993" s="87"/>
      <c r="B993" s="87"/>
      <c r="C993" s="88"/>
      <c r="D993" s="88"/>
      <c r="E993" s="88"/>
      <c r="F993" s="89"/>
      <c r="G993" s="89"/>
      <c r="H993" s="89"/>
      <c r="I993" s="89"/>
      <c r="J993" s="89"/>
      <c r="K993" s="88"/>
      <c r="L993" s="88"/>
      <c r="M993" s="88"/>
      <c r="N993" s="88"/>
      <c r="O993" s="90"/>
      <c r="P993" s="88"/>
      <c r="Q993" s="88"/>
      <c r="R993" s="92"/>
      <c r="S993" s="92"/>
      <c r="T993" s="92"/>
      <c r="U993" s="92"/>
      <c r="V993" s="92"/>
      <c r="W993" s="92"/>
      <c r="X993" s="92"/>
      <c r="Y993" s="92"/>
      <c r="Z993" s="92"/>
      <c r="AA993" s="92"/>
      <c r="AB993" s="92"/>
      <c r="AC993" s="92"/>
      <c r="AD993" s="92"/>
      <c r="AE993" s="92"/>
      <c r="AF993" s="92"/>
      <c r="AG993" s="92"/>
      <c r="AH993" s="92"/>
      <c r="AI993" s="92"/>
      <c r="AJ993" s="92"/>
      <c r="AK993" s="88"/>
      <c r="AL993" s="88"/>
      <c r="AM993" s="88"/>
      <c r="AN993" s="88"/>
      <c r="AO993" s="88"/>
      <c r="AP993" s="88"/>
      <c r="AQ993" s="88"/>
      <c r="AR993" s="88"/>
    </row>
    <row r="994" spans="1:44" ht="12.75" customHeight="1">
      <c r="A994" s="87"/>
      <c r="B994" s="87"/>
      <c r="C994" s="88"/>
      <c r="D994" s="88"/>
      <c r="E994" s="88"/>
      <c r="F994" s="89"/>
      <c r="G994" s="89"/>
      <c r="H994" s="89"/>
      <c r="I994" s="89"/>
      <c r="J994" s="89"/>
      <c r="K994" s="88"/>
      <c r="L994" s="88"/>
      <c r="M994" s="88"/>
      <c r="N994" s="88"/>
      <c r="O994" s="90"/>
      <c r="P994" s="88"/>
      <c r="Q994" s="88"/>
      <c r="R994" s="92"/>
      <c r="S994" s="92"/>
      <c r="T994" s="92"/>
      <c r="U994" s="92"/>
      <c r="V994" s="92"/>
      <c r="W994" s="92"/>
      <c r="X994" s="92"/>
      <c r="Y994" s="92"/>
      <c r="Z994" s="92"/>
      <c r="AA994" s="92"/>
      <c r="AB994" s="92"/>
      <c r="AC994" s="92"/>
      <c r="AD994" s="92"/>
      <c r="AE994" s="92"/>
      <c r="AF994" s="92"/>
      <c r="AG994" s="92"/>
      <c r="AH994" s="92"/>
      <c r="AI994" s="92"/>
      <c r="AJ994" s="92"/>
      <c r="AK994" s="88"/>
      <c r="AL994" s="88"/>
      <c r="AM994" s="88"/>
      <c r="AN994" s="88"/>
      <c r="AO994" s="88"/>
      <c r="AP994" s="88"/>
      <c r="AQ994" s="88"/>
      <c r="AR994" s="88"/>
    </row>
    <row r="995" spans="1:44" ht="12.75" customHeight="1">
      <c r="A995" s="87"/>
      <c r="B995" s="87"/>
      <c r="C995" s="88"/>
      <c r="D995" s="88"/>
      <c r="E995" s="88"/>
      <c r="F995" s="89"/>
      <c r="G995" s="89"/>
      <c r="H995" s="89"/>
      <c r="I995" s="89"/>
      <c r="J995" s="89"/>
      <c r="K995" s="88"/>
      <c r="L995" s="88"/>
      <c r="M995" s="88"/>
      <c r="N995" s="88"/>
      <c r="O995" s="90"/>
      <c r="P995" s="88"/>
      <c r="Q995" s="88"/>
      <c r="R995" s="92"/>
      <c r="S995" s="92"/>
      <c r="T995" s="92"/>
      <c r="U995" s="92"/>
      <c r="V995" s="92"/>
      <c r="W995" s="92"/>
      <c r="X995" s="92"/>
      <c r="Y995" s="92"/>
      <c r="Z995" s="92"/>
      <c r="AA995" s="92"/>
      <c r="AB995" s="92"/>
      <c r="AC995" s="92"/>
      <c r="AD995" s="92"/>
      <c r="AE995" s="92"/>
      <c r="AF995" s="92"/>
      <c r="AG995" s="92"/>
      <c r="AH995" s="92"/>
      <c r="AI995" s="92"/>
      <c r="AJ995" s="92"/>
      <c r="AK995" s="88"/>
      <c r="AL995" s="88"/>
      <c r="AM995" s="88"/>
      <c r="AN995" s="88"/>
      <c r="AO995" s="88"/>
      <c r="AP995" s="88"/>
      <c r="AQ995" s="88"/>
      <c r="AR995" s="88"/>
    </row>
    <row r="996" spans="1:44" ht="12.75" customHeight="1">
      <c r="A996" s="87"/>
      <c r="B996" s="87"/>
      <c r="C996" s="88"/>
      <c r="D996" s="88"/>
      <c r="E996" s="88"/>
      <c r="F996" s="89"/>
      <c r="G996" s="89"/>
      <c r="H996" s="89"/>
      <c r="I996" s="89"/>
      <c r="J996" s="89"/>
      <c r="K996" s="88"/>
      <c r="L996" s="88"/>
      <c r="M996" s="88"/>
      <c r="N996" s="88"/>
      <c r="O996" s="90"/>
      <c r="P996" s="88"/>
      <c r="Q996" s="88"/>
      <c r="R996" s="92"/>
      <c r="S996" s="92"/>
      <c r="T996" s="92"/>
      <c r="U996" s="92"/>
      <c r="V996" s="92"/>
      <c r="W996" s="92"/>
      <c r="X996" s="92"/>
      <c r="Y996" s="92"/>
      <c r="Z996" s="92"/>
      <c r="AA996" s="92"/>
      <c r="AB996" s="92"/>
      <c r="AC996" s="92"/>
      <c r="AD996" s="92"/>
      <c r="AE996" s="92"/>
      <c r="AF996" s="92"/>
      <c r="AG996" s="92"/>
      <c r="AH996" s="92"/>
      <c r="AI996" s="92"/>
      <c r="AJ996" s="92"/>
      <c r="AK996" s="88"/>
      <c r="AL996" s="88"/>
      <c r="AM996" s="88"/>
      <c r="AN996" s="88"/>
      <c r="AO996" s="88"/>
      <c r="AP996" s="88"/>
      <c r="AQ996" s="88"/>
      <c r="AR996" s="88"/>
    </row>
    <row r="997" spans="1:44" ht="12.75" customHeight="1">
      <c r="A997" s="87"/>
      <c r="B997" s="87"/>
      <c r="C997" s="88"/>
      <c r="D997" s="88"/>
      <c r="E997" s="88"/>
      <c r="F997" s="89"/>
      <c r="G997" s="89"/>
      <c r="H997" s="89"/>
      <c r="I997" s="89"/>
      <c r="J997" s="89"/>
      <c r="K997" s="88"/>
      <c r="L997" s="88"/>
      <c r="M997" s="88"/>
      <c r="N997" s="88"/>
      <c r="O997" s="90"/>
      <c r="P997" s="88"/>
      <c r="Q997" s="88"/>
      <c r="R997" s="92"/>
      <c r="S997" s="92"/>
      <c r="T997" s="92"/>
      <c r="U997" s="92"/>
      <c r="V997" s="92"/>
      <c r="W997" s="92"/>
      <c r="X997" s="92"/>
      <c r="Y997" s="92"/>
      <c r="Z997" s="92"/>
      <c r="AA997" s="92"/>
      <c r="AB997" s="92"/>
      <c r="AC997" s="92"/>
      <c r="AD997" s="92"/>
      <c r="AE997" s="92"/>
      <c r="AF997" s="92"/>
      <c r="AG997" s="92"/>
      <c r="AH997" s="92"/>
      <c r="AI997" s="92"/>
      <c r="AJ997" s="92"/>
      <c r="AK997" s="88"/>
      <c r="AL997" s="88"/>
      <c r="AM997" s="88"/>
      <c r="AN997" s="88"/>
      <c r="AO997" s="88"/>
      <c r="AP997" s="88"/>
      <c r="AQ997" s="88"/>
      <c r="AR997" s="88"/>
    </row>
    <row r="998" spans="1:44" ht="12.75" customHeight="1">
      <c r="A998" s="87"/>
      <c r="B998" s="87"/>
      <c r="C998" s="88"/>
      <c r="D998" s="88"/>
      <c r="E998" s="88"/>
      <c r="F998" s="89"/>
      <c r="G998" s="89"/>
      <c r="H998" s="89"/>
      <c r="I998" s="89"/>
      <c r="J998" s="89"/>
      <c r="K998" s="88"/>
      <c r="L998" s="88"/>
      <c r="M998" s="88"/>
      <c r="N998" s="88"/>
      <c r="O998" s="90"/>
      <c r="P998" s="88"/>
      <c r="Q998" s="88"/>
      <c r="R998" s="92"/>
      <c r="S998" s="92"/>
      <c r="T998" s="92"/>
      <c r="U998" s="92"/>
      <c r="V998" s="92"/>
      <c r="W998" s="92"/>
      <c r="X998" s="92"/>
      <c r="Y998" s="92"/>
      <c r="Z998" s="92"/>
      <c r="AA998" s="92"/>
      <c r="AB998" s="92"/>
      <c r="AC998" s="92"/>
      <c r="AD998" s="92"/>
      <c r="AE998" s="92"/>
      <c r="AF998" s="92"/>
      <c r="AG998" s="92"/>
      <c r="AH998" s="92"/>
      <c r="AI998" s="92"/>
      <c r="AJ998" s="92"/>
      <c r="AK998" s="88"/>
      <c r="AL998" s="88"/>
      <c r="AM998" s="88"/>
      <c r="AN998" s="88"/>
      <c r="AO998" s="88"/>
      <c r="AP998" s="88"/>
      <c r="AQ998" s="88"/>
      <c r="AR998" s="88"/>
    </row>
    <row r="999" spans="1:44" ht="12.75" customHeight="1">
      <c r="A999" s="87"/>
      <c r="B999" s="87"/>
      <c r="C999" s="88"/>
      <c r="D999" s="88"/>
      <c r="E999" s="88"/>
      <c r="F999" s="89"/>
      <c r="G999" s="89"/>
      <c r="H999" s="89"/>
      <c r="I999" s="89"/>
      <c r="J999" s="89"/>
      <c r="K999" s="88"/>
      <c r="L999" s="88"/>
      <c r="M999" s="88"/>
      <c r="N999" s="88"/>
      <c r="O999" s="90"/>
      <c r="P999" s="88"/>
      <c r="Q999" s="88"/>
      <c r="R999" s="92"/>
      <c r="S999" s="92"/>
      <c r="T999" s="92"/>
      <c r="U999" s="92"/>
      <c r="V999" s="92"/>
      <c r="W999" s="92"/>
      <c r="X999" s="92"/>
      <c r="Y999" s="92"/>
      <c r="Z999" s="92"/>
      <c r="AA999" s="92"/>
      <c r="AB999" s="92"/>
      <c r="AC999" s="92"/>
      <c r="AD999" s="92"/>
      <c r="AE999" s="92"/>
      <c r="AF999" s="92"/>
      <c r="AG999" s="92"/>
      <c r="AH999" s="92"/>
      <c r="AI999" s="92"/>
      <c r="AJ999" s="92"/>
      <c r="AK999" s="88"/>
      <c r="AL999" s="88"/>
      <c r="AM999" s="88"/>
      <c r="AN999" s="88"/>
      <c r="AO999" s="88"/>
      <c r="AP999" s="88"/>
      <c r="AQ999" s="88"/>
      <c r="AR999" s="88"/>
    </row>
    <row r="1000" spans="1:44" ht="12.75" customHeight="1">
      <c r="A1000" s="87"/>
      <c r="B1000" s="87"/>
      <c r="C1000" s="88"/>
      <c r="D1000" s="88"/>
      <c r="E1000" s="88"/>
      <c r="F1000" s="89"/>
      <c r="G1000" s="89"/>
      <c r="H1000" s="89"/>
      <c r="I1000" s="89"/>
      <c r="J1000" s="89"/>
      <c r="K1000" s="88"/>
      <c r="L1000" s="88"/>
      <c r="M1000" s="88"/>
      <c r="N1000" s="88"/>
      <c r="O1000" s="90"/>
      <c r="P1000" s="88"/>
      <c r="Q1000" s="88"/>
      <c r="R1000" s="92"/>
      <c r="S1000" s="92"/>
      <c r="T1000" s="92"/>
      <c r="U1000" s="92"/>
      <c r="V1000" s="92"/>
      <c r="W1000" s="92"/>
      <c r="X1000" s="92"/>
      <c r="Y1000" s="92"/>
      <c r="Z1000" s="92"/>
      <c r="AA1000" s="92"/>
      <c r="AB1000" s="92"/>
      <c r="AC1000" s="92"/>
      <c r="AD1000" s="92"/>
      <c r="AE1000" s="92"/>
      <c r="AF1000" s="92"/>
      <c r="AG1000" s="92"/>
      <c r="AH1000" s="92"/>
      <c r="AI1000" s="92"/>
      <c r="AJ1000" s="92"/>
      <c r="AK1000" s="88"/>
      <c r="AL1000" s="88"/>
      <c r="AM1000" s="88"/>
      <c r="AN1000" s="88"/>
      <c r="AO1000" s="88"/>
      <c r="AP1000" s="88"/>
      <c r="AQ1000" s="88"/>
      <c r="AR1000" s="88"/>
    </row>
    <row r="1001" spans="1:44" ht="12.75" customHeight="1">
      <c r="A1001" s="87"/>
      <c r="B1001" s="87"/>
      <c r="C1001" s="88"/>
      <c r="D1001" s="88"/>
      <c r="E1001" s="88"/>
      <c r="F1001" s="89"/>
      <c r="G1001" s="89"/>
      <c r="H1001" s="89"/>
      <c r="I1001" s="89"/>
      <c r="J1001" s="89"/>
      <c r="K1001" s="88"/>
      <c r="L1001" s="88"/>
      <c r="M1001" s="88"/>
      <c r="N1001" s="88"/>
      <c r="O1001" s="90"/>
      <c r="P1001" s="88"/>
      <c r="Q1001" s="88"/>
      <c r="R1001" s="92"/>
      <c r="S1001" s="92"/>
      <c r="T1001" s="92"/>
      <c r="U1001" s="92"/>
      <c r="V1001" s="92"/>
      <c r="W1001" s="92"/>
      <c r="X1001" s="92"/>
      <c r="Y1001" s="92"/>
      <c r="Z1001" s="92"/>
      <c r="AA1001" s="92"/>
      <c r="AB1001" s="92"/>
      <c r="AC1001" s="92"/>
      <c r="AD1001" s="92"/>
      <c r="AE1001" s="92"/>
      <c r="AF1001" s="92"/>
      <c r="AG1001" s="92"/>
      <c r="AH1001" s="92"/>
      <c r="AI1001" s="92"/>
      <c r="AJ1001" s="92"/>
      <c r="AK1001" s="88"/>
      <c r="AL1001" s="88"/>
      <c r="AM1001" s="88"/>
      <c r="AN1001" s="88"/>
      <c r="AO1001" s="88"/>
      <c r="AP1001" s="88"/>
      <c r="AQ1001" s="88"/>
      <c r="AR1001" s="88"/>
    </row>
    <row r="1002" spans="1:44" ht="12.75" customHeight="1">
      <c r="A1002" s="87"/>
      <c r="B1002" s="87"/>
      <c r="C1002" s="88"/>
      <c r="D1002" s="88"/>
      <c r="E1002" s="88"/>
      <c r="F1002" s="89"/>
      <c r="G1002" s="89"/>
      <c r="H1002" s="89"/>
      <c r="I1002" s="89"/>
      <c r="J1002" s="89"/>
      <c r="K1002" s="88"/>
      <c r="L1002" s="88"/>
      <c r="M1002" s="88"/>
      <c r="N1002" s="88"/>
      <c r="O1002" s="90"/>
      <c r="P1002" s="88"/>
      <c r="Q1002" s="88"/>
      <c r="R1002" s="92"/>
      <c r="S1002" s="92"/>
      <c r="T1002" s="92"/>
      <c r="U1002" s="92"/>
      <c r="V1002" s="92"/>
      <c r="W1002" s="92"/>
      <c r="X1002" s="92"/>
      <c r="Y1002" s="92"/>
      <c r="Z1002" s="92"/>
      <c r="AA1002" s="92"/>
      <c r="AB1002" s="92"/>
      <c r="AC1002" s="92"/>
      <c r="AD1002" s="92"/>
      <c r="AE1002" s="92"/>
      <c r="AF1002" s="92"/>
      <c r="AG1002" s="92"/>
      <c r="AH1002" s="92"/>
      <c r="AI1002" s="92"/>
      <c r="AJ1002" s="92"/>
      <c r="AK1002" s="88"/>
      <c r="AL1002" s="88"/>
      <c r="AM1002" s="88"/>
      <c r="AN1002" s="88"/>
      <c r="AO1002" s="88"/>
      <c r="AP1002" s="88"/>
      <c r="AQ1002" s="88"/>
      <c r="AR1002" s="88"/>
    </row>
    <row r="1003" spans="1:44" ht="12.75" customHeight="1">
      <c r="A1003" s="87"/>
      <c r="B1003" s="87"/>
      <c r="C1003" s="88"/>
      <c r="D1003" s="88"/>
      <c r="E1003" s="88"/>
      <c r="F1003" s="89"/>
      <c r="G1003" s="89"/>
      <c r="H1003" s="89"/>
      <c r="I1003" s="89"/>
      <c r="J1003" s="89"/>
      <c r="K1003" s="88"/>
      <c r="L1003" s="88"/>
      <c r="M1003" s="88"/>
      <c r="N1003" s="88"/>
      <c r="O1003" s="90"/>
      <c r="P1003" s="88"/>
      <c r="Q1003" s="88"/>
      <c r="R1003" s="92"/>
      <c r="S1003" s="92"/>
      <c r="T1003" s="92"/>
      <c r="U1003" s="92"/>
      <c r="V1003" s="92"/>
      <c r="W1003" s="92"/>
      <c r="X1003" s="92"/>
      <c r="Y1003" s="92"/>
      <c r="Z1003" s="92"/>
      <c r="AA1003" s="92"/>
      <c r="AB1003" s="92"/>
      <c r="AC1003" s="92"/>
      <c r="AD1003" s="92"/>
      <c r="AE1003" s="92"/>
      <c r="AF1003" s="92"/>
      <c r="AG1003" s="92"/>
      <c r="AH1003" s="92"/>
      <c r="AI1003" s="92"/>
      <c r="AJ1003" s="92"/>
      <c r="AK1003" s="88"/>
      <c r="AL1003" s="88"/>
      <c r="AM1003" s="88"/>
      <c r="AN1003" s="88"/>
      <c r="AO1003" s="88"/>
      <c r="AP1003" s="88"/>
      <c r="AQ1003" s="88"/>
      <c r="AR1003" s="88"/>
    </row>
    <row r="1004" spans="1:44" ht="12.75" customHeight="1">
      <c r="A1004" s="87"/>
      <c r="B1004" s="87"/>
      <c r="C1004" s="88"/>
      <c r="D1004" s="88"/>
      <c r="E1004" s="88"/>
      <c r="F1004" s="89"/>
      <c r="G1004" s="89"/>
      <c r="H1004" s="89"/>
      <c r="I1004" s="89"/>
      <c r="J1004" s="89"/>
      <c r="K1004" s="88"/>
      <c r="L1004" s="88"/>
      <c r="M1004" s="88"/>
      <c r="N1004" s="88"/>
      <c r="O1004" s="90"/>
      <c r="P1004" s="88"/>
      <c r="Q1004" s="88"/>
      <c r="R1004" s="92"/>
      <c r="S1004" s="92"/>
      <c r="T1004" s="92"/>
      <c r="U1004" s="92"/>
      <c r="V1004" s="92"/>
      <c r="W1004" s="92"/>
      <c r="X1004" s="92"/>
      <c r="Y1004" s="92"/>
      <c r="Z1004" s="92"/>
      <c r="AA1004" s="92"/>
      <c r="AB1004" s="92"/>
      <c r="AC1004" s="92"/>
      <c r="AD1004" s="92"/>
      <c r="AE1004" s="92"/>
      <c r="AF1004" s="92"/>
      <c r="AG1004" s="92"/>
      <c r="AH1004" s="92"/>
      <c r="AI1004" s="92"/>
      <c r="AJ1004" s="92"/>
      <c r="AK1004" s="88"/>
      <c r="AL1004" s="88"/>
      <c r="AM1004" s="88"/>
      <c r="AN1004" s="88"/>
      <c r="AO1004" s="88"/>
      <c r="AP1004" s="88"/>
      <c r="AQ1004" s="88"/>
      <c r="AR1004" s="88"/>
    </row>
    <row r="1005" spans="1:44" ht="12.75" customHeight="1">
      <c r="A1005" s="87"/>
      <c r="B1005" s="87"/>
      <c r="C1005" s="88"/>
      <c r="D1005" s="88"/>
      <c r="E1005" s="88"/>
      <c r="F1005" s="89"/>
      <c r="G1005" s="89"/>
      <c r="H1005" s="89"/>
      <c r="I1005" s="89"/>
      <c r="J1005" s="89"/>
      <c r="K1005" s="88"/>
      <c r="L1005" s="88"/>
      <c r="M1005" s="88"/>
      <c r="N1005" s="88"/>
      <c r="O1005" s="90"/>
      <c r="P1005" s="88"/>
      <c r="Q1005" s="88"/>
      <c r="R1005" s="92"/>
      <c r="S1005" s="92"/>
      <c r="T1005" s="92"/>
      <c r="U1005" s="92"/>
      <c r="V1005" s="92"/>
      <c r="W1005" s="92"/>
      <c r="X1005" s="92"/>
      <c r="Y1005" s="92"/>
      <c r="Z1005" s="92"/>
      <c r="AA1005" s="92"/>
      <c r="AB1005" s="92"/>
      <c r="AC1005" s="92"/>
      <c r="AD1005" s="92"/>
      <c r="AE1005" s="92"/>
      <c r="AF1005" s="92"/>
      <c r="AG1005" s="92"/>
      <c r="AH1005" s="92"/>
      <c r="AI1005" s="92"/>
      <c r="AJ1005" s="92"/>
      <c r="AK1005" s="88"/>
      <c r="AL1005" s="88"/>
      <c r="AM1005" s="88"/>
      <c r="AN1005" s="88"/>
      <c r="AO1005" s="88"/>
      <c r="AP1005" s="88"/>
      <c r="AQ1005" s="88"/>
      <c r="AR1005" s="88"/>
    </row>
    <row r="1006" spans="1:44" ht="12.75" customHeight="1">
      <c r="A1006" s="87"/>
      <c r="B1006" s="87"/>
      <c r="C1006" s="88"/>
      <c r="D1006" s="88"/>
      <c r="E1006" s="88"/>
      <c r="F1006" s="89"/>
      <c r="G1006" s="89"/>
      <c r="H1006" s="89"/>
      <c r="I1006" s="89"/>
      <c r="J1006" s="89"/>
      <c r="K1006" s="88"/>
      <c r="L1006" s="88"/>
      <c r="M1006" s="88"/>
      <c r="N1006" s="88"/>
      <c r="O1006" s="90"/>
      <c r="P1006" s="88"/>
      <c r="Q1006" s="88"/>
      <c r="R1006" s="92"/>
      <c r="S1006" s="92"/>
      <c r="T1006" s="92"/>
      <c r="U1006" s="92"/>
      <c r="V1006" s="92"/>
      <c r="W1006" s="92"/>
      <c r="X1006" s="92"/>
      <c r="Y1006" s="92"/>
      <c r="Z1006" s="92"/>
      <c r="AA1006" s="92"/>
      <c r="AB1006" s="92"/>
      <c r="AC1006" s="92"/>
      <c r="AD1006" s="92"/>
      <c r="AE1006" s="92"/>
      <c r="AF1006" s="92"/>
      <c r="AG1006" s="92"/>
      <c r="AH1006" s="92"/>
      <c r="AI1006" s="92"/>
      <c r="AJ1006" s="92"/>
      <c r="AK1006" s="88"/>
      <c r="AL1006" s="88"/>
      <c r="AM1006" s="88"/>
      <c r="AN1006" s="88"/>
      <c r="AO1006" s="88"/>
      <c r="AP1006" s="88"/>
      <c r="AQ1006" s="88"/>
      <c r="AR1006" s="88"/>
    </row>
    <row r="1007" spans="1:44" ht="12.75" customHeight="1">
      <c r="A1007" s="87"/>
      <c r="B1007" s="87"/>
      <c r="C1007" s="88"/>
      <c r="D1007" s="88"/>
      <c r="E1007" s="88"/>
      <c r="F1007" s="89"/>
      <c r="G1007" s="89"/>
      <c r="H1007" s="89"/>
      <c r="I1007" s="89"/>
      <c r="J1007" s="89"/>
      <c r="K1007" s="88"/>
      <c r="L1007" s="88"/>
      <c r="M1007" s="88"/>
      <c r="N1007" s="88"/>
      <c r="O1007" s="90"/>
      <c r="P1007" s="88"/>
      <c r="Q1007" s="88"/>
      <c r="R1007" s="92"/>
      <c r="S1007" s="92"/>
      <c r="T1007" s="92"/>
      <c r="U1007" s="92"/>
      <c r="V1007" s="92"/>
      <c r="W1007" s="92"/>
      <c r="X1007" s="92"/>
      <c r="Y1007" s="92"/>
      <c r="Z1007" s="92"/>
      <c r="AA1007" s="92"/>
      <c r="AB1007" s="92"/>
      <c r="AC1007" s="92"/>
      <c r="AD1007" s="92"/>
      <c r="AE1007" s="92"/>
      <c r="AF1007" s="92"/>
      <c r="AG1007" s="92"/>
      <c r="AH1007" s="92"/>
      <c r="AI1007" s="92"/>
      <c r="AJ1007" s="92"/>
      <c r="AK1007" s="88"/>
      <c r="AL1007" s="88"/>
      <c r="AM1007" s="88"/>
      <c r="AN1007" s="88"/>
      <c r="AO1007" s="88"/>
      <c r="AP1007" s="88"/>
      <c r="AQ1007" s="88"/>
      <c r="AR1007" s="88"/>
    </row>
    <row r="1008" spans="1:44" ht="12.75" customHeight="1">
      <c r="A1008" s="87"/>
      <c r="B1008" s="87"/>
      <c r="C1008" s="88"/>
      <c r="D1008" s="88"/>
      <c r="E1008" s="88"/>
      <c r="F1008" s="89"/>
      <c r="G1008" s="89"/>
      <c r="H1008" s="89"/>
      <c r="I1008" s="89"/>
      <c r="J1008" s="89"/>
      <c r="K1008" s="88"/>
      <c r="L1008" s="88"/>
      <c r="M1008" s="88"/>
      <c r="N1008" s="88"/>
      <c r="O1008" s="90"/>
      <c r="P1008" s="88"/>
      <c r="Q1008" s="88"/>
      <c r="R1008" s="92"/>
      <c r="S1008" s="92"/>
      <c r="T1008" s="92"/>
      <c r="U1008" s="92"/>
      <c r="V1008" s="92"/>
      <c r="W1008" s="92"/>
      <c r="X1008" s="92"/>
      <c r="Y1008" s="92"/>
      <c r="Z1008" s="92"/>
      <c r="AA1008" s="92"/>
      <c r="AB1008" s="92"/>
      <c r="AC1008" s="92"/>
      <c r="AD1008" s="92"/>
      <c r="AE1008" s="92"/>
      <c r="AF1008" s="92"/>
      <c r="AG1008" s="92"/>
      <c r="AH1008" s="92"/>
      <c r="AI1008" s="92"/>
      <c r="AJ1008" s="92"/>
      <c r="AK1008" s="88"/>
      <c r="AL1008" s="88"/>
      <c r="AM1008" s="88"/>
      <c r="AN1008" s="88"/>
      <c r="AO1008" s="88"/>
      <c r="AP1008" s="88"/>
      <c r="AQ1008" s="88"/>
      <c r="AR1008" s="88"/>
    </row>
    <row r="1009" spans="1:44" ht="12.75" customHeight="1">
      <c r="A1009" s="87"/>
      <c r="B1009" s="87"/>
      <c r="C1009" s="88"/>
      <c r="D1009" s="88"/>
      <c r="E1009" s="88"/>
      <c r="F1009" s="89"/>
      <c r="G1009" s="89"/>
      <c r="H1009" s="89"/>
      <c r="I1009" s="89"/>
      <c r="J1009" s="89"/>
      <c r="K1009" s="88"/>
      <c r="L1009" s="88"/>
      <c r="M1009" s="88"/>
      <c r="N1009" s="88"/>
      <c r="O1009" s="90"/>
      <c r="P1009" s="88"/>
      <c r="Q1009" s="88"/>
      <c r="R1009" s="92"/>
      <c r="S1009" s="92"/>
      <c r="T1009" s="92"/>
      <c r="U1009" s="92"/>
      <c r="V1009" s="92"/>
      <c r="W1009" s="92"/>
      <c r="X1009" s="92"/>
      <c r="Y1009" s="92"/>
      <c r="Z1009" s="92"/>
      <c r="AA1009" s="92"/>
      <c r="AB1009" s="92"/>
      <c r="AC1009" s="92"/>
      <c r="AD1009" s="92"/>
      <c r="AE1009" s="92"/>
      <c r="AF1009" s="92"/>
      <c r="AG1009" s="92"/>
      <c r="AH1009" s="92"/>
      <c r="AI1009" s="92"/>
      <c r="AJ1009" s="92"/>
      <c r="AK1009" s="88"/>
      <c r="AL1009" s="88"/>
      <c r="AM1009" s="88"/>
      <c r="AN1009" s="88"/>
      <c r="AO1009" s="88"/>
      <c r="AP1009" s="88"/>
      <c r="AQ1009" s="88"/>
      <c r="AR1009" s="88"/>
    </row>
    <row r="1010" spans="1:44" ht="12.75" customHeight="1">
      <c r="A1010" s="87"/>
      <c r="B1010" s="87"/>
      <c r="C1010" s="88"/>
      <c r="D1010" s="88"/>
      <c r="E1010" s="88"/>
      <c r="F1010" s="89"/>
      <c r="G1010" s="89"/>
      <c r="H1010" s="89"/>
      <c r="I1010" s="89"/>
      <c r="J1010" s="89"/>
      <c r="K1010" s="88"/>
      <c r="L1010" s="88"/>
      <c r="M1010" s="88"/>
      <c r="N1010" s="88"/>
      <c r="O1010" s="90"/>
      <c r="P1010" s="88"/>
      <c r="Q1010" s="88"/>
      <c r="R1010" s="92"/>
      <c r="S1010" s="92"/>
      <c r="T1010" s="92"/>
      <c r="U1010" s="92"/>
      <c r="V1010" s="92"/>
      <c r="W1010" s="92"/>
      <c r="X1010" s="92"/>
      <c r="Y1010" s="92"/>
      <c r="Z1010" s="92"/>
      <c r="AA1010" s="92"/>
      <c r="AB1010" s="92"/>
      <c r="AC1010" s="92"/>
      <c r="AD1010" s="92"/>
      <c r="AE1010" s="92"/>
      <c r="AF1010" s="92"/>
      <c r="AG1010" s="92"/>
      <c r="AH1010" s="92"/>
      <c r="AI1010" s="92"/>
      <c r="AJ1010" s="92"/>
      <c r="AK1010" s="88"/>
      <c r="AL1010" s="88"/>
      <c r="AM1010" s="88"/>
      <c r="AN1010" s="88"/>
      <c r="AO1010" s="88"/>
      <c r="AP1010" s="88"/>
      <c r="AQ1010" s="88"/>
      <c r="AR1010" s="88"/>
    </row>
    <row r="1011" spans="1:44" ht="12.75" customHeight="1">
      <c r="A1011" s="87"/>
      <c r="B1011" s="87"/>
      <c r="C1011" s="88"/>
      <c r="D1011" s="88"/>
      <c r="E1011" s="88"/>
      <c r="F1011" s="89"/>
      <c r="G1011" s="89"/>
      <c r="H1011" s="89"/>
      <c r="I1011" s="89"/>
      <c r="J1011" s="89"/>
      <c r="K1011" s="88"/>
      <c r="L1011" s="88"/>
      <c r="M1011" s="88"/>
      <c r="N1011" s="88"/>
      <c r="O1011" s="90"/>
      <c r="P1011" s="88"/>
      <c r="Q1011" s="88"/>
      <c r="R1011" s="92"/>
      <c r="S1011" s="92"/>
      <c r="T1011" s="92"/>
      <c r="U1011" s="92"/>
      <c r="V1011" s="92"/>
      <c r="W1011" s="92"/>
      <c r="X1011" s="92"/>
      <c r="Y1011" s="92"/>
      <c r="Z1011" s="92"/>
      <c r="AA1011" s="92"/>
      <c r="AB1011" s="92"/>
      <c r="AC1011" s="92"/>
      <c r="AD1011" s="92"/>
      <c r="AE1011" s="92"/>
      <c r="AF1011" s="92"/>
      <c r="AG1011" s="92"/>
      <c r="AH1011" s="92"/>
      <c r="AI1011" s="92"/>
      <c r="AJ1011" s="92"/>
      <c r="AK1011" s="88"/>
      <c r="AL1011" s="88"/>
      <c r="AM1011" s="88"/>
      <c r="AN1011" s="88"/>
      <c r="AO1011" s="88"/>
      <c r="AP1011" s="88"/>
      <c r="AQ1011" s="88"/>
      <c r="AR1011" s="88"/>
    </row>
    <row r="1012" spans="1:44" ht="12.75" customHeight="1">
      <c r="A1012" s="87"/>
      <c r="B1012" s="87"/>
      <c r="C1012" s="88"/>
      <c r="D1012" s="88"/>
      <c r="E1012" s="88"/>
      <c r="F1012" s="89"/>
      <c r="G1012" s="89"/>
      <c r="H1012" s="89"/>
      <c r="I1012" s="89"/>
      <c r="J1012" s="89"/>
      <c r="K1012" s="88"/>
      <c r="L1012" s="88"/>
      <c r="M1012" s="88"/>
      <c r="N1012" s="88"/>
      <c r="O1012" s="90"/>
      <c r="P1012" s="88"/>
      <c r="Q1012" s="88"/>
      <c r="R1012" s="92"/>
      <c r="S1012" s="92"/>
      <c r="T1012" s="92"/>
      <c r="U1012" s="92"/>
      <c r="V1012" s="92"/>
      <c r="W1012" s="92"/>
      <c r="X1012" s="92"/>
      <c r="Y1012" s="92"/>
      <c r="Z1012" s="92"/>
      <c r="AA1012" s="92"/>
      <c r="AB1012" s="92"/>
      <c r="AC1012" s="92"/>
      <c r="AD1012" s="92"/>
      <c r="AE1012" s="92"/>
      <c r="AF1012" s="92"/>
      <c r="AG1012" s="92"/>
      <c r="AH1012" s="92"/>
      <c r="AI1012" s="92"/>
      <c r="AJ1012" s="92"/>
      <c r="AK1012" s="88"/>
      <c r="AL1012" s="88"/>
      <c r="AM1012" s="88"/>
      <c r="AN1012" s="88"/>
      <c r="AO1012" s="88"/>
      <c r="AP1012" s="88"/>
      <c r="AQ1012" s="88"/>
      <c r="AR1012" s="88"/>
    </row>
    <row r="1013" spans="1:44" ht="12.75" customHeight="1">
      <c r="A1013" s="87"/>
      <c r="B1013" s="87"/>
      <c r="C1013" s="88"/>
      <c r="D1013" s="88"/>
      <c r="E1013" s="88"/>
      <c r="F1013" s="89"/>
      <c r="G1013" s="89"/>
      <c r="H1013" s="89"/>
      <c r="I1013" s="89"/>
      <c r="J1013" s="89"/>
      <c r="K1013" s="88"/>
      <c r="L1013" s="88"/>
      <c r="M1013" s="88"/>
      <c r="N1013" s="88"/>
      <c r="O1013" s="90"/>
      <c r="P1013" s="88"/>
      <c r="Q1013" s="88"/>
      <c r="R1013" s="92"/>
      <c r="S1013" s="92"/>
      <c r="T1013" s="92"/>
      <c r="U1013" s="92"/>
      <c r="V1013" s="92"/>
      <c r="W1013" s="92"/>
      <c r="X1013" s="92"/>
      <c r="Y1013" s="92"/>
      <c r="Z1013" s="92"/>
      <c r="AA1013" s="92"/>
      <c r="AB1013" s="92"/>
      <c r="AC1013" s="92"/>
      <c r="AD1013" s="92"/>
      <c r="AE1013" s="92"/>
      <c r="AF1013" s="92"/>
      <c r="AG1013" s="92"/>
      <c r="AH1013" s="92"/>
      <c r="AI1013" s="92"/>
      <c r="AJ1013" s="92"/>
      <c r="AK1013" s="88"/>
      <c r="AL1013" s="88"/>
      <c r="AM1013" s="88"/>
      <c r="AN1013" s="88"/>
      <c r="AO1013" s="88"/>
      <c r="AP1013" s="88"/>
      <c r="AQ1013" s="88"/>
      <c r="AR1013" s="88"/>
    </row>
    <row r="1014" spans="1:44" ht="12.75" customHeight="1">
      <c r="A1014" s="87"/>
      <c r="B1014" s="87"/>
      <c r="C1014" s="88"/>
      <c r="D1014" s="88"/>
      <c r="E1014" s="88"/>
      <c r="F1014" s="89"/>
      <c r="G1014" s="89"/>
      <c r="H1014" s="89"/>
      <c r="I1014" s="89"/>
      <c r="J1014" s="89"/>
      <c r="K1014" s="88"/>
      <c r="L1014" s="88"/>
      <c r="M1014" s="88"/>
      <c r="N1014" s="88"/>
      <c r="O1014" s="90"/>
      <c r="P1014" s="88"/>
      <c r="Q1014" s="88"/>
      <c r="R1014" s="92"/>
      <c r="S1014" s="92"/>
      <c r="T1014" s="92"/>
      <c r="U1014" s="92"/>
      <c r="V1014" s="92"/>
      <c r="W1014" s="92"/>
      <c r="X1014" s="92"/>
      <c r="Y1014" s="92"/>
      <c r="Z1014" s="92"/>
      <c r="AA1014" s="92"/>
      <c r="AB1014" s="92"/>
      <c r="AC1014" s="92"/>
      <c r="AD1014" s="92"/>
      <c r="AE1014" s="92"/>
      <c r="AF1014" s="92"/>
      <c r="AG1014" s="92"/>
      <c r="AH1014" s="92"/>
      <c r="AI1014" s="92"/>
      <c r="AJ1014" s="92"/>
      <c r="AK1014" s="88"/>
      <c r="AL1014" s="88"/>
      <c r="AM1014" s="88"/>
      <c r="AN1014" s="88"/>
      <c r="AO1014" s="88"/>
      <c r="AP1014" s="88"/>
      <c r="AQ1014" s="88"/>
      <c r="AR1014" s="88"/>
    </row>
    <row r="1015" spans="1:44" ht="12.75" customHeight="1">
      <c r="A1015" s="87"/>
      <c r="B1015" s="87"/>
      <c r="C1015" s="88"/>
      <c r="D1015" s="88"/>
      <c r="E1015" s="88"/>
      <c r="F1015" s="89"/>
      <c r="G1015" s="89"/>
      <c r="H1015" s="89"/>
      <c r="I1015" s="89"/>
      <c r="J1015" s="89"/>
      <c r="K1015" s="88"/>
      <c r="L1015" s="88"/>
      <c r="M1015" s="88"/>
      <c r="N1015" s="88"/>
      <c r="O1015" s="90"/>
      <c r="P1015" s="88"/>
      <c r="Q1015" s="88"/>
      <c r="R1015" s="92"/>
      <c r="S1015" s="92"/>
      <c r="T1015" s="92"/>
      <c r="U1015" s="92"/>
      <c r="V1015" s="92"/>
      <c r="W1015" s="92"/>
      <c r="X1015" s="92"/>
      <c r="Y1015" s="92"/>
      <c r="Z1015" s="92"/>
      <c r="AA1015" s="92"/>
      <c r="AB1015" s="92"/>
      <c r="AC1015" s="92"/>
      <c r="AD1015" s="92"/>
      <c r="AE1015" s="92"/>
      <c r="AF1015" s="92"/>
      <c r="AG1015" s="92"/>
      <c r="AH1015" s="92"/>
      <c r="AI1015" s="92"/>
      <c r="AJ1015" s="92"/>
      <c r="AK1015" s="88"/>
      <c r="AL1015" s="88"/>
      <c r="AM1015" s="88"/>
      <c r="AN1015" s="88"/>
      <c r="AO1015" s="88"/>
      <c r="AP1015" s="88"/>
      <c r="AQ1015" s="88"/>
      <c r="AR1015" s="88"/>
    </row>
    <row r="1016" spans="1:44" ht="12.75" customHeight="1">
      <c r="A1016" s="87"/>
      <c r="B1016" s="87"/>
      <c r="C1016" s="88"/>
      <c r="D1016" s="88"/>
      <c r="E1016" s="88"/>
      <c r="F1016" s="89"/>
      <c r="G1016" s="89"/>
      <c r="H1016" s="89"/>
      <c r="I1016" s="89"/>
      <c r="J1016" s="89"/>
      <c r="K1016" s="88"/>
      <c r="L1016" s="88"/>
      <c r="M1016" s="88"/>
      <c r="N1016" s="88"/>
      <c r="O1016" s="90"/>
      <c r="P1016" s="88"/>
      <c r="Q1016" s="88"/>
      <c r="R1016" s="92"/>
      <c r="S1016" s="92"/>
      <c r="T1016" s="92"/>
      <c r="U1016" s="92"/>
      <c r="V1016" s="92"/>
      <c r="W1016" s="92"/>
      <c r="X1016" s="92"/>
      <c r="Y1016" s="92"/>
      <c r="Z1016" s="92"/>
      <c r="AA1016" s="92"/>
      <c r="AB1016" s="92"/>
      <c r="AC1016" s="92"/>
      <c r="AD1016" s="92"/>
      <c r="AE1016" s="92"/>
      <c r="AF1016" s="92"/>
      <c r="AG1016" s="92"/>
      <c r="AH1016" s="92"/>
      <c r="AI1016" s="92"/>
      <c r="AJ1016" s="92"/>
      <c r="AK1016" s="88"/>
      <c r="AL1016" s="88"/>
      <c r="AM1016" s="88"/>
      <c r="AN1016" s="88"/>
      <c r="AO1016" s="88"/>
      <c r="AP1016" s="88"/>
      <c r="AQ1016" s="88"/>
      <c r="AR1016" s="88"/>
    </row>
    <row r="1017" spans="1:44" ht="12.75" customHeight="1">
      <c r="A1017" s="87"/>
      <c r="B1017" s="87"/>
      <c r="C1017" s="88"/>
      <c r="D1017" s="88"/>
      <c r="E1017" s="88"/>
      <c r="F1017" s="89"/>
      <c r="G1017" s="89"/>
      <c r="H1017" s="89"/>
      <c r="I1017" s="89"/>
      <c r="J1017" s="89"/>
      <c r="K1017" s="88"/>
      <c r="L1017" s="88"/>
      <c r="M1017" s="88"/>
      <c r="N1017" s="88"/>
      <c r="O1017" s="90"/>
      <c r="P1017" s="88"/>
      <c r="Q1017" s="88"/>
      <c r="R1017" s="92"/>
      <c r="S1017" s="92"/>
      <c r="T1017" s="92"/>
      <c r="U1017" s="92"/>
      <c r="V1017" s="92"/>
      <c r="W1017" s="92"/>
      <c r="X1017" s="92"/>
      <c r="Y1017" s="92"/>
      <c r="Z1017" s="92"/>
      <c r="AA1017" s="92"/>
      <c r="AB1017" s="92"/>
      <c r="AC1017" s="92"/>
      <c r="AD1017" s="92"/>
      <c r="AE1017" s="92"/>
      <c r="AF1017" s="92"/>
      <c r="AG1017" s="92"/>
      <c r="AH1017" s="92"/>
      <c r="AI1017" s="92"/>
      <c r="AJ1017" s="92"/>
      <c r="AK1017" s="88"/>
      <c r="AL1017" s="88"/>
      <c r="AM1017" s="88"/>
      <c r="AN1017" s="88"/>
      <c r="AO1017" s="88"/>
      <c r="AP1017" s="88"/>
      <c r="AQ1017" s="88"/>
      <c r="AR1017" s="88"/>
    </row>
    <row r="1018" spans="1:44" ht="12.75" customHeight="1">
      <c r="A1018" s="87"/>
      <c r="B1018" s="87"/>
      <c r="C1018" s="88"/>
      <c r="D1018" s="88"/>
      <c r="E1018" s="88"/>
      <c r="F1018" s="89"/>
      <c r="G1018" s="89"/>
      <c r="H1018" s="89"/>
      <c r="I1018" s="89"/>
      <c r="J1018" s="89"/>
      <c r="K1018" s="88"/>
      <c r="L1018" s="88"/>
      <c r="M1018" s="88"/>
      <c r="N1018" s="88"/>
      <c r="O1018" s="90"/>
      <c r="P1018" s="88"/>
      <c r="Q1018" s="88"/>
      <c r="R1018" s="92"/>
      <c r="S1018" s="92"/>
      <c r="T1018" s="92"/>
      <c r="U1018" s="92"/>
      <c r="V1018" s="92"/>
      <c r="W1018" s="92"/>
      <c r="X1018" s="92"/>
      <c r="Y1018" s="92"/>
      <c r="Z1018" s="92"/>
      <c r="AA1018" s="92"/>
      <c r="AB1018" s="92"/>
      <c r="AC1018" s="92"/>
      <c r="AD1018" s="92"/>
      <c r="AE1018" s="92"/>
      <c r="AF1018" s="92"/>
      <c r="AG1018" s="92"/>
      <c r="AH1018" s="92"/>
      <c r="AI1018" s="92"/>
      <c r="AJ1018" s="92"/>
      <c r="AK1018" s="88"/>
      <c r="AL1018" s="88"/>
      <c r="AM1018" s="88"/>
      <c r="AN1018" s="88"/>
      <c r="AO1018" s="88"/>
      <c r="AP1018" s="88"/>
      <c r="AQ1018" s="88"/>
      <c r="AR1018" s="88"/>
    </row>
    <row r="1019" spans="1:44" ht="12.75" customHeight="1">
      <c r="A1019" s="87"/>
      <c r="B1019" s="87"/>
      <c r="C1019" s="88"/>
      <c r="D1019" s="88"/>
      <c r="E1019" s="88"/>
      <c r="F1019" s="89"/>
      <c r="G1019" s="89"/>
      <c r="H1019" s="89"/>
      <c r="I1019" s="89"/>
      <c r="J1019" s="89"/>
      <c r="K1019" s="88"/>
      <c r="L1019" s="88"/>
      <c r="M1019" s="88"/>
      <c r="N1019" s="88"/>
      <c r="O1019" s="90"/>
      <c r="P1019" s="88"/>
      <c r="Q1019" s="88"/>
      <c r="R1019" s="92"/>
      <c r="S1019" s="92"/>
      <c r="T1019" s="92"/>
      <c r="U1019" s="92"/>
      <c r="V1019" s="92"/>
      <c r="W1019" s="92"/>
      <c r="X1019" s="92"/>
      <c r="Y1019" s="92"/>
      <c r="Z1019" s="92"/>
      <c r="AA1019" s="92"/>
      <c r="AB1019" s="92"/>
      <c r="AC1019" s="92"/>
      <c r="AD1019" s="92"/>
      <c r="AE1019" s="92"/>
      <c r="AF1019" s="92"/>
      <c r="AG1019" s="92"/>
      <c r="AH1019" s="92"/>
      <c r="AI1019" s="92"/>
      <c r="AJ1019" s="92"/>
      <c r="AK1019" s="88"/>
      <c r="AL1019" s="88"/>
      <c r="AM1019" s="88"/>
      <c r="AN1019" s="88"/>
      <c r="AO1019" s="88"/>
      <c r="AP1019" s="88"/>
      <c r="AQ1019" s="88"/>
      <c r="AR1019" s="88"/>
    </row>
    <row r="1020" spans="1:44" ht="12.75" customHeight="1">
      <c r="A1020" s="87"/>
      <c r="B1020" s="87"/>
      <c r="C1020" s="88"/>
      <c r="D1020" s="88"/>
      <c r="E1020" s="88"/>
      <c r="F1020" s="89"/>
      <c r="G1020" s="89"/>
      <c r="H1020" s="89"/>
      <c r="I1020" s="89"/>
      <c r="J1020" s="89"/>
      <c r="K1020" s="88"/>
      <c r="L1020" s="88"/>
      <c r="M1020" s="88"/>
      <c r="N1020" s="88"/>
      <c r="O1020" s="90"/>
      <c r="P1020" s="88"/>
      <c r="Q1020" s="88"/>
      <c r="R1020" s="92"/>
      <c r="S1020" s="92"/>
      <c r="T1020" s="92"/>
      <c r="U1020" s="92"/>
      <c r="V1020" s="92"/>
      <c r="W1020" s="92"/>
      <c r="X1020" s="92"/>
      <c r="Y1020" s="92"/>
      <c r="Z1020" s="92"/>
      <c r="AA1020" s="92"/>
      <c r="AB1020" s="92"/>
      <c r="AC1020" s="92"/>
      <c r="AD1020" s="92"/>
      <c r="AE1020" s="92"/>
      <c r="AF1020" s="92"/>
      <c r="AG1020" s="92"/>
      <c r="AH1020" s="92"/>
      <c r="AI1020" s="92"/>
      <c r="AJ1020" s="92"/>
      <c r="AK1020" s="88"/>
      <c r="AL1020" s="88"/>
      <c r="AM1020" s="88"/>
      <c r="AN1020" s="88"/>
      <c r="AO1020" s="88"/>
      <c r="AP1020" s="88"/>
      <c r="AQ1020" s="88"/>
      <c r="AR1020" s="88"/>
    </row>
    <row r="1021" spans="1:44" ht="12.75" customHeight="1">
      <c r="A1021" s="87"/>
      <c r="B1021" s="87"/>
      <c r="C1021" s="88"/>
      <c r="D1021" s="88"/>
      <c r="E1021" s="88"/>
      <c r="F1021" s="89"/>
      <c r="G1021" s="89"/>
      <c r="H1021" s="89"/>
      <c r="I1021" s="89"/>
      <c r="J1021" s="89"/>
      <c r="K1021" s="88"/>
      <c r="L1021" s="88"/>
      <c r="M1021" s="88"/>
      <c r="N1021" s="88"/>
      <c r="O1021" s="90"/>
      <c r="P1021" s="88"/>
      <c r="Q1021" s="88"/>
      <c r="R1021" s="92"/>
      <c r="S1021" s="92"/>
      <c r="T1021" s="92"/>
      <c r="U1021" s="92"/>
      <c r="V1021" s="92"/>
      <c r="W1021" s="92"/>
      <c r="X1021" s="92"/>
      <c r="Y1021" s="92"/>
      <c r="Z1021" s="92"/>
      <c r="AA1021" s="92"/>
      <c r="AB1021" s="92"/>
      <c r="AC1021" s="92"/>
      <c r="AD1021" s="92"/>
      <c r="AE1021" s="92"/>
      <c r="AF1021" s="92"/>
      <c r="AG1021" s="92"/>
      <c r="AH1021" s="92"/>
      <c r="AI1021" s="92"/>
      <c r="AJ1021" s="92"/>
      <c r="AK1021" s="88"/>
      <c r="AL1021" s="88"/>
      <c r="AM1021" s="88"/>
      <c r="AN1021" s="88"/>
      <c r="AO1021" s="88"/>
      <c r="AP1021" s="88"/>
      <c r="AQ1021" s="88"/>
      <c r="AR1021" s="88"/>
    </row>
    <row r="1022" spans="1:44" ht="12.75" customHeight="1">
      <c r="A1022" s="87"/>
      <c r="B1022" s="87"/>
      <c r="C1022" s="88"/>
      <c r="D1022" s="88"/>
      <c r="E1022" s="88"/>
      <c r="F1022" s="89"/>
      <c r="G1022" s="89"/>
      <c r="H1022" s="89"/>
      <c r="I1022" s="89"/>
      <c r="J1022" s="89"/>
      <c r="K1022" s="88"/>
      <c r="L1022" s="88"/>
      <c r="M1022" s="88"/>
      <c r="N1022" s="88"/>
      <c r="O1022" s="90"/>
      <c r="P1022" s="88"/>
      <c r="Q1022" s="88"/>
      <c r="R1022" s="92"/>
      <c r="S1022" s="92"/>
      <c r="T1022" s="92"/>
      <c r="U1022" s="92"/>
      <c r="V1022" s="92"/>
      <c r="W1022" s="92"/>
      <c r="X1022" s="92"/>
      <c r="Y1022" s="92"/>
      <c r="Z1022" s="92"/>
      <c r="AA1022" s="92"/>
      <c r="AB1022" s="92"/>
      <c r="AC1022" s="92"/>
      <c r="AD1022" s="92"/>
      <c r="AE1022" s="92"/>
      <c r="AF1022" s="92"/>
      <c r="AG1022" s="92"/>
      <c r="AH1022" s="92"/>
      <c r="AI1022" s="92"/>
      <c r="AJ1022" s="92"/>
      <c r="AK1022" s="88"/>
      <c r="AL1022" s="88"/>
      <c r="AM1022" s="88"/>
      <c r="AN1022" s="88"/>
      <c r="AO1022" s="88"/>
      <c r="AP1022" s="88"/>
      <c r="AQ1022" s="88"/>
      <c r="AR1022" s="88"/>
    </row>
    <row r="1023" spans="1:44" ht="12.75" customHeight="1">
      <c r="A1023" s="87"/>
      <c r="B1023" s="87"/>
      <c r="C1023" s="88"/>
      <c r="D1023" s="88"/>
      <c r="E1023" s="88"/>
      <c r="F1023" s="89"/>
      <c r="G1023" s="89"/>
      <c r="H1023" s="89"/>
      <c r="I1023" s="89"/>
      <c r="J1023" s="89"/>
      <c r="K1023" s="88"/>
      <c r="L1023" s="88"/>
      <c r="M1023" s="88"/>
      <c r="N1023" s="88"/>
      <c r="O1023" s="90"/>
      <c r="P1023" s="88"/>
      <c r="Q1023" s="88"/>
      <c r="R1023" s="92"/>
      <c r="S1023" s="92"/>
      <c r="T1023" s="92"/>
      <c r="U1023" s="92"/>
      <c r="V1023" s="92"/>
      <c r="W1023" s="92"/>
      <c r="X1023" s="92"/>
      <c r="Y1023" s="92"/>
      <c r="Z1023" s="92"/>
      <c r="AA1023" s="92"/>
      <c r="AB1023" s="92"/>
      <c r="AC1023" s="92"/>
      <c r="AD1023" s="92"/>
      <c r="AE1023" s="92"/>
      <c r="AF1023" s="92"/>
      <c r="AG1023" s="92"/>
      <c r="AH1023" s="92"/>
      <c r="AI1023" s="92"/>
      <c r="AJ1023" s="92"/>
      <c r="AK1023" s="88"/>
      <c r="AL1023" s="88"/>
      <c r="AM1023" s="88"/>
      <c r="AN1023" s="88"/>
      <c r="AO1023" s="88"/>
      <c r="AP1023" s="88"/>
      <c r="AQ1023" s="88"/>
      <c r="AR1023" s="88"/>
    </row>
    <row r="1024" spans="1:44" ht="12.75" customHeight="1">
      <c r="A1024" s="87"/>
      <c r="B1024" s="87"/>
      <c r="C1024" s="88"/>
      <c r="D1024" s="88"/>
      <c r="E1024" s="88"/>
      <c r="F1024" s="89"/>
      <c r="G1024" s="89"/>
      <c r="H1024" s="89"/>
      <c r="I1024" s="89"/>
      <c r="J1024" s="89"/>
      <c r="K1024" s="88"/>
      <c r="L1024" s="88"/>
      <c r="M1024" s="88"/>
      <c r="N1024" s="88"/>
      <c r="O1024" s="90"/>
      <c r="P1024" s="88"/>
      <c r="Q1024" s="88"/>
      <c r="R1024" s="92"/>
      <c r="S1024" s="92"/>
      <c r="T1024" s="92"/>
      <c r="U1024" s="92"/>
      <c r="V1024" s="92"/>
      <c r="W1024" s="92"/>
      <c r="X1024" s="92"/>
      <c r="Y1024" s="92"/>
      <c r="Z1024" s="92"/>
      <c r="AA1024" s="92"/>
      <c r="AB1024" s="92"/>
      <c r="AC1024" s="92"/>
      <c r="AD1024" s="92"/>
      <c r="AE1024" s="92"/>
      <c r="AF1024" s="92"/>
      <c r="AG1024" s="92"/>
      <c r="AH1024" s="92"/>
      <c r="AI1024" s="92"/>
      <c r="AJ1024" s="92"/>
      <c r="AK1024" s="88"/>
      <c r="AL1024" s="88"/>
      <c r="AM1024" s="88"/>
      <c r="AN1024" s="88"/>
      <c r="AO1024" s="88"/>
      <c r="AP1024" s="88"/>
      <c r="AQ1024" s="88"/>
      <c r="AR1024" s="88"/>
    </row>
    <row r="1025" spans="1:44" ht="12.75" customHeight="1">
      <c r="A1025" s="87"/>
      <c r="B1025" s="87"/>
      <c r="C1025" s="88"/>
      <c r="D1025" s="88"/>
      <c r="E1025" s="88"/>
      <c r="F1025" s="89"/>
      <c r="G1025" s="89"/>
      <c r="H1025" s="89"/>
      <c r="I1025" s="89"/>
      <c r="J1025" s="89"/>
      <c r="K1025" s="88"/>
      <c r="L1025" s="88"/>
      <c r="M1025" s="88"/>
      <c r="N1025" s="88"/>
      <c r="O1025" s="90"/>
      <c r="P1025" s="88"/>
      <c r="Q1025" s="88"/>
      <c r="R1025" s="92"/>
      <c r="S1025" s="92"/>
      <c r="T1025" s="92"/>
      <c r="U1025" s="92"/>
      <c r="V1025" s="92"/>
      <c r="W1025" s="92"/>
      <c r="X1025" s="92"/>
      <c r="Y1025" s="92"/>
      <c r="Z1025" s="92"/>
      <c r="AA1025" s="92"/>
      <c r="AB1025" s="92"/>
      <c r="AC1025" s="92"/>
      <c r="AD1025" s="92"/>
      <c r="AE1025" s="92"/>
      <c r="AF1025" s="92"/>
      <c r="AG1025" s="92"/>
      <c r="AH1025" s="92"/>
      <c r="AI1025" s="92"/>
      <c r="AJ1025" s="92"/>
      <c r="AK1025" s="88"/>
      <c r="AL1025" s="88"/>
      <c r="AM1025" s="88"/>
      <c r="AN1025" s="88"/>
      <c r="AO1025" s="88"/>
      <c r="AP1025" s="88"/>
      <c r="AQ1025" s="88"/>
      <c r="AR1025" s="88"/>
    </row>
    <row r="1026" spans="1:44" ht="12.75" customHeight="1">
      <c r="A1026" s="87"/>
      <c r="B1026" s="87"/>
      <c r="C1026" s="88"/>
      <c r="D1026" s="88"/>
      <c r="E1026" s="88"/>
      <c r="F1026" s="89"/>
      <c r="G1026" s="89"/>
      <c r="H1026" s="89"/>
      <c r="I1026" s="89"/>
      <c r="J1026" s="89"/>
      <c r="K1026" s="88"/>
      <c r="L1026" s="88"/>
      <c r="M1026" s="88"/>
      <c r="N1026" s="88"/>
      <c r="O1026" s="90"/>
      <c r="P1026" s="88"/>
      <c r="Q1026" s="88"/>
      <c r="R1026" s="92"/>
      <c r="S1026" s="92"/>
      <c r="T1026" s="92"/>
      <c r="U1026" s="92"/>
      <c r="V1026" s="92"/>
      <c r="W1026" s="92"/>
      <c r="X1026" s="92"/>
      <c r="Y1026" s="92"/>
      <c r="Z1026" s="92"/>
      <c r="AA1026" s="92"/>
      <c r="AB1026" s="92"/>
      <c r="AC1026" s="92"/>
      <c r="AD1026" s="92"/>
      <c r="AE1026" s="92"/>
      <c r="AF1026" s="92"/>
      <c r="AG1026" s="92"/>
      <c r="AH1026" s="92"/>
      <c r="AI1026" s="92"/>
      <c r="AJ1026" s="92"/>
      <c r="AK1026" s="88"/>
      <c r="AL1026" s="88"/>
      <c r="AM1026" s="88"/>
      <c r="AN1026" s="88"/>
      <c r="AO1026" s="88"/>
      <c r="AP1026" s="88"/>
      <c r="AQ1026" s="88"/>
      <c r="AR1026" s="88"/>
    </row>
    <row r="1027" spans="1:44" ht="12.75" customHeight="1">
      <c r="A1027" s="87"/>
      <c r="B1027" s="87"/>
      <c r="C1027" s="88"/>
      <c r="D1027" s="88"/>
      <c r="E1027" s="88"/>
      <c r="F1027" s="89"/>
      <c r="G1027" s="89"/>
      <c r="H1027" s="89"/>
      <c r="I1027" s="89"/>
      <c r="J1027" s="89"/>
      <c r="K1027" s="88"/>
      <c r="L1027" s="88"/>
      <c r="M1027" s="88"/>
      <c r="N1027" s="88"/>
      <c r="O1027" s="90"/>
      <c r="P1027" s="88"/>
      <c r="Q1027" s="88"/>
      <c r="R1027" s="92"/>
      <c r="S1027" s="92"/>
      <c r="T1027" s="92"/>
      <c r="U1027" s="92"/>
      <c r="V1027" s="92"/>
      <c r="W1027" s="92"/>
      <c r="X1027" s="92"/>
      <c r="Y1027" s="92"/>
      <c r="Z1027" s="92"/>
      <c r="AA1027" s="92"/>
      <c r="AB1027" s="92"/>
      <c r="AC1027" s="92"/>
      <c r="AD1027" s="92"/>
      <c r="AE1027" s="92"/>
      <c r="AF1027" s="92"/>
      <c r="AG1027" s="92"/>
      <c r="AH1027" s="92"/>
      <c r="AI1027" s="92"/>
      <c r="AJ1027" s="92"/>
      <c r="AK1027" s="88"/>
      <c r="AL1027" s="88"/>
      <c r="AM1027" s="88"/>
      <c r="AN1027" s="88"/>
      <c r="AO1027" s="88"/>
      <c r="AP1027" s="88"/>
      <c r="AQ1027" s="88"/>
      <c r="AR1027" s="88"/>
    </row>
    <row r="1028" spans="1:44" ht="12.75" customHeight="1">
      <c r="A1028" s="87"/>
      <c r="B1028" s="87"/>
      <c r="C1028" s="88"/>
      <c r="D1028" s="88"/>
      <c r="E1028" s="88"/>
      <c r="F1028" s="89"/>
      <c r="G1028" s="89"/>
      <c r="H1028" s="89"/>
      <c r="I1028" s="89"/>
      <c r="J1028" s="89"/>
      <c r="K1028" s="88"/>
      <c r="L1028" s="88"/>
      <c r="M1028" s="88"/>
      <c r="N1028" s="88"/>
      <c r="O1028" s="90"/>
      <c r="P1028" s="88"/>
      <c r="Q1028" s="88"/>
      <c r="R1028" s="92"/>
      <c r="S1028" s="92"/>
      <c r="T1028" s="92"/>
      <c r="U1028" s="92"/>
      <c r="V1028" s="92"/>
      <c r="W1028" s="92"/>
      <c r="X1028" s="92"/>
      <c r="Y1028" s="92"/>
      <c r="Z1028" s="92"/>
      <c r="AA1028" s="92"/>
      <c r="AB1028" s="92"/>
      <c r="AC1028" s="92"/>
      <c r="AD1028" s="92"/>
      <c r="AE1028" s="92"/>
      <c r="AF1028" s="92"/>
      <c r="AG1028" s="92"/>
      <c r="AH1028" s="92"/>
      <c r="AI1028" s="92"/>
      <c r="AJ1028" s="92"/>
      <c r="AK1028" s="88"/>
      <c r="AL1028" s="88"/>
      <c r="AM1028" s="88"/>
      <c r="AN1028" s="88"/>
      <c r="AO1028" s="88"/>
      <c r="AP1028" s="88"/>
      <c r="AQ1028" s="88"/>
      <c r="AR1028" s="88"/>
    </row>
    <row r="1029" spans="1:44" ht="12.75" customHeight="1">
      <c r="A1029" s="87"/>
      <c r="B1029" s="87"/>
      <c r="C1029" s="88"/>
      <c r="D1029" s="88"/>
      <c r="E1029" s="88"/>
      <c r="F1029" s="89"/>
      <c r="G1029" s="89"/>
      <c r="H1029" s="89"/>
      <c r="I1029" s="89"/>
      <c r="J1029" s="89"/>
      <c r="K1029" s="88"/>
      <c r="L1029" s="88"/>
      <c r="M1029" s="88"/>
      <c r="N1029" s="88"/>
      <c r="O1029" s="90"/>
      <c r="P1029" s="88"/>
      <c r="Q1029" s="88"/>
      <c r="R1029" s="92"/>
      <c r="S1029" s="92"/>
      <c r="T1029" s="92"/>
      <c r="U1029" s="92"/>
      <c r="V1029" s="92"/>
      <c r="W1029" s="92"/>
      <c r="X1029" s="92"/>
      <c r="Y1029" s="92"/>
      <c r="Z1029" s="92"/>
      <c r="AA1029" s="92"/>
      <c r="AB1029" s="92"/>
      <c r="AC1029" s="92"/>
      <c r="AD1029" s="92"/>
      <c r="AE1029" s="92"/>
      <c r="AF1029" s="92"/>
      <c r="AG1029" s="92"/>
      <c r="AH1029" s="92"/>
      <c r="AI1029" s="92"/>
      <c r="AJ1029" s="92"/>
      <c r="AK1029" s="88"/>
      <c r="AL1029" s="88"/>
      <c r="AM1029" s="88"/>
      <c r="AN1029" s="88"/>
      <c r="AO1029" s="88"/>
      <c r="AP1029" s="88"/>
      <c r="AQ1029" s="88"/>
      <c r="AR1029" s="88"/>
    </row>
    <row r="1030" spans="1:44" ht="12.75" customHeight="1">
      <c r="A1030" s="87"/>
      <c r="B1030" s="87"/>
      <c r="C1030" s="88"/>
      <c r="D1030" s="88"/>
      <c r="E1030" s="88"/>
      <c r="F1030" s="89"/>
      <c r="G1030" s="89"/>
      <c r="H1030" s="89"/>
      <c r="I1030" s="89"/>
      <c r="J1030" s="89"/>
      <c r="K1030" s="88"/>
      <c r="L1030" s="88"/>
      <c r="M1030" s="88"/>
      <c r="N1030" s="88"/>
      <c r="O1030" s="90"/>
      <c r="P1030" s="88"/>
      <c r="Q1030" s="88"/>
      <c r="R1030" s="92"/>
      <c r="S1030" s="92"/>
      <c r="T1030" s="92"/>
      <c r="U1030" s="92"/>
      <c r="V1030" s="92"/>
      <c r="W1030" s="92"/>
      <c r="X1030" s="92"/>
      <c r="Y1030" s="92"/>
      <c r="Z1030" s="92"/>
      <c r="AA1030" s="92"/>
      <c r="AB1030" s="92"/>
      <c r="AC1030" s="92"/>
      <c r="AD1030" s="92"/>
      <c r="AE1030" s="92"/>
      <c r="AF1030" s="92"/>
      <c r="AG1030" s="92"/>
      <c r="AH1030" s="92"/>
      <c r="AI1030" s="92"/>
      <c r="AJ1030" s="92"/>
      <c r="AK1030" s="88"/>
      <c r="AL1030" s="88"/>
      <c r="AM1030" s="88"/>
      <c r="AN1030" s="88"/>
      <c r="AO1030" s="88"/>
      <c r="AP1030" s="88"/>
      <c r="AQ1030" s="88"/>
      <c r="AR1030" s="88"/>
    </row>
    <row r="1031" spans="1:44" ht="12.75" customHeight="1">
      <c r="A1031" s="87"/>
      <c r="B1031" s="87"/>
      <c r="C1031" s="88"/>
      <c r="D1031" s="88"/>
      <c r="E1031" s="88"/>
      <c r="F1031" s="89"/>
      <c r="G1031" s="89"/>
      <c r="H1031" s="89"/>
      <c r="I1031" s="89"/>
      <c r="J1031" s="89"/>
      <c r="K1031" s="88"/>
      <c r="L1031" s="88"/>
      <c r="M1031" s="88"/>
      <c r="N1031" s="88"/>
      <c r="O1031" s="90"/>
      <c r="P1031" s="88"/>
      <c r="Q1031" s="88"/>
      <c r="R1031" s="92"/>
      <c r="S1031" s="92"/>
      <c r="T1031" s="92"/>
      <c r="U1031" s="92"/>
      <c r="V1031" s="92"/>
      <c r="W1031" s="92"/>
      <c r="X1031" s="92"/>
      <c r="Y1031" s="92"/>
      <c r="Z1031" s="92"/>
      <c r="AA1031" s="92"/>
      <c r="AB1031" s="92"/>
      <c r="AC1031" s="92"/>
      <c r="AD1031" s="92"/>
      <c r="AE1031" s="92"/>
      <c r="AF1031" s="92"/>
      <c r="AG1031" s="92"/>
      <c r="AH1031" s="92"/>
      <c r="AI1031" s="92"/>
      <c r="AJ1031" s="92"/>
      <c r="AK1031" s="88"/>
      <c r="AL1031" s="88"/>
      <c r="AM1031" s="88"/>
      <c r="AN1031" s="88"/>
      <c r="AO1031" s="88"/>
      <c r="AP1031" s="88"/>
      <c r="AQ1031" s="88"/>
      <c r="AR1031" s="88"/>
    </row>
    <row r="1032" spans="1:44" ht="12.75" customHeight="1">
      <c r="A1032" s="87"/>
      <c r="B1032" s="87"/>
      <c r="C1032" s="88"/>
      <c r="D1032" s="88"/>
      <c r="E1032" s="88"/>
      <c r="F1032" s="89"/>
      <c r="G1032" s="89"/>
      <c r="H1032" s="89"/>
      <c r="I1032" s="89"/>
      <c r="J1032" s="89"/>
      <c r="K1032" s="88"/>
      <c r="L1032" s="88"/>
      <c r="M1032" s="88"/>
      <c r="N1032" s="88"/>
      <c r="O1032" s="90"/>
      <c r="P1032" s="88"/>
      <c r="Q1032" s="88"/>
      <c r="R1032" s="92"/>
      <c r="S1032" s="92"/>
      <c r="T1032" s="92"/>
      <c r="U1032" s="92"/>
      <c r="V1032" s="92"/>
      <c r="W1032" s="92"/>
      <c r="X1032" s="92"/>
      <c r="Y1032" s="92"/>
      <c r="Z1032" s="92"/>
      <c r="AA1032" s="92"/>
      <c r="AB1032" s="92"/>
      <c r="AC1032" s="92"/>
      <c r="AD1032" s="92"/>
      <c r="AE1032" s="92"/>
      <c r="AF1032" s="92"/>
      <c r="AG1032" s="92"/>
      <c r="AH1032" s="92"/>
      <c r="AI1032" s="92"/>
      <c r="AJ1032" s="92"/>
      <c r="AK1032" s="88"/>
      <c r="AL1032" s="88"/>
      <c r="AM1032" s="88"/>
      <c r="AN1032" s="88"/>
      <c r="AO1032" s="88"/>
      <c r="AP1032" s="88"/>
      <c r="AQ1032" s="88"/>
      <c r="AR1032" s="88"/>
    </row>
    <row r="1033" spans="1:44" ht="12.75" customHeight="1">
      <c r="A1033" s="87"/>
      <c r="B1033" s="87"/>
      <c r="C1033" s="88"/>
      <c r="D1033" s="88"/>
      <c r="E1033" s="88"/>
      <c r="F1033" s="89"/>
      <c r="G1033" s="89"/>
      <c r="H1033" s="89"/>
      <c r="I1033" s="89"/>
      <c r="J1033" s="89"/>
      <c r="K1033" s="88"/>
      <c r="L1033" s="88"/>
      <c r="M1033" s="88"/>
      <c r="N1033" s="88"/>
      <c r="O1033" s="90"/>
      <c r="P1033" s="88"/>
      <c r="Q1033" s="88"/>
      <c r="R1033" s="92"/>
      <c r="S1033" s="92"/>
      <c r="T1033" s="92"/>
      <c r="U1033" s="92"/>
      <c r="V1033" s="92"/>
      <c r="W1033" s="92"/>
      <c r="X1033" s="92"/>
      <c r="Y1033" s="92"/>
      <c r="Z1033" s="92"/>
      <c r="AA1033" s="92"/>
      <c r="AB1033" s="92"/>
      <c r="AC1033" s="92"/>
      <c r="AD1033" s="92"/>
      <c r="AE1033" s="92"/>
      <c r="AF1033" s="92"/>
      <c r="AG1033" s="92"/>
      <c r="AH1033" s="92"/>
      <c r="AI1033" s="92"/>
      <c r="AJ1033" s="92"/>
      <c r="AK1033" s="88"/>
      <c r="AL1033" s="88"/>
      <c r="AM1033" s="88"/>
      <c r="AN1033" s="88"/>
      <c r="AO1033" s="88"/>
      <c r="AP1033" s="88"/>
      <c r="AQ1033" s="88"/>
      <c r="AR1033" s="88"/>
    </row>
    <row r="1034" spans="1:44" ht="12.75" customHeight="1">
      <c r="A1034" s="87"/>
      <c r="B1034" s="87"/>
      <c r="C1034" s="88"/>
      <c r="D1034" s="88"/>
      <c r="E1034" s="88"/>
      <c r="F1034" s="89"/>
      <c r="G1034" s="89"/>
      <c r="H1034" s="89"/>
      <c r="I1034" s="89"/>
      <c r="J1034" s="89"/>
      <c r="K1034" s="88"/>
      <c r="L1034" s="88"/>
      <c r="M1034" s="88"/>
      <c r="N1034" s="88"/>
      <c r="O1034" s="90"/>
      <c r="P1034" s="88"/>
      <c r="Q1034" s="88"/>
      <c r="R1034" s="92"/>
      <c r="S1034" s="92"/>
      <c r="T1034" s="92"/>
      <c r="U1034" s="92"/>
      <c r="V1034" s="92"/>
      <c r="W1034" s="92"/>
      <c r="X1034" s="92"/>
      <c r="Y1034" s="92"/>
      <c r="Z1034" s="92"/>
      <c r="AA1034" s="92"/>
      <c r="AB1034" s="92"/>
      <c r="AC1034" s="92"/>
      <c r="AD1034" s="92"/>
      <c r="AE1034" s="92"/>
      <c r="AF1034" s="92"/>
      <c r="AG1034" s="92"/>
      <c r="AH1034" s="92"/>
      <c r="AI1034" s="92"/>
      <c r="AJ1034" s="92"/>
      <c r="AK1034" s="88"/>
      <c r="AL1034" s="88"/>
      <c r="AM1034" s="88"/>
      <c r="AN1034" s="88"/>
      <c r="AO1034" s="88"/>
      <c r="AP1034" s="88"/>
      <c r="AQ1034" s="88"/>
      <c r="AR1034" s="88"/>
    </row>
    <row r="1035" spans="1:44" ht="12.75" customHeight="1">
      <c r="A1035" s="87"/>
      <c r="B1035" s="87"/>
      <c r="C1035" s="88"/>
      <c r="D1035" s="88"/>
      <c r="E1035" s="88"/>
      <c r="F1035" s="89"/>
      <c r="G1035" s="89"/>
      <c r="H1035" s="89"/>
      <c r="I1035" s="89"/>
      <c r="J1035" s="89"/>
      <c r="K1035" s="88"/>
      <c r="L1035" s="88"/>
      <c r="M1035" s="88"/>
      <c r="N1035" s="88"/>
      <c r="O1035" s="90"/>
      <c r="P1035" s="88"/>
      <c r="Q1035" s="88"/>
      <c r="R1035" s="92"/>
      <c r="S1035" s="92"/>
      <c r="T1035" s="92"/>
      <c r="U1035" s="92"/>
      <c r="V1035" s="92"/>
      <c r="W1035" s="92"/>
      <c r="X1035" s="92"/>
      <c r="Y1035" s="92"/>
      <c r="Z1035" s="92"/>
      <c r="AA1035" s="92"/>
      <c r="AB1035" s="92"/>
      <c r="AC1035" s="92"/>
      <c r="AD1035" s="92"/>
      <c r="AE1035" s="92"/>
      <c r="AF1035" s="92"/>
      <c r="AG1035" s="92"/>
      <c r="AH1035" s="92"/>
      <c r="AI1035" s="92"/>
      <c r="AJ1035" s="92"/>
      <c r="AK1035" s="88"/>
      <c r="AL1035" s="88"/>
      <c r="AM1035" s="88"/>
      <c r="AN1035" s="88"/>
      <c r="AO1035" s="88"/>
      <c r="AP1035" s="88"/>
      <c r="AQ1035" s="88"/>
      <c r="AR1035" s="88"/>
    </row>
    <row r="1036" spans="1:44" ht="12.75" customHeight="1">
      <c r="A1036" s="87"/>
      <c r="B1036" s="87"/>
      <c r="C1036" s="88"/>
      <c r="D1036" s="88"/>
      <c r="E1036" s="88"/>
      <c r="F1036" s="89"/>
      <c r="G1036" s="89"/>
      <c r="H1036" s="89"/>
      <c r="I1036" s="89"/>
      <c r="J1036" s="89"/>
      <c r="K1036" s="88"/>
      <c r="L1036" s="88"/>
      <c r="M1036" s="88"/>
      <c r="N1036" s="88"/>
      <c r="O1036" s="90"/>
      <c r="P1036" s="88"/>
      <c r="Q1036" s="88"/>
      <c r="R1036" s="92"/>
      <c r="S1036" s="92"/>
      <c r="T1036" s="92"/>
      <c r="U1036" s="92"/>
      <c r="V1036" s="92"/>
      <c r="W1036" s="92"/>
      <c r="X1036" s="92"/>
      <c r="Y1036" s="92"/>
      <c r="Z1036" s="92"/>
      <c r="AA1036" s="92"/>
      <c r="AB1036" s="92"/>
      <c r="AC1036" s="92"/>
      <c r="AD1036" s="92"/>
      <c r="AE1036" s="92"/>
      <c r="AF1036" s="92"/>
      <c r="AG1036" s="92"/>
      <c r="AH1036" s="92"/>
      <c r="AI1036" s="92"/>
      <c r="AJ1036" s="92"/>
      <c r="AK1036" s="88"/>
      <c r="AL1036" s="88"/>
      <c r="AM1036" s="88"/>
      <c r="AN1036" s="88"/>
      <c r="AO1036" s="88"/>
      <c r="AP1036" s="88"/>
      <c r="AQ1036" s="88"/>
      <c r="AR1036" s="88"/>
    </row>
    <row r="1037" spans="1:44" ht="12.75" customHeight="1">
      <c r="A1037" s="87"/>
      <c r="B1037" s="87"/>
      <c r="C1037" s="88"/>
      <c r="D1037" s="88"/>
      <c r="E1037" s="88"/>
      <c r="F1037" s="89"/>
      <c r="G1037" s="89"/>
      <c r="H1037" s="89"/>
      <c r="I1037" s="89"/>
      <c r="J1037" s="89"/>
      <c r="K1037" s="88"/>
      <c r="L1037" s="88"/>
      <c r="M1037" s="88"/>
      <c r="N1037" s="88"/>
      <c r="O1037" s="90"/>
      <c r="P1037" s="88"/>
      <c r="Q1037" s="88"/>
      <c r="R1037" s="92"/>
      <c r="S1037" s="92"/>
      <c r="T1037" s="92"/>
      <c r="U1037" s="92"/>
      <c r="V1037" s="92"/>
      <c r="W1037" s="92"/>
      <c r="X1037" s="92"/>
      <c r="Y1037" s="92"/>
      <c r="Z1037" s="92"/>
      <c r="AA1037" s="92"/>
      <c r="AB1037" s="92"/>
      <c r="AC1037" s="92"/>
      <c r="AD1037" s="92"/>
      <c r="AE1037" s="92"/>
      <c r="AF1037" s="92"/>
      <c r="AG1037" s="92"/>
      <c r="AH1037" s="92"/>
      <c r="AI1037" s="92"/>
      <c r="AJ1037" s="92"/>
      <c r="AK1037" s="88"/>
      <c r="AL1037" s="88"/>
      <c r="AM1037" s="88"/>
      <c r="AN1037" s="88"/>
      <c r="AO1037" s="88"/>
      <c r="AP1037" s="88"/>
      <c r="AQ1037" s="88"/>
      <c r="AR1037" s="88"/>
    </row>
    <row r="1038" spans="1:44" ht="12.75" customHeight="1">
      <c r="A1038" s="87"/>
      <c r="B1038" s="87"/>
      <c r="C1038" s="88"/>
      <c r="D1038" s="88"/>
      <c r="E1038" s="88"/>
      <c r="F1038" s="89"/>
      <c r="G1038" s="89"/>
      <c r="H1038" s="89"/>
      <c r="I1038" s="89"/>
      <c r="J1038" s="89"/>
      <c r="K1038" s="88"/>
      <c r="L1038" s="88"/>
      <c r="M1038" s="88"/>
      <c r="N1038" s="88"/>
      <c r="O1038" s="90"/>
      <c r="P1038" s="88"/>
      <c r="Q1038" s="88"/>
      <c r="R1038" s="92"/>
      <c r="S1038" s="92"/>
      <c r="T1038" s="92"/>
      <c r="U1038" s="92"/>
      <c r="V1038" s="92"/>
      <c r="W1038" s="92"/>
      <c r="X1038" s="92"/>
      <c r="Y1038" s="92"/>
      <c r="Z1038" s="92"/>
      <c r="AA1038" s="92"/>
      <c r="AB1038" s="92"/>
      <c r="AC1038" s="92"/>
      <c r="AD1038" s="92"/>
      <c r="AE1038" s="92"/>
      <c r="AF1038" s="92"/>
      <c r="AG1038" s="92"/>
      <c r="AH1038" s="92"/>
      <c r="AI1038" s="92"/>
      <c r="AJ1038" s="92"/>
      <c r="AK1038" s="88"/>
      <c r="AL1038" s="88"/>
      <c r="AM1038" s="88"/>
      <c r="AN1038" s="88"/>
      <c r="AO1038" s="88"/>
      <c r="AP1038" s="88"/>
      <c r="AQ1038" s="88"/>
      <c r="AR1038" s="88"/>
    </row>
    <row r="1039" spans="1:44" ht="12.75" customHeight="1">
      <c r="A1039" s="87"/>
      <c r="B1039" s="87"/>
      <c r="C1039" s="88"/>
      <c r="D1039" s="88"/>
      <c r="E1039" s="88"/>
      <c r="F1039" s="89"/>
      <c r="G1039" s="89"/>
      <c r="H1039" s="89"/>
      <c r="I1039" s="89"/>
      <c r="J1039" s="89"/>
      <c r="K1039" s="88"/>
      <c r="L1039" s="88"/>
      <c r="M1039" s="88"/>
      <c r="N1039" s="88"/>
      <c r="O1039" s="90"/>
      <c r="P1039" s="88"/>
      <c r="Q1039" s="88"/>
      <c r="R1039" s="92"/>
      <c r="S1039" s="92"/>
      <c r="T1039" s="92"/>
      <c r="U1039" s="92"/>
      <c r="V1039" s="92"/>
      <c r="W1039" s="92"/>
      <c r="X1039" s="92"/>
      <c r="Y1039" s="92"/>
      <c r="Z1039" s="92"/>
      <c r="AA1039" s="92"/>
      <c r="AB1039" s="92"/>
      <c r="AC1039" s="92"/>
      <c r="AD1039" s="92"/>
      <c r="AE1039" s="92"/>
      <c r="AF1039" s="92"/>
      <c r="AG1039" s="92"/>
      <c r="AH1039" s="92"/>
      <c r="AI1039" s="92"/>
      <c r="AJ1039" s="92"/>
      <c r="AK1039" s="88"/>
      <c r="AL1039" s="88"/>
      <c r="AM1039" s="88"/>
      <c r="AN1039" s="88"/>
      <c r="AO1039" s="88"/>
      <c r="AP1039" s="88"/>
      <c r="AQ1039" s="88"/>
      <c r="AR1039" s="88"/>
    </row>
    <row r="1040" spans="1:44" ht="12.75" customHeight="1">
      <c r="A1040" s="87"/>
      <c r="B1040" s="87"/>
      <c r="C1040" s="88"/>
      <c r="D1040" s="88"/>
      <c r="E1040" s="88"/>
      <c r="F1040" s="89"/>
      <c r="G1040" s="89"/>
      <c r="H1040" s="89"/>
      <c r="I1040" s="89"/>
      <c r="J1040" s="89"/>
      <c r="K1040" s="88"/>
      <c r="L1040" s="88"/>
      <c r="M1040" s="88"/>
      <c r="N1040" s="88"/>
      <c r="O1040" s="90"/>
      <c r="P1040" s="88"/>
      <c r="Q1040" s="88"/>
      <c r="R1040" s="92"/>
      <c r="S1040" s="92"/>
      <c r="T1040" s="92"/>
      <c r="U1040" s="92"/>
      <c r="V1040" s="92"/>
      <c r="W1040" s="92"/>
      <c r="X1040" s="92"/>
      <c r="Y1040" s="92"/>
      <c r="Z1040" s="92"/>
      <c r="AA1040" s="92"/>
      <c r="AB1040" s="92"/>
      <c r="AC1040" s="92"/>
      <c r="AD1040" s="92"/>
      <c r="AE1040" s="92"/>
      <c r="AF1040" s="92"/>
      <c r="AG1040" s="92"/>
      <c r="AH1040" s="92"/>
      <c r="AI1040" s="92"/>
      <c r="AJ1040" s="92"/>
      <c r="AK1040" s="88"/>
      <c r="AL1040" s="88"/>
      <c r="AM1040" s="88"/>
      <c r="AN1040" s="88"/>
      <c r="AO1040" s="88"/>
      <c r="AP1040" s="88"/>
      <c r="AQ1040" s="88"/>
      <c r="AR1040" s="88"/>
    </row>
    <row r="1041" spans="1:44" ht="12.75" customHeight="1">
      <c r="A1041" s="87"/>
      <c r="B1041" s="87"/>
      <c r="C1041" s="88"/>
      <c r="D1041" s="88"/>
      <c r="E1041" s="88"/>
      <c r="F1041" s="89"/>
      <c r="G1041" s="89"/>
      <c r="H1041" s="89"/>
      <c r="I1041" s="89"/>
      <c r="J1041" s="89"/>
      <c r="K1041" s="88"/>
      <c r="L1041" s="88"/>
      <c r="M1041" s="88"/>
      <c r="N1041" s="88"/>
      <c r="O1041" s="90"/>
      <c r="P1041" s="88"/>
      <c r="Q1041" s="88"/>
      <c r="R1041" s="92"/>
      <c r="S1041" s="92"/>
      <c r="T1041" s="92"/>
      <c r="U1041" s="92"/>
      <c r="V1041" s="92"/>
      <c r="W1041" s="92"/>
      <c r="X1041" s="92"/>
      <c r="Y1041" s="92"/>
      <c r="Z1041" s="92"/>
      <c r="AA1041" s="92"/>
      <c r="AB1041" s="92"/>
      <c r="AC1041" s="92"/>
      <c r="AD1041" s="92"/>
      <c r="AE1041" s="92"/>
      <c r="AF1041" s="92"/>
      <c r="AG1041" s="92"/>
      <c r="AH1041" s="92"/>
      <c r="AI1041" s="92"/>
      <c r="AJ1041" s="92"/>
      <c r="AK1041" s="88"/>
      <c r="AL1041" s="88"/>
      <c r="AM1041" s="88"/>
      <c r="AN1041" s="88"/>
      <c r="AO1041" s="88"/>
      <c r="AP1041" s="88"/>
      <c r="AQ1041" s="88"/>
      <c r="AR1041" s="88"/>
    </row>
    <row r="1042" spans="1:44" ht="12.75" customHeight="1">
      <c r="A1042" s="87"/>
      <c r="B1042" s="87"/>
      <c r="C1042" s="88"/>
      <c r="D1042" s="88"/>
      <c r="E1042" s="88"/>
      <c r="F1042" s="89"/>
      <c r="G1042" s="89"/>
      <c r="H1042" s="89"/>
      <c r="I1042" s="89"/>
      <c r="J1042" s="89"/>
      <c r="K1042" s="88"/>
      <c r="L1042" s="88"/>
      <c r="M1042" s="88"/>
      <c r="N1042" s="88"/>
      <c r="O1042" s="90"/>
      <c r="P1042" s="88"/>
      <c r="Q1042" s="88"/>
      <c r="R1042" s="92"/>
      <c r="S1042" s="92"/>
      <c r="T1042" s="92"/>
      <c r="U1042" s="92"/>
      <c r="V1042" s="92"/>
      <c r="W1042" s="92"/>
      <c r="X1042" s="92"/>
      <c r="Y1042" s="92"/>
      <c r="Z1042" s="92"/>
      <c r="AA1042" s="92"/>
      <c r="AB1042" s="92"/>
      <c r="AC1042" s="92"/>
      <c r="AD1042" s="92"/>
      <c r="AE1042" s="92"/>
      <c r="AF1042" s="92"/>
      <c r="AG1042" s="92"/>
      <c r="AH1042" s="92"/>
      <c r="AI1042" s="92"/>
      <c r="AJ1042" s="92"/>
      <c r="AK1042" s="88"/>
      <c r="AL1042" s="88"/>
      <c r="AM1042" s="88"/>
      <c r="AN1042" s="88"/>
      <c r="AO1042" s="88"/>
      <c r="AP1042" s="88"/>
      <c r="AQ1042" s="88"/>
      <c r="AR1042" s="88"/>
    </row>
    <row r="1043" spans="1:44" ht="12.75" customHeight="1">
      <c r="A1043" s="87"/>
      <c r="B1043" s="87"/>
      <c r="C1043" s="88"/>
      <c r="D1043" s="88"/>
      <c r="E1043" s="88"/>
      <c r="F1043" s="89"/>
      <c r="G1043" s="89"/>
      <c r="H1043" s="89"/>
      <c r="I1043" s="89"/>
      <c r="J1043" s="89"/>
      <c r="K1043" s="88"/>
      <c r="L1043" s="88"/>
      <c r="M1043" s="88"/>
      <c r="N1043" s="88"/>
      <c r="O1043" s="90"/>
      <c r="P1043" s="88"/>
      <c r="Q1043" s="88"/>
      <c r="R1043" s="92"/>
      <c r="S1043" s="92"/>
      <c r="T1043" s="92"/>
      <c r="U1043" s="92"/>
      <c r="V1043" s="92"/>
      <c r="W1043" s="92"/>
      <c r="X1043" s="92"/>
      <c r="Y1043" s="92"/>
      <c r="Z1043" s="92"/>
      <c r="AA1043" s="92"/>
      <c r="AB1043" s="92"/>
      <c r="AC1043" s="92"/>
      <c r="AD1043" s="92"/>
      <c r="AE1043" s="92"/>
      <c r="AF1043" s="92"/>
      <c r="AG1043" s="92"/>
      <c r="AH1043" s="92"/>
      <c r="AI1043" s="92"/>
      <c r="AJ1043" s="92"/>
      <c r="AK1043" s="88"/>
      <c r="AL1043" s="88"/>
      <c r="AM1043" s="88"/>
      <c r="AN1043" s="88"/>
      <c r="AO1043" s="88"/>
      <c r="AP1043" s="88"/>
      <c r="AQ1043" s="88"/>
      <c r="AR1043" s="88"/>
    </row>
    <row r="1044" spans="1:44" ht="12.75" customHeight="1">
      <c r="A1044" s="87"/>
      <c r="B1044" s="87"/>
      <c r="C1044" s="88"/>
      <c r="D1044" s="88"/>
      <c r="E1044" s="88"/>
      <c r="F1044" s="89"/>
      <c r="G1044" s="89"/>
      <c r="H1044" s="89"/>
      <c r="I1044" s="89"/>
      <c r="J1044" s="89"/>
      <c r="K1044" s="88"/>
      <c r="L1044" s="88"/>
      <c r="M1044" s="88"/>
      <c r="N1044" s="88"/>
      <c r="O1044" s="90"/>
      <c r="P1044" s="88"/>
      <c r="Q1044" s="88"/>
      <c r="R1044" s="92"/>
      <c r="S1044" s="92"/>
      <c r="T1044" s="92"/>
      <c r="U1044" s="92"/>
      <c r="V1044" s="92"/>
      <c r="W1044" s="92"/>
      <c r="X1044" s="92"/>
      <c r="Y1044" s="92"/>
      <c r="Z1044" s="92"/>
      <c r="AA1044" s="92"/>
      <c r="AB1044" s="92"/>
      <c r="AC1044" s="92"/>
      <c r="AD1044" s="92"/>
      <c r="AE1044" s="92"/>
      <c r="AF1044" s="92"/>
      <c r="AG1044" s="92"/>
      <c r="AH1044" s="92"/>
      <c r="AI1044" s="92"/>
      <c r="AJ1044" s="92"/>
      <c r="AK1044" s="88"/>
      <c r="AL1044" s="88"/>
      <c r="AM1044" s="88"/>
      <c r="AN1044" s="88"/>
      <c r="AO1044" s="88"/>
      <c r="AP1044" s="88"/>
      <c r="AQ1044" s="88"/>
      <c r="AR1044" s="88"/>
    </row>
    <row r="1045" spans="1:44" ht="12.75" customHeight="1">
      <c r="A1045" s="87"/>
      <c r="B1045" s="87"/>
      <c r="C1045" s="88"/>
      <c r="D1045" s="88"/>
      <c r="E1045" s="88"/>
      <c r="F1045" s="89"/>
      <c r="G1045" s="89"/>
      <c r="H1045" s="89"/>
      <c r="I1045" s="89"/>
      <c r="J1045" s="89"/>
      <c r="K1045" s="88"/>
      <c r="L1045" s="88"/>
      <c r="M1045" s="88"/>
      <c r="N1045" s="88"/>
      <c r="O1045" s="90"/>
      <c r="P1045" s="88"/>
      <c r="Q1045" s="88"/>
      <c r="R1045" s="92"/>
      <c r="S1045" s="92"/>
      <c r="T1045" s="92"/>
      <c r="U1045" s="92"/>
      <c r="V1045" s="92"/>
      <c r="W1045" s="92"/>
      <c r="X1045" s="92"/>
      <c r="Y1045" s="92"/>
      <c r="Z1045" s="92"/>
      <c r="AA1045" s="92"/>
      <c r="AB1045" s="92"/>
      <c r="AC1045" s="92"/>
      <c r="AD1045" s="92"/>
      <c r="AE1045" s="92"/>
      <c r="AF1045" s="92"/>
      <c r="AG1045" s="92"/>
      <c r="AH1045" s="92"/>
      <c r="AI1045" s="92"/>
      <c r="AJ1045" s="92"/>
      <c r="AK1045" s="88"/>
      <c r="AL1045" s="88"/>
      <c r="AM1045" s="88"/>
      <c r="AN1045" s="88"/>
      <c r="AO1045" s="88"/>
      <c r="AP1045" s="88"/>
      <c r="AQ1045" s="88"/>
      <c r="AR1045" s="88"/>
    </row>
    <row r="1046" spans="1:44" ht="12.75" customHeight="1">
      <c r="A1046" s="87"/>
      <c r="B1046" s="87"/>
      <c r="C1046" s="88"/>
      <c r="D1046" s="88"/>
      <c r="E1046" s="88"/>
      <c r="F1046" s="89"/>
      <c r="G1046" s="89"/>
      <c r="H1046" s="89"/>
      <c r="I1046" s="89"/>
      <c r="J1046" s="89"/>
      <c r="K1046" s="88"/>
      <c r="L1046" s="88"/>
      <c r="M1046" s="88"/>
      <c r="N1046" s="88"/>
      <c r="O1046" s="90"/>
      <c r="P1046" s="88"/>
      <c r="Q1046" s="88"/>
      <c r="R1046" s="92"/>
      <c r="S1046" s="92"/>
      <c r="T1046" s="92"/>
      <c r="U1046" s="92"/>
      <c r="V1046" s="92"/>
      <c r="W1046" s="92"/>
      <c r="X1046" s="92"/>
      <c r="Y1046" s="92"/>
      <c r="Z1046" s="92"/>
      <c r="AA1046" s="92"/>
      <c r="AB1046" s="92"/>
      <c r="AC1046" s="92"/>
      <c r="AD1046" s="92"/>
      <c r="AE1046" s="92"/>
      <c r="AF1046" s="92"/>
      <c r="AG1046" s="92"/>
      <c r="AH1046" s="92"/>
      <c r="AI1046" s="92"/>
      <c r="AJ1046" s="92"/>
      <c r="AK1046" s="88"/>
      <c r="AL1046" s="88"/>
      <c r="AM1046" s="88"/>
      <c r="AN1046" s="88"/>
      <c r="AO1046" s="88"/>
      <c r="AP1046" s="88"/>
      <c r="AQ1046" s="88"/>
      <c r="AR1046" s="88"/>
    </row>
    <row r="1047" spans="1:44" ht="12.75" customHeight="1">
      <c r="A1047" s="87"/>
      <c r="B1047" s="87"/>
      <c r="C1047" s="88"/>
      <c r="D1047" s="88"/>
      <c r="E1047" s="88"/>
      <c r="F1047" s="89"/>
      <c r="G1047" s="89"/>
      <c r="H1047" s="89"/>
      <c r="I1047" s="89"/>
      <c r="J1047" s="89"/>
      <c r="K1047" s="88"/>
      <c r="L1047" s="88"/>
      <c r="M1047" s="88"/>
      <c r="N1047" s="88"/>
      <c r="O1047" s="90"/>
      <c r="P1047" s="88"/>
      <c r="Q1047" s="88"/>
      <c r="R1047" s="92"/>
      <c r="S1047" s="92"/>
      <c r="T1047" s="92"/>
      <c r="U1047" s="92"/>
      <c r="V1047" s="92"/>
      <c r="W1047" s="92"/>
      <c r="X1047" s="92"/>
      <c r="Y1047" s="92"/>
      <c r="Z1047" s="92"/>
      <c r="AA1047" s="92"/>
      <c r="AB1047" s="92"/>
      <c r="AC1047" s="92"/>
      <c r="AD1047" s="92"/>
      <c r="AE1047" s="92"/>
      <c r="AF1047" s="92"/>
      <c r="AG1047" s="92"/>
      <c r="AH1047" s="92"/>
      <c r="AI1047" s="92"/>
      <c r="AJ1047" s="92"/>
      <c r="AK1047" s="88"/>
      <c r="AL1047" s="88"/>
      <c r="AM1047" s="88"/>
      <c r="AN1047" s="88"/>
      <c r="AO1047" s="88"/>
      <c r="AP1047" s="88"/>
      <c r="AQ1047" s="88"/>
      <c r="AR1047" s="88"/>
    </row>
    <row r="1048" spans="1:44" ht="12.75" customHeight="1">
      <c r="A1048" s="87"/>
      <c r="B1048" s="87"/>
      <c r="C1048" s="88"/>
      <c r="D1048" s="88"/>
      <c r="E1048" s="88"/>
      <c r="F1048" s="89"/>
      <c r="G1048" s="89"/>
      <c r="H1048" s="89"/>
      <c r="I1048" s="89"/>
      <c r="J1048" s="89"/>
      <c r="K1048" s="88"/>
      <c r="L1048" s="88"/>
      <c r="M1048" s="88"/>
      <c r="N1048" s="88"/>
      <c r="O1048" s="90"/>
      <c r="P1048" s="88"/>
      <c r="Q1048" s="88"/>
      <c r="R1048" s="92"/>
      <c r="S1048" s="92"/>
      <c r="T1048" s="92"/>
      <c r="U1048" s="92"/>
      <c r="V1048" s="92"/>
      <c r="W1048" s="92"/>
      <c r="X1048" s="92"/>
      <c r="Y1048" s="92"/>
      <c r="Z1048" s="92"/>
      <c r="AA1048" s="92"/>
      <c r="AB1048" s="92"/>
      <c r="AC1048" s="92"/>
      <c r="AD1048" s="92"/>
      <c r="AE1048" s="92"/>
      <c r="AF1048" s="92"/>
      <c r="AG1048" s="92"/>
      <c r="AH1048" s="92"/>
      <c r="AI1048" s="92"/>
      <c r="AJ1048" s="92"/>
      <c r="AK1048" s="88"/>
      <c r="AL1048" s="88"/>
      <c r="AM1048" s="88"/>
      <c r="AN1048" s="88"/>
      <c r="AO1048" s="88"/>
      <c r="AP1048" s="88"/>
      <c r="AQ1048" s="88"/>
      <c r="AR1048" s="88"/>
    </row>
    <row r="1049" spans="1:44" ht="12.75" customHeight="1">
      <c r="A1049" s="87"/>
      <c r="B1049" s="87"/>
      <c r="C1049" s="88"/>
      <c r="D1049" s="88"/>
      <c r="E1049" s="88"/>
      <c r="F1049" s="89"/>
      <c r="G1049" s="89"/>
      <c r="H1049" s="89"/>
      <c r="I1049" s="89"/>
      <c r="J1049" s="89"/>
      <c r="K1049" s="88"/>
      <c r="L1049" s="88"/>
      <c r="M1049" s="88"/>
      <c r="N1049" s="88"/>
      <c r="O1049" s="90"/>
      <c r="P1049" s="88"/>
      <c r="Q1049" s="88"/>
      <c r="R1049" s="92"/>
      <c r="S1049" s="92"/>
      <c r="T1049" s="92"/>
      <c r="U1049" s="92"/>
      <c r="V1049" s="92"/>
      <c r="W1049" s="92"/>
      <c r="X1049" s="92"/>
      <c r="Y1049" s="92"/>
      <c r="Z1049" s="92"/>
      <c r="AA1049" s="92"/>
      <c r="AB1049" s="92"/>
      <c r="AC1049" s="92"/>
      <c r="AD1049" s="92"/>
      <c r="AE1049" s="92"/>
      <c r="AF1049" s="92"/>
      <c r="AG1049" s="92"/>
      <c r="AH1049" s="92"/>
      <c r="AI1049" s="92"/>
      <c r="AJ1049" s="92"/>
      <c r="AK1049" s="88"/>
      <c r="AL1049" s="88"/>
      <c r="AM1049" s="88"/>
      <c r="AN1049" s="88"/>
      <c r="AO1049" s="88"/>
      <c r="AP1049" s="88"/>
      <c r="AQ1049" s="88"/>
      <c r="AR1049" s="88"/>
    </row>
    <row r="1050" spans="1:44" ht="12.75" customHeight="1">
      <c r="A1050" s="87"/>
      <c r="B1050" s="87"/>
      <c r="C1050" s="88"/>
      <c r="D1050" s="88"/>
      <c r="E1050" s="88"/>
      <c r="F1050" s="89"/>
      <c r="G1050" s="89"/>
      <c r="H1050" s="89"/>
      <c r="I1050" s="89"/>
      <c r="J1050" s="89"/>
      <c r="K1050" s="88"/>
      <c r="L1050" s="88"/>
      <c r="M1050" s="88"/>
      <c r="N1050" s="88"/>
      <c r="O1050" s="90"/>
      <c r="P1050" s="88"/>
      <c r="Q1050" s="88"/>
      <c r="R1050" s="92"/>
      <c r="S1050" s="92"/>
      <c r="T1050" s="92"/>
      <c r="U1050" s="92"/>
      <c r="V1050" s="92"/>
      <c r="W1050" s="92"/>
      <c r="X1050" s="92"/>
      <c r="Y1050" s="92"/>
      <c r="Z1050" s="92"/>
      <c r="AA1050" s="92"/>
      <c r="AB1050" s="92"/>
      <c r="AC1050" s="92"/>
      <c r="AD1050" s="92"/>
      <c r="AE1050" s="92"/>
      <c r="AF1050" s="92"/>
      <c r="AG1050" s="92"/>
      <c r="AH1050" s="92"/>
      <c r="AI1050" s="92"/>
      <c r="AJ1050" s="92"/>
      <c r="AK1050" s="88"/>
      <c r="AL1050" s="88"/>
      <c r="AM1050" s="88"/>
      <c r="AN1050" s="88"/>
      <c r="AO1050" s="88"/>
      <c r="AP1050" s="88"/>
      <c r="AQ1050" s="88"/>
      <c r="AR1050" s="88"/>
    </row>
    <row r="1051" spans="1:44" ht="12.75" customHeight="1">
      <c r="A1051" s="87"/>
      <c r="B1051" s="87"/>
      <c r="C1051" s="88"/>
      <c r="D1051" s="88"/>
      <c r="E1051" s="88"/>
      <c r="F1051" s="89"/>
      <c r="G1051" s="89"/>
      <c r="H1051" s="89"/>
      <c r="I1051" s="89"/>
      <c r="J1051" s="89"/>
      <c r="K1051" s="88"/>
      <c r="L1051" s="88"/>
      <c r="M1051" s="88"/>
      <c r="N1051" s="88"/>
      <c r="O1051" s="90"/>
      <c r="P1051" s="88"/>
      <c r="Q1051" s="88"/>
      <c r="R1051" s="92"/>
      <c r="S1051" s="92"/>
      <c r="T1051" s="92"/>
      <c r="U1051" s="92"/>
      <c r="V1051" s="92"/>
      <c r="W1051" s="92"/>
      <c r="X1051" s="92"/>
      <c r="Y1051" s="92"/>
      <c r="Z1051" s="92"/>
      <c r="AA1051" s="92"/>
      <c r="AB1051" s="92"/>
      <c r="AC1051" s="92"/>
      <c r="AD1051" s="92"/>
      <c r="AE1051" s="92"/>
      <c r="AF1051" s="92"/>
      <c r="AG1051" s="92"/>
      <c r="AH1051" s="92"/>
      <c r="AI1051" s="92"/>
      <c r="AJ1051" s="92"/>
      <c r="AK1051" s="88"/>
      <c r="AL1051" s="88"/>
      <c r="AM1051" s="88"/>
      <c r="AN1051" s="88"/>
      <c r="AO1051" s="88"/>
      <c r="AP1051" s="88"/>
      <c r="AQ1051" s="88"/>
      <c r="AR1051" s="88"/>
    </row>
    <row r="1052" spans="1:44" ht="12.75" customHeight="1">
      <c r="A1052" s="87"/>
      <c r="B1052" s="87"/>
      <c r="C1052" s="88"/>
      <c r="D1052" s="88"/>
      <c r="E1052" s="88"/>
      <c r="F1052" s="89"/>
      <c r="G1052" s="89"/>
      <c r="H1052" s="89"/>
      <c r="I1052" s="89"/>
      <c r="J1052" s="89"/>
      <c r="K1052" s="88"/>
      <c r="L1052" s="88"/>
      <c r="M1052" s="88"/>
      <c r="N1052" s="88"/>
      <c r="O1052" s="90"/>
      <c r="P1052" s="88"/>
      <c r="Q1052" s="88"/>
      <c r="R1052" s="92"/>
      <c r="S1052" s="92"/>
      <c r="T1052" s="92"/>
      <c r="U1052" s="92"/>
      <c r="V1052" s="92"/>
      <c r="W1052" s="92"/>
      <c r="X1052" s="92"/>
      <c r="Y1052" s="92"/>
      <c r="Z1052" s="92"/>
      <c r="AA1052" s="92"/>
      <c r="AB1052" s="92"/>
      <c r="AC1052" s="92"/>
      <c r="AD1052" s="92"/>
      <c r="AE1052" s="92"/>
      <c r="AF1052" s="92"/>
      <c r="AG1052" s="92"/>
      <c r="AH1052" s="92"/>
      <c r="AI1052" s="92"/>
      <c r="AJ1052" s="92"/>
      <c r="AK1052" s="88"/>
      <c r="AL1052" s="88"/>
      <c r="AM1052" s="88"/>
      <c r="AN1052" s="88"/>
      <c r="AO1052" s="88"/>
      <c r="AP1052" s="88"/>
      <c r="AQ1052" s="88"/>
      <c r="AR1052" s="88"/>
    </row>
    <row r="1053" spans="1:44" ht="12.75" customHeight="1">
      <c r="A1053" s="87"/>
      <c r="B1053" s="87"/>
      <c r="C1053" s="88"/>
      <c r="D1053" s="88"/>
      <c r="E1053" s="88"/>
      <c r="F1053" s="89"/>
      <c r="G1053" s="89"/>
      <c r="H1053" s="89"/>
      <c r="I1053" s="89"/>
      <c r="J1053" s="89"/>
      <c r="K1053" s="88"/>
      <c r="L1053" s="88"/>
      <c r="M1053" s="88"/>
      <c r="N1053" s="88"/>
      <c r="O1053" s="90"/>
      <c r="P1053" s="88"/>
      <c r="Q1053" s="88"/>
      <c r="R1053" s="92"/>
      <c r="S1053" s="92"/>
      <c r="T1053" s="92"/>
      <c r="U1053" s="92"/>
      <c r="V1053" s="92"/>
      <c r="W1053" s="92"/>
      <c r="X1053" s="92"/>
      <c r="Y1053" s="92"/>
      <c r="Z1053" s="92"/>
      <c r="AA1053" s="92"/>
      <c r="AB1053" s="92"/>
      <c r="AC1053" s="92"/>
      <c r="AD1053" s="92"/>
      <c r="AE1053" s="92"/>
      <c r="AF1053" s="92"/>
      <c r="AG1053" s="92"/>
      <c r="AH1053" s="92"/>
      <c r="AI1053" s="92"/>
      <c r="AJ1053" s="92"/>
      <c r="AK1053" s="88"/>
      <c r="AL1053" s="88"/>
      <c r="AM1053" s="88"/>
      <c r="AN1053" s="88"/>
      <c r="AO1053" s="88"/>
      <c r="AP1053" s="88"/>
      <c r="AQ1053" s="88"/>
      <c r="AR1053" s="88"/>
    </row>
    <row r="1054" spans="1:44" ht="12.75" customHeight="1">
      <c r="A1054" s="87"/>
      <c r="B1054" s="87"/>
      <c r="C1054" s="88"/>
      <c r="D1054" s="88"/>
      <c r="E1054" s="88"/>
      <c r="F1054" s="89"/>
      <c r="G1054" s="89"/>
      <c r="H1054" s="89"/>
      <c r="I1054" s="89"/>
      <c r="J1054" s="89"/>
      <c r="K1054" s="88"/>
      <c r="L1054" s="88"/>
      <c r="M1054" s="88"/>
      <c r="N1054" s="88"/>
      <c r="O1054" s="90"/>
      <c r="P1054" s="88"/>
      <c r="Q1054" s="88"/>
      <c r="R1054" s="92"/>
      <c r="S1054" s="92"/>
      <c r="T1054" s="92"/>
      <c r="U1054" s="92"/>
      <c r="V1054" s="92"/>
      <c r="W1054" s="92"/>
      <c r="X1054" s="92"/>
      <c r="Y1054" s="92"/>
      <c r="Z1054" s="92"/>
      <c r="AA1054" s="92"/>
      <c r="AB1054" s="92"/>
      <c r="AC1054" s="92"/>
      <c r="AD1054" s="92"/>
      <c r="AE1054" s="92"/>
      <c r="AF1054" s="92"/>
      <c r="AG1054" s="92"/>
      <c r="AH1054" s="92"/>
      <c r="AI1054" s="92"/>
      <c r="AJ1054" s="92"/>
      <c r="AK1054" s="88"/>
      <c r="AL1054" s="88"/>
      <c r="AM1054" s="88"/>
      <c r="AN1054" s="88"/>
      <c r="AO1054" s="88"/>
      <c r="AP1054" s="88"/>
      <c r="AQ1054" s="88"/>
      <c r="AR1054" s="88"/>
    </row>
    <row r="1055" spans="1:44" ht="12.75" customHeight="1">
      <c r="A1055" s="87"/>
      <c r="B1055" s="87"/>
      <c r="C1055" s="88"/>
      <c r="D1055" s="88"/>
      <c r="E1055" s="88"/>
      <c r="F1055" s="89"/>
      <c r="G1055" s="89"/>
      <c r="H1055" s="89"/>
      <c r="I1055" s="89"/>
      <c r="J1055" s="89"/>
      <c r="K1055" s="88"/>
      <c r="L1055" s="88"/>
      <c r="M1055" s="88"/>
      <c r="N1055" s="88"/>
      <c r="O1055" s="90"/>
      <c r="P1055" s="88"/>
      <c r="Q1055" s="88"/>
      <c r="R1055" s="92"/>
      <c r="S1055" s="92"/>
      <c r="T1055" s="92"/>
      <c r="U1055" s="92"/>
      <c r="V1055" s="92"/>
      <c r="W1055" s="92"/>
      <c r="X1055" s="92"/>
      <c r="Y1055" s="92"/>
      <c r="Z1055" s="92"/>
      <c r="AA1055" s="92"/>
      <c r="AB1055" s="92"/>
      <c r="AC1055" s="92"/>
      <c r="AD1055" s="92"/>
      <c r="AE1055" s="92"/>
      <c r="AF1055" s="92"/>
      <c r="AG1055" s="92"/>
      <c r="AH1055" s="92"/>
      <c r="AI1055" s="92"/>
      <c r="AJ1055" s="92"/>
      <c r="AK1055" s="88"/>
      <c r="AL1055" s="88"/>
      <c r="AM1055" s="88"/>
      <c r="AN1055" s="88"/>
      <c r="AO1055" s="88"/>
      <c r="AP1055" s="88"/>
      <c r="AQ1055" s="88"/>
      <c r="AR1055" s="88"/>
    </row>
    <row r="1056" spans="1:44" ht="12.75" customHeight="1">
      <c r="A1056" s="87"/>
      <c r="B1056" s="87"/>
      <c r="C1056" s="88"/>
      <c r="D1056" s="88"/>
      <c r="E1056" s="88"/>
      <c r="F1056" s="89"/>
      <c r="G1056" s="89"/>
      <c r="H1056" s="89"/>
      <c r="I1056" s="89"/>
      <c r="J1056" s="89"/>
      <c r="K1056" s="88"/>
      <c r="L1056" s="88"/>
      <c r="M1056" s="88"/>
      <c r="N1056" s="88"/>
      <c r="O1056" s="90"/>
      <c r="P1056" s="88"/>
      <c r="Q1056" s="88"/>
      <c r="R1056" s="92"/>
      <c r="S1056" s="92"/>
      <c r="T1056" s="92"/>
      <c r="U1056" s="92"/>
      <c r="V1056" s="92"/>
      <c r="W1056" s="92"/>
      <c r="X1056" s="92"/>
      <c r="Y1056" s="92"/>
      <c r="Z1056" s="92"/>
      <c r="AA1056" s="92"/>
      <c r="AB1056" s="92"/>
      <c r="AC1056" s="92"/>
      <c r="AD1056" s="92"/>
      <c r="AE1056" s="92"/>
      <c r="AF1056" s="92"/>
      <c r="AG1056" s="92"/>
      <c r="AH1056" s="92"/>
      <c r="AI1056" s="92"/>
      <c r="AJ1056" s="92"/>
      <c r="AK1056" s="88"/>
      <c r="AL1056" s="88"/>
      <c r="AM1056" s="88"/>
      <c r="AN1056" s="88"/>
      <c r="AO1056" s="88"/>
      <c r="AP1056" s="88"/>
      <c r="AQ1056" s="88"/>
      <c r="AR1056" s="88"/>
    </row>
    <row r="1057" spans="1:44" ht="12.75" customHeight="1">
      <c r="A1057" s="87"/>
      <c r="B1057" s="87"/>
      <c r="C1057" s="88"/>
      <c r="D1057" s="88"/>
      <c r="E1057" s="88"/>
      <c r="F1057" s="89"/>
      <c r="G1057" s="89"/>
      <c r="H1057" s="89"/>
      <c r="I1057" s="89"/>
      <c r="J1057" s="89"/>
      <c r="K1057" s="88"/>
      <c r="L1057" s="88"/>
      <c r="M1057" s="88"/>
      <c r="N1057" s="88"/>
      <c r="O1057" s="90"/>
      <c r="P1057" s="88"/>
      <c r="Q1057" s="88"/>
      <c r="R1057" s="92"/>
      <c r="S1057" s="92"/>
      <c r="T1057" s="92"/>
      <c r="U1057" s="92"/>
      <c r="V1057" s="92"/>
      <c r="W1057" s="92"/>
      <c r="X1057" s="92"/>
      <c r="Y1057" s="92"/>
      <c r="Z1057" s="92"/>
      <c r="AA1057" s="92"/>
      <c r="AB1057" s="92"/>
      <c r="AC1057" s="92"/>
      <c r="AD1057" s="92"/>
      <c r="AE1057" s="92"/>
      <c r="AF1057" s="92"/>
      <c r="AG1057" s="92"/>
      <c r="AH1057" s="92"/>
      <c r="AI1057" s="92"/>
      <c r="AJ1057" s="92"/>
      <c r="AK1057" s="88"/>
      <c r="AL1057" s="88"/>
      <c r="AM1057" s="88"/>
      <c r="AN1057" s="88"/>
      <c r="AO1057" s="88"/>
      <c r="AP1057" s="88"/>
      <c r="AQ1057" s="88"/>
      <c r="AR1057" s="88"/>
    </row>
    <row r="1058" spans="1:44" ht="12.75" customHeight="1">
      <c r="A1058" s="87"/>
      <c r="B1058" s="87"/>
      <c r="C1058" s="88"/>
      <c r="D1058" s="88"/>
      <c r="E1058" s="88"/>
      <c r="F1058" s="89"/>
      <c r="G1058" s="89"/>
      <c r="H1058" s="89"/>
      <c r="I1058" s="89"/>
      <c r="J1058" s="89"/>
      <c r="K1058" s="88"/>
      <c r="L1058" s="88"/>
      <c r="M1058" s="88"/>
      <c r="N1058" s="88"/>
      <c r="O1058" s="90"/>
      <c r="P1058" s="88"/>
      <c r="Q1058" s="88"/>
      <c r="R1058" s="92"/>
      <c r="S1058" s="92"/>
      <c r="T1058" s="92"/>
      <c r="U1058" s="92"/>
      <c r="V1058" s="92"/>
      <c r="W1058" s="92"/>
      <c r="X1058" s="92"/>
      <c r="Y1058" s="92"/>
      <c r="Z1058" s="92"/>
      <c r="AA1058" s="92"/>
      <c r="AB1058" s="92"/>
      <c r="AC1058" s="92"/>
      <c r="AD1058" s="92"/>
      <c r="AE1058" s="92"/>
      <c r="AF1058" s="92"/>
      <c r="AG1058" s="92"/>
      <c r="AH1058" s="92"/>
      <c r="AI1058" s="92"/>
      <c r="AJ1058" s="92"/>
      <c r="AK1058" s="88"/>
      <c r="AL1058" s="88"/>
      <c r="AM1058" s="88"/>
      <c r="AN1058" s="88"/>
      <c r="AO1058" s="88"/>
      <c r="AP1058" s="88"/>
      <c r="AQ1058" s="88"/>
      <c r="AR1058" s="88"/>
    </row>
    <row r="1059" spans="1:44" ht="12.75" customHeight="1">
      <c r="A1059" s="87"/>
      <c r="B1059" s="87"/>
      <c r="C1059" s="88"/>
      <c r="D1059" s="88"/>
      <c r="E1059" s="88"/>
      <c r="F1059" s="89"/>
      <c r="G1059" s="89"/>
      <c r="H1059" s="89"/>
      <c r="I1059" s="89"/>
      <c r="J1059" s="89"/>
      <c r="K1059" s="88"/>
      <c r="L1059" s="88"/>
      <c r="M1059" s="88"/>
      <c r="N1059" s="88"/>
      <c r="O1059" s="90"/>
      <c r="P1059" s="88"/>
      <c r="Q1059" s="88"/>
      <c r="R1059" s="92"/>
      <c r="S1059" s="92"/>
      <c r="T1059" s="92"/>
      <c r="U1059" s="92"/>
      <c r="V1059" s="92"/>
      <c r="W1059" s="92"/>
      <c r="X1059" s="92"/>
      <c r="Y1059" s="92"/>
      <c r="Z1059" s="92"/>
      <c r="AA1059" s="92"/>
      <c r="AB1059" s="92"/>
      <c r="AC1059" s="92"/>
      <c r="AD1059" s="92"/>
      <c r="AE1059" s="92"/>
      <c r="AF1059" s="92"/>
      <c r="AG1059" s="92"/>
      <c r="AH1059" s="92"/>
      <c r="AI1059" s="92"/>
      <c r="AJ1059" s="92"/>
      <c r="AK1059" s="88"/>
      <c r="AL1059" s="88"/>
      <c r="AM1059" s="88"/>
      <c r="AN1059" s="88"/>
      <c r="AO1059" s="88"/>
      <c r="AP1059" s="88"/>
      <c r="AQ1059" s="88"/>
      <c r="AR1059" s="88"/>
    </row>
    <row r="1060" spans="1:44" ht="12.75" customHeight="1">
      <c r="A1060" s="87"/>
      <c r="B1060" s="87"/>
      <c r="C1060" s="88"/>
      <c r="D1060" s="88"/>
      <c r="E1060" s="88"/>
      <c r="F1060" s="89"/>
      <c r="G1060" s="89"/>
      <c r="H1060" s="89"/>
      <c r="I1060" s="89"/>
      <c r="J1060" s="89"/>
      <c r="K1060" s="88"/>
      <c r="L1060" s="88"/>
      <c r="M1060" s="88"/>
      <c r="N1060" s="88"/>
      <c r="O1060" s="90"/>
      <c r="P1060" s="88"/>
      <c r="Q1060" s="88"/>
      <c r="R1060" s="92"/>
      <c r="S1060" s="92"/>
      <c r="T1060" s="92"/>
      <c r="U1060" s="92"/>
      <c r="V1060" s="92"/>
      <c r="W1060" s="92"/>
      <c r="X1060" s="92"/>
      <c r="Y1060" s="92"/>
      <c r="Z1060" s="92"/>
      <c r="AA1060" s="92"/>
      <c r="AB1060" s="92"/>
      <c r="AC1060" s="92"/>
      <c r="AD1060" s="92"/>
      <c r="AE1060" s="92"/>
      <c r="AF1060" s="92"/>
      <c r="AG1060" s="92"/>
      <c r="AH1060" s="92"/>
      <c r="AI1060" s="92"/>
      <c r="AJ1060" s="92"/>
      <c r="AK1060" s="88"/>
      <c r="AL1060" s="88"/>
      <c r="AM1060" s="88"/>
      <c r="AN1060" s="88"/>
      <c r="AO1060" s="88"/>
      <c r="AP1060" s="88"/>
      <c r="AQ1060" s="88"/>
      <c r="AR1060" s="88"/>
    </row>
    <row r="1061" spans="1:44" ht="12.75" customHeight="1">
      <c r="A1061" s="87"/>
      <c r="B1061" s="87"/>
      <c r="C1061" s="88"/>
      <c r="D1061" s="88"/>
      <c r="E1061" s="88"/>
      <c r="F1061" s="89"/>
      <c r="G1061" s="89"/>
      <c r="H1061" s="89"/>
      <c r="I1061" s="89"/>
      <c r="J1061" s="89"/>
      <c r="K1061" s="88"/>
      <c r="L1061" s="88"/>
      <c r="M1061" s="88"/>
      <c r="N1061" s="88"/>
      <c r="O1061" s="90"/>
      <c r="P1061" s="88"/>
      <c r="Q1061" s="88"/>
      <c r="R1061" s="92"/>
      <c r="S1061" s="92"/>
      <c r="T1061" s="92"/>
      <c r="U1061" s="92"/>
      <c r="V1061" s="92"/>
      <c r="W1061" s="92"/>
      <c r="X1061" s="92"/>
      <c r="Y1061" s="92"/>
      <c r="Z1061" s="92"/>
      <c r="AA1061" s="92"/>
      <c r="AB1061" s="92"/>
      <c r="AC1061" s="92"/>
      <c r="AD1061" s="92"/>
      <c r="AE1061" s="92"/>
      <c r="AF1061" s="92"/>
      <c r="AG1061" s="92"/>
      <c r="AH1061" s="92"/>
      <c r="AI1061" s="92"/>
      <c r="AJ1061" s="92"/>
      <c r="AK1061" s="88"/>
      <c r="AL1061" s="88"/>
      <c r="AM1061" s="88"/>
      <c r="AN1061" s="88"/>
      <c r="AO1061" s="88"/>
      <c r="AP1061" s="88"/>
      <c r="AQ1061" s="88"/>
      <c r="AR1061" s="88"/>
    </row>
    <row r="1062" spans="1:44" ht="12.75" customHeight="1">
      <c r="A1062" s="87"/>
      <c r="B1062" s="87"/>
      <c r="C1062" s="88"/>
      <c r="D1062" s="88"/>
      <c r="E1062" s="88"/>
      <c r="F1062" s="89"/>
      <c r="G1062" s="89"/>
      <c r="H1062" s="89"/>
      <c r="I1062" s="89"/>
      <c r="J1062" s="89"/>
      <c r="K1062" s="88"/>
      <c r="L1062" s="88"/>
      <c r="M1062" s="88"/>
      <c r="N1062" s="88"/>
      <c r="O1062" s="90"/>
      <c r="P1062" s="88"/>
      <c r="Q1062" s="88"/>
      <c r="R1062" s="92"/>
      <c r="S1062" s="92"/>
      <c r="T1062" s="92"/>
      <c r="U1062" s="92"/>
      <c r="V1062" s="92"/>
      <c r="W1062" s="92"/>
      <c r="X1062" s="92"/>
      <c r="Y1062" s="92"/>
      <c r="Z1062" s="92"/>
      <c r="AA1062" s="92"/>
      <c r="AB1062" s="92"/>
      <c r="AC1062" s="92"/>
      <c r="AD1062" s="92"/>
      <c r="AE1062" s="92"/>
      <c r="AF1062" s="92"/>
      <c r="AG1062" s="92"/>
      <c r="AH1062" s="92"/>
      <c r="AI1062" s="92"/>
      <c r="AJ1062" s="92"/>
      <c r="AK1062" s="88"/>
      <c r="AL1062" s="88"/>
      <c r="AM1062" s="88"/>
      <c r="AN1062" s="88"/>
      <c r="AO1062" s="88"/>
      <c r="AP1062" s="88"/>
      <c r="AQ1062" s="88"/>
      <c r="AR1062" s="88"/>
    </row>
    <row r="1063" spans="1:44" ht="12.75" customHeight="1">
      <c r="A1063" s="87"/>
      <c r="B1063" s="87"/>
      <c r="C1063" s="88"/>
      <c r="D1063" s="88"/>
      <c r="E1063" s="88"/>
      <c r="F1063" s="89"/>
      <c r="G1063" s="89"/>
      <c r="H1063" s="89"/>
      <c r="I1063" s="89"/>
      <c r="J1063" s="89"/>
      <c r="K1063" s="88"/>
      <c r="L1063" s="88"/>
      <c r="M1063" s="88"/>
      <c r="N1063" s="88"/>
      <c r="O1063" s="90"/>
      <c r="P1063" s="88"/>
      <c r="Q1063" s="88"/>
      <c r="R1063" s="92"/>
      <c r="S1063" s="92"/>
      <c r="T1063" s="92"/>
      <c r="U1063" s="92"/>
      <c r="V1063" s="92"/>
      <c r="W1063" s="92"/>
      <c r="X1063" s="92"/>
      <c r="Y1063" s="92"/>
      <c r="Z1063" s="92"/>
      <c r="AA1063" s="92"/>
      <c r="AB1063" s="92"/>
      <c r="AC1063" s="92"/>
      <c r="AD1063" s="92"/>
      <c r="AE1063" s="92"/>
      <c r="AF1063" s="92"/>
      <c r="AG1063" s="92"/>
      <c r="AH1063" s="92"/>
      <c r="AI1063" s="92"/>
      <c r="AJ1063" s="92"/>
      <c r="AK1063" s="88"/>
      <c r="AL1063" s="88"/>
      <c r="AM1063" s="88"/>
      <c r="AN1063" s="88"/>
      <c r="AO1063" s="88"/>
      <c r="AP1063" s="88"/>
      <c r="AQ1063" s="88"/>
      <c r="AR1063" s="88"/>
    </row>
    <row r="1064" spans="1:44" ht="12.75" customHeight="1">
      <c r="A1064" s="87"/>
      <c r="B1064" s="87"/>
      <c r="C1064" s="88"/>
      <c r="D1064" s="88"/>
      <c r="E1064" s="88"/>
      <c r="F1064" s="89"/>
      <c r="G1064" s="89"/>
      <c r="H1064" s="89"/>
      <c r="I1064" s="89"/>
      <c r="J1064" s="89"/>
      <c r="K1064" s="88"/>
      <c r="L1064" s="88"/>
      <c r="M1064" s="88"/>
      <c r="N1064" s="88"/>
      <c r="O1064" s="90"/>
      <c r="P1064" s="88"/>
      <c r="Q1064" s="88"/>
      <c r="R1064" s="92"/>
      <c r="S1064" s="92"/>
      <c r="T1064" s="92"/>
      <c r="U1064" s="92"/>
      <c r="V1064" s="92"/>
      <c r="W1064" s="92"/>
      <c r="X1064" s="92"/>
      <c r="Y1064" s="92"/>
      <c r="Z1064" s="92"/>
      <c r="AA1064" s="92"/>
      <c r="AB1064" s="92"/>
      <c r="AC1064" s="92"/>
      <c r="AD1064" s="92"/>
      <c r="AE1064" s="92"/>
      <c r="AF1064" s="92"/>
      <c r="AG1064" s="92"/>
      <c r="AH1064" s="92"/>
      <c r="AI1064" s="92"/>
      <c r="AJ1064" s="92"/>
      <c r="AK1064" s="88"/>
      <c r="AL1064" s="88"/>
      <c r="AM1064" s="88"/>
      <c r="AN1064" s="88"/>
      <c r="AO1064" s="88"/>
      <c r="AP1064" s="88"/>
      <c r="AQ1064" s="88"/>
      <c r="AR1064" s="88"/>
    </row>
    <row r="1065" spans="1:44" ht="12.75" customHeight="1">
      <c r="A1065" s="87"/>
      <c r="B1065" s="87"/>
      <c r="C1065" s="88"/>
      <c r="D1065" s="88"/>
      <c r="E1065" s="88"/>
      <c r="F1065" s="89"/>
      <c r="G1065" s="89"/>
      <c r="H1065" s="89"/>
      <c r="I1065" s="89"/>
      <c r="J1065" s="89"/>
      <c r="K1065" s="88"/>
      <c r="L1065" s="88"/>
      <c r="M1065" s="88"/>
      <c r="N1065" s="88"/>
      <c r="O1065" s="90"/>
      <c r="P1065" s="88"/>
      <c r="Q1065" s="88"/>
      <c r="R1065" s="92"/>
      <c r="S1065" s="92"/>
      <c r="T1065" s="92"/>
      <c r="U1065" s="92"/>
      <c r="V1065" s="92"/>
      <c r="W1065" s="92"/>
      <c r="X1065" s="92"/>
      <c r="Y1065" s="92"/>
      <c r="Z1065" s="92"/>
      <c r="AA1065" s="92"/>
      <c r="AB1065" s="92"/>
      <c r="AC1065" s="92"/>
      <c r="AD1065" s="92"/>
      <c r="AE1065" s="92"/>
      <c r="AF1065" s="92"/>
      <c r="AG1065" s="92"/>
      <c r="AH1065" s="92"/>
      <c r="AI1065" s="92"/>
      <c r="AJ1065" s="92"/>
      <c r="AK1065" s="88"/>
      <c r="AL1065" s="88"/>
      <c r="AM1065" s="88"/>
      <c r="AN1065" s="88"/>
      <c r="AO1065" s="88"/>
      <c r="AP1065" s="88"/>
      <c r="AQ1065" s="88"/>
      <c r="AR1065" s="88"/>
    </row>
    <row r="1066" spans="1:44" ht="12.75" customHeight="1">
      <c r="A1066" s="87"/>
      <c r="B1066" s="87"/>
      <c r="C1066" s="88"/>
      <c r="D1066" s="88"/>
      <c r="E1066" s="88"/>
      <c r="F1066" s="89"/>
      <c r="G1066" s="89"/>
      <c r="H1066" s="89"/>
      <c r="I1066" s="89"/>
      <c r="J1066" s="89"/>
      <c r="K1066" s="88"/>
      <c r="L1066" s="88"/>
      <c r="M1066" s="88"/>
      <c r="N1066" s="88"/>
      <c r="O1066" s="90"/>
      <c r="P1066" s="88"/>
      <c r="Q1066" s="88"/>
      <c r="R1066" s="92"/>
      <c r="S1066" s="92"/>
      <c r="T1066" s="92"/>
      <c r="U1066" s="92"/>
      <c r="V1066" s="92"/>
      <c r="W1066" s="92"/>
      <c r="X1066" s="92"/>
      <c r="Y1066" s="92"/>
      <c r="Z1066" s="92"/>
      <c r="AA1066" s="92"/>
      <c r="AB1066" s="92"/>
      <c r="AC1066" s="92"/>
      <c r="AD1066" s="92"/>
      <c r="AE1066" s="92"/>
      <c r="AF1066" s="92"/>
      <c r="AG1066" s="92"/>
      <c r="AH1066" s="92"/>
      <c r="AI1066" s="92"/>
      <c r="AJ1066" s="92"/>
      <c r="AK1066" s="88"/>
      <c r="AL1066" s="88"/>
      <c r="AM1066" s="88"/>
      <c r="AN1066" s="88"/>
      <c r="AO1066" s="88"/>
      <c r="AP1066" s="88"/>
      <c r="AQ1066" s="88"/>
      <c r="AR1066" s="88"/>
    </row>
    <row r="1067" spans="1:44" ht="12.75" customHeight="1">
      <c r="A1067" s="87"/>
      <c r="B1067" s="87"/>
      <c r="C1067" s="88"/>
      <c r="D1067" s="88"/>
      <c r="E1067" s="88"/>
      <c r="F1067" s="89"/>
      <c r="G1067" s="89"/>
      <c r="H1067" s="89"/>
      <c r="I1067" s="89"/>
      <c r="J1067" s="89"/>
      <c r="K1067" s="88"/>
      <c r="L1067" s="88"/>
      <c r="M1067" s="88"/>
      <c r="N1067" s="88"/>
      <c r="O1067" s="90"/>
      <c r="P1067" s="88"/>
      <c r="Q1067" s="88"/>
      <c r="R1067" s="92"/>
      <c r="S1067" s="92"/>
      <c r="T1067" s="92"/>
      <c r="U1067" s="92"/>
      <c r="V1067" s="92"/>
      <c r="W1067" s="92"/>
      <c r="X1067" s="92"/>
      <c r="Y1067" s="92"/>
      <c r="Z1067" s="92"/>
      <c r="AA1067" s="92"/>
      <c r="AB1067" s="92"/>
      <c r="AC1067" s="92"/>
      <c r="AD1067" s="92"/>
      <c r="AE1067" s="92"/>
      <c r="AF1067" s="92"/>
      <c r="AG1067" s="92"/>
      <c r="AH1067" s="92"/>
      <c r="AI1067" s="92"/>
      <c r="AJ1067" s="92"/>
      <c r="AK1067" s="88"/>
      <c r="AL1067" s="88"/>
      <c r="AM1067" s="88"/>
      <c r="AN1067" s="88"/>
      <c r="AO1067" s="88"/>
      <c r="AP1067" s="88"/>
      <c r="AQ1067" s="88"/>
      <c r="AR1067" s="88"/>
    </row>
    <row r="1068" spans="1:44" ht="12.75" customHeight="1">
      <c r="A1068" s="87"/>
      <c r="B1068" s="87"/>
      <c r="C1068" s="88"/>
      <c r="D1068" s="88"/>
      <c r="E1068" s="88"/>
      <c r="F1068" s="89"/>
      <c r="G1068" s="89"/>
      <c r="H1068" s="89"/>
      <c r="I1068" s="89"/>
      <c r="J1068" s="89"/>
      <c r="K1068" s="88"/>
      <c r="L1068" s="88"/>
      <c r="M1068" s="88"/>
      <c r="N1068" s="88"/>
      <c r="O1068" s="90"/>
      <c r="P1068" s="88"/>
      <c r="Q1068" s="88"/>
      <c r="R1068" s="92"/>
      <c r="S1068" s="92"/>
      <c r="T1068" s="92"/>
      <c r="U1068" s="92"/>
      <c r="V1068" s="92"/>
      <c r="W1068" s="92"/>
      <c r="X1068" s="92"/>
      <c r="Y1068" s="92"/>
      <c r="Z1068" s="92"/>
      <c r="AA1068" s="92"/>
      <c r="AB1068" s="92"/>
      <c r="AC1068" s="92"/>
      <c r="AD1068" s="92"/>
      <c r="AE1068" s="92"/>
      <c r="AF1068" s="92"/>
      <c r="AG1068" s="92"/>
      <c r="AH1068" s="92"/>
      <c r="AI1068" s="92"/>
      <c r="AJ1068" s="92"/>
      <c r="AK1068" s="88"/>
      <c r="AL1068" s="88"/>
      <c r="AM1068" s="88"/>
      <c r="AN1068" s="88"/>
      <c r="AO1068" s="88"/>
      <c r="AP1068" s="88"/>
      <c r="AQ1068" s="88"/>
      <c r="AR1068" s="88"/>
    </row>
    <row r="1069" spans="1:44" ht="12.75" customHeight="1">
      <c r="A1069" s="87"/>
      <c r="B1069" s="87"/>
      <c r="C1069" s="88"/>
      <c r="D1069" s="88"/>
      <c r="E1069" s="88"/>
      <c r="F1069" s="89"/>
      <c r="G1069" s="89"/>
      <c r="H1069" s="89"/>
      <c r="I1069" s="89"/>
      <c r="J1069" s="89"/>
      <c r="K1069" s="88"/>
      <c r="L1069" s="88"/>
      <c r="M1069" s="88"/>
      <c r="N1069" s="88"/>
      <c r="O1069" s="90"/>
      <c r="P1069" s="88"/>
      <c r="Q1069" s="88"/>
      <c r="R1069" s="92"/>
      <c r="S1069" s="92"/>
      <c r="T1069" s="92"/>
      <c r="U1069" s="92"/>
      <c r="V1069" s="92"/>
      <c r="W1069" s="92"/>
      <c r="X1069" s="92"/>
      <c r="Y1069" s="92"/>
      <c r="Z1069" s="92"/>
      <c r="AA1069" s="92"/>
      <c r="AB1069" s="92"/>
      <c r="AC1069" s="92"/>
      <c r="AD1069" s="92"/>
      <c r="AE1069" s="92"/>
      <c r="AF1069" s="92"/>
      <c r="AG1069" s="92"/>
      <c r="AH1069" s="92"/>
      <c r="AI1069" s="92"/>
      <c r="AJ1069" s="92"/>
      <c r="AK1069" s="88"/>
      <c r="AL1069" s="88"/>
      <c r="AM1069" s="88"/>
      <c r="AN1069" s="88"/>
      <c r="AO1069" s="88"/>
      <c r="AP1069" s="88"/>
      <c r="AQ1069" s="88"/>
      <c r="AR1069" s="88"/>
    </row>
    <row r="1070" spans="1:44" ht="12.75" customHeight="1">
      <c r="A1070" s="87"/>
      <c r="B1070" s="87"/>
      <c r="C1070" s="88"/>
      <c r="D1070" s="88"/>
      <c r="E1070" s="88"/>
      <c r="F1070" s="89"/>
      <c r="G1070" s="89"/>
      <c r="H1070" s="89"/>
      <c r="I1070" s="89"/>
      <c r="J1070" s="89"/>
      <c r="K1070" s="88"/>
      <c r="L1070" s="88"/>
      <c r="M1070" s="88"/>
      <c r="N1070" s="88"/>
      <c r="O1070" s="90"/>
      <c r="P1070" s="88"/>
      <c r="Q1070" s="88"/>
      <c r="R1070" s="92"/>
      <c r="S1070" s="92"/>
      <c r="T1070" s="92"/>
      <c r="U1070" s="92"/>
      <c r="V1070" s="92"/>
      <c r="W1070" s="92"/>
      <c r="X1070" s="92"/>
      <c r="Y1070" s="92"/>
      <c r="Z1070" s="92"/>
      <c r="AA1070" s="92"/>
      <c r="AB1070" s="92"/>
      <c r="AC1070" s="92"/>
      <c r="AD1070" s="92"/>
      <c r="AE1070" s="92"/>
      <c r="AF1070" s="92"/>
      <c r="AG1070" s="92"/>
      <c r="AH1070" s="92"/>
      <c r="AI1070" s="92"/>
      <c r="AJ1070" s="92"/>
      <c r="AK1070" s="88"/>
      <c r="AL1070" s="88"/>
      <c r="AM1070" s="88"/>
      <c r="AN1070" s="88"/>
      <c r="AO1070" s="88"/>
      <c r="AP1070" s="88"/>
      <c r="AQ1070" s="88"/>
      <c r="AR1070" s="88"/>
    </row>
    <row r="1071" spans="1:44" ht="12.75" customHeight="1">
      <c r="A1071" s="87"/>
      <c r="B1071" s="87"/>
      <c r="C1071" s="88"/>
      <c r="D1071" s="88"/>
      <c r="E1071" s="88"/>
      <c r="F1071" s="89"/>
      <c r="G1071" s="89"/>
      <c r="H1071" s="89"/>
      <c r="I1071" s="89"/>
      <c r="J1071" s="89"/>
      <c r="K1071" s="88"/>
      <c r="L1071" s="88"/>
      <c r="M1071" s="88"/>
      <c r="N1071" s="88"/>
      <c r="O1071" s="90"/>
      <c r="P1071" s="88"/>
      <c r="Q1071" s="88"/>
      <c r="R1071" s="92"/>
      <c r="S1071" s="92"/>
      <c r="T1071" s="92"/>
      <c r="U1071" s="92"/>
      <c r="V1071" s="92"/>
      <c r="W1071" s="92"/>
      <c r="X1071" s="92"/>
      <c r="Y1071" s="92"/>
      <c r="Z1071" s="92"/>
      <c r="AA1071" s="92"/>
      <c r="AB1071" s="92"/>
      <c r="AC1071" s="92"/>
      <c r="AD1071" s="92"/>
      <c r="AE1071" s="92"/>
      <c r="AF1071" s="92"/>
      <c r="AG1071" s="92"/>
      <c r="AH1071" s="92"/>
      <c r="AI1071" s="92"/>
      <c r="AJ1071" s="92"/>
      <c r="AK1071" s="88"/>
      <c r="AL1071" s="88"/>
      <c r="AM1071" s="88"/>
      <c r="AN1071" s="88"/>
      <c r="AO1071" s="88"/>
      <c r="AP1071" s="88"/>
      <c r="AQ1071" s="88"/>
      <c r="AR1071" s="88"/>
    </row>
    <row r="1072" spans="1:44" ht="12.75" customHeight="1">
      <c r="A1072" s="87"/>
      <c r="B1072" s="87"/>
      <c r="C1072" s="88"/>
      <c r="D1072" s="88"/>
      <c r="E1072" s="88"/>
      <c r="F1072" s="89"/>
      <c r="G1072" s="89"/>
      <c r="H1072" s="89"/>
      <c r="I1072" s="89"/>
      <c r="J1072" s="89"/>
      <c r="K1072" s="88"/>
      <c r="L1072" s="88"/>
      <c r="M1072" s="88"/>
      <c r="N1072" s="88"/>
      <c r="O1072" s="90"/>
      <c r="P1072" s="88"/>
      <c r="Q1072" s="88"/>
      <c r="R1072" s="92"/>
      <c r="S1072" s="92"/>
      <c r="T1072" s="92"/>
      <c r="U1072" s="92"/>
      <c r="V1072" s="92"/>
      <c r="W1072" s="92"/>
      <c r="X1072" s="92"/>
      <c r="Y1072" s="92"/>
      <c r="Z1072" s="92"/>
      <c r="AA1072" s="92"/>
      <c r="AB1072" s="92"/>
      <c r="AC1072" s="92"/>
      <c r="AD1072" s="92"/>
      <c r="AE1072" s="92"/>
      <c r="AF1072" s="92"/>
      <c r="AG1072" s="92"/>
      <c r="AH1072" s="92"/>
      <c r="AI1072" s="92"/>
      <c r="AJ1072" s="92"/>
      <c r="AK1072" s="88"/>
      <c r="AL1072" s="88"/>
      <c r="AM1072" s="88"/>
      <c r="AN1072" s="88"/>
      <c r="AO1072" s="88"/>
      <c r="AP1072" s="88"/>
      <c r="AQ1072" s="88"/>
      <c r="AR1072" s="88"/>
    </row>
    <row r="1073" spans="1:44" ht="12.75" customHeight="1">
      <c r="A1073" s="87"/>
      <c r="B1073" s="87"/>
      <c r="C1073" s="88"/>
      <c r="D1073" s="88"/>
      <c r="E1073" s="88"/>
      <c r="F1073" s="89"/>
      <c r="G1073" s="89"/>
      <c r="H1073" s="89"/>
      <c r="I1073" s="89"/>
      <c r="J1073" s="89"/>
      <c r="K1073" s="88"/>
      <c r="L1073" s="88"/>
      <c r="M1073" s="88"/>
      <c r="N1073" s="88"/>
      <c r="O1073" s="90"/>
      <c r="P1073" s="88"/>
      <c r="Q1073" s="88"/>
      <c r="R1073" s="92"/>
      <c r="S1073" s="92"/>
      <c r="T1073" s="92"/>
      <c r="U1073" s="92"/>
      <c r="V1073" s="92"/>
      <c r="W1073" s="92"/>
      <c r="X1073" s="92"/>
      <c r="Y1073" s="92"/>
      <c r="Z1073" s="92"/>
      <c r="AA1073" s="92"/>
      <c r="AB1073" s="92"/>
      <c r="AC1073" s="92"/>
      <c r="AD1073" s="92"/>
      <c r="AE1073" s="92"/>
      <c r="AF1073" s="92"/>
      <c r="AG1073" s="92"/>
      <c r="AH1073" s="92"/>
      <c r="AI1073" s="92"/>
      <c r="AJ1073" s="92"/>
      <c r="AK1073" s="88"/>
      <c r="AL1073" s="88"/>
      <c r="AM1073" s="88"/>
      <c r="AN1073" s="88"/>
      <c r="AO1073" s="88"/>
      <c r="AP1073" s="88"/>
      <c r="AQ1073" s="88"/>
      <c r="AR1073" s="88"/>
    </row>
    <row r="1074" spans="1:44" ht="12.75" customHeight="1">
      <c r="A1074" s="87"/>
      <c r="B1074" s="87"/>
      <c r="C1074" s="88"/>
      <c r="D1074" s="88"/>
      <c r="E1074" s="88"/>
      <c r="F1074" s="89"/>
      <c r="G1074" s="89"/>
      <c r="H1074" s="89"/>
      <c r="I1074" s="89"/>
      <c r="J1074" s="89"/>
      <c r="K1074" s="88"/>
      <c r="L1074" s="88"/>
      <c r="M1074" s="88"/>
      <c r="N1074" s="88"/>
      <c r="O1074" s="90"/>
      <c r="P1074" s="88"/>
      <c r="Q1074" s="88"/>
      <c r="R1074" s="92"/>
      <c r="S1074" s="92"/>
      <c r="T1074" s="92"/>
      <c r="U1074" s="92"/>
      <c r="V1074" s="92"/>
      <c r="W1074" s="92"/>
      <c r="X1074" s="92"/>
      <c r="Y1074" s="92"/>
      <c r="Z1074" s="92"/>
      <c r="AA1074" s="92"/>
      <c r="AB1074" s="92"/>
      <c r="AC1074" s="92"/>
      <c r="AD1074" s="92"/>
      <c r="AE1074" s="92"/>
      <c r="AF1074" s="92"/>
      <c r="AG1074" s="92"/>
      <c r="AH1074" s="92"/>
      <c r="AI1074" s="92"/>
      <c r="AJ1074" s="92"/>
      <c r="AK1074" s="88"/>
      <c r="AL1074" s="88"/>
      <c r="AM1074" s="88"/>
      <c r="AN1074" s="88"/>
      <c r="AO1074" s="88"/>
      <c r="AP1074" s="88"/>
      <c r="AQ1074" s="88"/>
      <c r="AR1074" s="88"/>
    </row>
    <row r="1075" spans="1:44" ht="12.75" customHeight="1">
      <c r="A1075" s="87"/>
      <c r="B1075" s="87"/>
      <c r="C1075" s="88"/>
      <c r="D1075" s="88"/>
      <c r="E1075" s="88"/>
      <c r="F1075" s="89"/>
      <c r="G1075" s="89"/>
      <c r="H1075" s="89"/>
      <c r="I1075" s="89"/>
      <c r="J1075" s="89"/>
      <c r="K1075" s="88"/>
      <c r="L1075" s="88"/>
      <c r="M1075" s="88"/>
      <c r="N1075" s="88"/>
      <c r="O1075" s="90"/>
      <c r="P1075" s="88"/>
      <c r="Q1075" s="88"/>
      <c r="R1075" s="92"/>
      <c r="S1075" s="92"/>
      <c r="T1075" s="92"/>
      <c r="U1075" s="92"/>
      <c r="V1075" s="92"/>
      <c r="W1075" s="92"/>
      <c r="X1075" s="92"/>
      <c r="Y1075" s="92"/>
      <c r="Z1075" s="92"/>
      <c r="AA1075" s="92"/>
      <c r="AB1075" s="92"/>
      <c r="AC1075" s="92"/>
      <c r="AD1075" s="92"/>
      <c r="AE1075" s="92"/>
      <c r="AF1075" s="92"/>
      <c r="AG1075" s="92"/>
      <c r="AH1075" s="92"/>
      <c r="AI1075" s="92"/>
      <c r="AJ1075" s="92"/>
      <c r="AK1075" s="88"/>
      <c r="AL1075" s="88"/>
      <c r="AM1075" s="88"/>
      <c r="AN1075" s="88"/>
      <c r="AO1075" s="88"/>
      <c r="AP1075" s="88"/>
      <c r="AQ1075" s="88"/>
      <c r="AR1075" s="88"/>
    </row>
    <row r="1076" spans="1:44" ht="12.75" customHeight="1">
      <c r="A1076" s="87"/>
      <c r="B1076" s="87"/>
      <c r="C1076" s="88"/>
      <c r="D1076" s="88"/>
      <c r="E1076" s="88"/>
      <c r="F1076" s="89"/>
      <c r="G1076" s="89"/>
      <c r="H1076" s="89"/>
      <c r="I1076" s="89"/>
      <c r="J1076" s="89"/>
      <c r="K1076" s="88"/>
      <c r="L1076" s="88"/>
      <c r="M1076" s="88"/>
      <c r="N1076" s="88"/>
      <c r="O1076" s="90"/>
      <c r="P1076" s="88"/>
      <c r="Q1076" s="88"/>
      <c r="R1076" s="92"/>
      <c r="S1076" s="92"/>
      <c r="T1076" s="92"/>
      <c r="U1076" s="92"/>
      <c r="V1076" s="92"/>
      <c r="W1076" s="92"/>
      <c r="X1076" s="92"/>
      <c r="Y1076" s="92"/>
      <c r="Z1076" s="92"/>
      <c r="AA1076" s="92"/>
      <c r="AB1076" s="92"/>
      <c r="AC1076" s="92"/>
      <c r="AD1076" s="92"/>
      <c r="AE1076" s="92"/>
      <c r="AF1076" s="92"/>
      <c r="AG1076" s="92"/>
      <c r="AH1076" s="92"/>
      <c r="AI1076" s="92"/>
      <c r="AJ1076" s="92"/>
      <c r="AK1076" s="88"/>
      <c r="AL1076" s="88"/>
      <c r="AM1076" s="88"/>
      <c r="AN1076" s="88"/>
      <c r="AO1076" s="88"/>
      <c r="AP1076" s="88"/>
      <c r="AQ1076" s="88"/>
      <c r="AR1076" s="88"/>
    </row>
    <row r="1077" spans="1:44" ht="12.75" customHeight="1">
      <c r="A1077" s="87"/>
      <c r="B1077" s="87"/>
      <c r="C1077" s="88"/>
      <c r="D1077" s="88"/>
      <c r="E1077" s="88"/>
      <c r="F1077" s="89"/>
      <c r="G1077" s="89"/>
      <c r="H1077" s="89"/>
      <c r="I1077" s="89"/>
      <c r="J1077" s="89"/>
      <c r="K1077" s="88"/>
      <c r="L1077" s="88"/>
      <c r="M1077" s="88"/>
      <c r="N1077" s="88"/>
      <c r="O1077" s="90"/>
      <c r="P1077" s="88"/>
      <c r="Q1077" s="88"/>
      <c r="R1077" s="92"/>
      <c r="S1077" s="92"/>
      <c r="T1077" s="92"/>
      <c r="U1077" s="92"/>
      <c r="V1077" s="92"/>
      <c r="W1077" s="92"/>
      <c r="X1077" s="92"/>
      <c r="Y1077" s="92"/>
      <c r="Z1077" s="92"/>
      <c r="AA1077" s="92"/>
      <c r="AB1077" s="92"/>
      <c r="AC1077" s="92"/>
      <c r="AD1077" s="92"/>
      <c r="AE1077" s="92"/>
      <c r="AF1077" s="92"/>
      <c r="AG1077" s="92"/>
      <c r="AH1077" s="92"/>
      <c r="AI1077" s="92"/>
      <c r="AJ1077" s="92"/>
      <c r="AK1077" s="88"/>
      <c r="AL1077" s="88"/>
      <c r="AM1077" s="88"/>
      <c r="AN1077" s="88"/>
      <c r="AO1077" s="88"/>
      <c r="AP1077" s="88"/>
      <c r="AQ1077" s="88"/>
      <c r="AR1077" s="88"/>
    </row>
    <row r="1078" spans="1:44" ht="12.75" customHeight="1">
      <c r="A1078" s="87"/>
      <c r="B1078" s="87"/>
      <c r="C1078" s="88"/>
      <c r="D1078" s="88"/>
      <c r="E1078" s="88"/>
      <c r="F1078" s="89"/>
      <c r="G1078" s="89"/>
      <c r="H1078" s="89"/>
      <c r="I1078" s="89"/>
      <c r="J1078" s="89"/>
      <c r="K1078" s="88"/>
      <c r="L1078" s="88"/>
      <c r="M1078" s="88"/>
      <c r="N1078" s="88"/>
      <c r="O1078" s="90"/>
      <c r="P1078" s="88"/>
      <c r="Q1078" s="88"/>
      <c r="R1078" s="92"/>
      <c r="S1078" s="92"/>
      <c r="T1078" s="92"/>
      <c r="U1078" s="92"/>
      <c r="V1078" s="92"/>
      <c r="W1078" s="92"/>
      <c r="X1078" s="92"/>
      <c r="Y1078" s="92"/>
      <c r="Z1078" s="92"/>
      <c r="AA1078" s="92"/>
      <c r="AB1078" s="92"/>
      <c r="AC1078" s="92"/>
      <c r="AD1078" s="92"/>
      <c r="AE1078" s="92"/>
      <c r="AF1078" s="92"/>
      <c r="AG1078" s="92"/>
      <c r="AH1078" s="92"/>
      <c r="AI1078" s="92"/>
      <c r="AJ1078" s="92"/>
      <c r="AK1078" s="88"/>
      <c r="AL1078" s="88"/>
      <c r="AM1078" s="88"/>
      <c r="AN1078" s="88"/>
      <c r="AO1078" s="88"/>
      <c r="AP1078" s="88"/>
      <c r="AQ1078" s="88"/>
      <c r="AR1078" s="88"/>
    </row>
  </sheetData>
  <mergeCells count="18">
    <mergeCell ref="R3:U3"/>
    <mergeCell ref="V3:Y3"/>
    <mergeCell ref="Z3:AA3"/>
    <mergeCell ref="AD3:AF3"/>
    <mergeCell ref="AK3:AL3"/>
    <mergeCell ref="AH3:AI3"/>
    <mergeCell ref="R4:S4"/>
    <mergeCell ref="T4:U4"/>
    <mergeCell ref="D4:E4"/>
    <mergeCell ref="X4:Y4"/>
    <mergeCell ref="AO4:AP4"/>
    <mergeCell ref="V4:W4"/>
    <mergeCell ref="AH4:AI4"/>
    <mergeCell ref="AK4:AL4"/>
    <mergeCell ref="AM4:AN4"/>
    <mergeCell ref="J4:K4"/>
    <mergeCell ref="L4:M4"/>
    <mergeCell ref="P4:Q4"/>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Z904"/>
  <sheetViews>
    <sheetView view="pageBreakPreview" zoomScale="60" zoomScaleNormal="100" workbookViewId="0">
      <pane ySplit="5" topLeftCell="A6" activePane="bottomLeft" state="frozen"/>
      <selection pane="bottomLeft" activeCell="F15" sqref="F15"/>
    </sheetView>
  </sheetViews>
  <sheetFormatPr defaultColWidth="12.5546875" defaultRowHeight="15" customHeight="1"/>
  <cols>
    <col min="1" max="1" width="7.44140625" customWidth="1"/>
    <col min="2" max="2" width="0.6640625" customWidth="1"/>
    <col min="3" max="3" width="40.44140625" customWidth="1"/>
    <col min="4" max="4" width="0.6640625" customWidth="1"/>
    <col min="5" max="5" width="11.6640625" customWidth="1"/>
    <col min="6" max="6" width="7.33203125" customWidth="1"/>
    <col min="7" max="7" width="12.6640625" customWidth="1"/>
    <col min="8" max="8" width="16.33203125" customWidth="1"/>
    <col min="9" max="9" width="9.33203125" customWidth="1"/>
    <col min="10" max="10" width="19.33203125" customWidth="1"/>
    <col min="11" max="26" width="9.33203125" customWidth="1"/>
  </cols>
  <sheetData>
    <row r="1" spans="1:26" ht="7.5" customHeight="1">
      <c r="A1" s="501"/>
      <c r="B1" s="502"/>
      <c r="C1" s="502"/>
      <c r="D1" s="502"/>
      <c r="E1" s="605"/>
      <c r="F1" s="563"/>
      <c r="G1" s="606"/>
      <c r="H1" s="607"/>
      <c r="I1" s="1"/>
      <c r="J1" s="1"/>
      <c r="K1" s="1"/>
      <c r="L1" s="1"/>
      <c r="M1" s="1"/>
      <c r="N1" s="1"/>
      <c r="O1" s="1"/>
      <c r="P1" s="1"/>
      <c r="Q1" s="1"/>
      <c r="R1" s="1"/>
      <c r="S1" s="1"/>
      <c r="T1" s="1"/>
      <c r="U1" s="1"/>
      <c r="V1" s="1"/>
      <c r="W1" s="1"/>
      <c r="X1" s="1"/>
      <c r="Y1" s="1"/>
      <c r="Z1" s="1"/>
    </row>
    <row r="2" spans="1:26" ht="15.75" customHeight="1">
      <c r="A2" s="608" t="s">
        <v>1260</v>
      </c>
      <c r="B2" s="490"/>
      <c r="C2" s="450"/>
      <c r="D2" s="450"/>
      <c r="E2" s="609"/>
      <c r="F2" s="610"/>
      <c r="G2" s="450"/>
      <c r="H2" s="611"/>
      <c r="I2" s="1"/>
      <c r="J2" s="1"/>
      <c r="K2" s="1"/>
      <c r="L2" s="1"/>
      <c r="M2" s="1"/>
      <c r="N2" s="1"/>
      <c r="O2" s="1"/>
      <c r="P2" s="1"/>
      <c r="Q2" s="1"/>
      <c r="R2" s="1"/>
      <c r="S2" s="1"/>
      <c r="T2" s="1"/>
      <c r="U2" s="1"/>
      <c r="V2" s="1"/>
      <c r="W2" s="1"/>
      <c r="X2" s="1"/>
      <c r="Y2" s="1"/>
      <c r="Z2" s="1"/>
    </row>
    <row r="3" spans="1:26" ht="14.25" customHeight="1">
      <c r="A3" s="458"/>
      <c r="B3" s="450"/>
      <c r="C3" s="450" t="s">
        <v>1156</v>
      </c>
      <c r="D3" s="450"/>
      <c r="E3" s="612"/>
      <c r="F3" s="612"/>
      <c r="G3" s="471"/>
      <c r="H3" s="613"/>
      <c r="I3" s="3"/>
      <c r="J3" s="3"/>
      <c r="K3" s="3"/>
      <c r="L3" s="3"/>
      <c r="M3" s="3"/>
      <c r="N3" s="3"/>
      <c r="O3" s="3"/>
      <c r="P3" s="3"/>
      <c r="Q3" s="3"/>
      <c r="R3" s="3"/>
      <c r="S3" s="3"/>
      <c r="T3" s="3"/>
      <c r="U3" s="3"/>
      <c r="V3" s="3"/>
      <c r="W3" s="3"/>
      <c r="X3" s="3"/>
      <c r="Y3" s="3"/>
      <c r="Z3" s="3"/>
    </row>
    <row r="4" spans="1:26" ht="18" customHeight="1">
      <c r="A4" s="508" t="s">
        <v>1</v>
      </c>
      <c r="B4" s="766" t="s">
        <v>2</v>
      </c>
      <c r="C4" s="767"/>
      <c r="D4" s="4"/>
      <c r="E4" s="815" t="s">
        <v>14</v>
      </c>
      <c r="F4" s="781" t="s">
        <v>15</v>
      </c>
      <c r="G4" s="782" t="s">
        <v>16</v>
      </c>
      <c r="H4" s="614" t="s">
        <v>3</v>
      </c>
      <c r="I4" s="3"/>
      <c r="J4" s="787" t="s">
        <v>17</v>
      </c>
      <c r="K4" s="3"/>
      <c r="L4" s="3"/>
      <c r="M4" s="3"/>
      <c r="N4" s="3"/>
      <c r="O4" s="3"/>
      <c r="P4" s="3"/>
      <c r="Q4" s="3"/>
      <c r="R4" s="3"/>
      <c r="S4" s="3"/>
      <c r="T4" s="3"/>
      <c r="U4" s="3"/>
      <c r="V4" s="3"/>
      <c r="W4" s="3"/>
      <c r="X4" s="3"/>
      <c r="Y4" s="3"/>
      <c r="Z4" s="3"/>
    </row>
    <row r="5" spans="1:26" ht="18" customHeight="1">
      <c r="A5" s="510" t="s">
        <v>4</v>
      </c>
      <c r="B5" s="768"/>
      <c r="C5" s="769"/>
      <c r="D5" s="5"/>
      <c r="E5" s="780"/>
      <c r="F5" s="780"/>
      <c r="G5" s="780"/>
      <c r="H5" s="615" t="s">
        <v>5</v>
      </c>
      <c r="I5" s="3"/>
      <c r="J5" s="780"/>
      <c r="K5" s="3"/>
      <c r="L5" s="3"/>
      <c r="M5" s="3"/>
      <c r="N5" s="3"/>
      <c r="O5" s="3"/>
      <c r="P5" s="3"/>
      <c r="Q5" s="3"/>
      <c r="R5" s="3"/>
      <c r="S5" s="3"/>
      <c r="T5" s="3"/>
      <c r="U5" s="3"/>
      <c r="V5" s="3"/>
      <c r="W5" s="3"/>
      <c r="X5" s="3"/>
      <c r="Y5" s="3"/>
      <c r="Z5" s="3"/>
    </row>
    <row r="6" spans="1:26" ht="14.25" customHeight="1">
      <c r="A6" s="465"/>
      <c r="B6" s="369"/>
      <c r="C6" s="373"/>
      <c r="D6" s="371"/>
      <c r="E6" s="616"/>
      <c r="F6" s="15"/>
      <c r="G6" s="617"/>
      <c r="H6" s="618"/>
      <c r="I6" s="1"/>
      <c r="J6" s="1"/>
      <c r="K6" s="1"/>
      <c r="L6" s="1"/>
      <c r="M6" s="1"/>
      <c r="N6" s="1"/>
      <c r="O6" s="1"/>
      <c r="P6" s="1"/>
      <c r="Q6" s="1"/>
      <c r="R6" s="1"/>
      <c r="S6" s="1"/>
      <c r="T6" s="1"/>
      <c r="U6" s="1"/>
      <c r="V6" s="1"/>
      <c r="W6" s="1"/>
      <c r="X6" s="1"/>
      <c r="Y6" s="1"/>
      <c r="Z6" s="1"/>
    </row>
    <row r="7" spans="1:26" ht="14.25" customHeight="1">
      <c r="A7" s="465"/>
      <c r="B7" s="369"/>
      <c r="C7" s="514" t="s">
        <v>18</v>
      </c>
      <c r="D7" s="371"/>
      <c r="E7" s="616"/>
      <c r="F7" s="376"/>
      <c r="G7" s="617"/>
      <c r="H7" s="618"/>
      <c r="I7" s="1"/>
      <c r="J7" s="1"/>
      <c r="K7" s="1"/>
      <c r="L7" s="1"/>
      <c r="M7" s="1"/>
      <c r="N7" s="1"/>
      <c r="O7" s="1"/>
      <c r="P7" s="1"/>
      <c r="Q7" s="1"/>
      <c r="R7" s="1"/>
      <c r="S7" s="1"/>
      <c r="T7" s="1"/>
      <c r="U7" s="1"/>
      <c r="V7" s="1"/>
      <c r="W7" s="1"/>
      <c r="X7" s="1"/>
      <c r="Y7" s="1"/>
      <c r="Z7" s="1"/>
    </row>
    <row r="8" spans="1:26" ht="14.25" customHeight="1">
      <c r="A8" s="465"/>
      <c r="B8" s="369"/>
      <c r="C8" s="578" t="s">
        <v>1158</v>
      </c>
      <c r="D8" s="371"/>
      <c r="E8" s="616"/>
      <c r="F8" s="376"/>
      <c r="G8" s="617"/>
      <c r="H8" s="618"/>
      <c r="I8" s="1"/>
      <c r="J8" s="1"/>
      <c r="K8" s="1"/>
      <c r="L8" s="1"/>
      <c r="M8" s="1"/>
      <c r="N8" s="1"/>
      <c r="O8" s="1"/>
      <c r="P8" s="1"/>
      <c r="Q8" s="1"/>
      <c r="R8" s="1"/>
      <c r="S8" s="1"/>
      <c r="T8" s="1"/>
      <c r="U8" s="1"/>
      <c r="V8" s="1"/>
      <c r="W8" s="1"/>
      <c r="X8" s="1"/>
      <c r="Y8" s="1"/>
      <c r="Z8" s="1"/>
    </row>
    <row r="9" spans="1:26" ht="14.25" customHeight="1">
      <c r="A9" s="475"/>
      <c r="B9" s="476"/>
      <c r="C9" s="466" t="s">
        <v>39</v>
      </c>
      <c r="D9" s="467"/>
      <c r="E9" s="619"/>
      <c r="F9" s="358"/>
      <c r="G9" s="620"/>
      <c r="H9" s="621"/>
      <c r="I9" s="1"/>
      <c r="J9" s="1"/>
      <c r="K9" s="1"/>
      <c r="L9" s="1"/>
      <c r="M9" s="1"/>
      <c r="N9" s="1"/>
      <c r="O9" s="1"/>
      <c r="P9" s="1"/>
      <c r="Q9" s="1"/>
      <c r="R9" s="1"/>
      <c r="S9" s="1"/>
      <c r="T9" s="1"/>
      <c r="U9" s="1"/>
      <c r="V9" s="1"/>
      <c r="W9" s="1"/>
      <c r="X9" s="1"/>
      <c r="Y9" s="1"/>
      <c r="Z9" s="1"/>
    </row>
    <row r="10" spans="1:26" ht="14.25" customHeight="1">
      <c r="A10" s="475"/>
      <c r="B10" s="476"/>
      <c r="C10" s="466" t="s">
        <v>42</v>
      </c>
      <c r="D10" s="467"/>
      <c r="E10" s="619"/>
      <c r="F10" s="358"/>
      <c r="G10" s="622"/>
      <c r="H10" s="621"/>
      <c r="I10" s="1"/>
      <c r="J10" s="1"/>
      <c r="K10" s="1"/>
      <c r="L10" s="1"/>
      <c r="M10" s="1"/>
      <c r="N10" s="1"/>
      <c r="O10" s="1"/>
      <c r="P10" s="1"/>
      <c r="Q10" s="1"/>
      <c r="R10" s="1"/>
      <c r="S10" s="1"/>
      <c r="T10" s="1"/>
      <c r="U10" s="1"/>
      <c r="V10" s="1"/>
      <c r="W10" s="1"/>
      <c r="X10" s="1"/>
      <c r="Y10" s="1"/>
      <c r="Z10" s="1"/>
    </row>
    <row r="11" spans="1:26" ht="14.25" customHeight="1">
      <c r="A11" s="475"/>
      <c r="B11" s="476"/>
      <c r="C11" s="474"/>
      <c r="D11" s="467"/>
      <c r="E11" s="623"/>
      <c r="F11" s="358"/>
      <c r="G11" s="620"/>
      <c r="H11" s="621"/>
      <c r="I11" s="1"/>
      <c r="J11" s="1"/>
      <c r="K11" s="1"/>
      <c r="L11" s="1"/>
      <c r="M11" s="1"/>
      <c r="N11" s="1"/>
      <c r="O11" s="1"/>
      <c r="P11" s="1"/>
      <c r="Q11" s="1"/>
      <c r="R11" s="1"/>
      <c r="S11" s="1"/>
      <c r="T11" s="1"/>
      <c r="U11" s="1"/>
      <c r="V11" s="1"/>
      <c r="W11" s="1"/>
      <c r="X11" s="1"/>
      <c r="Y11" s="1"/>
      <c r="Z11" s="1"/>
    </row>
    <row r="12" spans="1:26" ht="14.25" customHeight="1">
      <c r="A12" s="475" t="s">
        <v>22</v>
      </c>
      <c r="B12" s="476"/>
      <c r="C12" s="474" t="s">
        <v>562</v>
      </c>
      <c r="D12" s="467"/>
      <c r="E12" s="624">
        <f>J12</f>
        <v>47.926249999999996</v>
      </c>
      <c r="F12" s="358" t="s">
        <v>563</v>
      </c>
      <c r="G12" s="368">
        <v>19.75</v>
      </c>
      <c r="H12" s="513">
        <f>+G12*E12</f>
        <v>946.54343749999987</v>
      </c>
      <c r="I12" s="1"/>
      <c r="J12" s="24">
        <f>M.S!I296+M.S!I297+M.S!I302+M.S!I303</f>
        <v>47.926249999999996</v>
      </c>
      <c r="K12" s="1"/>
      <c r="L12" s="1"/>
      <c r="M12" s="1"/>
      <c r="N12" s="1"/>
      <c r="O12" s="1"/>
      <c r="P12" s="1"/>
      <c r="Q12" s="1"/>
      <c r="R12" s="1"/>
      <c r="S12" s="1"/>
      <c r="T12" s="1"/>
      <c r="U12" s="1"/>
      <c r="V12" s="1"/>
      <c r="W12" s="1"/>
      <c r="X12" s="1"/>
      <c r="Y12" s="1"/>
      <c r="Z12" s="1"/>
    </row>
    <row r="13" spans="1:26" ht="14.25" customHeight="1">
      <c r="A13" s="475"/>
      <c r="B13" s="476"/>
      <c r="C13" s="474"/>
      <c r="D13" s="467"/>
      <c r="E13" s="624"/>
      <c r="F13" s="358"/>
      <c r="G13" s="375"/>
      <c r="H13" s="513"/>
      <c r="I13" s="1"/>
      <c r="J13" s="140"/>
      <c r="K13" s="1"/>
      <c r="L13" s="1"/>
      <c r="M13" s="1"/>
      <c r="N13" s="1"/>
      <c r="O13" s="1"/>
      <c r="P13" s="1"/>
      <c r="Q13" s="1"/>
      <c r="R13" s="1"/>
      <c r="S13" s="1"/>
      <c r="T13" s="1"/>
      <c r="U13" s="1"/>
      <c r="V13" s="1"/>
      <c r="W13" s="1"/>
      <c r="X13" s="1"/>
      <c r="Y13" s="1"/>
      <c r="Z13" s="1"/>
    </row>
    <row r="14" spans="1:26" ht="14.25" customHeight="1">
      <c r="A14" s="475"/>
      <c r="B14" s="476"/>
      <c r="C14" s="466" t="s">
        <v>46</v>
      </c>
      <c r="D14" s="467"/>
      <c r="E14" s="623"/>
      <c r="F14" s="358"/>
      <c r="G14" s="620"/>
      <c r="H14" s="621"/>
      <c r="I14" s="1"/>
      <c r="J14" s="1"/>
      <c r="K14" s="1"/>
      <c r="L14" s="1"/>
      <c r="M14" s="1"/>
      <c r="N14" s="1"/>
      <c r="O14" s="1"/>
      <c r="P14" s="1"/>
      <c r="Q14" s="1"/>
      <c r="R14" s="1"/>
      <c r="S14" s="1"/>
      <c r="T14" s="1"/>
      <c r="U14" s="1"/>
      <c r="V14" s="1"/>
      <c r="W14" s="1"/>
      <c r="X14" s="1"/>
      <c r="Y14" s="1"/>
      <c r="Z14" s="1"/>
    </row>
    <row r="15" spans="1:26" ht="14.25" customHeight="1">
      <c r="A15" s="475" t="s">
        <v>25</v>
      </c>
      <c r="B15" s="476"/>
      <c r="C15" s="474" t="s">
        <v>562</v>
      </c>
      <c r="D15" s="467"/>
      <c r="E15" s="624">
        <f>J15</f>
        <v>33.757000000000005</v>
      </c>
      <c r="F15" s="358" t="s">
        <v>564</v>
      </c>
      <c r="G15" s="368">
        <v>2</v>
      </c>
      <c r="H15" s="513">
        <f>+G15*E15</f>
        <v>67.51400000000001</v>
      </c>
      <c r="I15" s="1"/>
      <c r="J15" s="24">
        <f>M.S!X299+M.S!X305</f>
        <v>33.757000000000005</v>
      </c>
      <c r="K15" s="1"/>
      <c r="L15" s="1"/>
      <c r="M15" s="1"/>
      <c r="N15" s="1"/>
      <c r="O15" s="1"/>
      <c r="P15" s="1"/>
      <c r="Q15" s="1"/>
      <c r="R15" s="1"/>
      <c r="S15" s="1"/>
      <c r="T15" s="1"/>
      <c r="U15" s="1"/>
      <c r="V15" s="1"/>
      <c r="W15" s="1"/>
      <c r="X15" s="1"/>
      <c r="Y15" s="1"/>
      <c r="Z15" s="1"/>
    </row>
    <row r="16" spans="1:26" ht="14.25" customHeight="1">
      <c r="A16" s="529"/>
      <c r="B16" s="476"/>
      <c r="C16" s="530"/>
      <c r="D16" s="467"/>
      <c r="E16" s="625"/>
      <c r="F16" s="358"/>
      <c r="G16" s="622"/>
      <c r="H16" s="621"/>
      <c r="I16" s="1"/>
      <c r="J16" s="1"/>
      <c r="K16" s="1"/>
      <c r="L16" s="1"/>
      <c r="M16" s="1"/>
      <c r="N16" s="1"/>
      <c r="O16" s="1"/>
      <c r="P16" s="1"/>
      <c r="Q16" s="1"/>
      <c r="R16" s="1"/>
      <c r="S16" s="1"/>
      <c r="T16" s="1"/>
      <c r="U16" s="1"/>
      <c r="V16" s="1"/>
      <c r="W16" s="1"/>
      <c r="X16" s="1"/>
      <c r="Y16" s="1"/>
      <c r="Z16" s="1"/>
    </row>
    <row r="17" spans="1:26" ht="14.25" customHeight="1">
      <c r="A17" s="475"/>
      <c r="B17" s="476"/>
      <c r="C17" s="466" t="s">
        <v>50</v>
      </c>
      <c r="D17" s="467"/>
      <c r="E17" s="619"/>
      <c r="F17" s="358"/>
      <c r="G17" s="620"/>
      <c r="H17" s="621"/>
      <c r="I17" s="1"/>
      <c r="J17" s="1"/>
      <c r="K17" s="1"/>
      <c r="L17" s="1"/>
      <c r="M17" s="1"/>
      <c r="N17" s="1"/>
      <c r="O17" s="1"/>
      <c r="P17" s="1"/>
      <c r="Q17" s="1"/>
      <c r="R17" s="1"/>
      <c r="S17" s="1"/>
      <c r="T17" s="1"/>
      <c r="U17" s="1"/>
      <c r="V17" s="1"/>
      <c r="W17" s="1"/>
      <c r="X17" s="1"/>
      <c r="Y17" s="1"/>
      <c r="Z17" s="1"/>
    </row>
    <row r="18" spans="1:26" ht="14.25" customHeight="1">
      <c r="A18" s="475"/>
      <c r="B18" s="476"/>
      <c r="C18" s="474" t="s">
        <v>565</v>
      </c>
      <c r="D18" s="467"/>
      <c r="E18" s="623"/>
      <c r="F18" s="358"/>
      <c r="G18" s="620"/>
      <c r="H18" s="621"/>
      <c r="I18" s="1"/>
      <c r="J18" s="1"/>
      <c r="K18" s="1"/>
      <c r="L18" s="1"/>
      <c r="M18" s="1"/>
      <c r="N18" s="1"/>
      <c r="O18" s="1"/>
      <c r="P18" s="1"/>
      <c r="Q18" s="1"/>
      <c r="R18" s="1"/>
      <c r="S18" s="1"/>
      <c r="T18" s="1"/>
      <c r="U18" s="1"/>
      <c r="V18" s="1"/>
      <c r="W18" s="1"/>
      <c r="X18" s="1"/>
      <c r="Y18" s="1"/>
      <c r="Z18" s="1"/>
    </row>
    <row r="19" spans="1:26" ht="14.25" customHeight="1">
      <c r="A19" s="515"/>
      <c r="B19" s="476"/>
      <c r="C19" s="474"/>
      <c r="D19" s="467"/>
      <c r="E19" s="623"/>
      <c r="F19" s="358"/>
      <c r="G19" s="622"/>
      <c r="H19" s="621"/>
      <c r="I19" s="1"/>
      <c r="J19" s="1"/>
      <c r="K19" s="1"/>
      <c r="L19" s="1"/>
      <c r="M19" s="1"/>
      <c r="N19" s="1"/>
      <c r="O19" s="1"/>
      <c r="P19" s="1"/>
      <c r="Q19" s="1"/>
      <c r="R19" s="1"/>
      <c r="S19" s="1"/>
      <c r="T19" s="1"/>
      <c r="U19" s="1"/>
      <c r="V19" s="1"/>
      <c r="W19" s="1"/>
      <c r="X19" s="1"/>
      <c r="Y19" s="1"/>
      <c r="Z19" s="1"/>
    </row>
    <row r="20" spans="1:26" ht="14.25" customHeight="1">
      <c r="A20" s="475" t="s">
        <v>28</v>
      </c>
      <c r="B20" s="476"/>
      <c r="C20" s="474" t="s">
        <v>566</v>
      </c>
      <c r="D20" s="467"/>
      <c r="E20" s="624">
        <f>J20</f>
        <v>4914.7560000000003</v>
      </c>
      <c r="F20" s="358" t="s">
        <v>79</v>
      </c>
      <c r="G20" s="368">
        <v>0.29499999999999998</v>
      </c>
      <c r="H20" s="513">
        <f>+G20*E20</f>
        <v>1449.85302</v>
      </c>
      <c r="I20" s="1"/>
      <c r="J20" s="24">
        <f>4680.72*1.05</f>
        <v>4914.7560000000003</v>
      </c>
      <c r="K20" s="1"/>
      <c r="L20" s="1"/>
      <c r="M20" s="1"/>
      <c r="N20" s="1"/>
      <c r="O20" s="1"/>
      <c r="P20" s="1"/>
      <c r="Q20" s="1"/>
      <c r="R20" s="1"/>
      <c r="S20" s="1"/>
      <c r="T20" s="1"/>
      <c r="U20" s="1"/>
      <c r="V20" s="1"/>
      <c r="W20" s="1"/>
      <c r="X20" s="1"/>
      <c r="Y20" s="1"/>
      <c r="Z20" s="1"/>
    </row>
    <row r="21" spans="1:26" ht="14.25" customHeight="1">
      <c r="A21" s="515"/>
      <c r="B21" s="476"/>
      <c r="C21" s="474"/>
      <c r="D21" s="467"/>
      <c r="E21" s="623"/>
      <c r="F21" s="358"/>
      <c r="G21" s="622"/>
      <c r="H21" s="621"/>
      <c r="I21" s="1"/>
      <c r="J21" s="1"/>
      <c r="K21" s="1"/>
      <c r="L21" s="1"/>
      <c r="M21" s="1"/>
      <c r="N21" s="1"/>
      <c r="O21" s="1"/>
      <c r="P21" s="1"/>
      <c r="Q21" s="1"/>
      <c r="R21" s="1"/>
      <c r="S21" s="1"/>
      <c r="T21" s="1"/>
      <c r="U21" s="1"/>
      <c r="V21" s="1"/>
      <c r="W21" s="1"/>
      <c r="X21" s="1"/>
      <c r="Y21" s="1"/>
      <c r="Z21" s="1"/>
    </row>
    <row r="22" spans="1:26" ht="14.25" customHeight="1">
      <c r="A22" s="475"/>
      <c r="B22" s="476"/>
      <c r="C22" s="466" t="s">
        <v>59</v>
      </c>
      <c r="D22" s="467"/>
      <c r="E22" s="619"/>
      <c r="F22" s="358"/>
      <c r="G22" s="620"/>
      <c r="H22" s="621"/>
      <c r="I22" s="1"/>
      <c r="J22" s="1"/>
      <c r="K22" s="1"/>
      <c r="L22" s="1"/>
      <c r="M22" s="1"/>
      <c r="N22" s="1"/>
      <c r="O22" s="1"/>
      <c r="P22" s="1"/>
      <c r="Q22" s="1"/>
      <c r="R22" s="1"/>
      <c r="S22" s="1"/>
      <c r="T22" s="1"/>
      <c r="U22" s="1"/>
      <c r="V22" s="1"/>
      <c r="W22" s="1"/>
      <c r="X22" s="1"/>
      <c r="Y22" s="1"/>
      <c r="Z22" s="1"/>
    </row>
    <row r="23" spans="1:26" ht="14.25" customHeight="1">
      <c r="A23" s="475"/>
      <c r="B23" s="476"/>
      <c r="C23" s="516" t="s">
        <v>567</v>
      </c>
      <c r="D23" s="467"/>
      <c r="E23" s="623"/>
      <c r="F23" s="358"/>
      <c r="G23" s="622"/>
      <c r="H23" s="621"/>
      <c r="I23" s="1"/>
      <c r="J23" s="1"/>
      <c r="K23" s="1"/>
      <c r="L23" s="1"/>
      <c r="M23" s="1"/>
      <c r="N23" s="1"/>
      <c r="O23" s="1"/>
      <c r="P23" s="1"/>
      <c r="Q23" s="1"/>
      <c r="R23" s="1"/>
      <c r="S23" s="1"/>
      <c r="T23" s="1"/>
      <c r="U23" s="1"/>
      <c r="V23" s="1"/>
      <c r="W23" s="1"/>
      <c r="X23" s="1"/>
      <c r="Y23" s="1"/>
      <c r="Z23" s="1"/>
    </row>
    <row r="24" spans="1:26" ht="14.25" customHeight="1">
      <c r="A24" s="475" t="s">
        <v>31</v>
      </c>
      <c r="B24" s="476"/>
      <c r="C24" s="474" t="s">
        <v>568</v>
      </c>
      <c r="D24" s="467"/>
      <c r="E24" s="624">
        <f>J24</f>
        <v>33.757000000000005</v>
      </c>
      <c r="F24" s="358" t="s">
        <v>569</v>
      </c>
      <c r="G24" s="368">
        <v>3.6</v>
      </c>
      <c r="H24" s="513">
        <f>+G24*E24</f>
        <v>121.52520000000003</v>
      </c>
      <c r="I24" s="1"/>
      <c r="J24" s="24">
        <f>M.S!AE299+M.S!AE305</f>
        <v>33.757000000000005</v>
      </c>
      <c r="K24" s="1"/>
      <c r="L24" s="1"/>
      <c r="M24" s="1"/>
      <c r="N24" s="1"/>
      <c r="O24" s="1"/>
      <c r="P24" s="1"/>
      <c r="Q24" s="1"/>
      <c r="R24" s="1"/>
      <c r="S24" s="1"/>
      <c r="T24" s="1"/>
      <c r="U24" s="1"/>
      <c r="V24" s="1"/>
      <c r="W24" s="1"/>
      <c r="X24" s="1"/>
      <c r="Y24" s="1"/>
      <c r="Z24" s="1"/>
    </row>
    <row r="25" spans="1:26" ht="14.25" customHeight="1">
      <c r="A25" s="529"/>
      <c r="B25" s="476"/>
      <c r="C25" s="530"/>
      <c r="D25" s="467"/>
      <c r="E25" s="625"/>
      <c r="F25" s="626"/>
      <c r="G25" s="622"/>
      <c r="H25" s="621"/>
      <c r="I25" s="1"/>
      <c r="J25" s="1"/>
      <c r="K25" s="1"/>
      <c r="L25" s="1"/>
      <c r="M25" s="1"/>
      <c r="N25" s="1"/>
      <c r="O25" s="1"/>
      <c r="P25" s="1"/>
      <c r="Q25" s="1"/>
      <c r="R25" s="1"/>
      <c r="S25" s="1"/>
      <c r="T25" s="1"/>
      <c r="U25" s="1"/>
      <c r="V25" s="1"/>
      <c r="W25" s="1"/>
      <c r="X25" s="1"/>
      <c r="Y25" s="1"/>
      <c r="Z25" s="1"/>
    </row>
    <row r="26" spans="1:26" ht="14.25" customHeight="1">
      <c r="A26" s="475"/>
      <c r="B26" s="476"/>
      <c r="C26" s="514" t="s">
        <v>570</v>
      </c>
      <c r="D26" s="467"/>
      <c r="E26" s="623"/>
      <c r="F26" s="358"/>
      <c r="G26" s="620"/>
      <c r="H26" s="621"/>
      <c r="I26" s="1"/>
      <c r="J26" s="1"/>
      <c r="K26" s="1"/>
      <c r="L26" s="1"/>
      <c r="M26" s="1"/>
      <c r="N26" s="1"/>
      <c r="O26" s="1"/>
      <c r="P26" s="1"/>
      <c r="Q26" s="1"/>
      <c r="R26" s="1"/>
      <c r="S26" s="1"/>
      <c r="T26" s="1"/>
      <c r="U26" s="1"/>
      <c r="V26" s="1"/>
      <c r="W26" s="1"/>
      <c r="X26" s="1"/>
      <c r="Y26" s="1"/>
      <c r="Z26" s="1"/>
    </row>
    <row r="27" spans="1:26" ht="14.25" customHeight="1">
      <c r="A27" s="475" t="s">
        <v>32</v>
      </c>
      <c r="B27" s="476"/>
      <c r="C27" s="474" t="s">
        <v>571</v>
      </c>
      <c r="D27" s="467"/>
      <c r="E27" s="624">
        <f>J27</f>
        <v>33.757000000000005</v>
      </c>
      <c r="F27" s="358" t="s">
        <v>572</v>
      </c>
      <c r="G27" s="368">
        <v>2</v>
      </c>
      <c r="H27" s="513">
        <f>+G27*E27</f>
        <v>67.51400000000001</v>
      </c>
      <c r="I27" s="1"/>
      <c r="J27" s="24">
        <f>J24</f>
        <v>33.757000000000005</v>
      </c>
      <c r="K27" s="1"/>
      <c r="L27" s="1"/>
      <c r="M27" s="1"/>
      <c r="N27" s="1"/>
      <c r="O27" s="1"/>
      <c r="P27" s="1"/>
      <c r="Q27" s="1"/>
      <c r="R27" s="1"/>
      <c r="S27" s="1"/>
      <c r="T27" s="1"/>
      <c r="U27" s="1"/>
      <c r="V27" s="1"/>
      <c r="W27" s="1"/>
      <c r="X27" s="1"/>
      <c r="Y27" s="1"/>
      <c r="Z27" s="1"/>
    </row>
    <row r="28" spans="1:26" ht="14.25" customHeight="1">
      <c r="A28" s="475"/>
      <c r="B28" s="476"/>
      <c r="C28" s="530"/>
      <c r="D28" s="467"/>
      <c r="E28" s="625"/>
      <c r="F28" s="358"/>
      <c r="G28" s="622"/>
      <c r="H28" s="621"/>
      <c r="I28" s="1"/>
      <c r="J28" s="1"/>
      <c r="K28" s="1"/>
      <c r="L28" s="1"/>
      <c r="M28" s="1"/>
      <c r="N28" s="1"/>
      <c r="O28" s="1"/>
      <c r="P28" s="1"/>
      <c r="Q28" s="1"/>
      <c r="R28" s="1"/>
      <c r="S28" s="1"/>
      <c r="T28" s="1"/>
      <c r="U28" s="1"/>
      <c r="V28" s="1"/>
      <c r="W28" s="1"/>
      <c r="X28" s="1"/>
      <c r="Y28" s="1"/>
      <c r="Z28" s="1"/>
    </row>
    <row r="29" spans="1:26" ht="14.25" customHeight="1">
      <c r="A29" s="475" t="s">
        <v>33</v>
      </c>
      <c r="B29" s="476"/>
      <c r="C29" s="530" t="s">
        <v>573</v>
      </c>
      <c r="D29" s="467"/>
      <c r="E29" s="624">
        <f>J29</f>
        <v>34.42</v>
      </c>
      <c r="F29" s="358" t="s">
        <v>95</v>
      </c>
      <c r="G29" s="368">
        <v>2</v>
      </c>
      <c r="H29" s="513">
        <f>+G29*E29</f>
        <v>68.84</v>
      </c>
      <c r="I29" s="1"/>
      <c r="J29" s="24">
        <f>4.05*2+3.98*4+5.2*2</f>
        <v>34.42</v>
      </c>
      <c r="K29" s="1"/>
      <c r="L29" s="1"/>
      <c r="M29" s="1"/>
      <c r="N29" s="1"/>
      <c r="O29" s="1"/>
      <c r="P29" s="1"/>
      <c r="Q29" s="1"/>
      <c r="R29" s="1"/>
      <c r="S29" s="1"/>
      <c r="T29" s="1"/>
      <c r="U29" s="1"/>
      <c r="V29" s="1"/>
      <c r="W29" s="1"/>
      <c r="X29" s="1"/>
      <c r="Y29" s="1"/>
      <c r="Z29" s="1"/>
    </row>
    <row r="30" spans="1:26" ht="14.25" customHeight="1">
      <c r="A30" s="475"/>
      <c r="B30" s="476"/>
      <c r="C30" s="530"/>
      <c r="D30" s="467"/>
      <c r="E30" s="625"/>
      <c r="F30" s="358"/>
      <c r="G30" s="620"/>
      <c r="H30" s="621"/>
      <c r="I30" s="1"/>
      <c r="J30" s="1"/>
      <c r="K30" s="1"/>
      <c r="L30" s="1"/>
      <c r="M30" s="1"/>
      <c r="N30" s="1"/>
      <c r="O30" s="1"/>
      <c r="P30" s="1"/>
      <c r="Q30" s="1"/>
      <c r="R30" s="1"/>
      <c r="S30" s="1"/>
      <c r="T30" s="1"/>
      <c r="U30" s="1"/>
      <c r="V30" s="1"/>
      <c r="W30" s="1"/>
      <c r="X30" s="1"/>
      <c r="Y30" s="1"/>
      <c r="Z30" s="1"/>
    </row>
    <row r="31" spans="1:26" ht="14.25" customHeight="1">
      <c r="A31" s="475" t="s">
        <v>53</v>
      </c>
      <c r="B31" s="476"/>
      <c r="C31" s="530" t="s">
        <v>574</v>
      </c>
      <c r="D31" s="467"/>
      <c r="E31" s="624">
        <f>J31</f>
        <v>4</v>
      </c>
      <c r="F31" s="358" t="s">
        <v>149</v>
      </c>
      <c r="G31" s="368">
        <v>45</v>
      </c>
      <c r="H31" s="513">
        <f>+G31*E31</f>
        <v>180</v>
      </c>
      <c r="I31" s="1"/>
      <c r="J31" s="24">
        <v>4</v>
      </c>
      <c r="K31" s="1"/>
      <c r="L31" s="1"/>
      <c r="M31" s="1"/>
      <c r="N31" s="1"/>
      <c r="O31" s="1"/>
      <c r="P31" s="1"/>
      <c r="Q31" s="1"/>
      <c r="R31" s="1"/>
      <c r="S31" s="1"/>
      <c r="T31" s="1"/>
      <c r="U31" s="1"/>
      <c r="V31" s="1"/>
      <c r="W31" s="1"/>
      <c r="X31" s="1"/>
      <c r="Y31" s="1"/>
      <c r="Z31" s="1"/>
    </row>
    <row r="32" spans="1:26" ht="14.25" customHeight="1">
      <c r="A32" s="520"/>
      <c r="B32" s="16"/>
      <c r="C32" s="771" t="s">
        <v>35</v>
      </c>
      <c r="D32" s="29"/>
      <c r="E32" s="141"/>
      <c r="F32" s="142"/>
      <c r="G32" s="812" t="s">
        <v>36</v>
      </c>
      <c r="H32" s="627"/>
      <c r="I32" s="1"/>
      <c r="J32" s="1"/>
      <c r="K32" s="1"/>
      <c r="L32" s="1"/>
      <c r="M32" s="1"/>
      <c r="N32" s="1"/>
      <c r="O32" s="1"/>
      <c r="P32" s="1"/>
      <c r="Q32" s="1"/>
      <c r="R32" s="1"/>
      <c r="S32" s="1"/>
      <c r="T32" s="1"/>
      <c r="U32" s="1"/>
      <c r="V32" s="1"/>
      <c r="W32" s="1"/>
      <c r="X32" s="1"/>
      <c r="Y32" s="1"/>
      <c r="Z32" s="1"/>
    </row>
    <row r="33" spans="1:26" ht="14.25" customHeight="1">
      <c r="A33" s="550"/>
      <c r="B33" s="486"/>
      <c r="C33" s="769"/>
      <c r="D33" s="487"/>
      <c r="E33" s="628"/>
      <c r="F33" s="629"/>
      <c r="G33" s="773"/>
      <c r="H33" s="630">
        <f>SUM(H6:H32)</f>
        <v>2901.7896575000004</v>
      </c>
      <c r="I33" s="1"/>
      <c r="J33" s="1"/>
      <c r="K33" s="1"/>
      <c r="L33" s="1"/>
      <c r="M33" s="1"/>
      <c r="N33" s="1"/>
      <c r="O33" s="1"/>
      <c r="P33" s="1"/>
      <c r="Q33" s="1"/>
      <c r="R33" s="1"/>
      <c r="S33" s="1"/>
      <c r="T33" s="1"/>
      <c r="U33" s="1"/>
      <c r="V33" s="1"/>
      <c r="W33" s="1"/>
      <c r="X33" s="1"/>
      <c r="Y33" s="1"/>
      <c r="Z33" s="1"/>
    </row>
    <row r="34" spans="1:26" ht="14.25" customHeight="1">
      <c r="A34" s="483"/>
      <c r="B34" s="16"/>
      <c r="C34" s="813" t="s">
        <v>575</v>
      </c>
      <c r="D34" s="17"/>
      <c r="E34" s="416"/>
      <c r="F34" s="424"/>
      <c r="G34" s="814" t="s">
        <v>36</v>
      </c>
      <c r="H34" s="462"/>
      <c r="I34" s="1"/>
      <c r="J34" s="1"/>
      <c r="K34" s="1"/>
      <c r="L34" s="1"/>
      <c r="M34" s="1"/>
      <c r="N34" s="1"/>
      <c r="O34" s="1"/>
      <c r="P34" s="1"/>
      <c r="Q34" s="1"/>
      <c r="R34" s="1"/>
      <c r="S34" s="1"/>
      <c r="T34" s="1"/>
      <c r="U34" s="1"/>
      <c r="V34" s="1"/>
      <c r="W34" s="1"/>
      <c r="X34" s="1"/>
      <c r="Y34" s="1"/>
      <c r="Z34" s="1"/>
    </row>
    <row r="35" spans="1:26" ht="23.25" customHeight="1">
      <c r="A35" s="533" t="s">
        <v>13</v>
      </c>
      <c r="B35" s="534"/>
      <c r="C35" s="786"/>
      <c r="D35" s="535"/>
      <c r="E35" s="631"/>
      <c r="F35" s="537"/>
      <c r="G35" s="788"/>
      <c r="H35" s="632">
        <f>+H33</f>
        <v>2901.7896575000004</v>
      </c>
      <c r="I35" s="1"/>
      <c r="J35" s="1"/>
      <c r="K35" s="1"/>
      <c r="L35" s="1"/>
      <c r="M35" s="1"/>
      <c r="N35" s="1"/>
      <c r="O35" s="1"/>
      <c r="P35" s="1"/>
      <c r="Q35" s="1"/>
      <c r="R35" s="1"/>
      <c r="S35" s="1"/>
      <c r="T35" s="1"/>
      <c r="U35" s="1"/>
      <c r="V35" s="1"/>
      <c r="W35" s="1"/>
      <c r="X35" s="1"/>
      <c r="Y35" s="1"/>
      <c r="Z35" s="1"/>
    </row>
    <row r="36" spans="1:26" ht="14.25" customHeight="1">
      <c r="A36" s="1"/>
      <c r="B36" s="1"/>
      <c r="C36" s="1"/>
      <c r="D36" s="1"/>
      <c r="E36" s="136"/>
      <c r="F36" s="12"/>
      <c r="G36" s="145"/>
      <c r="H36" s="145"/>
      <c r="I36" s="3"/>
      <c r="J36" s="3"/>
      <c r="K36" s="3"/>
      <c r="L36" s="3"/>
      <c r="M36" s="3"/>
      <c r="N36" s="3"/>
      <c r="O36" s="3"/>
      <c r="P36" s="3"/>
      <c r="Q36" s="3"/>
      <c r="R36" s="3"/>
      <c r="S36" s="3"/>
      <c r="T36" s="3"/>
      <c r="U36" s="3"/>
      <c r="V36" s="3"/>
      <c r="W36" s="3"/>
      <c r="X36" s="3"/>
      <c r="Y36" s="3"/>
      <c r="Z36" s="3"/>
    </row>
    <row r="37" spans="1:26" ht="14.25" customHeight="1">
      <c r="A37" s="1"/>
      <c r="B37" s="1"/>
      <c r="C37" s="1"/>
      <c r="D37" s="1"/>
      <c r="E37" s="136"/>
      <c r="F37" s="12"/>
      <c r="G37" s="145"/>
      <c r="H37" s="145"/>
      <c r="I37" s="3"/>
      <c r="J37" s="3"/>
      <c r="K37" s="3"/>
      <c r="L37" s="3"/>
      <c r="M37" s="3"/>
      <c r="N37" s="3"/>
      <c r="O37" s="3"/>
      <c r="P37" s="3"/>
      <c r="Q37" s="3"/>
      <c r="R37" s="3"/>
      <c r="S37" s="3"/>
      <c r="T37" s="3"/>
      <c r="U37" s="3"/>
      <c r="V37" s="3"/>
      <c r="W37" s="3"/>
      <c r="X37" s="3"/>
      <c r="Y37" s="3"/>
      <c r="Z37" s="3"/>
    </row>
    <row r="38" spans="1:26" ht="14.25" customHeight="1">
      <c r="A38" s="1"/>
      <c r="B38" s="1"/>
      <c r="C38" s="1"/>
      <c r="D38" s="1"/>
      <c r="E38" s="136"/>
      <c r="F38" s="12"/>
      <c r="G38" s="145"/>
      <c r="H38" s="145"/>
      <c r="I38" s="3"/>
      <c r="J38" s="3"/>
      <c r="K38" s="3"/>
      <c r="L38" s="3"/>
      <c r="M38" s="3"/>
      <c r="N38" s="3"/>
      <c r="O38" s="3"/>
      <c r="P38" s="3"/>
      <c r="Q38" s="3"/>
      <c r="R38" s="3"/>
      <c r="S38" s="3"/>
      <c r="T38" s="3"/>
      <c r="U38" s="3"/>
      <c r="V38" s="3"/>
      <c r="W38" s="3"/>
      <c r="X38" s="3"/>
      <c r="Y38" s="3"/>
      <c r="Z38" s="3"/>
    </row>
    <row r="39" spans="1:26" ht="14.25" customHeight="1">
      <c r="A39" s="1"/>
      <c r="B39" s="1"/>
      <c r="C39" s="1"/>
      <c r="D39" s="1"/>
      <c r="E39" s="136"/>
      <c r="F39" s="12"/>
      <c r="G39" s="145"/>
      <c r="H39" s="145"/>
      <c r="I39" s="3"/>
      <c r="J39" s="3"/>
      <c r="K39" s="3"/>
      <c r="L39" s="3"/>
      <c r="M39" s="3"/>
      <c r="N39" s="3"/>
      <c r="O39" s="3"/>
      <c r="P39" s="3"/>
      <c r="Q39" s="3"/>
      <c r="R39" s="3"/>
      <c r="S39" s="3"/>
      <c r="T39" s="3"/>
      <c r="U39" s="3"/>
      <c r="V39" s="3"/>
      <c r="W39" s="3"/>
      <c r="X39" s="3"/>
      <c r="Y39" s="3"/>
      <c r="Z39" s="3"/>
    </row>
    <row r="40" spans="1:26" ht="14.25" customHeight="1">
      <c r="A40" s="1"/>
      <c r="B40" s="1"/>
      <c r="C40" s="1"/>
      <c r="D40" s="1"/>
      <c r="E40" s="136"/>
      <c r="F40" s="12"/>
      <c r="G40" s="145"/>
      <c r="H40" s="145"/>
      <c r="I40" s="3"/>
      <c r="J40" s="3"/>
      <c r="K40" s="3"/>
      <c r="L40" s="3"/>
      <c r="M40" s="3"/>
      <c r="N40" s="3"/>
      <c r="O40" s="3"/>
      <c r="P40" s="3"/>
      <c r="Q40" s="3"/>
      <c r="R40" s="3"/>
      <c r="S40" s="3"/>
      <c r="T40" s="3"/>
      <c r="U40" s="3"/>
      <c r="V40" s="3"/>
      <c r="W40" s="3"/>
      <c r="X40" s="3"/>
      <c r="Y40" s="3"/>
      <c r="Z40" s="3"/>
    </row>
    <row r="41" spans="1:26" ht="14.25" customHeight="1">
      <c r="A41" s="1"/>
      <c r="B41" s="1"/>
      <c r="C41" s="1"/>
      <c r="D41" s="1"/>
      <c r="E41" s="136"/>
      <c r="F41" s="12"/>
      <c r="G41" s="145"/>
      <c r="H41" s="145"/>
      <c r="I41" s="3"/>
      <c r="J41" s="3"/>
      <c r="K41" s="3"/>
      <c r="L41" s="3"/>
      <c r="M41" s="3"/>
      <c r="N41" s="3"/>
      <c r="O41" s="3"/>
      <c r="P41" s="3"/>
      <c r="Q41" s="3"/>
      <c r="R41" s="3"/>
      <c r="S41" s="3"/>
      <c r="T41" s="3"/>
      <c r="U41" s="3"/>
      <c r="V41" s="3"/>
      <c r="W41" s="3"/>
      <c r="X41" s="3"/>
      <c r="Y41" s="3"/>
      <c r="Z41" s="3"/>
    </row>
    <row r="42" spans="1:26" ht="14.25" customHeight="1">
      <c r="A42" s="1"/>
      <c r="B42" s="1"/>
      <c r="C42" s="1"/>
      <c r="D42" s="1"/>
      <c r="E42" s="136"/>
      <c r="F42" s="12"/>
      <c r="G42" s="145"/>
      <c r="H42" s="145"/>
      <c r="I42" s="3"/>
      <c r="J42" s="3"/>
      <c r="K42" s="3"/>
      <c r="L42" s="3"/>
      <c r="M42" s="3"/>
      <c r="N42" s="3"/>
      <c r="O42" s="3"/>
      <c r="P42" s="3"/>
      <c r="Q42" s="3"/>
      <c r="R42" s="3"/>
      <c r="S42" s="3"/>
      <c r="T42" s="3"/>
      <c r="U42" s="3"/>
      <c r="V42" s="3"/>
      <c r="W42" s="3"/>
      <c r="X42" s="3"/>
      <c r="Y42" s="3"/>
      <c r="Z42" s="3"/>
    </row>
    <row r="43" spans="1:26" ht="14.25" customHeight="1">
      <c r="A43" s="1"/>
      <c r="B43" s="1"/>
      <c r="C43" s="1"/>
      <c r="D43" s="1"/>
      <c r="E43" s="136"/>
      <c r="F43" s="12"/>
      <c r="G43" s="145"/>
      <c r="H43" s="145"/>
      <c r="I43" s="3"/>
      <c r="J43" s="3"/>
      <c r="K43" s="3"/>
      <c r="L43" s="3"/>
      <c r="M43" s="3"/>
      <c r="N43" s="3"/>
      <c r="O43" s="3"/>
      <c r="P43" s="3"/>
      <c r="Q43" s="3"/>
      <c r="R43" s="3"/>
      <c r="S43" s="3"/>
      <c r="T43" s="3"/>
      <c r="U43" s="3"/>
      <c r="V43" s="3"/>
      <c r="W43" s="3"/>
      <c r="X43" s="3"/>
      <c r="Y43" s="3"/>
      <c r="Z43" s="3"/>
    </row>
    <row r="44" spans="1:26" ht="14.25" customHeight="1">
      <c r="A44" s="1"/>
      <c r="B44" s="1"/>
      <c r="C44" s="1"/>
      <c r="D44" s="1"/>
      <c r="E44" s="136"/>
      <c r="F44" s="12"/>
      <c r="G44" s="145"/>
      <c r="H44" s="145"/>
      <c r="I44" s="3"/>
      <c r="J44" s="3"/>
      <c r="K44" s="3"/>
      <c r="L44" s="3"/>
      <c r="M44" s="3"/>
      <c r="N44" s="3"/>
      <c r="O44" s="3"/>
      <c r="P44" s="3"/>
      <c r="Q44" s="3"/>
      <c r="R44" s="3"/>
      <c r="S44" s="3"/>
      <c r="T44" s="3"/>
      <c r="U44" s="3"/>
      <c r="V44" s="3"/>
      <c r="W44" s="3"/>
      <c r="X44" s="3"/>
      <c r="Y44" s="3"/>
      <c r="Z44" s="3"/>
    </row>
    <row r="45" spans="1:26" ht="14.25" customHeight="1">
      <c r="A45" s="1"/>
      <c r="B45" s="1"/>
      <c r="C45" s="1"/>
      <c r="D45" s="1"/>
      <c r="E45" s="136"/>
      <c r="F45" s="12"/>
      <c r="G45" s="145"/>
      <c r="H45" s="145"/>
      <c r="I45" s="3"/>
      <c r="J45" s="3"/>
      <c r="K45" s="3"/>
      <c r="L45" s="3"/>
      <c r="M45" s="3"/>
      <c r="N45" s="3"/>
      <c r="O45" s="3"/>
      <c r="P45" s="3"/>
      <c r="Q45" s="3"/>
      <c r="R45" s="3"/>
      <c r="S45" s="3"/>
      <c r="T45" s="3"/>
      <c r="U45" s="3"/>
      <c r="V45" s="3"/>
      <c r="W45" s="3"/>
      <c r="X45" s="3"/>
      <c r="Y45" s="3"/>
      <c r="Z45" s="3"/>
    </row>
    <row r="46" spans="1:26" ht="14.25" customHeight="1">
      <c r="A46" s="1"/>
      <c r="B46" s="1"/>
      <c r="C46" s="1"/>
      <c r="D46" s="1"/>
      <c r="E46" s="136"/>
      <c r="F46" s="12"/>
      <c r="G46" s="145"/>
      <c r="H46" s="145"/>
      <c r="I46" s="3"/>
      <c r="J46" s="3"/>
      <c r="K46" s="3"/>
      <c r="L46" s="3"/>
      <c r="M46" s="3"/>
      <c r="N46" s="3"/>
      <c r="O46" s="3"/>
      <c r="P46" s="3"/>
      <c r="Q46" s="3"/>
      <c r="R46" s="3"/>
      <c r="S46" s="3"/>
      <c r="T46" s="3"/>
      <c r="U46" s="3"/>
      <c r="V46" s="3"/>
      <c r="W46" s="3"/>
      <c r="X46" s="3"/>
      <c r="Y46" s="3"/>
      <c r="Z46" s="3"/>
    </row>
    <row r="47" spans="1:26" ht="14.25" customHeight="1">
      <c r="A47" s="1"/>
      <c r="B47" s="1"/>
      <c r="C47" s="1"/>
      <c r="D47" s="1"/>
      <c r="E47" s="136"/>
      <c r="F47" s="12"/>
      <c r="G47" s="145"/>
      <c r="H47" s="145"/>
      <c r="I47" s="3"/>
      <c r="J47" s="3"/>
      <c r="K47" s="3"/>
      <c r="L47" s="3"/>
      <c r="M47" s="3"/>
      <c r="N47" s="3"/>
      <c r="O47" s="3"/>
      <c r="P47" s="3"/>
      <c r="Q47" s="3"/>
      <c r="R47" s="3"/>
      <c r="S47" s="3"/>
      <c r="T47" s="3"/>
      <c r="U47" s="3"/>
      <c r="V47" s="3"/>
      <c r="W47" s="3"/>
      <c r="X47" s="3"/>
      <c r="Y47" s="3"/>
      <c r="Z47" s="3"/>
    </row>
    <row r="48" spans="1:26" ht="14.25" customHeight="1">
      <c r="A48" s="1"/>
      <c r="B48" s="1"/>
      <c r="C48" s="1"/>
      <c r="D48" s="1"/>
      <c r="E48" s="136"/>
      <c r="F48" s="12"/>
      <c r="G48" s="145"/>
      <c r="H48" s="145"/>
      <c r="I48" s="3"/>
      <c r="J48" s="3"/>
      <c r="K48" s="3"/>
      <c r="L48" s="3"/>
      <c r="M48" s="3"/>
      <c r="N48" s="3"/>
      <c r="O48" s="3"/>
      <c r="P48" s="3"/>
      <c r="Q48" s="3"/>
      <c r="R48" s="3"/>
      <c r="S48" s="3"/>
      <c r="T48" s="3"/>
      <c r="U48" s="3"/>
      <c r="V48" s="3"/>
      <c r="W48" s="3"/>
      <c r="X48" s="3"/>
      <c r="Y48" s="3"/>
      <c r="Z48" s="3"/>
    </row>
    <row r="49" spans="1:26" ht="14.25" customHeight="1">
      <c r="A49" s="1"/>
      <c r="B49" s="1"/>
      <c r="C49" s="1"/>
      <c r="D49" s="1"/>
      <c r="E49" s="136"/>
      <c r="F49" s="12"/>
      <c r="G49" s="145"/>
      <c r="H49" s="145"/>
      <c r="I49" s="3"/>
      <c r="J49" s="3"/>
      <c r="K49" s="3"/>
      <c r="L49" s="3"/>
      <c r="M49" s="3"/>
      <c r="N49" s="3"/>
      <c r="O49" s="3"/>
      <c r="P49" s="3"/>
      <c r="Q49" s="3"/>
      <c r="R49" s="3"/>
      <c r="S49" s="3"/>
      <c r="T49" s="3"/>
      <c r="U49" s="3"/>
      <c r="V49" s="3"/>
      <c r="W49" s="3"/>
      <c r="X49" s="3"/>
      <c r="Y49" s="3"/>
      <c r="Z49" s="3"/>
    </row>
    <row r="50" spans="1:26" ht="14.25" customHeight="1">
      <c r="A50" s="1"/>
      <c r="B50" s="1"/>
      <c r="C50" s="1"/>
      <c r="D50" s="1"/>
      <c r="E50" s="136"/>
      <c r="F50" s="12"/>
      <c r="G50" s="145"/>
      <c r="H50" s="145"/>
      <c r="I50" s="3"/>
      <c r="J50" s="3"/>
      <c r="K50" s="3"/>
      <c r="L50" s="3"/>
      <c r="M50" s="3"/>
      <c r="N50" s="3"/>
      <c r="O50" s="3"/>
      <c r="P50" s="3"/>
      <c r="Q50" s="3"/>
      <c r="R50" s="3"/>
      <c r="S50" s="3"/>
      <c r="T50" s="3"/>
      <c r="U50" s="3"/>
      <c r="V50" s="3"/>
      <c r="W50" s="3"/>
      <c r="X50" s="3"/>
      <c r="Y50" s="3"/>
      <c r="Z50" s="3"/>
    </row>
    <row r="51" spans="1:26" ht="14.25" customHeight="1">
      <c r="A51" s="1"/>
      <c r="B51" s="1"/>
      <c r="C51" s="1"/>
      <c r="D51" s="1"/>
      <c r="E51" s="136"/>
      <c r="F51" s="12"/>
      <c r="G51" s="145"/>
      <c r="H51" s="145"/>
      <c r="I51" s="3"/>
      <c r="J51" s="3"/>
      <c r="K51" s="3"/>
      <c r="L51" s="3"/>
      <c r="M51" s="3"/>
      <c r="N51" s="3"/>
      <c r="O51" s="3"/>
      <c r="P51" s="3"/>
      <c r="Q51" s="3"/>
      <c r="R51" s="3"/>
      <c r="S51" s="3"/>
      <c r="T51" s="3"/>
      <c r="U51" s="3"/>
      <c r="V51" s="3"/>
      <c r="W51" s="3"/>
      <c r="X51" s="3"/>
      <c r="Y51" s="3"/>
      <c r="Z51" s="3"/>
    </row>
    <row r="52" spans="1:26" ht="14.25" customHeight="1">
      <c r="A52" s="1"/>
      <c r="B52" s="1"/>
      <c r="C52" s="1"/>
      <c r="D52" s="1"/>
      <c r="E52" s="136"/>
      <c r="F52" s="12"/>
      <c r="G52" s="145"/>
      <c r="H52" s="145"/>
      <c r="I52" s="3"/>
      <c r="J52" s="3"/>
      <c r="K52" s="3"/>
      <c r="L52" s="3"/>
      <c r="M52" s="3"/>
      <c r="N52" s="3"/>
      <c r="O52" s="3"/>
      <c r="P52" s="3"/>
      <c r="Q52" s="3"/>
      <c r="R52" s="3"/>
      <c r="S52" s="3"/>
      <c r="T52" s="3"/>
      <c r="U52" s="3"/>
      <c r="V52" s="3"/>
      <c r="W52" s="3"/>
      <c r="X52" s="3"/>
      <c r="Y52" s="3"/>
      <c r="Z52" s="3"/>
    </row>
    <row r="53" spans="1:26" ht="14.25" customHeight="1">
      <c r="A53" s="1"/>
      <c r="B53" s="1"/>
      <c r="C53" s="1"/>
      <c r="D53" s="1"/>
      <c r="E53" s="136"/>
      <c r="F53" s="12"/>
      <c r="G53" s="145"/>
      <c r="H53" s="145"/>
      <c r="I53" s="3"/>
      <c r="J53" s="3"/>
      <c r="K53" s="3"/>
      <c r="L53" s="3"/>
      <c r="M53" s="3"/>
      <c r="N53" s="3"/>
      <c r="O53" s="3"/>
      <c r="P53" s="3"/>
      <c r="Q53" s="3"/>
      <c r="R53" s="3"/>
      <c r="S53" s="3"/>
      <c r="T53" s="3"/>
      <c r="U53" s="3"/>
      <c r="V53" s="3"/>
      <c r="W53" s="3"/>
      <c r="X53" s="3"/>
      <c r="Y53" s="3"/>
      <c r="Z53" s="3"/>
    </row>
    <row r="54" spans="1:26" ht="14.25" customHeight="1">
      <c r="A54" s="1"/>
      <c r="B54" s="1"/>
      <c r="C54" s="1"/>
      <c r="D54" s="1"/>
      <c r="E54" s="136"/>
      <c r="F54" s="12"/>
      <c r="G54" s="145"/>
      <c r="H54" s="145"/>
      <c r="I54" s="3"/>
      <c r="J54" s="3"/>
      <c r="K54" s="3"/>
      <c r="L54" s="3"/>
      <c r="M54" s="3"/>
      <c r="N54" s="3"/>
      <c r="O54" s="3"/>
      <c r="P54" s="3"/>
      <c r="Q54" s="3"/>
      <c r="R54" s="3"/>
      <c r="S54" s="3"/>
      <c r="T54" s="3"/>
      <c r="U54" s="3"/>
      <c r="V54" s="3"/>
      <c r="W54" s="3"/>
      <c r="X54" s="3"/>
      <c r="Y54" s="3"/>
      <c r="Z54" s="3"/>
    </row>
    <row r="55" spans="1:26" ht="14.25" customHeight="1">
      <c r="A55" s="1"/>
      <c r="B55" s="1"/>
      <c r="C55" s="1"/>
      <c r="D55" s="1"/>
      <c r="E55" s="136"/>
      <c r="F55" s="12"/>
      <c r="G55" s="145"/>
      <c r="H55" s="145"/>
      <c r="I55" s="3"/>
      <c r="J55" s="3"/>
      <c r="K55" s="3"/>
      <c r="L55" s="3"/>
      <c r="M55" s="3"/>
      <c r="N55" s="3"/>
      <c r="O55" s="3"/>
      <c r="P55" s="3"/>
      <c r="Q55" s="3"/>
      <c r="R55" s="3"/>
      <c r="S55" s="3"/>
      <c r="T55" s="3"/>
      <c r="U55" s="3"/>
      <c r="V55" s="3"/>
      <c r="W55" s="3"/>
      <c r="X55" s="3"/>
      <c r="Y55" s="3"/>
      <c r="Z55" s="3"/>
    </row>
    <row r="56" spans="1:26" ht="14.25" customHeight="1">
      <c r="A56" s="1"/>
      <c r="B56" s="1"/>
      <c r="C56" s="1"/>
      <c r="D56" s="1"/>
      <c r="E56" s="136"/>
      <c r="F56" s="12"/>
      <c r="G56" s="145"/>
      <c r="H56" s="145"/>
      <c r="I56" s="3"/>
      <c r="J56" s="3"/>
      <c r="K56" s="3"/>
      <c r="L56" s="3"/>
      <c r="M56" s="3"/>
      <c r="N56" s="3"/>
      <c r="O56" s="3"/>
      <c r="P56" s="3"/>
      <c r="Q56" s="3"/>
      <c r="R56" s="3"/>
      <c r="S56" s="3"/>
      <c r="T56" s="3"/>
      <c r="U56" s="3"/>
      <c r="V56" s="3"/>
      <c r="W56" s="3"/>
      <c r="X56" s="3"/>
      <c r="Y56" s="3"/>
      <c r="Z56" s="3"/>
    </row>
    <row r="57" spans="1:26" ht="14.25" customHeight="1">
      <c r="A57" s="1"/>
      <c r="B57" s="1"/>
      <c r="C57" s="1"/>
      <c r="D57" s="1"/>
      <c r="E57" s="136"/>
      <c r="F57" s="12"/>
      <c r="G57" s="145"/>
      <c r="H57" s="145"/>
      <c r="I57" s="3"/>
      <c r="J57" s="3"/>
      <c r="K57" s="3"/>
      <c r="L57" s="3"/>
      <c r="M57" s="3"/>
      <c r="N57" s="3"/>
      <c r="O57" s="3"/>
      <c r="P57" s="3"/>
      <c r="Q57" s="3"/>
      <c r="R57" s="3"/>
      <c r="S57" s="3"/>
      <c r="T57" s="3"/>
      <c r="U57" s="3"/>
      <c r="V57" s="3"/>
      <c r="W57" s="3"/>
      <c r="X57" s="3"/>
      <c r="Y57" s="3"/>
      <c r="Z57" s="3"/>
    </row>
    <row r="58" spans="1:26" ht="14.25" customHeight="1">
      <c r="A58" s="1"/>
      <c r="B58" s="1"/>
      <c r="C58" s="1"/>
      <c r="D58" s="1"/>
      <c r="E58" s="136"/>
      <c r="F58" s="12"/>
      <c r="G58" s="145"/>
      <c r="H58" s="145"/>
      <c r="I58" s="3"/>
      <c r="J58" s="3"/>
      <c r="K58" s="3"/>
      <c r="L58" s="3"/>
      <c r="M58" s="3"/>
      <c r="N58" s="3"/>
      <c r="O58" s="3"/>
      <c r="P58" s="3"/>
      <c r="Q58" s="3"/>
      <c r="R58" s="3"/>
      <c r="S58" s="3"/>
      <c r="T58" s="3"/>
      <c r="U58" s="3"/>
      <c r="V58" s="3"/>
      <c r="W58" s="3"/>
      <c r="X58" s="3"/>
      <c r="Y58" s="3"/>
      <c r="Z58" s="3"/>
    </row>
    <row r="59" spans="1:26" ht="14.25" customHeight="1">
      <c r="A59" s="1"/>
      <c r="B59" s="1"/>
      <c r="C59" s="1"/>
      <c r="D59" s="1"/>
      <c r="E59" s="136"/>
      <c r="F59" s="12"/>
      <c r="G59" s="145"/>
      <c r="H59" s="145"/>
      <c r="I59" s="3"/>
      <c r="J59" s="3"/>
      <c r="K59" s="3"/>
      <c r="L59" s="3"/>
      <c r="M59" s="3"/>
      <c r="N59" s="3"/>
      <c r="O59" s="3"/>
      <c r="P59" s="3"/>
      <c r="Q59" s="3"/>
      <c r="R59" s="3"/>
      <c r="S59" s="3"/>
      <c r="T59" s="3"/>
      <c r="U59" s="3"/>
      <c r="V59" s="3"/>
      <c r="W59" s="3"/>
      <c r="X59" s="3"/>
      <c r="Y59" s="3"/>
      <c r="Z59" s="3"/>
    </row>
    <row r="60" spans="1:26" ht="14.25" customHeight="1">
      <c r="A60" s="1"/>
      <c r="B60" s="1"/>
      <c r="C60" s="1"/>
      <c r="D60" s="1"/>
      <c r="E60" s="136"/>
      <c r="F60" s="12"/>
      <c r="G60" s="145"/>
      <c r="H60" s="145"/>
      <c r="I60" s="3"/>
      <c r="J60" s="3"/>
      <c r="K60" s="3"/>
      <c r="L60" s="3"/>
      <c r="M60" s="3"/>
      <c r="N60" s="3"/>
      <c r="O60" s="3"/>
      <c r="P60" s="3"/>
      <c r="Q60" s="3"/>
      <c r="R60" s="3"/>
      <c r="S60" s="3"/>
      <c r="T60" s="3"/>
      <c r="U60" s="3"/>
      <c r="V60" s="3"/>
      <c r="W60" s="3"/>
      <c r="X60" s="3"/>
      <c r="Y60" s="3"/>
      <c r="Z60" s="3"/>
    </row>
    <row r="61" spans="1:26" ht="14.25" customHeight="1">
      <c r="A61" s="1"/>
      <c r="B61" s="1"/>
      <c r="C61" s="1"/>
      <c r="D61" s="1"/>
      <c r="E61" s="136"/>
      <c r="F61" s="12"/>
      <c r="G61" s="145"/>
      <c r="H61" s="145"/>
      <c r="I61" s="3"/>
      <c r="J61" s="3"/>
      <c r="K61" s="3"/>
      <c r="L61" s="3"/>
      <c r="M61" s="3"/>
      <c r="N61" s="3"/>
      <c r="O61" s="3"/>
      <c r="P61" s="3"/>
      <c r="Q61" s="3"/>
      <c r="R61" s="3"/>
      <c r="S61" s="3"/>
      <c r="T61" s="3"/>
      <c r="U61" s="3"/>
      <c r="V61" s="3"/>
      <c r="W61" s="3"/>
      <c r="X61" s="3"/>
      <c r="Y61" s="3"/>
      <c r="Z61" s="3"/>
    </row>
    <row r="62" spans="1:26" ht="14.25" customHeight="1">
      <c r="A62" s="1"/>
      <c r="B62" s="1"/>
      <c r="C62" s="1"/>
      <c r="D62" s="1"/>
      <c r="E62" s="136"/>
      <c r="F62" s="12"/>
      <c r="G62" s="145"/>
      <c r="H62" s="145"/>
      <c r="I62" s="3"/>
      <c r="J62" s="3"/>
      <c r="K62" s="3"/>
      <c r="L62" s="3"/>
      <c r="M62" s="3"/>
      <c r="N62" s="3"/>
      <c r="O62" s="3"/>
      <c r="P62" s="3"/>
      <c r="Q62" s="3"/>
      <c r="R62" s="3"/>
      <c r="S62" s="3"/>
      <c r="T62" s="3"/>
      <c r="U62" s="3"/>
      <c r="V62" s="3"/>
      <c r="W62" s="3"/>
      <c r="X62" s="3"/>
      <c r="Y62" s="3"/>
      <c r="Z62" s="3"/>
    </row>
    <row r="63" spans="1:26" ht="14.25" customHeight="1">
      <c r="A63" s="1"/>
      <c r="B63" s="1"/>
      <c r="C63" s="1"/>
      <c r="D63" s="1"/>
      <c r="E63" s="136"/>
      <c r="F63" s="12"/>
      <c r="G63" s="145"/>
      <c r="H63" s="145"/>
      <c r="I63" s="3"/>
      <c r="J63" s="3"/>
      <c r="K63" s="3"/>
      <c r="L63" s="3"/>
      <c r="M63" s="3"/>
      <c r="N63" s="3"/>
      <c r="O63" s="3"/>
      <c r="P63" s="3"/>
      <c r="Q63" s="3"/>
      <c r="R63" s="3"/>
      <c r="S63" s="3"/>
      <c r="T63" s="3"/>
      <c r="U63" s="3"/>
      <c r="V63" s="3"/>
      <c r="W63" s="3"/>
      <c r="X63" s="3"/>
      <c r="Y63" s="3"/>
      <c r="Z63" s="3"/>
    </row>
    <row r="64" spans="1:26" ht="14.25" customHeight="1">
      <c r="A64" s="1"/>
      <c r="B64" s="1"/>
      <c r="C64" s="1"/>
      <c r="D64" s="1"/>
      <c r="E64" s="136"/>
      <c r="F64" s="12"/>
      <c r="G64" s="145"/>
      <c r="H64" s="145"/>
      <c r="I64" s="3"/>
      <c r="J64" s="3"/>
      <c r="K64" s="3"/>
      <c r="L64" s="3"/>
      <c r="M64" s="3"/>
      <c r="N64" s="3"/>
      <c r="O64" s="3"/>
      <c r="P64" s="3"/>
      <c r="Q64" s="3"/>
      <c r="R64" s="3"/>
      <c r="S64" s="3"/>
      <c r="T64" s="3"/>
      <c r="U64" s="3"/>
      <c r="V64" s="3"/>
      <c r="W64" s="3"/>
      <c r="X64" s="3"/>
      <c r="Y64" s="3"/>
      <c r="Z64" s="3"/>
    </row>
    <row r="65" spans="1:26" ht="14.25" customHeight="1">
      <c r="A65" s="1"/>
      <c r="B65" s="1"/>
      <c r="C65" s="1"/>
      <c r="D65" s="1"/>
      <c r="E65" s="136"/>
      <c r="F65" s="12"/>
      <c r="G65" s="145"/>
      <c r="H65" s="145"/>
      <c r="I65" s="3"/>
      <c r="J65" s="3"/>
      <c r="K65" s="3"/>
      <c r="L65" s="3"/>
      <c r="M65" s="3"/>
      <c r="N65" s="3"/>
      <c r="O65" s="3"/>
      <c r="P65" s="3"/>
      <c r="Q65" s="3"/>
      <c r="R65" s="3"/>
      <c r="S65" s="3"/>
      <c r="T65" s="3"/>
      <c r="U65" s="3"/>
      <c r="V65" s="3"/>
      <c r="W65" s="3"/>
      <c r="X65" s="3"/>
      <c r="Y65" s="3"/>
      <c r="Z65" s="3"/>
    </row>
    <row r="66" spans="1:26" ht="14.25" customHeight="1">
      <c r="A66" s="1"/>
      <c r="B66" s="1"/>
      <c r="C66" s="1"/>
      <c r="D66" s="1"/>
      <c r="E66" s="136"/>
      <c r="F66" s="12"/>
      <c r="G66" s="145"/>
      <c r="H66" s="145"/>
      <c r="I66" s="3"/>
      <c r="J66" s="3"/>
      <c r="K66" s="3"/>
      <c r="L66" s="3"/>
      <c r="M66" s="3"/>
      <c r="N66" s="3"/>
      <c r="O66" s="3"/>
      <c r="P66" s="3"/>
      <c r="Q66" s="3"/>
      <c r="R66" s="3"/>
      <c r="S66" s="3"/>
      <c r="T66" s="3"/>
      <c r="U66" s="3"/>
      <c r="V66" s="3"/>
      <c r="W66" s="3"/>
      <c r="X66" s="3"/>
      <c r="Y66" s="3"/>
      <c r="Z66" s="3"/>
    </row>
    <row r="67" spans="1:26" ht="14.25" customHeight="1">
      <c r="A67" s="1"/>
      <c r="B67" s="1"/>
      <c r="C67" s="1"/>
      <c r="D67" s="1"/>
      <c r="E67" s="136"/>
      <c r="F67" s="12"/>
      <c r="G67" s="145"/>
      <c r="H67" s="145"/>
      <c r="I67" s="3"/>
      <c r="J67" s="3"/>
      <c r="K67" s="3"/>
      <c r="L67" s="3"/>
      <c r="M67" s="3"/>
      <c r="N67" s="3"/>
      <c r="O67" s="3"/>
      <c r="P67" s="3"/>
      <c r="Q67" s="3"/>
      <c r="R67" s="3"/>
      <c r="S67" s="3"/>
      <c r="T67" s="3"/>
      <c r="U67" s="3"/>
      <c r="V67" s="3"/>
      <c r="W67" s="3"/>
      <c r="X67" s="3"/>
      <c r="Y67" s="3"/>
      <c r="Z67" s="3"/>
    </row>
    <row r="68" spans="1:26" ht="14.25" customHeight="1">
      <c r="A68" s="1"/>
      <c r="B68" s="1"/>
      <c r="C68" s="1"/>
      <c r="D68" s="1"/>
      <c r="E68" s="136"/>
      <c r="F68" s="12"/>
      <c r="G68" s="145"/>
      <c r="H68" s="145"/>
      <c r="I68" s="3"/>
      <c r="J68" s="3"/>
      <c r="K68" s="3"/>
      <c r="L68" s="3"/>
      <c r="M68" s="3"/>
      <c r="N68" s="3"/>
      <c r="O68" s="3"/>
      <c r="P68" s="3"/>
      <c r="Q68" s="3"/>
      <c r="R68" s="3"/>
      <c r="S68" s="3"/>
      <c r="T68" s="3"/>
      <c r="U68" s="3"/>
      <c r="V68" s="3"/>
      <c r="W68" s="3"/>
      <c r="X68" s="3"/>
      <c r="Y68" s="3"/>
      <c r="Z68" s="3"/>
    </row>
    <row r="69" spans="1:26" ht="14.25" customHeight="1">
      <c r="A69" s="1"/>
      <c r="B69" s="1"/>
      <c r="C69" s="1"/>
      <c r="D69" s="1"/>
      <c r="E69" s="136"/>
      <c r="F69" s="12"/>
      <c r="G69" s="145"/>
      <c r="H69" s="145"/>
      <c r="I69" s="3"/>
      <c r="J69" s="3"/>
      <c r="K69" s="3"/>
      <c r="L69" s="3"/>
      <c r="M69" s="3"/>
      <c r="N69" s="3"/>
      <c r="O69" s="3"/>
      <c r="P69" s="3"/>
      <c r="Q69" s="3"/>
      <c r="R69" s="3"/>
      <c r="S69" s="3"/>
      <c r="T69" s="3"/>
      <c r="U69" s="3"/>
      <c r="V69" s="3"/>
      <c r="W69" s="3"/>
      <c r="X69" s="3"/>
      <c r="Y69" s="3"/>
      <c r="Z69" s="3"/>
    </row>
    <row r="70" spans="1:26" ht="14.25" customHeight="1">
      <c r="A70" s="1"/>
      <c r="B70" s="1"/>
      <c r="C70" s="1"/>
      <c r="D70" s="1"/>
      <c r="E70" s="136"/>
      <c r="F70" s="12"/>
      <c r="G70" s="145"/>
      <c r="H70" s="145"/>
      <c r="I70" s="3"/>
      <c r="J70" s="3"/>
      <c r="K70" s="3"/>
      <c r="L70" s="3"/>
      <c r="M70" s="3"/>
      <c r="N70" s="3"/>
      <c r="O70" s="3"/>
      <c r="P70" s="3"/>
      <c r="Q70" s="3"/>
      <c r="R70" s="3"/>
      <c r="S70" s="3"/>
      <c r="T70" s="3"/>
      <c r="U70" s="3"/>
      <c r="V70" s="3"/>
      <c r="W70" s="3"/>
      <c r="X70" s="3"/>
      <c r="Y70" s="3"/>
      <c r="Z70" s="3"/>
    </row>
    <row r="71" spans="1:26" ht="14.25" customHeight="1">
      <c r="A71" s="1"/>
      <c r="B71" s="1"/>
      <c r="C71" s="1"/>
      <c r="D71" s="1"/>
      <c r="E71" s="136"/>
      <c r="F71" s="12"/>
      <c r="G71" s="145"/>
      <c r="H71" s="145"/>
      <c r="I71" s="3"/>
      <c r="J71" s="3"/>
      <c r="K71" s="3"/>
      <c r="L71" s="3"/>
      <c r="M71" s="3"/>
      <c r="N71" s="3"/>
      <c r="O71" s="3"/>
      <c r="P71" s="3"/>
      <c r="Q71" s="3"/>
      <c r="R71" s="3"/>
      <c r="S71" s="3"/>
      <c r="T71" s="3"/>
      <c r="U71" s="3"/>
      <c r="V71" s="3"/>
      <c r="W71" s="3"/>
      <c r="X71" s="3"/>
      <c r="Y71" s="3"/>
      <c r="Z71" s="3"/>
    </row>
    <row r="72" spans="1:26" ht="14.25" customHeight="1">
      <c r="A72" s="1"/>
      <c r="B72" s="1"/>
      <c r="C72" s="1"/>
      <c r="D72" s="1"/>
      <c r="E72" s="136"/>
      <c r="F72" s="12"/>
      <c r="G72" s="145"/>
      <c r="H72" s="145"/>
      <c r="I72" s="3"/>
      <c r="J72" s="3"/>
      <c r="K72" s="3"/>
      <c r="L72" s="3"/>
      <c r="M72" s="3"/>
      <c r="N72" s="3"/>
      <c r="O72" s="3"/>
      <c r="P72" s="3"/>
      <c r="Q72" s="3"/>
      <c r="R72" s="3"/>
      <c r="S72" s="3"/>
      <c r="T72" s="3"/>
      <c r="U72" s="3"/>
      <c r="V72" s="3"/>
      <c r="W72" s="3"/>
      <c r="X72" s="3"/>
      <c r="Y72" s="3"/>
      <c r="Z72" s="3"/>
    </row>
    <row r="73" spans="1:26" ht="14.25" customHeight="1">
      <c r="A73" s="1"/>
      <c r="B73" s="1"/>
      <c r="C73" s="1"/>
      <c r="D73" s="1"/>
      <c r="E73" s="136"/>
      <c r="F73" s="12"/>
      <c r="G73" s="145"/>
      <c r="H73" s="145"/>
      <c r="I73" s="3"/>
      <c r="J73" s="3"/>
      <c r="K73" s="3"/>
      <c r="L73" s="3"/>
      <c r="M73" s="3"/>
      <c r="N73" s="3"/>
      <c r="O73" s="3"/>
      <c r="P73" s="3"/>
      <c r="Q73" s="3"/>
      <c r="R73" s="3"/>
      <c r="S73" s="3"/>
      <c r="T73" s="3"/>
      <c r="U73" s="3"/>
      <c r="V73" s="3"/>
      <c r="W73" s="3"/>
      <c r="X73" s="3"/>
      <c r="Y73" s="3"/>
      <c r="Z73" s="3"/>
    </row>
    <row r="74" spans="1:26" ht="14.25" customHeight="1">
      <c r="A74" s="1"/>
      <c r="B74" s="1"/>
      <c r="C74" s="1"/>
      <c r="D74" s="1"/>
      <c r="E74" s="136"/>
      <c r="F74" s="12"/>
      <c r="G74" s="145"/>
      <c r="H74" s="145"/>
      <c r="I74" s="3"/>
      <c r="J74" s="3"/>
      <c r="K74" s="3"/>
      <c r="L74" s="3"/>
      <c r="M74" s="3"/>
      <c r="N74" s="3"/>
      <c r="O74" s="3"/>
      <c r="P74" s="3"/>
      <c r="Q74" s="3"/>
      <c r="R74" s="3"/>
      <c r="S74" s="3"/>
      <c r="T74" s="3"/>
      <c r="U74" s="3"/>
      <c r="V74" s="3"/>
      <c r="W74" s="3"/>
      <c r="X74" s="3"/>
      <c r="Y74" s="3"/>
      <c r="Z74" s="3"/>
    </row>
    <row r="75" spans="1:26" ht="14.25" customHeight="1">
      <c r="A75" s="1"/>
      <c r="B75" s="1"/>
      <c r="C75" s="1"/>
      <c r="D75" s="1"/>
      <c r="E75" s="136"/>
      <c r="F75" s="12"/>
      <c r="G75" s="145"/>
      <c r="H75" s="145"/>
      <c r="I75" s="3"/>
      <c r="J75" s="3"/>
      <c r="K75" s="3"/>
      <c r="L75" s="3"/>
      <c r="M75" s="3"/>
      <c r="N75" s="3"/>
      <c r="O75" s="3"/>
      <c r="P75" s="3"/>
      <c r="Q75" s="3"/>
      <c r="R75" s="3"/>
      <c r="S75" s="3"/>
      <c r="T75" s="3"/>
      <c r="U75" s="3"/>
      <c r="V75" s="3"/>
      <c r="W75" s="3"/>
      <c r="X75" s="3"/>
      <c r="Y75" s="3"/>
      <c r="Z75" s="3"/>
    </row>
    <row r="76" spans="1:26" ht="14.25" customHeight="1">
      <c r="A76" s="1"/>
      <c r="B76" s="1"/>
      <c r="C76" s="1"/>
      <c r="D76" s="1"/>
      <c r="E76" s="136"/>
      <c r="F76" s="12"/>
      <c r="G76" s="145"/>
      <c r="H76" s="145"/>
      <c r="I76" s="3"/>
      <c r="J76" s="3"/>
      <c r="K76" s="3"/>
      <c r="L76" s="3"/>
      <c r="M76" s="3"/>
      <c r="N76" s="3"/>
      <c r="O76" s="3"/>
      <c r="P76" s="3"/>
      <c r="Q76" s="3"/>
      <c r="R76" s="3"/>
      <c r="S76" s="3"/>
      <c r="T76" s="3"/>
      <c r="U76" s="3"/>
      <c r="V76" s="3"/>
      <c r="W76" s="3"/>
      <c r="X76" s="3"/>
      <c r="Y76" s="3"/>
      <c r="Z76" s="3"/>
    </row>
    <row r="77" spans="1:26" ht="14.25" customHeight="1">
      <c r="A77" s="1"/>
      <c r="B77" s="1"/>
      <c r="C77" s="1"/>
      <c r="D77" s="1"/>
      <c r="E77" s="136"/>
      <c r="F77" s="12"/>
      <c r="G77" s="145"/>
      <c r="H77" s="145"/>
      <c r="I77" s="3"/>
      <c r="J77" s="3"/>
      <c r="K77" s="3"/>
      <c r="L77" s="3"/>
      <c r="M77" s="3"/>
      <c r="N77" s="3"/>
      <c r="O77" s="3"/>
      <c r="P77" s="3"/>
      <c r="Q77" s="3"/>
      <c r="R77" s="3"/>
      <c r="S77" s="3"/>
      <c r="T77" s="3"/>
      <c r="U77" s="3"/>
      <c r="V77" s="3"/>
      <c r="W77" s="3"/>
      <c r="X77" s="3"/>
      <c r="Y77" s="3"/>
      <c r="Z77" s="3"/>
    </row>
    <row r="78" spans="1:26" ht="14.25" customHeight="1">
      <c r="A78" s="1"/>
      <c r="B78" s="1"/>
      <c r="C78" s="1"/>
      <c r="D78" s="1"/>
      <c r="E78" s="136"/>
      <c r="F78" s="12"/>
      <c r="G78" s="145"/>
      <c r="H78" s="145"/>
      <c r="I78" s="3"/>
      <c r="J78" s="3"/>
      <c r="K78" s="3"/>
      <c r="L78" s="3"/>
      <c r="M78" s="3"/>
      <c r="N78" s="3"/>
      <c r="O78" s="3"/>
      <c r="P78" s="3"/>
      <c r="Q78" s="3"/>
      <c r="R78" s="3"/>
      <c r="S78" s="3"/>
      <c r="T78" s="3"/>
      <c r="U78" s="3"/>
      <c r="V78" s="3"/>
      <c r="W78" s="3"/>
      <c r="X78" s="3"/>
      <c r="Y78" s="3"/>
      <c r="Z78" s="3"/>
    </row>
    <row r="79" spans="1:26" ht="14.25" customHeight="1">
      <c r="A79" s="1"/>
      <c r="B79" s="1"/>
      <c r="C79" s="1"/>
      <c r="D79" s="1"/>
      <c r="E79" s="136"/>
      <c r="F79" s="12"/>
      <c r="G79" s="145"/>
      <c r="H79" s="145"/>
      <c r="I79" s="3"/>
      <c r="J79" s="3"/>
      <c r="K79" s="3"/>
      <c r="L79" s="3"/>
      <c r="M79" s="3"/>
      <c r="N79" s="3"/>
      <c r="O79" s="3"/>
      <c r="P79" s="3"/>
      <c r="Q79" s="3"/>
      <c r="R79" s="3"/>
      <c r="S79" s="3"/>
      <c r="T79" s="3"/>
      <c r="U79" s="3"/>
      <c r="V79" s="3"/>
      <c r="W79" s="3"/>
      <c r="X79" s="3"/>
      <c r="Y79" s="3"/>
      <c r="Z79" s="3"/>
    </row>
    <row r="80" spans="1:26" ht="14.25" customHeight="1">
      <c r="A80" s="1"/>
      <c r="B80" s="1"/>
      <c r="C80" s="1"/>
      <c r="D80" s="1"/>
      <c r="E80" s="136"/>
      <c r="F80" s="12"/>
      <c r="G80" s="145"/>
      <c r="H80" s="145"/>
      <c r="I80" s="3"/>
      <c r="J80" s="3"/>
      <c r="K80" s="3"/>
      <c r="L80" s="3"/>
      <c r="M80" s="3"/>
      <c r="N80" s="3"/>
      <c r="O80" s="3"/>
      <c r="P80" s="3"/>
      <c r="Q80" s="3"/>
      <c r="R80" s="3"/>
      <c r="S80" s="3"/>
      <c r="T80" s="3"/>
      <c r="U80" s="3"/>
      <c r="V80" s="3"/>
      <c r="W80" s="3"/>
      <c r="X80" s="3"/>
      <c r="Y80" s="3"/>
      <c r="Z80" s="3"/>
    </row>
    <row r="81" spans="1:26" ht="14.25" customHeight="1">
      <c r="A81" s="1"/>
      <c r="B81" s="1"/>
      <c r="C81" s="1"/>
      <c r="D81" s="1"/>
      <c r="E81" s="136"/>
      <c r="F81" s="12"/>
      <c r="G81" s="145"/>
      <c r="H81" s="145"/>
      <c r="I81" s="3"/>
      <c r="J81" s="3"/>
      <c r="K81" s="3"/>
      <c r="L81" s="3"/>
      <c r="M81" s="3"/>
      <c r="N81" s="3"/>
      <c r="O81" s="3"/>
      <c r="P81" s="3"/>
      <c r="Q81" s="3"/>
      <c r="R81" s="3"/>
      <c r="S81" s="3"/>
      <c r="T81" s="3"/>
      <c r="U81" s="3"/>
      <c r="V81" s="3"/>
      <c r="W81" s="3"/>
      <c r="X81" s="3"/>
      <c r="Y81" s="3"/>
      <c r="Z81" s="3"/>
    </row>
    <row r="82" spans="1:26" ht="14.25" customHeight="1">
      <c r="A82" s="1"/>
      <c r="B82" s="1"/>
      <c r="C82" s="1"/>
      <c r="D82" s="1"/>
      <c r="E82" s="136"/>
      <c r="F82" s="12"/>
      <c r="G82" s="145"/>
      <c r="H82" s="145"/>
      <c r="I82" s="3"/>
      <c r="J82" s="3"/>
      <c r="K82" s="3"/>
      <c r="L82" s="3"/>
      <c r="M82" s="3"/>
      <c r="N82" s="3"/>
      <c r="O82" s="3"/>
      <c r="P82" s="3"/>
      <c r="Q82" s="3"/>
      <c r="R82" s="3"/>
      <c r="S82" s="3"/>
      <c r="T82" s="3"/>
      <c r="U82" s="3"/>
      <c r="V82" s="3"/>
      <c r="W82" s="3"/>
      <c r="X82" s="3"/>
      <c r="Y82" s="3"/>
      <c r="Z82" s="3"/>
    </row>
    <row r="83" spans="1:26" ht="14.25" customHeight="1">
      <c r="A83" s="1"/>
      <c r="B83" s="1"/>
      <c r="C83" s="1"/>
      <c r="D83" s="1"/>
      <c r="E83" s="136"/>
      <c r="F83" s="12"/>
      <c r="G83" s="145"/>
      <c r="H83" s="145"/>
      <c r="I83" s="3"/>
      <c r="J83" s="3"/>
      <c r="K83" s="3"/>
      <c r="L83" s="3"/>
      <c r="M83" s="3"/>
      <c r="N83" s="3"/>
      <c r="O83" s="3"/>
      <c r="P83" s="3"/>
      <c r="Q83" s="3"/>
      <c r="R83" s="3"/>
      <c r="S83" s="3"/>
      <c r="T83" s="3"/>
      <c r="U83" s="3"/>
      <c r="V83" s="3"/>
      <c r="W83" s="3"/>
      <c r="X83" s="3"/>
      <c r="Y83" s="3"/>
      <c r="Z83" s="3"/>
    </row>
    <row r="84" spans="1:26" ht="14.25" customHeight="1">
      <c r="A84" s="1"/>
      <c r="B84" s="1"/>
      <c r="C84" s="1"/>
      <c r="D84" s="1"/>
      <c r="E84" s="136"/>
      <c r="F84" s="12"/>
      <c r="G84" s="145"/>
      <c r="H84" s="145"/>
      <c r="I84" s="3"/>
      <c r="J84" s="3"/>
      <c r="K84" s="3"/>
      <c r="L84" s="3"/>
      <c r="M84" s="3"/>
      <c r="N84" s="3"/>
      <c r="O84" s="3"/>
      <c r="P84" s="3"/>
      <c r="Q84" s="3"/>
      <c r="R84" s="3"/>
      <c r="S84" s="3"/>
      <c r="T84" s="3"/>
      <c r="U84" s="3"/>
      <c r="V84" s="3"/>
      <c r="W84" s="3"/>
      <c r="X84" s="3"/>
      <c r="Y84" s="3"/>
      <c r="Z84" s="3"/>
    </row>
    <row r="85" spans="1:26" ht="14.25" customHeight="1">
      <c r="A85" s="1"/>
      <c r="B85" s="1"/>
      <c r="C85" s="1"/>
      <c r="D85" s="1"/>
      <c r="E85" s="136"/>
      <c r="F85" s="12"/>
      <c r="G85" s="145"/>
      <c r="H85" s="145"/>
      <c r="I85" s="3"/>
      <c r="J85" s="3"/>
      <c r="K85" s="3"/>
      <c r="L85" s="3"/>
      <c r="M85" s="3"/>
      <c r="N85" s="3"/>
      <c r="O85" s="3"/>
      <c r="P85" s="3"/>
      <c r="Q85" s="3"/>
      <c r="R85" s="3"/>
      <c r="S85" s="3"/>
      <c r="T85" s="3"/>
      <c r="U85" s="3"/>
      <c r="V85" s="3"/>
      <c r="W85" s="3"/>
      <c r="X85" s="3"/>
      <c r="Y85" s="3"/>
      <c r="Z85" s="3"/>
    </row>
    <row r="86" spans="1:26" ht="14.25" customHeight="1">
      <c r="A86" s="1"/>
      <c r="B86" s="1"/>
      <c r="C86" s="1"/>
      <c r="D86" s="1"/>
      <c r="E86" s="136"/>
      <c r="F86" s="12"/>
      <c r="G86" s="145"/>
      <c r="H86" s="145"/>
      <c r="I86" s="3"/>
      <c r="J86" s="3"/>
      <c r="K86" s="3"/>
      <c r="L86" s="3"/>
      <c r="M86" s="3"/>
      <c r="N86" s="3"/>
      <c r="O86" s="3"/>
      <c r="P86" s="3"/>
      <c r="Q86" s="3"/>
      <c r="R86" s="3"/>
      <c r="S86" s="3"/>
      <c r="T86" s="3"/>
      <c r="U86" s="3"/>
      <c r="V86" s="3"/>
      <c r="W86" s="3"/>
      <c r="X86" s="3"/>
      <c r="Y86" s="3"/>
      <c r="Z86" s="3"/>
    </row>
    <row r="87" spans="1:26" ht="14.25" customHeight="1">
      <c r="A87" s="1"/>
      <c r="B87" s="1"/>
      <c r="C87" s="1"/>
      <c r="D87" s="1"/>
      <c r="E87" s="136"/>
      <c r="F87" s="12"/>
      <c r="G87" s="145"/>
      <c r="H87" s="145"/>
      <c r="I87" s="3"/>
      <c r="J87" s="3"/>
      <c r="K87" s="3"/>
      <c r="L87" s="3"/>
      <c r="M87" s="3"/>
      <c r="N87" s="3"/>
      <c r="O87" s="3"/>
      <c r="P87" s="3"/>
      <c r="Q87" s="3"/>
      <c r="R87" s="3"/>
      <c r="S87" s="3"/>
      <c r="T87" s="3"/>
      <c r="U87" s="3"/>
      <c r="V87" s="3"/>
      <c r="W87" s="3"/>
      <c r="X87" s="3"/>
      <c r="Y87" s="3"/>
      <c r="Z87" s="3"/>
    </row>
    <row r="88" spans="1:26" ht="14.25" customHeight="1">
      <c r="A88" s="1"/>
      <c r="B88" s="1"/>
      <c r="C88" s="1"/>
      <c r="D88" s="1"/>
      <c r="E88" s="136"/>
      <c r="F88" s="12"/>
      <c r="G88" s="145"/>
      <c r="H88" s="145"/>
      <c r="I88" s="3"/>
      <c r="J88" s="3"/>
      <c r="K88" s="3"/>
      <c r="L88" s="3"/>
      <c r="M88" s="3"/>
      <c r="N88" s="3"/>
      <c r="O88" s="3"/>
      <c r="P88" s="3"/>
      <c r="Q88" s="3"/>
      <c r="R88" s="3"/>
      <c r="S88" s="3"/>
      <c r="T88" s="3"/>
      <c r="U88" s="3"/>
      <c r="V88" s="3"/>
      <c r="W88" s="3"/>
      <c r="X88" s="3"/>
      <c r="Y88" s="3"/>
      <c r="Z88" s="3"/>
    </row>
    <row r="89" spans="1:26" ht="14.25" customHeight="1">
      <c r="A89" s="1"/>
      <c r="B89" s="1"/>
      <c r="C89" s="1"/>
      <c r="D89" s="1"/>
      <c r="E89" s="136"/>
      <c r="F89" s="12"/>
      <c r="G89" s="145"/>
      <c r="H89" s="145"/>
      <c r="I89" s="3"/>
      <c r="J89" s="3"/>
      <c r="K89" s="3"/>
      <c r="L89" s="3"/>
      <c r="M89" s="3"/>
      <c r="N89" s="3"/>
      <c r="O89" s="3"/>
      <c r="P89" s="3"/>
      <c r="Q89" s="3"/>
      <c r="R89" s="3"/>
      <c r="S89" s="3"/>
      <c r="T89" s="3"/>
      <c r="U89" s="3"/>
      <c r="V89" s="3"/>
      <c r="W89" s="3"/>
      <c r="X89" s="3"/>
      <c r="Y89" s="3"/>
      <c r="Z89" s="3"/>
    </row>
    <row r="90" spans="1:26" ht="14.25" customHeight="1">
      <c r="A90" s="1"/>
      <c r="B90" s="1"/>
      <c r="C90" s="1"/>
      <c r="D90" s="1"/>
      <c r="E90" s="136"/>
      <c r="F90" s="12"/>
      <c r="G90" s="145"/>
      <c r="H90" s="145"/>
      <c r="I90" s="3"/>
      <c r="J90" s="3"/>
      <c r="K90" s="3"/>
      <c r="L90" s="3"/>
      <c r="M90" s="3"/>
      <c r="N90" s="3"/>
      <c r="O90" s="3"/>
      <c r="P90" s="3"/>
      <c r="Q90" s="3"/>
      <c r="R90" s="3"/>
      <c r="S90" s="3"/>
      <c r="T90" s="3"/>
      <c r="U90" s="3"/>
      <c r="V90" s="3"/>
      <c r="W90" s="3"/>
      <c r="X90" s="3"/>
      <c r="Y90" s="3"/>
      <c r="Z90" s="3"/>
    </row>
    <row r="91" spans="1:26" ht="14.25" customHeight="1">
      <c r="A91" s="1"/>
      <c r="B91" s="1"/>
      <c r="C91" s="1"/>
      <c r="D91" s="1"/>
      <c r="E91" s="136"/>
      <c r="F91" s="12"/>
      <c r="G91" s="145"/>
      <c r="H91" s="145"/>
      <c r="I91" s="3"/>
      <c r="J91" s="3"/>
      <c r="K91" s="3"/>
      <c r="L91" s="3"/>
      <c r="M91" s="3"/>
      <c r="N91" s="3"/>
      <c r="O91" s="3"/>
      <c r="P91" s="3"/>
      <c r="Q91" s="3"/>
      <c r="R91" s="3"/>
      <c r="S91" s="3"/>
      <c r="T91" s="3"/>
      <c r="U91" s="3"/>
      <c r="V91" s="3"/>
      <c r="W91" s="3"/>
      <c r="X91" s="3"/>
      <c r="Y91" s="3"/>
      <c r="Z91" s="3"/>
    </row>
    <row r="92" spans="1:26" ht="14.25" customHeight="1">
      <c r="A92" s="1"/>
      <c r="B92" s="1"/>
      <c r="C92" s="1"/>
      <c r="D92" s="1"/>
      <c r="E92" s="136"/>
      <c r="F92" s="12"/>
      <c r="G92" s="145"/>
      <c r="H92" s="145"/>
      <c r="I92" s="3"/>
      <c r="J92" s="3"/>
      <c r="K92" s="3"/>
      <c r="L92" s="3"/>
      <c r="M92" s="3"/>
      <c r="N92" s="3"/>
      <c r="O92" s="3"/>
      <c r="P92" s="3"/>
      <c r="Q92" s="3"/>
      <c r="R92" s="3"/>
      <c r="S92" s="3"/>
      <c r="T92" s="3"/>
      <c r="U92" s="3"/>
      <c r="V92" s="3"/>
      <c r="W92" s="3"/>
      <c r="X92" s="3"/>
      <c r="Y92" s="3"/>
      <c r="Z92" s="3"/>
    </row>
    <row r="93" spans="1:26" ht="14.25" customHeight="1">
      <c r="A93" s="1"/>
      <c r="B93" s="1"/>
      <c r="C93" s="1"/>
      <c r="D93" s="1"/>
      <c r="E93" s="136"/>
      <c r="F93" s="12"/>
      <c r="G93" s="145"/>
      <c r="H93" s="145"/>
      <c r="I93" s="3"/>
      <c r="J93" s="3"/>
      <c r="K93" s="3"/>
      <c r="L93" s="3"/>
      <c r="M93" s="3"/>
      <c r="N93" s="3"/>
      <c r="O93" s="3"/>
      <c r="P93" s="3"/>
      <c r="Q93" s="3"/>
      <c r="R93" s="3"/>
      <c r="S93" s="3"/>
      <c r="T93" s="3"/>
      <c r="U93" s="3"/>
      <c r="V93" s="3"/>
      <c r="W93" s="3"/>
      <c r="X93" s="3"/>
      <c r="Y93" s="3"/>
      <c r="Z93" s="3"/>
    </row>
    <row r="94" spans="1:26" ht="14.25" customHeight="1">
      <c r="A94" s="1"/>
      <c r="B94" s="1"/>
      <c r="C94" s="1"/>
      <c r="D94" s="1"/>
      <c r="E94" s="136"/>
      <c r="F94" s="12"/>
      <c r="G94" s="145"/>
      <c r="H94" s="145"/>
      <c r="I94" s="3"/>
      <c r="J94" s="3"/>
      <c r="K94" s="3"/>
      <c r="L94" s="3"/>
      <c r="M94" s="3"/>
      <c r="N94" s="3"/>
      <c r="O94" s="3"/>
      <c r="P94" s="3"/>
      <c r="Q94" s="3"/>
      <c r="R94" s="3"/>
      <c r="S94" s="3"/>
      <c r="T94" s="3"/>
      <c r="U94" s="3"/>
      <c r="V94" s="3"/>
      <c r="W94" s="3"/>
      <c r="X94" s="3"/>
      <c r="Y94" s="3"/>
      <c r="Z94" s="3"/>
    </row>
    <row r="95" spans="1:26" ht="14.25" customHeight="1">
      <c r="A95" s="1"/>
      <c r="B95" s="1"/>
      <c r="C95" s="1"/>
      <c r="D95" s="1"/>
      <c r="E95" s="136"/>
      <c r="F95" s="12"/>
      <c r="G95" s="145"/>
      <c r="H95" s="145"/>
      <c r="I95" s="3"/>
      <c r="J95" s="3"/>
      <c r="K95" s="3"/>
      <c r="L95" s="3"/>
      <c r="M95" s="3"/>
      <c r="N95" s="3"/>
      <c r="O95" s="3"/>
      <c r="P95" s="3"/>
      <c r="Q95" s="3"/>
      <c r="R95" s="3"/>
      <c r="S95" s="3"/>
      <c r="T95" s="3"/>
      <c r="U95" s="3"/>
      <c r="V95" s="3"/>
      <c r="W95" s="3"/>
      <c r="X95" s="3"/>
      <c r="Y95" s="3"/>
      <c r="Z95" s="3"/>
    </row>
    <row r="96" spans="1:26" ht="14.25" customHeight="1">
      <c r="A96" s="1"/>
      <c r="B96" s="1"/>
      <c r="C96" s="1"/>
      <c r="D96" s="1"/>
      <c r="E96" s="136"/>
      <c r="F96" s="12"/>
      <c r="G96" s="145"/>
      <c r="H96" s="145"/>
      <c r="I96" s="3"/>
      <c r="J96" s="3"/>
      <c r="K96" s="3"/>
      <c r="L96" s="3"/>
      <c r="M96" s="3"/>
      <c r="N96" s="3"/>
      <c r="O96" s="3"/>
      <c r="P96" s="3"/>
      <c r="Q96" s="3"/>
      <c r="R96" s="3"/>
      <c r="S96" s="3"/>
      <c r="T96" s="3"/>
      <c r="U96" s="3"/>
      <c r="V96" s="3"/>
      <c r="W96" s="3"/>
      <c r="X96" s="3"/>
      <c r="Y96" s="3"/>
      <c r="Z96" s="3"/>
    </row>
    <row r="97" spans="1:26" ht="14.25" customHeight="1">
      <c r="A97" s="1"/>
      <c r="B97" s="1"/>
      <c r="C97" s="1"/>
      <c r="D97" s="1"/>
      <c r="E97" s="136"/>
      <c r="F97" s="12"/>
      <c r="G97" s="145"/>
      <c r="H97" s="145"/>
      <c r="I97" s="3"/>
      <c r="J97" s="3"/>
      <c r="K97" s="3"/>
      <c r="L97" s="3"/>
      <c r="M97" s="3"/>
      <c r="N97" s="3"/>
      <c r="O97" s="3"/>
      <c r="P97" s="3"/>
      <c r="Q97" s="3"/>
      <c r="R97" s="3"/>
      <c r="S97" s="3"/>
      <c r="T97" s="3"/>
      <c r="U97" s="3"/>
      <c r="V97" s="3"/>
      <c r="W97" s="3"/>
      <c r="X97" s="3"/>
      <c r="Y97" s="3"/>
      <c r="Z97" s="3"/>
    </row>
    <row r="98" spans="1:26" ht="14.25" customHeight="1">
      <c r="A98" s="1"/>
      <c r="B98" s="1"/>
      <c r="C98" s="1"/>
      <c r="D98" s="1"/>
      <c r="E98" s="136"/>
      <c r="F98" s="12"/>
      <c r="G98" s="145"/>
      <c r="H98" s="145"/>
      <c r="I98" s="3"/>
      <c r="J98" s="3"/>
      <c r="K98" s="3"/>
      <c r="L98" s="3"/>
      <c r="M98" s="3"/>
      <c r="N98" s="3"/>
      <c r="O98" s="3"/>
      <c r="P98" s="3"/>
      <c r="Q98" s="3"/>
      <c r="R98" s="3"/>
      <c r="S98" s="3"/>
      <c r="T98" s="3"/>
      <c r="U98" s="3"/>
      <c r="V98" s="3"/>
      <c r="W98" s="3"/>
      <c r="X98" s="3"/>
      <c r="Y98" s="3"/>
      <c r="Z98" s="3"/>
    </row>
    <row r="99" spans="1:26" ht="14.25" customHeight="1">
      <c r="A99" s="1"/>
      <c r="B99" s="1"/>
      <c r="C99" s="1"/>
      <c r="D99" s="1"/>
      <c r="E99" s="136"/>
      <c r="F99" s="12"/>
      <c r="G99" s="145"/>
      <c r="H99" s="145"/>
      <c r="I99" s="3"/>
      <c r="J99" s="3"/>
      <c r="K99" s="3"/>
      <c r="L99" s="3"/>
      <c r="M99" s="3"/>
      <c r="N99" s="3"/>
      <c r="O99" s="3"/>
      <c r="P99" s="3"/>
      <c r="Q99" s="3"/>
      <c r="R99" s="3"/>
      <c r="S99" s="3"/>
      <c r="T99" s="3"/>
      <c r="U99" s="3"/>
      <c r="V99" s="3"/>
      <c r="W99" s="3"/>
      <c r="X99" s="3"/>
      <c r="Y99" s="3"/>
      <c r="Z99" s="3"/>
    </row>
    <row r="100" spans="1:26" ht="14.25" customHeight="1">
      <c r="A100" s="1"/>
      <c r="B100" s="1"/>
      <c r="C100" s="1"/>
      <c r="D100" s="1"/>
      <c r="E100" s="136"/>
      <c r="F100" s="12"/>
      <c r="G100" s="145"/>
      <c r="H100" s="145"/>
      <c r="I100" s="3"/>
      <c r="J100" s="3"/>
      <c r="K100" s="3"/>
      <c r="L100" s="3"/>
      <c r="M100" s="3"/>
      <c r="N100" s="3"/>
      <c r="O100" s="3"/>
      <c r="P100" s="3"/>
      <c r="Q100" s="3"/>
      <c r="R100" s="3"/>
      <c r="S100" s="3"/>
      <c r="T100" s="3"/>
      <c r="U100" s="3"/>
      <c r="V100" s="3"/>
      <c r="W100" s="3"/>
      <c r="X100" s="3"/>
      <c r="Y100" s="3"/>
      <c r="Z100" s="3"/>
    </row>
    <row r="101" spans="1:26" ht="14.25" customHeight="1">
      <c r="A101" s="1"/>
      <c r="B101" s="1"/>
      <c r="C101" s="1"/>
      <c r="D101" s="1"/>
      <c r="E101" s="136"/>
      <c r="F101" s="12"/>
      <c r="G101" s="145"/>
      <c r="H101" s="145"/>
      <c r="I101" s="3"/>
      <c r="J101" s="3"/>
      <c r="K101" s="3"/>
      <c r="L101" s="3"/>
      <c r="M101" s="3"/>
      <c r="N101" s="3"/>
      <c r="O101" s="3"/>
      <c r="P101" s="3"/>
      <c r="Q101" s="3"/>
      <c r="R101" s="3"/>
      <c r="S101" s="3"/>
      <c r="T101" s="3"/>
      <c r="U101" s="3"/>
      <c r="V101" s="3"/>
      <c r="W101" s="3"/>
      <c r="X101" s="3"/>
      <c r="Y101" s="3"/>
      <c r="Z101" s="3"/>
    </row>
    <row r="102" spans="1:26" ht="14.25" customHeight="1">
      <c r="A102" s="1"/>
      <c r="B102" s="1"/>
      <c r="C102" s="1"/>
      <c r="D102" s="1"/>
      <c r="E102" s="136"/>
      <c r="F102" s="12"/>
      <c r="G102" s="145"/>
      <c r="H102" s="145"/>
      <c r="I102" s="3"/>
      <c r="J102" s="3"/>
      <c r="K102" s="3"/>
      <c r="L102" s="3"/>
      <c r="M102" s="3"/>
      <c r="N102" s="3"/>
      <c r="O102" s="3"/>
      <c r="P102" s="3"/>
      <c r="Q102" s="3"/>
      <c r="R102" s="3"/>
      <c r="S102" s="3"/>
      <c r="T102" s="3"/>
      <c r="U102" s="3"/>
      <c r="V102" s="3"/>
      <c r="W102" s="3"/>
      <c r="X102" s="3"/>
      <c r="Y102" s="3"/>
      <c r="Z102" s="3"/>
    </row>
    <row r="103" spans="1:26" ht="14.25" customHeight="1">
      <c r="A103" s="1"/>
      <c r="B103" s="1"/>
      <c r="C103" s="1"/>
      <c r="D103" s="1"/>
      <c r="E103" s="136"/>
      <c r="F103" s="12"/>
      <c r="G103" s="145"/>
      <c r="H103" s="145"/>
      <c r="I103" s="3"/>
      <c r="J103" s="3"/>
      <c r="K103" s="3"/>
      <c r="L103" s="3"/>
      <c r="M103" s="3"/>
      <c r="N103" s="3"/>
      <c r="O103" s="3"/>
      <c r="P103" s="3"/>
      <c r="Q103" s="3"/>
      <c r="R103" s="3"/>
      <c r="S103" s="3"/>
      <c r="T103" s="3"/>
      <c r="U103" s="3"/>
      <c r="V103" s="3"/>
      <c r="W103" s="3"/>
      <c r="X103" s="3"/>
      <c r="Y103" s="3"/>
      <c r="Z103" s="3"/>
    </row>
    <row r="104" spans="1:26" ht="14.25" customHeight="1">
      <c r="A104" s="1"/>
      <c r="B104" s="1"/>
      <c r="C104" s="1"/>
      <c r="D104" s="1"/>
      <c r="E104" s="136"/>
      <c r="F104" s="12"/>
      <c r="G104" s="145"/>
      <c r="H104" s="145"/>
      <c r="I104" s="3"/>
      <c r="J104" s="3"/>
      <c r="K104" s="3"/>
      <c r="L104" s="3"/>
      <c r="M104" s="3"/>
      <c r="N104" s="3"/>
      <c r="O104" s="3"/>
      <c r="P104" s="3"/>
      <c r="Q104" s="3"/>
      <c r="R104" s="3"/>
      <c r="S104" s="3"/>
      <c r="T104" s="3"/>
      <c r="U104" s="3"/>
      <c r="V104" s="3"/>
      <c r="W104" s="3"/>
      <c r="X104" s="3"/>
      <c r="Y104" s="3"/>
      <c r="Z104" s="3"/>
    </row>
    <row r="105" spans="1:26" ht="14.25" customHeight="1">
      <c r="A105" s="1"/>
      <c r="B105" s="1"/>
      <c r="C105" s="1"/>
      <c r="D105" s="1"/>
      <c r="E105" s="136"/>
      <c r="F105" s="12"/>
      <c r="G105" s="145"/>
      <c r="H105" s="145"/>
      <c r="I105" s="3"/>
      <c r="J105" s="3"/>
      <c r="K105" s="3"/>
      <c r="L105" s="3"/>
      <c r="M105" s="3"/>
      <c r="N105" s="3"/>
      <c r="O105" s="3"/>
      <c r="P105" s="3"/>
      <c r="Q105" s="3"/>
      <c r="R105" s="3"/>
      <c r="S105" s="3"/>
      <c r="T105" s="3"/>
      <c r="U105" s="3"/>
      <c r="V105" s="3"/>
      <c r="W105" s="3"/>
      <c r="X105" s="3"/>
      <c r="Y105" s="3"/>
      <c r="Z105" s="3"/>
    </row>
    <row r="106" spans="1:26" ht="14.25" customHeight="1">
      <c r="A106" s="1"/>
      <c r="B106" s="1"/>
      <c r="C106" s="1"/>
      <c r="D106" s="1"/>
      <c r="E106" s="136"/>
      <c r="F106" s="12"/>
      <c r="G106" s="145"/>
      <c r="H106" s="145"/>
      <c r="I106" s="3"/>
      <c r="J106" s="3"/>
      <c r="K106" s="3"/>
      <c r="L106" s="3"/>
      <c r="M106" s="3"/>
      <c r="N106" s="3"/>
      <c r="O106" s="3"/>
      <c r="P106" s="3"/>
      <c r="Q106" s="3"/>
      <c r="R106" s="3"/>
      <c r="S106" s="3"/>
      <c r="T106" s="3"/>
      <c r="U106" s="3"/>
      <c r="V106" s="3"/>
      <c r="W106" s="3"/>
      <c r="X106" s="3"/>
      <c r="Y106" s="3"/>
      <c r="Z106" s="3"/>
    </row>
    <row r="107" spans="1:26" ht="14.25" customHeight="1">
      <c r="A107" s="1"/>
      <c r="B107" s="1"/>
      <c r="C107" s="1"/>
      <c r="D107" s="1"/>
      <c r="E107" s="136"/>
      <c r="F107" s="12"/>
      <c r="G107" s="145"/>
      <c r="H107" s="145"/>
      <c r="I107" s="3"/>
      <c r="J107" s="3"/>
      <c r="K107" s="3"/>
      <c r="L107" s="3"/>
      <c r="M107" s="3"/>
      <c r="N107" s="3"/>
      <c r="O107" s="3"/>
      <c r="P107" s="3"/>
      <c r="Q107" s="3"/>
      <c r="R107" s="3"/>
      <c r="S107" s="3"/>
      <c r="T107" s="3"/>
      <c r="U107" s="3"/>
      <c r="V107" s="3"/>
      <c r="W107" s="3"/>
      <c r="X107" s="3"/>
      <c r="Y107" s="3"/>
      <c r="Z107" s="3"/>
    </row>
    <row r="108" spans="1:26" ht="14.25" customHeight="1">
      <c r="A108" s="1"/>
      <c r="B108" s="1"/>
      <c r="C108" s="1"/>
      <c r="D108" s="1"/>
      <c r="E108" s="136"/>
      <c r="F108" s="12"/>
      <c r="G108" s="145"/>
      <c r="H108" s="145"/>
      <c r="I108" s="3"/>
      <c r="J108" s="3"/>
      <c r="K108" s="3"/>
      <c r="L108" s="3"/>
      <c r="M108" s="3"/>
      <c r="N108" s="3"/>
      <c r="O108" s="3"/>
      <c r="P108" s="3"/>
      <c r="Q108" s="3"/>
      <c r="R108" s="3"/>
      <c r="S108" s="3"/>
      <c r="T108" s="3"/>
      <c r="U108" s="3"/>
      <c r="V108" s="3"/>
      <c r="W108" s="3"/>
      <c r="X108" s="3"/>
      <c r="Y108" s="3"/>
      <c r="Z108" s="3"/>
    </row>
    <row r="109" spans="1:26" ht="14.25" customHeight="1">
      <c r="A109" s="1"/>
      <c r="B109" s="1"/>
      <c r="C109" s="1"/>
      <c r="D109" s="1"/>
      <c r="E109" s="136"/>
      <c r="F109" s="12"/>
      <c r="G109" s="145"/>
      <c r="H109" s="145"/>
      <c r="I109" s="3"/>
      <c r="J109" s="3"/>
      <c r="K109" s="3"/>
      <c r="L109" s="3"/>
      <c r="M109" s="3"/>
      <c r="N109" s="3"/>
      <c r="O109" s="3"/>
      <c r="P109" s="3"/>
      <c r="Q109" s="3"/>
      <c r="R109" s="3"/>
      <c r="S109" s="3"/>
      <c r="T109" s="3"/>
      <c r="U109" s="3"/>
      <c r="V109" s="3"/>
      <c r="W109" s="3"/>
      <c r="X109" s="3"/>
      <c r="Y109" s="3"/>
      <c r="Z109" s="3"/>
    </row>
    <row r="110" spans="1:26" ht="14.25" customHeight="1">
      <c r="A110" s="1"/>
      <c r="B110" s="1"/>
      <c r="C110" s="1"/>
      <c r="D110" s="1"/>
      <c r="E110" s="136"/>
      <c r="F110" s="12"/>
      <c r="G110" s="145"/>
      <c r="H110" s="145"/>
      <c r="I110" s="3"/>
      <c r="J110" s="3"/>
      <c r="K110" s="3"/>
      <c r="L110" s="3"/>
      <c r="M110" s="3"/>
      <c r="N110" s="3"/>
      <c r="O110" s="3"/>
      <c r="P110" s="3"/>
      <c r="Q110" s="3"/>
      <c r="R110" s="3"/>
      <c r="S110" s="3"/>
      <c r="T110" s="3"/>
      <c r="U110" s="3"/>
      <c r="V110" s="3"/>
      <c r="W110" s="3"/>
      <c r="X110" s="3"/>
      <c r="Y110" s="3"/>
      <c r="Z110" s="3"/>
    </row>
    <row r="111" spans="1:26" ht="14.25" customHeight="1">
      <c r="A111" s="1"/>
      <c r="B111" s="1"/>
      <c r="C111" s="1"/>
      <c r="D111" s="1"/>
      <c r="E111" s="136"/>
      <c r="F111" s="12"/>
      <c r="G111" s="145"/>
      <c r="H111" s="145"/>
      <c r="I111" s="3"/>
      <c r="J111" s="3"/>
      <c r="K111" s="3"/>
      <c r="L111" s="3"/>
      <c r="M111" s="3"/>
      <c r="N111" s="3"/>
      <c r="O111" s="3"/>
      <c r="P111" s="3"/>
      <c r="Q111" s="3"/>
      <c r="R111" s="3"/>
      <c r="S111" s="3"/>
      <c r="T111" s="3"/>
      <c r="U111" s="3"/>
      <c r="V111" s="3"/>
      <c r="W111" s="3"/>
      <c r="X111" s="3"/>
      <c r="Y111" s="3"/>
      <c r="Z111" s="3"/>
    </row>
    <row r="112" spans="1:26" ht="14.25" customHeight="1">
      <c r="A112" s="1"/>
      <c r="B112" s="1"/>
      <c r="C112" s="1"/>
      <c r="D112" s="1"/>
      <c r="E112" s="136"/>
      <c r="F112" s="12"/>
      <c r="G112" s="145"/>
      <c r="H112" s="145"/>
      <c r="I112" s="3"/>
      <c r="J112" s="3"/>
      <c r="K112" s="3"/>
      <c r="L112" s="3"/>
      <c r="M112" s="3"/>
      <c r="N112" s="3"/>
      <c r="O112" s="3"/>
      <c r="P112" s="3"/>
      <c r="Q112" s="3"/>
      <c r="R112" s="3"/>
      <c r="S112" s="3"/>
      <c r="T112" s="3"/>
      <c r="U112" s="3"/>
      <c r="V112" s="3"/>
      <c r="W112" s="3"/>
      <c r="X112" s="3"/>
      <c r="Y112" s="3"/>
      <c r="Z112" s="3"/>
    </row>
    <row r="113" spans="1:26" ht="14.25" customHeight="1">
      <c r="A113" s="1"/>
      <c r="B113" s="1"/>
      <c r="C113" s="1"/>
      <c r="D113" s="1"/>
      <c r="E113" s="136"/>
      <c r="F113" s="12"/>
      <c r="G113" s="145"/>
      <c r="H113" s="145"/>
      <c r="I113" s="3"/>
      <c r="J113" s="3"/>
      <c r="K113" s="3"/>
      <c r="L113" s="3"/>
      <c r="M113" s="3"/>
      <c r="N113" s="3"/>
      <c r="O113" s="3"/>
      <c r="P113" s="3"/>
      <c r="Q113" s="3"/>
      <c r="R113" s="3"/>
      <c r="S113" s="3"/>
      <c r="T113" s="3"/>
      <c r="U113" s="3"/>
      <c r="V113" s="3"/>
      <c r="W113" s="3"/>
      <c r="X113" s="3"/>
      <c r="Y113" s="3"/>
      <c r="Z113" s="3"/>
    </row>
    <row r="114" spans="1:26" ht="14.25" customHeight="1">
      <c r="A114" s="1"/>
      <c r="B114" s="1"/>
      <c r="C114" s="1"/>
      <c r="D114" s="1"/>
      <c r="E114" s="136"/>
      <c r="F114" s="12"/>
      <c r="G114" s="145"/>
      <c r="H114" s="145"/>
      <c r="I114" s="3"/>
      <c r="J114" s="3"/>
      <c r="K114" s="3"/>
      <c r="L114" s="3"/>
      <c r="M114" s="3"/>
      <c r="N114" s="3"/>
      <c r="O114" s="3"/>
      <c r="P114" s="3"/>
      <c r="Q114" s="3"/>
      <c r="R114" s="3"/>
      <c r="S114" s="3"/>
      <c r="T114" s="3"/>
      <c r="U114" s="3"/>
      <c r="V114" s="3"/>
      <c r="W114" s="3"/>
      <c r="X114" s="3"/>
      <c r="Y114" s="3"/>
      <c r="Z114" s="3"/>
    </row>
    <row r="115" spans="1:26" ht="14.25" customHeight="1">
      <c r="A115" s="1"/>
      <c r="B115" s="1"/>
      <c r="C115" s="1"/>
      <c r="D115" s="1"/>
      <c r="E115" s="136"/>
      <c r="F115" s="12"/>
      <c r="G115" s="145"/>
      <c r="H115" s="145"/>
      <c r="I115" s="3"/>
      <c r="J115" s="3"/>
      <c r="K115" s="3"/>
      <c r="L115" s="3"/>
      <c r="M115" s="3"/>
      <c r="N115" s="3"/>
      <c r="O115" s="3"/>
      <c r="P115" s="3"/>
      <c r="Q115" s="3"/>
      <c r="R115" s="3"/>
      <c r="S115" s="3"/>
      <c r="T115" s="3"/>
      <c r="U115" s="3"/>
      <c r="V115" s="3"/>
      <c r="W115" s="3"/>
      <c r="X115" s="3"/>
      <c r="Y115" s="3"/>
      <c r="Z115" s="3"/>
    </row>
    <row r="116" spans="1:26" ht="14.25" customHeight="1">
      <c r="A116" s="1"/>
      <c r="B116" s="1"/>
      <c r="C116" s="1"/>
      <c r="D116" s="1"/>
      <c r="E116" s="136"/>
      <c r="F116" s="12"/>
      <c r="G116" s="145"/>
      <c r="H116" s="145"/>
      <c r="I116" s="3"/>
      <c r="J116" s="3"/>
      <c r="K116" s="3"/>
      <c r="L116" s="3"/>
      <c r="M116" s="3"/>
      <c r="N116" s="3"/>
      <c r="O116" s="3"/>
      <c r="P116" s="3"/>
      <c r="Q116" s="3"/>
      <c r="R116" s="3"/>
      <c r="S116" s="3"/>
      <c r="T116" s="3"/>
      <c r="U116" s="3"/>
      <c r="V116" s="3"/>
      <c r="W116" s="3"/>
      <c r="X116" s="3"/>
      <c r="Y116" s="3"/>
      <c r="Z116" s="3"/>
    </row>
    <row r="117" spans="1:26" ht="14.25" customHeight="1">
      <c r="A117" s="1"/>
      <c r="B117" s="1"/>
      <c r="C117" s="1"/>
      <c r="D117" s="1"/>
      <c r="E117" s="136"/>
      <c r="F117" s="12"/>
      <c r="G117" s="145"/>
      <c r="H117" s="145"/>
      <c r="I117" s="3"/>
      <c r="J117" s="3"/>
      <c r="K117" s="3"/>
      <c r="L117" s="3"/>
      <c r="M117" s="3"/>
      <c r="N117" s="3"/>
      <c r="O117" s="3"/>
      <c r="P117" s="3"/>
      <c r="Q117" s="3"/>
      <c r="R117" s="3"/>
      <c r="S117" s="3"/>
      <c r="T117" s="3"/>
      <c r="U117" s="3"/>
      <c r="V117" s="3"/>
      <c r="W117" s="3"/>
      <c r="X117" s="3"/>
      <c r="Y117" s="3"/>
      <c r="Z117" s="3"/>
    </row>
    <row r="118" spans="1:26" ht="14.25" customHeight="1">
      <c r="A118" s="1"/>
      <c r="B118" s="1"/>
      <c r="C118" s="1"/>
      <c r="D118" s="1"/>
      <c r="E118" s="136"/>
      <c r="F118" s="12"/>
      <c r="G118" s="145"/>
      <c r="H118" s="145"/>
      <c r="I118" s="3"/>
      <c r="J118" s="3"/>
      <c r="K118" s="3"/>
      <c r="L118" s="3"/>
      <c r="M118" s="3"/>
      <c r="N118" s="3"/>
      <c r="O118" s="3"/>
      <c r="P118" s="3"/>
      <c r="Q118" s="3"/>
      <c r="R118" s="3"/>
      <c r="S118" s="3"/>
      <c r="T118" s="3"/>
      <c r="U118" s="3"/>
      <c r="V118" s="3"/>
      <c r="W118" s="3"/>
      <c r="X118" s="3"/>
      <c r="Y118" s="3"/>
      <c r="Z118" s="3"/>
    </row>
    <row r="119" spans="1:26" ht="14.25" customHeight="1">
      <c r="A119" s="1"/>
      <c r="B119" s="1"/>
      <c r="C119" s="1"/>
      <c r="D119" s="1"/>
      <c r="E119" s="136"/>
      <c r="F119" s="12"/>
      <c r="G119" s="145"/>
      <c r="H119" s="145"/>
      <c r="I119" s="3"/>
      <c r="J119" s="3"/>
      <c r="K119" s="3"/>
      <c r="L119" s="3"/>
      <c r="M119" s="3"/>
      <c r="N119" s="3"/>
      <c r="O119" s="3"/>
      <c r="P119" s="3"/>
      <c r="Q119" s="3"/>
      <c r="R119" s="3"/>
      <c r="S119" s="3"/>
      <c r="T119" s="3"/>
      <c r="U119" s="3"/>
      <c r="V119" s="3"/>
      <c r="W119" s="3"/>
      <c r="X119" s="3"/>
      <c r="Y119" s="3"/>
      <c r="Z119" s="3"/>
    </row>
    <row r="120" spans="1:26" ht="14.25" customHeight="1">
      <c r="A120" s="1"/>
      <c r="B120" s="1"/>
      <c r="C120" s="1"/>
      <c r="D120" s="1"/>
      <c r="E120" s="136"/>
      <c r="F120" s="12"/>
      <c r="G120" s="145"/>
      <c r="H120" s="145"/>
      <c r="I120" s="3"/>
      <c r="J120" s="3"/>
      <c r="K120" s="3"/>
      <c r="L120" s="3"/>
      <c r="M120" s="3"/>
      <c r="N120" s="3"/>
      <c r="O120" s="3"/>
      <c r="P120" s="3"/>
      <c r="Q120" s="3"/>
      <c r="R120" s="3"/>
      <c r="S120" s="3"/>
      <c r="T120" s="3"/>
      <c r="U120" s="3"/>
      <c r="V120" s="3"/>
      <c r="W120" s="3"/>
      <c r="X120" s="3"/>
      <c r="Y120" s="3"/>
      <c r="Z120" s="3"/>
    </row>
    <row r="121" spans="1:26" ht="14.25" customHeight="1">
      <c r="A121" s="1"/>
      <c r="B121" s="1"/>
      <c r="C121" s="1"/>
      <c r="D121" s="1"/>
      <c r="E121" s="136"/>
      <c r="F121" s="12"/>
      <c r="G121" s="145"/>
      <c r="H121" s="145"/>
      <c r="I121" s="3"/>
      <c r="J121" s="3"/>
      <c r="K121" s="3"/>
      <c r="L121" s="3"/>
      <c r="M121" s="3"/>
      <c r="N121" s="3"/>
      <c r="O121" s="3"/>
      <c r="P121" s="3"/>
      <c r="Q121" s="3"/>
      <c r="R121" s="3"/>
      <c r="S121" s="3"/>
      <c r="T121" s="3"/>
      <c r="U121" s="3"/>
      <c r="V121" s="3"/>
      <c r="W121" s="3"/>
      <c r="X121" s="3"/>
      <c r="Y121" s="3"/>
      <c r="Z121" s="3"/>
    </row>
    <row r="122" spans="1:26" ht="14.25" customHeight="1">
      <c r="A122" s="1"/>
      <c r="B122" s="1"/>
      <c r="C122" s="1"/>
      <c r="D122" s="1"/>
      <c r="E122" s="136"/>
      <c r="F122" s="12"/>
      <c r="G122" s="145"/>
      <c r="H122" s="145"/>
      <c r="I122" s="3"/>
      <c r="J122" s="3"/>
      <c r="K122" s="3"/>
      <c r="L122" s="3"/>
      <c r="M122" s="3"/>
      <c r="N122" s="3"/>
      <c r="O122" s="3"/>
      <c r="P122" s="3"/>
      <c r="Q122" s="3"/>
      <c r="R122" s="3"/>
      <c r="S122" s="3"/>
      <c r="T122" s="3"/>
      <c r="U122" s="3"/>
      <c r="V122" s="3"/>
      <c r="W122" s="3"/>
      <c r="X122" s="3"/>
      <c r="Y122" s="3"/>
      <c r="Z122" s="3"/>
    </row>
    <row r="123" spans="1:26" ht="14.25" customHeight="1">
      <c r="A123" s="1"/>
      <c r="B123" s="1"/>
      <c r="C123" s="1"/>
      <c r="D123" s="1"/>
      <c r="E123" s="136"/>
      <c r="F123" s="12"/>
      <c r="G123" s="145"/>
      <c r="H123" s="145"/>
      <c r="I123" s="3"/>
      <c r="J123" s="3"/>
      <c r="K123" s="3"/>
      <c r="L123" s="3"/>
      <c r="M123" s="3"/>
      <c r="N123" s="3"/>
      <c r="O123" s="3"/>
      <c r="P123" s="3"/>
      <c r="Q123" s="3"/>
      <c r="R123" s="3"/>
      <c r="S123" s="3"/>
      <c r="T123" s="3"/>
      <c r="U123" s="3"/>
      <c r="V123" s="3"/>
      <c r="W123" s="3"/>
      <c r="X123" s="3"/>
      <c r="Y123" s="3"/>
      <c r="Z123" s="3"/>
    </row>
    <row r="124" spans="1:26" ht="14.25" customHeight="1">
      <c r="A124" s="1"/>
      <c r="B124" s="1"/>
      <c r="C124" s="1"/>
      <c r="D124" s="1"/>
      <c r="E124" s="136"/>
      <c r="F124" s="12"/>
      <c r="G124" s="145"/>
      <c r="H124" s="145"/>
      <c r="I124" s="3"/>
      <c r="J124" s="3"/>
      <c r="K124" s="3"/>
      <c r="L124" s="3"/>
      <c r="M124" s="3"/>
      <c r="N124" s="3"/>
      <c r="O124" s="3"/>
      <c r="P124" s="3"/>
      <c r="Q124" s="3"/>
      <c r="R124" s="3"/>
      <c r="S124" s="3"/>
      <c r="T124" s="3"/>
      <c r="U124" s="3"/>
      <c r="V124" s="3"/>
      <c r="W124" s="3"/>
      <c r="X124" s="3"/>
      <c r="Y124" s="3"/>
      <c r="Z124" s="3"/>
    </row>
    <row r="125" spans="1:26" ht="14.25" customHeight="1">
      <c r="A125" s="1"/>
      <c r="B125" s="1"/>
      <c r="C125" s="1"/>
      <c r="D125" s="1"/>
      <c r="E125" s="136"/>
      <c r="F125" s="12"/>
      <c r="G125" s="145"/>
      <c r="H125" s="145"/>
      <c r="I125" s="3"/>
      <c r="J125" s="3"/>
      <c r="K125" s="3"/>
      <c r="L125" s="3"/>
      <c r="M125" s="3"/>
      <c r="N125" s="3"/>
      <c r="O125" s="3"/>
      <c r="P125" s="3"/>
      <c r="Q125" s="3"/>
      <c r="R125" s="3"/>
      <c r="S125" s="3"/>
      <c r="T125" s="3"/>
      <c r="U125" s="3"/>
      <c r="V125" s="3"/>
      <c r="W125" s="3"/>
      <c r="X125" s="3"/>
      <c r="Y125" s="3"/>
      <c r="Z125" s="3"/>
    </row>
    <row r="126" spans="1:26" ht="14.25" customHeight="1">
      <c r="A126" s="1"/>
      <c r="B126" s="1"/>
      <c r="C126" s="1"/>
      <c r="D126" s="1"/>
      <c r="E126" s="136"/>
      <c r="F126" s="12"/>
      <c r="G126" s="145"/>
      <c r="H126" s="145"/>
      <c r="I126" s="3"/>
      <c r="J126" s="3"/>
      <c r="K126" s="3"/>
      <c r="L126" s="3"/>
      <c r="M126" s="3"/>
      <c r="N126" s="3"/>
      <c r="O126" s="3"/>
      <c r="P126" s="3"/>
      <c r="Q126" s="3"/>
      <c r="R126" s="3"/>
      <c r="S126" s="3"/>
      <c r="T126" s="3"/>
      <c r="U126" s="3"/>
      <c r="V126" s="3"/>
      <c r="W126" s="3"/>
      <c r="X126" s="3"/>
      <c r="Y126" s="3"/>
      <c r="Z126" s="3"/>
    </row>
    <row r="127" spans="1:26" ht="14.25" customHeight="1">
      <c r="A127" s="1"/>
      <c r="B127" s="1"/>
      <c r="C127" s="1"/>
      <c r="D127" s="1"/>
      <c r="E127" s="136"/>
      <c r="F127" s="12"/>
      <c r="G127" s="145"/>
      <c r="H127" s="145"/>
      <c r="I127" s="3"/>
      <c r="J127" s="3"/>
      <c r="K127" s="3"/>
      <c r="L127" s="3"/>
      <c r="M127" s="3"/>
      <c r="N127" s="3"/>
      <c r="O127" s="3"/>
      <c r="P127" s="3"/>
      <c r="Q127" s="3"/>
      <c r="R127" s="3"/>
      <c r="S127" s="3"/>
      <c r="T127" s="3"/>
      <c r="U127" s="3"/>
      <c r="V127" s="3"/>
      <c r="W127" s="3"/>
      <c r="X127" s="3"/>
      <c r="Y127" s="3"/>
      <c r="Z127" s="3"/>
    </row>
    <row r="128" spans="1:26" ht="14.25" customHeight="1">
      <c r="A128" s="1"/>
      <c r="B128" s="1"/>
      <c r="C128" s="1"/>
      <c r="D128" s="1"/>
      <c r="E128" s="136"/>
      <c r="F128" s="12"/>
      <c r="G128" s="145"/>
      <c r="H128" s="145"/>
      <c r="I128" s="3"/>
      <c r="J128" s="3"/>
      <c r="K128" s="3"/>
      <c r="L128" s="3"/>
      <c r="M128" s="3"/>
      <c r="N128" s="3"/>
      <c r="O128" s="3"/>
      <c r="P128" s="3"/>
      <c r="Q128" s="3"/>
      <c r="R128" s="3"/>
      <c r="S128" s="3"/>
      <c r="T128" s="3"/>
      <c r="U128" s="3"/>
      <c r="V128" s="3"/>
      <c r="W128" s="3"/>
      <c r="X128" s="3"/>
      <c r="Y128" s="3"/>
      <c r="Z128" s="3"/>
    </row>
    <row r="129" spans="1:26" ht="14.25" customHeight="1">
      <c r="A129" s="1"/>
      <c r="B129" s="1"/>
      <c r="C129" s="1"/>
      <c r="D129" s="1"/>
      <c r="E129" s="136"/>
      <c r="F129" s="12"/>
      <c r="G129" s="145"/>
      <c r="H129" s="145"/>
      <c r="I129" s="3"/>
      <c r="J129" s="3"/>
      <c r="K129" s="3"/>
      <c r="L129" s="3"/>
      <c r="M129" s="3"/>
      <c r="N129" s="3"/>
      <c r="O129" s="3"/>
      <c r="P129" s="3"/>
      <c r="Q129" s="3"/>
      <c r="R129" s="3"/>
      <c r="S129" s="3"/>
      <c r="T129" s="3"/>
      <c r="U129" s="3"/>
      <c r="V129" s="3"/>
      <c r="W129" s="3"/>
      <c r="X129" s="3"/>
      <c r="Y129" s="3"/>
      <c r="Z129" s="3"/>
    </row>
    <row r="130" spans="1:26" ht="14.25" customHeight="1">
      <c r="A130" s="1"/>
      <c r="B130" s="1"/>
      <c r="C130" s="1"/>
      <c r="D130" s="1"/>
      <c r="E130" s="136"/>
      <c r="F130" s="12"/>
      <c r="G130" s="145"/>
      <c r="H130" s="145"/>
      <c r="I130" s="3"/>
      <c r="J130" s="3"/>
      <c r="K130" s="3"/>
      <c r="L130" s="3"/>
      <c r="M130" s="3"/>
      <c r="N130" s="3"/>
      <c r="O130" s="3"/>
      <c r="P130" s="3"/>
      <c r="Q130" s="3"/>
      <c r="R130" s="3"/>
      <c r="S130" s="3"/>
      <c r="T130" s="3"/>
      <c r="U130" s="3"/>
      <c r="V130" s="3"/>
      <c r="W130" s="3"/>
      <c r="X130" s="3"/>
      <c r="Y130" s="3"/>
      <c r="Z130" s="3"/>
    </row>
    <row r="131" spans="1:26" ht="14.25" customHeight="1">
      <c r="A131" s="1"/>
      <c r="B131" s="1"/>
      <c r="C131" s="1"/>
      <c r="D131" s="1"/>
      <c r="E131" s="136"/>
      <c r="F131" s="12"/>
      <c r="G131" s="145"/>
      <c r="H131" s="145"/>
      <c r="I131" s="3"/>
      <c r="J131" s="3"/>
      <c r="K131" s="3"/>
      <c r="L131" s="3"/>
      <c r="M131" s="3"/>
      <c r="N131" s="3"/>
      <c r="O131" s="3"/>
      <c r="P131" s="3"/>
      <c r="Q131" s="3"/>
      <c r="R131" s="3"/>
      <c r="S131" s="3"/>
      <c r="T131" s="3"/>
      <c r="U131" s="3"/>
      <c r="V131" s="3"/>
      <c r="W131" s="3"/>
      <c r="X131" s="3"/>
      <c r="Y131" s="3"/>
      <c r="Z131" s="3"/>
    </row>
    <row r="132" spans="1:26" ht="14.25" customHeight="1">
      <c r="A132" s="1"/>
      <c r="B132" s="1"/>
      <c r="C132" s="1"/>
      <c r="D132" s="1"/>
      <c r="E132" s="136"/>
      <c r="F132" s="12"/>
      <c r="G132" s="145"/>
      <c r="H132" s="145"/>
      <c r="I132" s="3"/>
      <c r="J132" s="3"/>
      <c r="K132" s="3"/>
      <c r="L132" s="3"/>
      <c r="M132" s="3"/>
      <c r="N132" s="3"/>
      <c r="O132" s="3"/>
      <c r="P132" s="3"/>
      <c r="Q132" s="3"/>
      <c r="R132" s="3"/>
      <c r="S132" s="3"/>
      <c r="T132" s="3"/>
      <c r="U132" s="3"/>
      <c r="V132" s="3"/>
      <c r="W132" s="3"/>
      <c r="X132" s="3"/>
      <c r="Y132" s="3"/>
      <c r="Z132" s="3"/>
    </row>
    <row r="133" spans="1:26" ht="14.25" customHeight="1">
      <c r="A133" s="1"/>
      <c r="B133" s="1"/>
      <c r="C133" s="1"/>
      <c r="D133" s="1"/>
      <c r="E133" s="136"/>
      <c r="F133" s="12"/>
      <c r="G133" s="145"/>
      <c r="H133" s="145"/>
      <c r="I133" s="3"/>
      <c r="J133" s="3"/>
      <c r="K133" s="3"/>
      <c r="L133" s="3"/>
      <c r="M133" s="3"/>
      <c r="N133" s="3"/>
      <c r="O133" s="3"/>
      <c r="P133" s="3"/>
      <c r="Q133" s="3"/>
      <c r="R133" s="3"/>
      <c r="S133" s="3"/>
      <c r="T133" s="3"/>
      <c r="U133" s="3"/>
      <c r="V133" s="3"/>
      <c r="W133" s="3"/>
      <c r="X133" s="3"/>
      <c r="Y133" s="3"/>
      <c r="Z133" s="3"/>
    </row>
    <row r="134" spans="1:26" ht="14.25" customHeight="1">
      <c r="A134" s="1"/>
      <c r="B134" s="1"/>
      <c r="C134" s="1"/>
      <c r="D134" s="1"/>
      <c r="E134" s="136"/>
      <c r="F134" s="12"/>
      <c r="G134" s="145"/>
      <c r="H134" s="145"/>
      <c r="I134" s="3"/>
      <c r="J134" s="3"/>
      <c r="K134" s="3"/>
      <c r="L134" s="3"/>
      <c r="M134" s="3"/>
      <c r="N134" s="3"/>
      <c r="O134" s="3"/>
      <c r="P134" s="3"/>
      <c r="Q134" s="3"/>
      <c r="R134" s="3"/>
      <c r="S134" s="3"/>
      <c r="T134" s="3"/>
      <c r="U134" s="3"/>
      <c r="V134" s="3"/>
      <c r="W134" s="3"/>
      <c r="X134" s="3"/>
      <c r="Y134" s="3"/>
      <c r="Z134" s="3"/>
    </row>
    <row r="135" spans="1:26" ht="14.25" customHeight="1">
      <c r="A135" s="1"/>
      <c r="B135" s="1"/>
      <c r="C135" s="1"/>
      <c r="D135" s="1"/>
      <c r="E135" s="136"/>
      <c r="F135" s="12"/>
      <c r="G135" s="145"/>
      <c r="H135" s="145"/>
      <c r="I135" s="3"/>
      <c r="J135" s="3"/>
      <c r="K135" s="3"/>
      <c r="L135" s="3"/>
      <c r="M135" s="3"/>
      <c r="N135" s="3"/>
      <c r="O135" s="3"/>
      <c r="P135" s="3"/>
      <c r="Q135" s="3"/>
      <c r="R135" s="3"/>
      <c r="S135" s="3"/>
      <c r="T135" s="3"/>
      <c r="U135" s="3"/>
      <c r="V135" s="3"/>
      <c r="W135" s="3"/>
      <c r="X135" s="3"/>
      <c r="Y135" s="3"/>
      <c r="Z135" s="3"/>
    </row>
    <row r="136" spans="1:26" ht="14.25" customHeight="1">
      <c r="A136" s="1"/>
      <c r="B136" s="1"/>
      <c r="C136" s="1"/>
      <c r="D136" s="1"/>
      <c r="E136" s="136"/>
      <c r="F136" s="12"/>
      <c r="G136" s="145"/>
      <c r="H136" s="145"/>
      <c r="I136" s="3"/>
      <c r="J136" s="3"/>
      <c r="K136" s="3"/>
      <c r="L136" s="3"/>
      <c r="M136" s="3"/>
      <c r="N136" s="3"/>
      <c r="O136" s="3"/>
      <c r="P136" s="3"/>
      <c r="Q136" s="3"/>
      <c r="R136" s="3"/>
      <c r="S136" s="3"/>
      <c r="T136" s="3"/>
      <c r="U136" s="3"/>
      <c r="V136" s="3"/>
      <c r="W136" s="3"/>
      <c r="X136" s="3"/>
      <c r="Y136" s="3"/>
      <c r="Z136" s="3"/>
    </row>
    <row r="137" spans="1:26" ht="14.25" customHeight="1">
      <c r="A137" s="1"/>
      <c r="B137" s="1"/>
      <c r="C137" s="1"/>
      <c r="D137" s="1"/>
      <c r="E137" s="136"/>
      <c r="F137" s="12"/>
      <c r="G137" s="145"/>
      <c r="H137" s="145"/>
      <c r="I137" s="3"/>
      <c r="J137" s="3"/>
      <c r="K137" s="3"/>
      <c r="L137" s="3"/>
      <c r="M137" s="3"/>
      <c r="N137" s="3"/>
      <c r="O137" s="3"/>
      <c r="P137" s="3"/>
      <c r="Q137" s="3"/>
      <c r="R137" s="3"/>
      <c r="S137" s="3"/>
      <c r="T137" s="3"/>
      <c r="U137" s="3"/>
      <c r="V137" s="3"/>
      <c r="W137" s="3"/>
      <c r="X137" s="3"/>
      <c r="Y137" s="3"/>
      <c r="Z137" s="3"/>
    </row>
    <row r="138" spans="1:26" ht="14.25" customHeight="1">
      <c r="A138" s="1"/>
      <c r="B138" s="1"/>
      <c r="C138" s="1"/>
      <c r="D138" s="1"/>
      <c r="E138" s="136"/>
      <c r="F138" s="12"/>
      <c r="G138" s="145"/>
      <c r="H138" s="145"/>
      <c r="I138" s="3"/>
      <c r="J138" s="3"/>
      <c r="K138" s="3"/>
      <c r="L138" s="3"/>
      <c r="M138" s="3"/>
      <c r="N138" s="3"/>
      <c r="O138" s="3"/>
      <c r="P138" s="3"/>
      <c r="Q138" s="3"/>
      <c r="R138" s="3"/>
      <c r="S138" s="3"/>
      <c r="T138" s="3"/>
      <c r="U138" s="3"/>
      <c r="V138" s="3"/>
      <c r="W138" s="3"/>
      <c r="X138" s="3"/>
      <c r="Y138" s="3"/>
      <c r="Z138" s="3"/>
    </row>
    <row r="139" spans="1:26" ht="14.25" customHeight="1">
      <c r="A139" s="1"/>
      <c r="B139" s="1"/>
      <c r="C139" s="1"/>
      <c r="D139" s="1"/>
      <c r="E139" s="136"/>
      <c r="F139" s="12"/>
      <c r="G139" s="145"/>
      <c r="H139" s="145"/>
      <c r="I139" s="3"/>
      <c r="J139" s="3"/>
      <c r="K139" s="3"/>
      <c r="L139" s="3"/>
      <c r="M139" s="3"/>
      <c r="N139" s="3"/>
      <c r="O139" s="3"/>
      <c r="P139" s="3"/>
      <c r="Q139" s="3"/>
      <c r="R139" s="3"/>
      <c r="S139" s="3"/>
      <c r="T139" s="3"/>
      <c r="U139" s="3"/>
      <c r="V139" s="3"/>
      <c r="W139" s="3"/>
      <c r="X139" s="3"/>
      <c r="Y139" s="3"/>
      <c r="Z139" s="3"/>
    </row>
    <row r="140" spans="1:26" ht="14.25" customHeight="1">
      <c r="A140" s="1"/>
      <c r="B140" s="1"/>
      <c r="C140" s="1"/>
      <c r="D140" s="1"/>
      <c r="E140" s="136"/>
      <c r="F140" s="12"/>
      <c r="G140" s="145"/>
      <c r="H140" s="145"/>
      <c r="I140" s="3"/>
      <c r="J140" s="3"/>
      <c r="K140" s="3"/>
      <c r="L140" s="3"/>
      <c r="M140" s="3"/>
      <c r="N140" s="3"/>
      <c r="O140" s="3"/>
      <c r="P140" s="3"/>
      <c r="Q140" s="3"/>
      <c r="R140" s="3"/>
      <c r="S140" s="3"/>
      <c r="T140" s="3"/>
      <c r="U140" s="3"/>
      <c r="V140" s="3"/>
      <c r="W140" s="3"/>
      <c r="X140" s="3"/>
      <c r="Y140" s="3"/>
      <c r="Z140" s="3"/>
    </row>
    <row r="141" spans="1:26" ht="14.25" customHeight="1">
      <c r="A141" s="1"/>
      <c r="B141" s="1"/>
      <c r="C141" s="1"/>
      <c r="D141" s="1"/>
      <c r="E141" s="136"/>
      <c r="F141" s="12"/>
      <c r="G141" s="145"/>
      <c r="H141" s="145"/>
      <c r="I141" s="3"/>
      <c r="J141" s="3"/>
      <c r="K141" s="3"/>
      <c r="L141" s="3"/>
      <c r="M141" s="3"/>
      <c r="N141" s="3"/>
      <c r="O141" s="3"/>
      <c r="P141" s="3"/>
      <c r="Q141" s="3"/>
      <c r="R141" s="3"/>
      <c r="S141" s="3"/>
      <c r="T141" s="3"/>
      <c r="U141" s="3"/>
      <c r="V141" s="3"/>
      <c r="W141" s="3"/>
      <c r="X141" s="3"/>
      <c r="Y141" s="3"/>
      <c r="Z141" s="3"/>
    </row>
    <row r="142" spans="1:26" ht="14.25" customHeight="1">
      <c r="A142" s="1"/>
      <c r="B142" s="1"/>
      <c r="C142" s="1"/>
      <c r="D142" s="1"/>
      <c r="E142" s="136"/>
      <c r="F142" s="12"/>
      <c r="G142" s="145"/>
      <c r="H142" s="145"/>
      <c r="I142" s="3"/>
      <c r="J142" s="3"/>
      <c r="K142" s="3"/>
      <c r="L142" s="3"/>
      <c r="M142" s="3"/>
      <c r="N142" s="3"/>
      <c r="O142" s="3"/>
      <c r="P142" s="3"/>
      <c r="Q142" s="3"/>
      <c r="R142" s="3"/>
      <c r="S142" s="3"/>
      <c r="T142" s="3"/>
      <c r="U142" s="3"/>
      <c r="V142" s="3"/>
      <c r="W142" s="3"/>
      <c r="X142" s="3"/>
      <c r="Y142" s="3"/>
      <c r="Z142" s="3"/>
    </row>
    <row r="143" spans="1:26" ht="14.25" customHeight="1">
      <c r="A143" s="1"/>
      <c r="B143" s="1"/>
      <c r="C143" s="1"/>
      <c r="D143" s="1"/>
      <c r="E143" s="136"/>
      <c r="F143" s="12"/>
      <c r="G143" s="145"/>
      <c r="H143" s="145"/>
      <c r="I143" s="3"/>
      <c r="J143" s="3"/>
      <c r="K143" s="3"/>
      <c r="L143" s="3"/>
      <c r="M143" s="3"/>
      <c r="N143" s="3"/>
      <c r="O143" s="3"/>
      <c r="P143" s="3"/>
      <c r="Q143" s="3"/>
      <c r="R143" s="3"/>
      <c r="S143" s="3"/>
      <c r="T143" s="3"/>
      <c r="U143" s="3"/>
      <c r="V143" s="3"/>
      <c r="W143" s="3"/>
      <c r="X143" s="3"/>
      <c r="Y143" s="3"/>
      <c r="Z143" s="3"/>
    </row>
    <row r="144" spans="1:26" ht="14.25" customHeight="1">
      <c r="A144" s="1"/>
      <c r="B144" s="1"/>
      <c r="C144" s="1"/>
      <c r="D144" s="1"/>
      <c r="E144" s="136"/>
      <c r="F144" s="12"/>
      <c r="G144" s="145"/>
      <c r="H144" s="145"/>
      <c r="I144" s="3"/>
      <c r="J144" s="3"/>
      <c r="K144" s="3"/>
      <c r="L144" s="3"/>
      <c r="M144" s="3"/>
      <c r="N144" s="3"/>
      <c r="O144" s="3"/>
      <c r="P144" s="3"/>
      <c r="Q144" s="3"/>
      <c r="R144" s="3"/>
      <c r="S144" s="3"/>
      <c r="T144" s="3"/>
      <c r="U144" s="3"/>
      <c r="V144" s="3"/>
      <c r="W144" s="3"/>
      <c r="X144" s="3"/>
      <c r="Y144" s="3"/>
      <c r="Z144" s="3"/>
    </row>
    <row r="145" spans="1:26" ht="14.25" customHeight="1">
      <c r="A145" s="1"/>
      <c r="B145" s="1"/>
      <c r="C145" s="1"/>
      <c r="D145" s="1"/>
      <c r="E145" s="136"/>
      <c r="F145" s="12"/>
      <c r="G145" s="145"/>
      <c r="H145" s="145"/>
      <c r="I145" s="3"/>
      <c r="J145" s="3"/>
      <c r="K145" s="3"/>
      <c r="L145" s="3"/>
      <c r="M145" s="3"/>
      <c r="N145" s="3"/>
      <c r="O145" s="3"/>
      <c r="P145" s="3"/>
      <c r="Q145" s="3"/>
      <c r="R145" s="3"/>
      <c r="S145" s="3"/>
      <c r="T145" s="3"/>
      <c r="U145" s="3"/>
      <c r="V145" s="3"/>
      <c r="W145" s="3"/>
      <c r="X145" s="3"/>
      <c r="Y145" s="3"/>
      <c r="Z145" s="3"/>
    </row>
    <row r="146" spans="1:26" ht="14.25" customHeight="1">
      <c r="A146" s="1"/>
      <c r="B146" s="1"/>
      <c r="C146" s="1"/>
      <c r="D146" s="1"/>
      <c r="E146" s="136"/>
      <c r="F146" s="12"/>
      <c r="G146" s="145"/>
      <c r="H146" s="145"/>
      <c r="I146" s="3"/>
      <c r="J146" s="3"/>
      <c r="K146" s="3"/>
      <c r="L146" s="3"/>
      <c r="M146" s="3"/>
      <c r="N146" s="3"/>
      <c r="O146" s="3"/>
      <c r="P146" s="3"/>
      <c r="Q146" s="3"/>
      <c r="R146" s="3"/>
      <c r="S146" s="3"/>
      <c r="T146" s="3"/>
      <c r="U146" s="3"/>
      <c r="V146" s="3"/>
      <c r="W146" s="3"/>
      <c r="X146" s="3"/>
      <c r="Y146" s="3"/>
      <c r="Z146" s="3"/>
    </row>
    <row r="147" spans="1:26" ht="14.25" customHeight="1">
      <c r="A147" s="1"/>
      <c r="B147" s="1"/>
      <c r="C147" s="1"/>
      <c r="D147" s="1"/>
      <c r="E147" s="136"/>
      <c r="F147" s="12"/>
      <c r="G147" s="145"/>
      <c r="H147" s="145"/>
      <c r="I147" s="3"/>
      <c r="J147" s="3"/>
      <c r="K147" s="3"/>
      <c r="L147" s="3"/>
      <c r="M147" s="3"/>
      <c r="N147" s="3"/>
      <c r="O147" s="3"/>
      <c r="P147" s="3"/>
      <c r="Q147" s="3"/>
      <c r="R147" s="3"/>
      <c r="S147" s="3"/>
      <c r="T147" s="3"/>
      <c r="U147" s="3"/>
      <c r="V147" s="3"/>
      <c r="W147" s="3"/>
      <c r="X147" s="3"/>
      <c r="Y147" s="3"/>
      <c r="Z147" s="3"/>
    </row>
    <row r="148" spans="1:26" ht="14.25" customHeight="1">
      <c r="A148" s="1"/>
      <c r="B148" s="1"/>
      <c r="C148" s="1"/>
      <c r="D148" s="1"/>
      <c r="E148" s="136"/>
      <c r="F148" s="12"/>
      <c r="G148" s="145"/>
      <c r="H148" s="145"/>
      <c r="I148" s="3"/>
      <c r="J148" s="3"/>
      <c r="K148" s="3"/>
      <c r="L148" s="3"/>
      <c r="M148" s="3"/>
      <c r="N148" s="3"/>
      <c r="O148" s="3"/>
      <c r="P148" s="3"/>
      <c r="Q148" s="3"/>
      <c r="R148" s="3"/>
      <c r="S148" s="3"/>
      <c r="T148" s="3"/>
      <c r="U148" s="3"/>
      <c r="V148" s="3"/>
      <c r="W148" s="3"/>
      <c r="X148" s="3"/>
      <c r="Y148" s="3"/>
      <c r="Z148" s="3"/>
    </row>
    <row r="149" spans="1:26" ht="14.25" customHeight="1">
      <c r="A149" s="1"/>
      <c r="B149" s="1"/>
      <c r="C149" s="1"/>
      <c r="D149" s="1"/>
      <c r="E149" s="136"/>
      <c r="F149" s="12"/>
      <c r="G149" s="145"/>
      <c r="H149" s="145"/>
      <c r="I149" s="3"/>
      <c r="J149" s="3"/>
      <c r="K149" s="3"/>
      <c r="L149" s="3"/>
      <c r="M149" s="3"/>
      <c r="N149" s="3"/>
      <c r="O149" s="3"/>
      <c r="P149" s="3"/>
      <c r="Q149" s="3"/>
      <c r="R149" s="3"/>
      <c r="S149" s="3"/>
      <c r="T149" s="3"/>
      <c r="U149" s="3"/>
      <c r="V149" s="3"/>
      <c r="W149" s="3"/>
      <c r="X149" s="3"/>
      <c r="Y149" s="3"/>
      <c r="Z149" s="3"/>
    </row>
    <row r="150" spans="1:26" ht="14.25" customHeight="1">
      <c r="A150" s="1"/>
      <c r="B150" s="1"/>
      <c r="C150" s="1"/>
      <c r="D150" s="1"/>
      <c r="E150" s="136"/>
      <c r="F150" s="12"/>
      <c r="G150" s="145"/>
      <c r="H150" s="145"/>
      <c r="I150" s="3"/>
      <c r="J150" s="3"/>
      <c r="K150" s="3"/>
      <c r="L150" s="3"/>
      <c r="M150" s="3"/>
      <c r="N150" s="3"/>
      <c r="O150" s="3"/>
      <c r="P150" s="3"/>
      <c r="Q150" s="3"/>
      <c r="R150" s="3"/>
      <c r="S150" s="3"/>
      <c r="T150" s="3"/>
      <c r="U150" s="3"/>
      <c r="V150" s="3"/>
      <c r="W150" s="3"/>
      <c r="X150" s="3"/>
      <c r="Y150" s="3"/>
      <c r="Z150" s="3"/>
    </row>
    <row r="151" spans="1:26" ht="14.25" customHeight="1">
      <c r="A151" s="1"/>
      <c r="B151" s="1"/>
      <c r="C151" s="1"/>
      <c r="D151" s="1"/>
      <c r="E151" s="136"/>
      <c r="F151" s="12"/>
      <c r="G151" s="145"/>
      <c r="H151" s="145"/>
      <c r="I151" s="3"/>
      <c r="J151" s="3"/>
      <c r="K151" s="3"/>
      <c r="L151" s="3"/>
      <c r="M151" s="3"/>
      <c r="N151" s="3"/>
      <c r="O151" s="3"/>
      <c r="P151" s="3"/>
      <c r="Q151" s="3"/>
      <c r="R151" s="3"/>
      <c r="S151" s="3"/>
      <c r="T151" s="3"/>
      <c r="U151" s="3"/>
      <c r="V151" s="3"/>
      <c r="W151" s="3"/>
      <c r="X151" s="3"/>
      <c r="Y151" s="3"/>
      <c r="Z151" s="3"/>
    </row>
    <row r="152" spans="1:26" ht="14.25" customHeight="1">
      <c r="A152" s="1"/>
      <c r="B152" s="1"/>
      <c r="C152" s="1"/>
      <c r="D152" s="1"/>
      <c r="E152" s="136"/>
      <c r="F152" s="12"/>
      <c r="G152" s="145"/>
      <c r="H152" s="145"/>
      <c r="I152" s="3"/>
      <c r="J152" s="3"/>
      <c r="K152" s="3"/>
      <c r="L152" s="3"/>
      <c r="M152" s="3"/>
      <c r="N152" s="3"/>
      <c r="O152" s="3"/>
      <c r="P152" s="3"/>
      <c r="Q152" s="3"/>
      <c r="R152" s="3"/>
      <c r="S152" s="3"/>
      <c r="T152" s="3"/>
      <c r="U152" s="3"/>
      <c r="V152" s="3"/>
      <c r="W152" s="3"/>
      <c r="X152" s="3"/>
      <c r="Y152" s="3"/>
      <c r="Z152" s="3"/>
    </row>
    <row r="153" spans="1:26" ht="14.25" customHeight="1">
      <c r="A153" s="1"/>
      <c r="B153" s="1"/>
      <c r="C153" s="1"/>
      <c r="D153" s="1"/>
      <c r="E153" s="136"/>
      <c r="F153" s="12"/>
      <c r="G153" s="145"/>
      <c r="H153" s="145"/>
      <c r="I153" s="3"/>
      <c r="J153" s="3"/>
      <c r="K153" s="3"/>
      <c r="L153" s="3"/>
      <c r="M153" s="3"/>
      <c r="N153" s="3"/>
      <c r="O153" s="3"/>
      <c r="P153" s="3"/>
      <c r="Q153" s="3"/>
      <c r="R153" s="3"/>
      <c r="S153" s="3"/>
      <c r="T153" s="3"/>
      <c r="U153" s="3"/>
      <c r="V153" s="3"/>
      <c r="W153" s="3"/>
      <c r="X153" s="3"/>
      <c r="Y153" s="3"/>
      <c r="Z153" s="3"/>
    </row>
    <row r="154" spans="1:26" ht="14.25" customHeight="1">
      <c r="A154" s="1"/>
      <c r="B154" s="1"/>
      <c r="C154" s="1"/>
      <c r="D154" s="1"/>
      <c r="E154" s="136"/>
      <c r="F154" s="12"/>
      <c r="G154" s="145"/>
      <c r="H154" s="145"/>
      <c r="I154" s="3"/>
      <c r="J154" s="3"/>
      <c r="K154" s="3"/>
      <c r="L154" s="3"/>
      <c r="M154" s="3"/>
      <c r="N154" s="3"/>
      <c r="O154" s="3"/>
      <c r="P154" s="3"/>
      <c r="Q154" s="3"/>
      <c r="R154" s="3"/>
      <c r="S154" s="3"/>
      <c r="T154" s="3"/>
      <c r="U154" s="3"/>
      <c r="V154" s="3"/>
      <c r="W154" s="3"/>
      <c r="X154" s="3"/>
      <c r="Y154" s="3"/>
      <c r="Z154" s="3"/>
    </row>
    <row r="155" spans="1:26" ht="14.25" customHeight="1">
      <c r="A155" s="1"/>
      <c r="B155" s="1"/>
      <c r="C155" s="1"/>
      <c r="D155" s="1"/>
      <c r="E155" s="136"/>
      <c r="F155" s="12"/>
      <c r="G155" s="145"/>
      <c r="H155" s="145"/>
      <c r="I155" s="3"/>
      <c r="J155" s="3"/>
      <c r="K155" s="3"/>
      <c r="L155" s="3"/>
      <c r="M155" s="3"/>
      <c r="N155" s="3"/>
      <c r="O155" s="3"/>
      <c r="P155" s="3"/>
      <c r="Q155" s="3"/>
      <c r="R155" s="3"/>
      <c r="S155" s="3"/>
      <c r="T155" s="3"/>
      <c r="U155" s="3"/>
      <c r="V155" s="3"/>
      <c r="W155" s="3"/>
      <c r="X155" s="3"/>
      <c r="Y155" s="3"/>
      <c r="Z155" s="3"/>
    </row>
    <row r="156" spans="1:26" ht="14.25" customHeight="1">
      <c r="A156" s="1"/>
      <c r="B156" s="1"/>
      <c r="C156" s="1"/>
      <c r="D156" s="1"/>
      <c r="E156" s="136"/>
      <c r="F156" s="12"/>
      <c r="G156" s="145"/>
      <c r="H156" s="145"/>
      <c r="I156" s="3"/>
      <c r="J156" s="3"/>
      <c r="K156" s="3"/>
      <c r="L156" s="3"/>
      <c r="M156" s="3"/>
      <c r="N156" s="3"/>
      <c r="O156" s="3"/>
      <c r="P156" s="3"/>
      <c r="Q156" s="3"/>
      <c r="R156" s="3"/>
      <c r="S156" s="3"/>
      <c r="T156" s="3"/>
      <c r="U156" s="3"/>
      <c r="V156" s="3"/>
      <c r="W156" s="3"/>
      <c r="X156" s="3"/>
      <c r="Y156" s="3"/>
      <c r="Z156" s="3"/>
    </row>
    <row r="157" spans="1:26" ht="14.25" customHeight="1">
      <c r="A157" s="1"/>
      <c r="B157" s="1"/>
      <c r="C157" s="1"/>
      <c r="D157" s="1"/>
      <c r="E157" s="136"/>
      <c r="F157" s="12"/>
      <c r="G157" s="145"/>
      <c r="H157" s="145"/>
      <c r="I157" s="3"/>
      <c r="J157" s="3"/>
      <c r="K157" s="3"/>
      <c r="L157" s="3"/>
      <c r="M157" s="3"/>
      <c r="N157" s="3"/>
      <c r="O157" s="3"/>
      <c r="P157" s="3"/>
      <c r="Q157" s="3"/>
      <c r="R157" s="3"/>
      <c r="S157" s="3"/>
      <c r="T157" s="3"/>
      <c r="U157" s="3"/>
      <c r="V157" s="3"/>
      <c r="W157" s="3"/>
      <c r="X157" s="3"/>
      <c r="Y157" s="3"/>
      <c r="Z157" s="3"/>
    </row>
    <row r="158" spans="1:26" ht="14.25" customHeight="1">
      <c r="A158" s="1"/>
      <c r="B158" s="1"/>
      <c r="C158" s="1"/>
      <c r="D158" s="1"/>
      <c r="E158" s="136"/>
      <c r="F158" s="12"/>
      <c r="G158" s="145"/>
      <c r="H158" s="145"/>
      <c r="I158" s="3"/>
      <c r="J158" s="3"/>
      <c r="K158" s="3"/>
      <c r="L158" s="3"/>
      <c r="M158" s="3"/>
      <c r="N158" s="3"/>
      <c r="O158" s="3"/>
      <c r="P158" s="3"/>
      <c r="Q158" s="3"/>
      <c r="R158" s="3"/>
      <c r="S158" s="3"/>
      <c r="T158" s="3"/>
      <c r="U158" s="3"/>
      <c r="V158" s="3"/>
      <c r="W158" s="3"/>
      <c r="X158" s="3"/>
      <c r="Y158" s="3"/>
      <c r="Z158" s="3"/>
    </row>
    <row r="159" spans="1:26" ht="14.25" customHeight="1">
      <c r="A159" s="1"/>
      <c r="B159" s="1"/>
      <c r="C159" s="1"/>
      <c r="D159" s="1"/>
      <c r="E159" s="136"/>
      <c r="F159" s="12"/>
      <c r="G159" s="145"/>
      <c r="H159" s="145"/>
      <c r="I159" s="3"/>
      <c r="J159" s="3"/>
      <c r="K159" s="3"/>
      <c r="L159" s="3"/>
      <c r="M159" s="3"/>
      <c r="N159" s="3"/>
      <c r="O159" s="3"/>
      <c r="P159" s="3"/>
      <c r="Q159" s="3"/>
      <c r="R159" s="3"/>
      <c r="S159" s="3"/>
      <c r="T159" s="3"/>
      <c r="U159" s="3"/>
      <c r="V159" s="3"/>
      <c r="W159" s="3"/>
      <c r="X159" s="3"/>
      <c r="Y159" s="3"/>
      <c r="Z159" s="3"/>
    </row>
    <row r="160" spans="1:26" ht="14.25" customHeight="1">
      <c r="A160" s="1"/>
      <c r="B160" s="1"/>
      <c r="C160" s="1"/>
      <c r="D160" s="1"/>
      <c r="E160" s="136"/>
      <c r="F160" s="12"/>
      <c r="G160" s="145"/>
      <c r="H160" s="145"/>
      <c r="I160" s="3"/>
      <c r="J160" s="3"/>
      <c r="K160" s="3"/>
      <c r="L160" s="3"/>
      <c r="M160" s="3"/>
      <c r="N160" s="3"/>
      <c r="O160" s="3"/>
      <c r="P160" s="3"/>
      <c r="Q160" s="3"/>
      <c r="R160" s="3"/>
      <c r="S160" s="3"/>
      <c r="T160" s="3"/>
      <c r="U160" s="3"/>
      <c r="V160" s="3"/>
      <c r="W160" s="3"/>
      <c r="X160" s="3"/>
      <c r="Y160" s="3"/>
      <c r="Z160" s="3"/>
    </row>
    <row r="161" spans="1:26" ht="14.25" customHeight="1">
      <c r="A161" s="1"/>
      <c r="B161" s="1"/>
      <c r="C161" s="1"/>
      <c r="D161" s="1"/>
      <c r="E161" s="136"/>
      <c r="F161" s="12"/>
      <c r="G161" s="145"/>
      <c r="H161" s="145"/>
      <c r="I161" s="3"/>
      <c r="J161" s="3"/>
      <c r="K161" s="3"/>
      <c r="L161" s="3"/>
      <c r="M161" s="3"/>
      <c r="N161" s="3"/>
      <c r="O161" s="3"/>
      <c r="P161" s="3"/>
      <c r="Q161" s="3"/>
      <c r="R161" s="3"/>
      <c r="S161" s="3"/>
      <c r="T161" s="3"/>
      <c r="U161" s="3"/>
      <c r="V161" s="3"/>
      <c r="W161" s="3"/>
      <c r="X161" s="3"/>
      <c r="Y161" s="3"/>
      <c r="Z161" s="3"/>
    </row>
    <row r="162" spans="1:26" ht="14.25" customHeight="1">
      <c r="A162" s="1"/>
      <c r="B162" s="1"/>
      <c r="C162" s="1"/>
      <c r="D162" s="1"/>
      <c r="E162" s="136"/>
      <c r="F162" s="12"/>
      <c r="G162" s="145"/>
      <c r="H162" s="145"/>
      <c r="I162" s="3"/>
      <c r="J162" s="3"/>
      <c r="K162" s="3"/>
      <c r="L162" s="3"/>
      <c r="M162" s="3"/>
      <c r="N162" s="3"/>
      <c r="O162" s="3"/>
      <c r="P162" s="3"/>
      <c r="Q162" s="3"/>
      <c r="R162" s="3"/>
      <c r="S162" s="3"/>
      <c r="T162" s="3"/>
      <c r="U162" s="3"/>
      <c r="V162" s="3"/>
      <c r="W162" s="3"/>
      <c r="X162" s="3"/>
      <c r="Y162" s="3"/>
      <c r="Z162" s="3"/>
    </row>
    <row r="163" spans="1:26" ht="14.25" customHeight="1">
      <c r="A163" s="1"/>
      <c r="B163" s="1"/>
      <c r="C163" s="1"/>
      <c r="D163" s="1"/>
      <c r="E163" s="136"/>
      <c r="F163" s="12"/>
      <c r="G163" s="145"/>
      <c r="H163" s="145"/>
      <c r="I163" s="3"/>
      <c r="J163" s="3"/>
      <c r="K163" s="3"/>
      <c r="L163" s="3"/>
      <c r="M163" s="3"/>
      <c r="N163" s="3"/>
      <c r="O163" s="3"/>
      <c r="P163" s="3"/>
      <c r="Q163" s="3"/>
      <c r="R163" s="3"/>
      <c r="S163" s="3"/>
      <c r="T163" s="3"/>
      <c r="U163" s="3"/>
      <c r="V163" s="3"/>
      <c r="W163" s="3"/>
      <c r="X163" s="3"/>
      <c r="Y163" s="3"/>
      <c r="Z163" s="3"/>
    </row>
    <row r="164" spans="1:26" ht="14.25" customHeight="1">
      <c r="A164" s="1"/>
      <c r="B164" s="1"/>
      <c r="C164" s="1"/>
      <c r="D164" s="1"/>
      <c r="E164" s="136"/>
      <c r="F164" s="12"/>
      <c r="G164" s="145"/>
      <c r="H164" s="145"/>
      <c r="I164" s="3"/>
      <c r="J164" s="3"/>
      <c r="K164" s="3"/>
      <c r="L164" s="3"/>
      <c r="M164" s="3"/>
      <c r="N164" s="3"/>
      <c r="O164" s="3"/>
      <c r="P164" s="3"/>
      <c r="Q164" s="3"/>
      <c r="R164" s="3"/>
      <c r="S164" s="3"/>
      <c r="T164" s="3"/>
      <c r="U164" s="3"/>
      <c r="V164" s="3"/>
      <c r="W164" s="3"/>
      <c r="X164" s="3"/>
      <c r="Y164" s="3"/>
      <c r="Z164" s="3"/>
    </row>
    <row r="165" spans="1:26" ht="14.25" customHeight="1">
      <c r="A165" s="1"/>
      <c r="B165" s="1"/>
      <c r="C165" s="1"/>
      <c r="D165" s="1"/>
      <c r="E165" s="136"/>
      <c r="F165" s="12"/>
      <c r="G165" s="145"/>
      <c r="H165" s="145"/>
      <c r="I165" s="3"/>
      <c r="J165" s="3"/>
      <c r="K165" s="3"/>
      <c r="L165" s="3"/>
      <c r="M165" s="3"/>
      <c r="N165" s="3"/>
      <c r="O165" s="3"/>
      <c r="P165" s="3"/>
      <c r="Q165" s="3"/>
      <c r="R165" s="3"/>
      <c r="S165" s="3"/>
      <c r="T165" s="3"/>
      <c r="U165" s="3"/>
      <c r="V165" s="3"/>
      <c r="W165" s="3"/>
      <c r="X165" s="3"/>
      <c r="Y165" s="3"/>
      <c r="Z165" s="3"/>
    </row>
    <row r="166" spans="1:26" ht="14.25" customHeight="1">
      <c r="A166" s="1"/>
      <c r="B166" s="1"/>
      <c r="C166" s="1"/>
      <c r="D166" s="1"/>
      <c r="E166" s="136"/>
      <c r="F166" s="12"/>
      <c r="G166" s="145"/>
      <c r="H166" s="145"/>
      <c r="I166" s="3"/>
      <c r="J166" s="3"/>
      <c r="K166" s="3"/>
      <c r="L166" s="3"/>
      <c r="M166" s="3"/>
      <c r="N166" s="3"/>
      <c r="O166" s="3"/>
      <c r="P166" s="3"/>
      <c r="Q166" s="3"/>
      <c r="R166" s="3"/>
      <c r="S166" s="3"/>
      <c r="T166" s="3"/>
      <c r="U166" s="3"/>
      <c r="V166" s="3"/>
      <c r="W166" s="3"/>
      <c r="X166" s="3"/>
      <c r="Y166" s="3"/>
      <c r="Z166" s="3"/>
    </row>
    <row r="167" spans="1:26" ht="14.25" customHeight="1">
      <c r="A167" s="1"/>
      <c r="B167" s="1"/>
      <c r="C167" s="1"/>
      <c r="D167" s="1"/>
      <c r="E167" s="136"/>
      <c r="F167" s="12"/>
      <c r="G167" s="145"/>
      <c r="H167" s="145"/>
      <c r="I167" s="3"/>
      <c r="J167" s="3"/>
      <c r="K167" s="3"/>
      <c r="L167" s="3"/>
      <c r="M167" s="3"/>
      <c r="N167" s="3"/>
      <c r="O167" s="3"/>
      <c r="P167" s="3"/>
      <c r="Q167" s="3"/>
      <c r="R167" s="3"/>
      <c r="S167" s="3"/>
      <c r="T167" s="3"/>
      <c r="U167" s="3"/>
      <c r="V167" s="3"/>
      <c r="W167" s="3"/>
      <c r="X167" s="3"/>
      <c r="Y167" s="3"/>
      <c r="Z167" s="3"/>
    </row>
    <row r="168" spans="1:26" ht="14.25" customHeight="1">
      <c r="A168" s="1"/>
      <c r="B168" s="1"/>
      <c r="C168" s="1"/>
      <c r="D168" s="1"/>
      <c r="E168" s="136"/>
      <c r="F168" s="12"/>
      <c r="G168" s="145"/>
      <c r="H168" s="145"/>
      <c r="I168" s="3"/>
      <c r="J168" s="3"/>
      <c r="K168" s="3"/>
      <c r="L168" s="3"/>
      <c r="M168" s="3"/>
      <c r="N168" s="3"/>
      <c r="O168" s="3"/>
      <c r="P168" s="3"/>
      <c r="Q168" s="3"/>
      <c r="R168" s="3"/>
      <c r="S168" s="3"/>
      <c r="T168" s="3"/>
      <c r="U168" s="3"/>
      <c r="V168" s="3"/>
      <c r="W168" s="3"/>
      <c r="X168" s="3"/>
      <c r="Y168" s="3"/>
      <c r="Z168" s="3"/>
    </row>
    <row r="169" spans="1:26" ht="14.25" customHeight="1">
      <c r="A169" s="1"/>
      <c r="B169" s="1"/>
      <c r="C169" s="1"/>
      <c r="D169" s="1"/>
      <c r="E169" s="136"/>
      <c r="F169" s="12"/>
      <c r="G169" s="145"/>
      <c r="H169" s="145"/>
      <c r="I169" s="3"/>
      <c r="J169" s="3"/>
      <c r="K169" s="3"/>
      <c r="L169" s="3"/>
      <c r="M169" s="3"/>
      <c r="N169" s="3"/>
      <c r="O169" s="3"/>
      <c r="P169" s="3"/>
      <c r="Q169" s="3"/>
      <c r="R169" s="3"/>
      <c r="S169" s="3"/>
      <c r="T169" s="3"/>
      <c r="U169" s="3"/>
      <c r="V169" s="3"/>
      <c r="W169" s="3"/>
      <c r="X169" s="3"/>
      <c r="Y169" s="3"/>
      <c r="Z169" s="3"/>
    </row>
    <row r="170" spans="1:26" ht="14.25" customHeight="1">
      <c r="A170" s="1"/>
      <c r="B170" s="1"/>
      <c r="C170" s="1"/>
      <c r="D170" s="1"/>
      <c r="E170" s="136"/>
      <c r="F170" s="12"/>
      <c r="G170" s="145"/>
      <c r="H170" s="145"/>
      <c r="I170" s="3"/>
      <c r="J170" s="3"/>
      <c r="K170" s="3"/>
      <c r="L170" s="3"/>
      <c r="M170" s="3"/>
      <c r="N170" s="3"/>
      <c r="O170" s="3"/>
      <c r="P170" s="3"/>
      <c r="Q170" s="3"/>
      <c r="R170" s="3"/>
      <c r="S170" s="3"/>
      <c r="T170" s="3"/>
      <c r="U170" s="3"/>
      <c r="V170" s="3"/>
      <c r="W170" s="3"/>
      <c r="X170" s="3"/>
      <c r="Y170" s="3"/>
      <c r="Z170" s="3"/>
    </row>
    <row r="171" spans="1:26" ht="14.25" customHeight="1">
      <c r="A171" s="1"/>
      <c r="B171" s="1"/>
      <c r="C171" s="1"/>
      <c r="D171" s="1"/>
      <c r="E171" s="136"/>
      <c r="F171" s="12"/>
      <c r="G171" s="145"/>
      <c r="H171" s="145"/>
      <c r="I171" s="3"/>
      <c r="J171" s="3"/>
      <c r="K171" s="3"/>
      <c r="L171" s="3"/>
      <c r="M171" s="3"/>
      <c r="N171" s="3"/>
      <c r="O171" s="3"/>
      <c r="P171" s="3"/>
      <c r="Q171" s="3"/>
      <c r="R171" s="3"/>
      <c r="S171" s="3"/>
      <c r="T171" s="3"/>
      <c r="U171" s="3"/>
      <c r="V171" s="3"/>
      <c r="W171" s="3"/>
      <c r="X171" s="3"/>
      <c r="Y171" s="3"/>
      <c r="Z171" s="3"/>
    </row>
    <row r="172" spans="1:26" ht="14.25" customHeight="1">
      <c r="A172" s="1"/>
      <c r="B172" s="1"/>
      <c r="C172" s="1"/>
      <c r="D172" s="1"/>
      <c r="E172" s="136"/>
      <c r="F172" s="12"/>
      <c r="G172" s="145"/>
      <c r="H172" s="145"/>
      <c r="I172" s="3"/>
      <c r="J172" s="3"/>
      <c r="K172" s="3"/>
      <c r="L172" s="3"/>
      <c r="M172" s="3"/>
      <c r="N172" s="3"/>
      <c r="O172" s="3"/>
      <c r="P172" s="3"/>
      <c r="Q172" s="3"/>
      <c r="R172" s="3"/>
      <c r="S172" s="3"/>
      <c r="T172" s="3"/>
      <c r="U172" s="3"/>
      <c r="V172" s="3"/>
      <c r="W172" s="3"/>
      <c r="X172" s="3"/>
      <c r="Y172" s="3"/>
      <c r="Z172" s="3"/>
    </row>
    <row r="173" spans="1:26" ht="14.25" customHeight="1">
      <c r="A173" s="1"/>
      <c r="B173" s="1"/>
      <c r="C173" s="1"/>
      <c r="D173" s="1"/>
      <c r="E173" s="136"/>
      <c r="F173" s="12"/>
      <c r="G173" s="145"/>
      <c r="H173" s="145"/>
      <c r="I173" s="3"/>
      <c r="J173" s="3"/>
      <c r="K173" s="3"/>
      <c r="L173" s="3"/>
      <c r="M173" s="3"/>
      <c r="N173" s="3"/>
      <c r="O173" s="3"/>
      <c r="P173" s="3"/>
      <c r="Q173" s="3"/>
      <c r="R173" s="3"/>
      <c r="S173" s="3"/>
      <c r="T173" s="3"/>
      <c r="U173" s="3"/>
      <c r="V173" s="3"/>
      <c r="W173" s="3"/>
      <c r="X173" s="3"/>
      <c r="Y173" s="3"/>
      <c r="Z173" s="3"/>
    </row>
    <row r="174" spans="1:26" ht="14.25" customHeight="1">
      <c r="A174" s="1"/>
      <c r="B174" s="1"/>
      <c r="C174" s="1"/>
      <c r="D174" s="1"/>
      <c r="E174" s="136"/>
      <c r="F174" s="12"/>
      <c r="G174" s="145"/>
      <c r="H174" s="145"/>
      <c r="I174" s="3"/>
      <c r="J174" s="3"/>
      <c r="K174" s="3"/>
      <c r="L174" s="3"/>
      <c r="M174" s="3"/>
      <c r="N174" s="3"/>
      <c r="O174" s="3"/>
      <c r="P174" s="3"/>
      <c r="Q174" s="3"/>
      <c r="R174" s="3"/>
      <c r="S174" s="3"/>
      <c r="T174" s="3"/>
      <c r="U174" s="3"/>
      <c r="V174" s="3"/>
      <c r="W174" s="3"/>
      <c r="X174" s="3"/>
      <c r="Y174" s="3"/>
      <c r="Z174" s="3"/>
    </row>
    <row r="175" spans="1:26" ht="14.25" customHeight="1">
      <c r="A175" s="1"/>
      <c r="B175" s="1"/>
      <c r="C175" s="1"/>
      <c r="D175" s="1"/>
      <c r="E175" s="136"/>
      <c r="F175" s="12"/>
      <c r="G175" s="145"/>
      <c r="H175" s="145"/>
      <c r="I175" s="3"/>
      <c r="J175" s="3"/>
      <c r="K175" s="3"/>
      <c r="L175" s="3"/>
      <c r="M175" s="3"/>
      <c r="N175" s="3"/>
      <c r="O175" s="3"/>
      <c r="P175" s="3"/>
      <c r="Q175" s="3"/>
      <c r="R175" s="3"/>
      <c r="S175" s="3"/>
      <c r="T175" s="3"/>
      <c r="U175" s="3"/>
      <c r="V175" s="3"/>
      <c r="W175" s="3"/>
      <c r="X175" s="3"/>
      <c r="Y175" s="3"/>
      <c r="Z175" s="3"/>
    </row>
    <row r="176" spans="1:26" ht="14.25" customHeight="1">
      <c r="A176" s="1"/>
      <c r="B176" s="1"/>
      <c r="C176" s="1"/>
      <c r="D176" s="1"/>
      <c r="E176" s="136"/>
      <c r="F176" s="12"/>
      <c r="G176" s="145"/>
      <c r="H176" s="145"/>
      <c r="I176" s="3"/>
      <c r="J176" s="3"/>
      <c r="K176" s="3"/>
      <c r="L176" s="3"/>
      <c r="M176" s="3"/>
      <c r="N176" s="3"/>
      <c r="O176" s="3"/>
      <c r="P176" s="3"/>
      <c r="Q176" s="3"/>
      <c r="R176" s="3"/>
      <c r="S176" s="3"/>
      <c r="T176" s="3"/>
      <c r="U176" s="3"/>
      <c r="V176" s="3"/>
      <c r="W176" s="3"/>
      <c r="X176" s="3"/>
      <c r="Y176" s="3"/>
      <c r="Z176" s="3"/>
    </row>
    <row r="177" spans="1:26" ht="14.25" customHeight="1">
      <c r="A177" s="1"/>
      <c r="B177" s="1"/>
      <c r="C177" s="1"/>
      <c r="D177" s="1"/>
      <c r="E177" s="136"/>
      <c r="F177" s="12"/>
      <c r="G177" s="145"/>
      <c r="H177" s="145"/>
      <c r="I177" s="3"/>
      <c r="J177" s="3"/>
      <c r="K177" s="3"/>
      <c r="L177" s="3"/>
      <c r="M177" s="3"/>
      <c r="N177" s="3"/>
      <c r="O177" s="3"/>
      <c r="P177" s="3"/>
      <c r="Q177" s="3"/>
      <c r="R177" s="3"/>
      <c r="S177" s="3"/>
      <c r="T177" s="3"/>
      <c r="U177" s="3"/>
      <c r="V177" s="3"/>
      <c r="W177" s="3"/>
      <c r="X177" s="3"/>
      <c r="Y177" s="3"/>
      <c r="Z177" s="3"/>
    </row>
    <row r="178" spans="1:26" ht="14.25" customHeight="1">
      <c r="A178" s="1"/>
      <c r="B178" s="1"/>
      <c r="C178" s="1"/>
      <c r="D178" s="1"/>
      <c r="E178" s="136"/>
      <c r="F178" s="12"/>
      <c r="G178" s="145"/>
      <c r="H178" s="145"/>
      <c r="I178" s="3"/>
      <c r="J178" s="3"/>
      <c r="K178" s="3"/>
      <c r="L178" s="3"/>
      <c r="M178" s="3"/>
      <c r="N178" s="3"/>
      <c r="O178" s="3"/>
      <c r="P178" s="3"/>
      <c r="Q178" s="3"/>
      <c r="R178" s="3"/>
      <c r="S178" s="3"/>
      <c r="T178" s="3"/>
      <c r="U178" s="3"/>
      <c r="V178" s="3"/>
      <c r="W178" s="3"/>
      <c r="X178" s="3"/>
      <c r="Y178" s="3"/>
      <c r="Z178" s="3"/>
    </row>
    <row r="179" spans="1:26" ht="14.25" customHeight="1">
      <c r="A179" s="1"/>
      <c r="B179" s="1"/>
      <c r="C179" s="1"/>
      <c r="D179" s="1"/>
      <c r="E179" s="136"/>
      <c r="F179" s="12"/>
      <c r="G179" s="145"/>
      <c r="H179" s="145"/>
      <c r="I179" s="3"/>
      <c r="J179" s="3"/>
      <c r="K179" s="3"/>
      <c r="L179" s="3"/>
      <c r="M179" s="3"/>
      <c r="N179" s="3"/>
      <c r="O179" s="3"/>
      <c r="P179" s="3"/>
      <c r="Q179" s="3"/>
      <c r="R179" s="3"/>
      <c r="S179" s="3"/>
      <c r="T179" s="3"/>
      <c r="U179" s="3"/>
      <c r="V179" s="3"/>
      <c r="W179" s="3"/>
      <c r="X179" s="3"/>
      <c r="Y179" s="3"/>
      <c r="Z179" s="3"/>
    </row>
    <row r="180" spans="1:26" ht="14.25" customHeight="1">
      <c r="A180" s="1"/>
      <c r="B180" s="1"/>
      <c r="C180" s="1"/>
      <c r="D180" s="1"/>
      <c r="E180" s="136"/>
      <c r="F180" s="12"/>
      <c r="G180" s="145"/>
      <c r="H180" s="145"/>
      <c r="I180" s="3"/>
      <c r="J180" s="3"/>
      <c r="K180" s="3"/>
      <c r="L180" s="3"/>
      <c r="M180" s="3"/>
      <c r="N180" s="3"/>
      <c r="O180" s="3"/>
      <c r="P180" s="3"/>
      <c r="Q180" s="3"/>
      <c r="R180" s="3"/>
      <c r="S180" s="3"/>
      <c r="T180" s="3"/>
      <c r="U180" s="3"/>
      <c r="V180" s="3"/>
      <c r="W180" s="3"/>
      <c r="X180" s="3"/>
      <c r="Y180" s="3"/>
      <c r="Z180" s="3"/>
    </row>
    <row r="181" spans="1:26" ht="14.25" customHeight="1">
      <c r="A181" s="1"/>
      <c r="B181" s="1"/>
      <c r="C181" s="1"/>
      <c r="D181" s="1"/>
      <c r="E181" s="136"/>
      <c r="F181" s="12"/>
      <c r="G181" s="145"/>
      <c r="H181" s="145"/>
      <c r="I181" s="3"/>
      <c r="J181" s="3"/>
      <c r="K181" s="3"/>
      <c r="L181" s="3"/>
      <c r="M181" s="3"/>
      <c r="N181" s="3"/>
      <c r="O181" s="3"/>
      <c r="P181" s="3"/>
      <c r="Q181" s="3"/>
      <c r="R181" s="3"/>
      <c r="S181" s="3"/>
      <c r="T181" s="3"/>
      <c r="U181" s="3"/>
      <c r="V181" s="3"/>
      <c r="W181" s="3"/>
      <c r="X181" s="3"/>
      <c r="Y181" s="3"/>
      <c r="Z181" s="3"/>
    </row>
    <row r="182" spans="1:26" ht="14.25" customHeight="1">
      <c r="A182" s="1"/>
      <c r="B182" s="1"/>
      <c r="C182" s="1"/>
      <c r="D182" s="1"/>
      <c r="E182" s="136"/>
      <c r="F182" s="12"/>
      <c r="G182" s="145"/>
      <c r="H182" s="145"/>
      <c r="I182" s="3"/>
      <c r="J182" s="3"/>
      <c r="K182" s="3"/>
      <c r="L182" s="3"/>
      <c r="M182" s="3"/>
      <c r="N182" s="3"/>
      <c r="O182" s="3"/>
      <c r="P182" s="3"/>
      <c r="Q182" s="3"/>
      <c r="R182" s="3"/>
      <c r="S182" s="3"/>
      <c r="T182" s="3"/>
      <c r="U182" s="3"/>
      <c r="V182" s="3"/>
      <c r="W182" s="3"/>
      <c r="X182" s="3"/>
      <c r="Y182" s="3"/>
      <c r="Z182" s="3"/>
    </row>
    <row r="183" spans="1:26" ht="14.25" customHeight="1">
      <c r="A183" s="1"/>
      <c r="B183" s="1"/>
      <c r="C183" s="1"/>
      <c r="D183" s="1"/>
      <c r="E183" s="136"/>
      <c r="F183" s="12"/>
      <c r="G183" s="145"/>
      <c r="H183" s="145"/>
      <c r="I183" s="3"/>
      <c r="J183" s="3"/>
      <c r="K183" s="3"/>
      <c r="L183" s="3"/>
      <c r="M183" s="3"/>
      <c r="N183" s="3"/>
      <c r="O183" s="3"/>
      <c r="P183" s="3"/>
      <c r="Q183" s="3"/>
      <c r="R183" s="3"/>
      <c r="S183" s="3"/>
      <c r="T183" s="3"/>
      <c r="U183" s="3"/>
      <c r="V183" s="3"/>
      <c r="W183" s="3"/>
      <c r="X183" s="3"/>
      <c r="Y183" s="3"/>
      <c r="Z183" s="3"/>
    </row>
    <row r="184" spans="1:26" ht="14.25" customHeight="1">
      <c r="A184" s="1"/>
      <c r="B184" s="1"/>
      <c r="C184" s="1"/>
      <c r="D184" s="1"/>
      <c r="E184" s="136"/>
      <c r="F184" s="12"/>
      <c r="G184" s="145"/>
      <c r="H184" s="145"/>
      <c r="I184" s="3"/>
      <c r="J184" s="3"/>
      <c r="K184" s="3"/>
      <c r="L184" s="3"/>
      <c r="M184" s="3"/>
      <c r="N184" s="3"/>
      <c r="O184" s="3"/>
      <c r="P184" s="3"/>
      <c r="Q184" s="3"/>
      <c r="R184" s="3"/>
      <c r="S184" s="3"/>
      <c r="T184" s="3"/>
      <c r="U184" s="3"/>
      <c r="V184" s="3"/>
      <c r="W184" s="3"/>
      <c r="X184" s="3"/>
      <c r="Y184" s="3"/>
      <c r="Z184" s="3"/>
    </row>
    <row r="185" spans="1:26" ht="14.25" customHeight="1">
      <c r="A185" s="1"/>
      <c r="B185" s="1"/>
      <c r="C185" s="1"/>
      <c r="D185" s="1"/>
      <c r="E185" s="136"/>
      <c r="F185" s="12"/>
      <c r="G185" s="145"/>
      <c r="H185" s="145"/>
      <c r="I185" s="3"/>
      <c r="J185" s="3"/>
      <c r="K185" s="3"/>
      <c r="L185" s="3"/>
      <c r="M185" s="3"/>
      <c r="N185" s="3"/>
      <c r="O185" s="3"/>
      <c r="P185" s="3"/>
      <c r="Q185" s="3"/>
      <c r="R185" s="3"/>
      <c r="S185" s="3"/>
      <c r="T185" s="3"/>
      <c r="U185" s="3"/>
      <c r="V185" s="3"/>
      <c r="W185" s="3"/>
      <c r="X185" s="3"/>
      <c r="Y185" s="3"/>
      <c r="Z185" s="3"/>
    </row>
    <row r="186" spans="1:26" ht="14.25" customHeight="1">
      <c r="A186" s="1"/>
      <c r="B186" s="1"/>
      <c r="C186" s="1"/>
      <c r="D186" s="1"/>
      <c r="E186" s="136"/>
      <c r="F186" s="12"/>
      <c r="G186" s="145"/>
      <c r="H186" s="145"/>
      <c r="I186" s="3"/>
      <c r="J186" s="3"/>
      <c r="K186" s="3"/>
      <c r="L186" s="3"/>
      <c r="M186" s="3"/>
      <c r="N186" s="3"/>
      <c r="O186" s="3"/>
      <c r="P186" s="3"/>
      <c r="Q186" s="3"/>
      <c r="R186" s="3"/>
      <c r="S186" s="3"/>
      <c r="T186" s="3"/>
      <c r="U186" s="3"/>
      <c r="V186" s="3"/>
      <c r="W186" s="3"/>
      <c r="X186" s="3"/>
      <c r="Y186" s="3"/>
      <c r="Z186" s="3"/>
    </row>
    <row r="187" spans="1:26" ht="14.25" customHeight="1">
      <c r="A187" s="1"/>
      <c r="B187" s="1"/>
      <c r="C187" s="1"/>
      <c r="D187" s="1"/>
      <c r="E187" s="136"/>
      <c r="F187" s="12"/>
      <c r="G187" s="145"/>
      <c r="H187" s="145"/>
      <c r="I187" s="3"/>
      <c r="J187" s="3"/>
      <c r="K187" s="3"/>
      <c r="L187" s="3"/>
      <c r="M187" s="3"/>
      <c r="N187" s="3"/>
      <c r="O187" s="3"/>
      <c r="P187" s="3"/>
      <c r="Q187" s="3"/>
      <c r="R187" s="3"/>
      <c r="S187" s="3"/>
      <c r="T187" s="3"/>
      <c r="U187" s="3"/>
      <c r="V187" s="3"/>
      <c r="W187" s="3"/>
      <c r="X187" s="3"/>
      <c r="Y187" s="3"/>
      <c r="Z187" s="3"/>
    </row>
    <row r="188" spans="1:26" ht="14.25" customHeight="1">
      <c r="A188" s="1"/>
      <c r="B188" s="1"/>
      <c r="C188" s="1"/>
      <c r="D188" s="1"/>
      <c r="E188" s="136"/>
      <c r="F188" s="12"/>
      <c r="G188" s="145"/>
      <c r="H188" s="145"/>
      <c r="I188" s="3"/>
      <c r="J188" s="3"/>
      <c r="K188" s="3"/>
      <c r="L188" s="3"/>
      <c r="M188" s="3"/>
      <c r="N188" s="3"/>
      <c r="O188" s="3"/>
      <c r="P188" s="3"/>
      <c r="Q188" s="3"/>
      <c r="R188" s="3"/>
      <c r="S188" s="3"/>
      <c r="T188" s="3"/>
      <c r="U188" s="3"/>
      <c r="V188" s="3"/>
      <c r="W188" s="3"/>
      <c r="X188" s="3"/>
      <c r="Y188" s="3"/>
      <c r="Z188" s="3"/>
    </row>
    <row r="189" spans="1:26" ht="14.25" customHeight="1">
      <c r="A189" s="1"/>
      <c r="B189" s="1"/>
      <c r="C189" s="1"/>
      <c r="D189" s="1"/>
      <c r="E189" s="136"/>
      <c r="F189" s="12"/>
      <c r="G189" s="145"/>
      <c r="H189" s="145"/>
      <c r="I189" s="3"/>
      <c r="J189" s="3"/>
      <c r="K189" s="3"/>
      <c r="L189" s="3"/>
      <c r="M189" s="3"/>
      <c r="N189" s="3"/>
      <c r="O189" s="3"/>
      <c r="P189" s="3"/>
      <c r="Q189" s="3"/>
      <c r="R189" s="3"/>
      <c r="S189" s="3"/>
      <c r="T189" s="3"/>
      <c r="U189" s="3"/>
      <c r="V189" s="3"/>
      <c r="W189" s="3"/>
      <c r="X189" s="3"/>
      <c r="Y189" s="3"/>
      <c r="Z189" s="3"/>
    </row>
    <row r="190" spans="1:26" ht="14.25" customHeight="1">
      <c r="A190" s="1"/>
      <c r="B190" s="1"/>
      <c r="C190" s="1"/>
      <c r="D190" s="1"/>
      <c r="E190" s="136"/>
      <c r="F190" s="12"/>
      <c r="G190" s="145"/>
      <c r="H190" s="145"/>
      <c r="I190" s="3"/>
      <c r="J190" s="3"/>
      <c r="K190" s="3"/>
      <c r="L190" s="3"/>
      <c r="M190" s="3"/>
      <c r="N190" s="3"/>
      <c r="O190" s="3"/>
      <c r="P190" s="3"/>
      <c r="Q190" s="3"/>
      <c r="R190" s="3"/>
      <c r="S190" s="3"/>
      <c r="T190" s="3"/>
      <c r="U190" s="3"/>
      <c r="V190" s="3"/>
      <c r="W190" s="3"/>
      <c r="X190" s="3"/>
      <c r="Y190" s="3"/>
      <c r="Z190" s="3"/>
    </row>
    <row r="191" spans="1:26" ht="14.25" customHeight="1">
      <c r="A191" s="1"/>
      <c r="B191" s="1"/>
      <c r="C191" s="1"/>
      <c r="D191" s="1"/>
      <c r="E191" s="136"/>
      <c r="F191" s="12"/>
      <c r="G191" s="145"/>
      <c r="H191" s="145"/>
      <c r="I191" s="3"/>
      <c r="J191" s="3"/>
      <c r="K191" s="3"/>
      <c r="L191" s="3"/>
      <c r="M191" s="3"/>
      <c r="N191" s="3"/>
      <c r="O191" s="3"/>
      <c r="P191" s="3"/>
      <c r="Q191" s="3"/>
      <c r="R191" s="3"/>
      <c r="S191" s="3"/>
      <c r="T191" s="3"/>
      <c r="U191" s="3"/>
      <c r="V191" s="3"/>
      <c r="W191" s="3"/>
      <c r="X191" s="3"/>
      <c r="Y191" s="3"/>
      <c r="Z191" s="3"/>
    </row>
    <row r="192" spans="1:26" ht="14.25" customHeight="1">
      <c r="A192" s="1"/>
      <c r="B192" s="1"/>
      <c r="C192" s="1"/>
      <c r="D192" s="1"/>
      <c r="E192" s="136"/>
      <c r="F192" s="12"/>
      <c r="G192" s="145"/>
      <c r="H192" s="145"/>
      <c r="I192" s="3"/>
      <c r="J192" s="3"/>
      <c r="K192" s="3"/>
      <c r="L192" s="3"/>
      <c r="M192" s="3"/>
      <c r="N192" s="3"/>
      <c r="O192" s="3"/>
      <c r="P192" s="3"/>
      <c r="Q192" s="3"/>
      <c r="R192" s="3"/>
      <c r="S192" s="3"/>
      <c r="T192" s="3"/>
      <c r="U192" s="3"/>
      <c r="V192" s="3"/>
      <c r="W192" s="3"/>
      <c r="X192" s="3"/>
      <c r="Y192" s="3"/>
      <c r="Z192" s="3"/>
    </row>
    <row r="193" spans="1:26" ht="14.25" customHeight="1">
      <c r="A193" s="1"/>
      <c r="B193" s="1"/>
      <c r="C193" s="1"/>
      <c r="D193" s="1"/>
      <c r="E193" s="136"/>
      <c r="F193" s="12"/>
      <c r="G193" s="145"/>
      <c r="H193" s="145"/>
      <c r="I193" s="3"/>
      <c r="J193" s="3"/>
      <c r="K193" s="3"/>
      <c r="L193" s="3"/>
      <c r="M193" s="3"/>
      <c r="N193" s="3"/>
      <c r="O193" s="3"/>
      <c r="P193" s="3"/>
      <c r="Q193" s="3"/>
      <c r="R193" s="3"/>
      <c r="S193" s="3"/>
      <c r="T193" s="3"/>
      <c r="U193" s="3"/>
      <c r="V193" s="3"/>
      <c r="W193" s="3"/>
      <c r="X193" s="3"/>
      <c r="Y193" s="3"/>
      <c r="Z193" s="3"/>
    </row>
    <row r="194" spans="1:26" ht="14.25" customHeight="1">
      <c r="A194" s="1"/>
      <c r="B194" s="1"/>
      <c r="C194" s="1"/>
      <c r="D194" s="1"/>
      <c r="E194" s="136"/>
      <c r="F194" s="12"/>
      <c r="G194" s="145"/>
      <c r="H194" s="145"/>
      <c r="I194" s="3"/>
      <c r="J194" s="3"/>
      <c r="K194" s="3"/>
      <c r="L194" s="3"/>
      <c r="M194" s="3"/>
      <c r="N194" s="3"/>
      <c r="O194" s="3"/>
      <c r="P194" s="3"/>
      <c r="Q194" s="3"/>
      <c r="R194" s="3"/>
      <c r="S194" s="3"/>
      <c r="T194" s="3"/>
      <c r="U194" s="3"/>
      <c r="V194" s="3"/>
      <c r="W194" s="3"/>
      <c r="X194" s="3"/>
      <c r="Y194" s="3"/>
      <c r="Z194" s="3"/>
    </row>
    <row r="195" spans="1:26" ht="14.25" customHeight="1">
      <c r="A195" s="1"/>
      <c r="B195" s="1"/>
      <c r="C195" s="1"/>
      <c r="D195" s="1"/>
      <c r="E195" s="136"/>
      <c r="F195" s="12"/>
      <c r="G195" s="145"/>
      <c r="H195" s="145"/>
      <c r="I195" s="3"/>
      <c r="J195" s="3"/>
      <c r="K195" s="3"/>
      <c r="L195" s="3"/>
      <c r="M195" s="3"/>
      <c r="N195" s="3"/>
      <c r="O195" s="3"/>
      <c r="P195" s="3"/>
      <c r="Q195" s="3"/>
      <c r="R195" s="3"/>
      <c r="S195" s="3"/>
      <c r="T195" s="3"/>
      <c r="U195" s="3"/>
      <c r="V195" s="3"/>
      <c r="W195" s="3"/>
      <c r="X195" s="3"/>
      <c r="Y195" s="3"/>
      <c r="Z195" s="3"/>
    </row>
    <row r="196" spans="1:26" ht="14.25" customHeight="1">
      <c r="A196" s="1"/>
      <c r="B196" s="1"/>
      <c r="C196" s="1"/>
      <c r="D196" s="1"/>
      <c r="E196" s="136"/>
      <c r="F196" s="12"/>
      <c r="G196" s="145"/>
      <c r="H196" s="145"/>
      <c r="I196" s="3"/>
      <c r="J196" s="3"/>
      <c r="K196" s="3"/>
      <c r="L196" s="3"/>
      <c r="M196" s="3"/>
      <c r="N196" s="3"/>
      <c r="O196" s="3"/>
      <c r="P196" s="3"/>
      <c r="Q196" s="3"/>
      <c r="R196" s="3"/>
      <c r="S196" s="3"/>
      <c r="T196" s="3"/>
      <c r="U196" s="3"/>
      <c r="V196" s="3"/>
      <c r="W196" s="3"/>
      <c r="X196" s="3"/>
      <c r="Y196" s="3"/>
      <c r="Z196" s="3"/>
    </row>
    <row r="197" spans="1:26" ht="14.25" customHeight="1">
      <c r="A197" s="1"/>
      <c r="B197" s="1"/>
      <c r="C197" s="1"/>
      <c r="D197" s="1"/>
      <c r="E197" s="136"/>
      <c r="F197" s="12"/>
      <c r="G197" s="145"/>
      <c r="H197" s="145"/>
      <c r="I197" s="3"/>
      <c r="J197" s="3"/>
      <c r="K197" s="3"/>
      <c r="L197" s="3"/>
      <c r="M197" s="3"/>
      <c r="N197" s="3"/>
      <c r="O197" s="3"/>
      <c r="P197" s="3"/>
      <c r="Q197" s="3"/>
      <c r="R197" s="3"/>
      <c r="S197" s="3"/>
      <c r="T197" s="3"/>
      <c r="U197" s="3"/>
      <c r="V197" s="3"/>
      <c r="W197" s="3"/>
      <c r="X197" s="3"/>
      <c r="Y197" s="3"/>
      <c r="Z197" s="3"/>
    </row>
    <row r="198" spans="1:26" ht="14.25" customHeight="1">
      <c r="A198" s="1"/>
      <c r="B198" s="1"/>
      <c r="C198" s="1"/>
      <c r="D198" s="1"/>
      <c r="E198" s="136"/>
      <c r="F198" s="12"/>
      <c r="G198" s="145"/>
      <c r="H198" s="145"/>
      <c r="I198" s="3"/>
      <c r="J198" s="3"/>
      <c r="K198" s="3"/>
      <c r="L198" s="3"/>
      <c r="M198" s="3"/>
      <c r="N198" s="3"/>
      <c r="O198" s="3"/>
      <c r="P198" s="3"/>
      <c r="Q198" s="3"/>
      <c r="R198" s="3"/>
      <c r="S198" s="3"/>
      <c r="T198" s="3"/>
      <c r="U198" s="3"/>
      <c r="V198" s="3"/>
      <c r="W198" s="3"/>
      <c r="X198" s="3"/>
      <c r="Y198" s="3"/>
      <c r="Z198" s="3"/>
    </row>
    <row r="199" spans="1:26" ht="14.25" customHeight="1">
      <c r="A199" s="1"/>
      <c r="B199" s="1"/>
      <c r="C199" s="1"/>
      <c r="D199" s="1"/>
      <c r="E199" s="136"/>
      <c r="F199" s="12"/>
      <c r="G199" s="145"/>
      <c r="H199" s="145"/>
      <c r="I199" s="3"/>
      <c r="J199" s="3"/>
      <c r="K199" s="3"/>
      <c r="L199" s="3"/>
      <c r="M199" s="3"/>
      <c r="N199" s="3"/>
      <c r="O199" s="3"/>
      <c r="P199" s="3"/>
      <c r="Q199" s="3"/>
      <c r="R199" s="3"/>
      <c r="S199" s="3"/>
      <c r="T199" s="3"/>
      <c r="U199" s="3"/>
      <c r="V199" s="3"/>
      <c r="W199" s="3"/>
      <c r="X199" s="3"/>
      <c r="Y199" s="3"/>
      <c r="Z199" s="3"/>
    </row>
    <row r="200" spans="1:26" ht="14.25" customHeight="1">
      <c r="A200" s="1"/>
      <c r="B200" s="1"/>
      <c r="C200" s="1"/>
      <c r="D200" s="1"/>
      <c r="E200" s="136"/>
      <c r="F200" s="12"/>
      <c r="G200" s="145"/>
      <c r="H200" s="145"/>
      <c r="I200" s="3"/>
      <c r="J200" s="3"/>
      <c r="K200" s="3"/>
      <c r="L200" s="3"/>
      <c r="M200" s="3"/>
      <c r="N200" s="3"/>
      <c r="O200" s="3"/>
      <c r="P200" s="3"/>
      <c r="Q200" s="3"/>
      <c r="R200" s="3"/>
      <c r="S200" s="3"/>
      <c r="T200" s="3"/>
      <c r="U200" s="3"/>
      <c r="V200" s="3"/>
      <c r="W200" s="3"/>
      <c r="X200" s="3"/>
      <c r="Y200" s="3"/>
      <c r="Z200" s="3"/>
    </row>
    <row r="201" spans="1:26" ht="14.25" customHeight="1">
      <c r="A201" s="1"/>
      <c r="B201" s="1"/>
      <c r="C201" s="1"/>
      <c r="D201" s="1"/>
      <c r="E201" s="136"/>
      <c r="F201" s="12"/>
      <c r="G201" s="145"/>
      <c r="H201" s="145"/>
      <c r="I201" s="3"/>
      <c r="J201" s="3"/>
      <c r="K201" s="3"/>
      <c r="L201" s="3"/>
      <c r="M201" s="3"/>
      <c r="N201" s="3"/>
      <c r="O201" s="3"/>
      <c r="P201" s="3"/>
      <c r="Q201" s="3"/>
      <c r="R201" s="3"/>
      <c r="S201" s="3"/>
      <c r="T201" s="3"/>
      <c r="U201" s="3"/>
      <c r="V201" s="3"/>
      <c r="W201" s="3"/>
      <c r="X201" s="3"/>
      <c r="Y201" s="3"/>
      <c r="Z201" s="3"/>
    </row>
    <row r="202" spans="1:26" ht="14.25" customHeight="1">
      <c r="A202" s="1"/>
      <c r="B202" s="1"/>
      <c r="C202" s="1"/>
      <c r="D202" s="1"/>
      <c r="E202" s="136"/>
      <c r="F202" s="12"/>
      <c r="G202" s="145"/>
      <c r="H202" s="145"/>
      <c r="I202" s="3"/>
      <c r="J202" s="3"/>
      <c r="K202" s="3"/>
      <c r="L202" s="3"/>
      <c r="M202" s="3"/>
      <c r="N202" s="3"/>
      <c r="O202" s="3"/>
      <c r="P202" s="3"/>
      <c r="Q202" s="3"/>
      <c r="R202" s="3"/>
      <c r="S202" s="3"/>
      <c r="T202" s="3"/>
      <c r="U202" s="3"/>
      <c r="V202" s="3"/>
      <c r="W202" s="3"/>
      <c r="X202" s="3"/>
      <c r="Y202" s="3"/>
      <c r="Z202" s="3"/>
    </row>
    <row r="203" spans="1:26" ht="14.25" customHeight="1">
      <c r="A203" s="1"/>
      <c r="B203" s="1"/>
      <c r="C203" s="1"/>
      <c r="D203" s="1"/>
      <c r="E203" s="136"/>
      <c r="F203" s="12"/>
      <c r="G203" s="145"/>
      <c r="H203" s="145"/>
      <c r="I203" s="3"/>
      <c r="J203" s="3"/>
      <c r="K203" s="3"/>
      <c r="L203" s="3"/>
      <c r="M203" s="3"/>
      <c r="N203" s="3"/>
      <c r="O203" s="3"/>
      <c r="P203" s="3"/>
      <c r="Q203" s="3"/>
      <c r="R203" s="3"/>
      <c r="S203" s="3"/>
      <c r="T203" s="3"/>
      <c r="U203" s="3"/>
      <c r="V203" s="3"/>
      <c r="W203" s="3"/>
      <c r="X203" s="3"/>
      <c r="Y203" s="3"/>
      <c r="Z203" s="3"/>
    </row>
    <row r="204" spans="1:26" ht="14.25" customHeight="1">
      <c r="A204" s="1"/>
      <c r="B204" s="1"/>
      <c r="C204" s="1"/>
      <c r="D204" s="1"/>
      <c r="E204" s="136"/>
      <c r="F204" s="12"/>
      <c r="G204" s="145"/>
      <c r="H204" s="145"/>
      <c r="I204" s="3"/>
      <c r="J204" s="3"/>
      <c r="K204" s="3"/>
      <c r="L204" s="3"/>
      <c r="M204" s="3"/>
      <c r="N204" s="3"/>
      <c r="O204" s="3"/>
      <c r="P204" s="3"/>
      <c r="Q204" s="3"/>
      <c r="R204" s="3"/>
      <c r="S204" s="3"/>
      <c r="T204" s="3"/>
      <c r="U204" s="3"/>
      <c r="V204" s="3"/>
      <c r="W204" s="3"/>
      <c r="X204" s="3"/>
      <c r="Y204" s="3"/>
      <c r="Z204" s="3"/>
    </row>
    <row r="205" spans="1:26" ht="14.25" customHeight="1">
      <c r="A205" s="1"/>
      <c r="B205" s="1"/>
      <c r="C205" s="1"/>
      <c r="D205" s="1"/>
      <c r="E205" s="136"/>
      <c r="F205" s="12"/>
      <c r="G205" s="145"/>
      <c r="H205" s="145"/>
      <c r="I205" s="3"/>
      <c r="J205" s="3"/>
      <c r="K205" s="3"/>
      <c r="L205" s="3"/>
      <c r="M205" s="3"/>
      <c r="N205" s="3"/>
      <c r="O205" s="3"/>
      <c r="P205" s="3"/>
      <c r="Q205" s="3"/>
      <c r="R205" s="3"/>
      <c r="S205" s="3"/>
      <c r="T205" s="3"/>
      <c r="U205" s="3"/>
      <c r="V205" s="3"/>
      <c r="W205" s="3"/>
      <c r="X205" s="3"/>
      <c r="Y205" s="3"/>
      <c r="Z205" s="3"/>
    </row>
    <row r="206" spans="1:26" ht="14.25" customHeight="1">
      <c r="A206" s="1"/>
      <c r="B206" s="1"/>
      <c r="C206" s="1"/>
      <c r="D206" s="1"/>
      <c r="E206" s="136"/>
      <c r="F206" s="12"/>
      <c r="G206" s="145"/>
      <c r="H206" s="145"/>
      <c r="I206" s="3"/>
      <c r="J206" s="3"/>
      <c r="K206" s="3"/>
      <c r="L206" s="3"/>
      <c r="M206" s="3"/>
      <c r="N206" s="3"/>
      <c r="O206" s="3"/>
      <c r="P206" s="3"/>
      <c r="Q206" s="3"/>
      <c r="R206" s="3"/>
      <c r="S206" s="3"/>
      <c r="T206" s="3"/>
      <c r="U206" s="3"/>
      <c r="V206" s="3"/>
      <c r="W206" s="3"/>
      <c r="X206" s="3"/>
      <c r="Y206" s="3"/>
      <c r="Z206" s="3"/>
    </row>
    <row r="207" spans="1:26" ht="14.25" customHeight="1">
      <c r="A207" s="1"/>
      <c r="B207" s="1"/>
      <c r="C207" s="1"/>
      <c r="D207" s="1"/>
      <c r="E207" s="136"/>
      <c r="F207" s="12"/>
      <c r="G207" s="145"/>
      <c r="H207" s="145"/>
      <c r="I207" s="3"/>
      <c r="J207" s="3"/>
      <c r="K207" s="3"/>
      <c r="L207" s="3"/>
      <c r="M207" s="3"/>
      <c r="N207" s="3"/>
      <c r="O207" s="3"/>
      <c r="P207" s="3"/>
      <c r="Q207" s="3"/>
      <c r="R207" s="3"/>
      <c r="S207" s="3"/>
      <c r="T207" s="3"/>
      <c r="U207" s="3"/>
      <c r="V207" s="3"/>
      <c r="W207" s="3"/>
      <c r="X207" s="3"/>
      <c r="Y207" s="3"/>
      <c r="Z207" s="3"/>
    </row>
    <row r="208" spans="1:26" ht="14.25" customHeight="1">
      <c r="A208" s="1"/>
      <c r="B208" s="1"/>
      <c r="C208" s="1"/>
      <c r="D208" s="1"/>
      <c r="E208" s="136"/>
      <c r="F208" s="12"/>
      <c r="G208" s="145"/>
      <c r="H208" s="145"/>
      <c r="I208" s="3"/>
      <c r="J208" s="3"/>
      <c r="K208" s="3"/>
      <c r="L208" s="3"/>
      <c r="M208" s="3"/>
      <c r="N208" s="3"/>
      <c r="O208" s="3"/>
      <c r="P208" s="3"/>
      <c r="Q208" s="3"/>
      <c r="R208" s="3"/>
      <c r="S208" s="3"/>
      <c r="T208" s="3"/>
      <c r="U208" s="3"/>
      <c r="V208" s="3"/>
      <c r="W208" s="3"/>
      <c r="X208" s="3"/>
      <c r="Y208" s="3"/>
      <c r="Z208" s="3"/>
    </row>
    <row r="209" spans="1:26" ht="14.25" customHeight="1">
      <c r="A209" s="1"/>
      <c r="B209" s="1"/>
      <c r="C209" s="1"/>
      <c r="D209" s="1"/>
      <c r="E209" s="136"/>
      <c r="F209" s="12"/>
      <c r="G209" s="145"/>
      <c r="H209" s="145"/>
      <c r="I209" s="3"/>
      <c r="J209" s="3"/>
      <c r="K209" s="3"/>
      <c r="L209" s="3"/>
      <c r="M209" s="3"/>
      <c r="N209" s="3"/>
      <c r="O209" s="3"/>
      <c r="P209" s="3"/>
      <c r="Q209" s="3"/>
      <c r="R209" s="3"/>
      <c r="S209" s="3"/>
      <c r="T209" s="3"/>
      <c r="U209" s="3"/>
      <c r="V209" s="3"/>
      <c r="W209" s="3"/>
      <c r="X209" s="3"/>
      <c r="Y209" s="3"/>
      <c r="Z209" s="3"/>
    </row>
    <row r="210" spans="1:26" ht="14.25" customHeight="1">
      <c r="A210" s="1"/>
      <c r="B210" s="1"/>
      <c r="C210" s="1"/>
      <c r="D210" s="1"/>
      <c r="E210" s="136"/>
      <c r="F210" s="12"/>
      <c r="G210" s="145"/>
      <c r="H210" s="145"/>
      <c r="I210" s="3"/>
      <c r="J210" s="3"/>
      <c r="K210" s="3"/>
      <c r="L210" s="3"/>
      <c r="M210" s="3"/>
      <c r="N210" s="3"/>
      <c r="O210" s="3"/>
      <c r="P210" s="3"/>
      <c r="Q210" s="3"/>
      <c r="R210" s="3"/>
      <c r="S210" s="3"/>
      <c r="T210" s="3"/>
      <c r="U210" s="3"/>
      <c r="V210" s="3"/>
      <c r="W210" s="3"/>
      <c r="X210" s="3"/>
      <c r="Y210" s="3"/>
      <c r="Z210" s="3"/>
    </row>
    <row r="211" spans="1:26" ht="14.25" customHeight="1">
      <c r="A211" s="1"/>
      <c r="B211" s="1"/>
      <c r="C211" s="1"/>
      <c r="D211" s="1"/>
      <c r="E211" s="136"/>
      <c r="F211" s="12"/>
      <c r="G211" s="145"/>
      <c r="H211" s="145"/>
      <c r="I211" s="3"/>
      <c r="J211" s="3"/>
      <c r="K211" s="3"/>
      <c r="L211" s="3"/>
      <c r="M211" s="3"/>
      <c r="N211" s="3"/>
      <c r="O211" s="3"/>
      <c r="P211" s="3"/>
      <c r="Q211" s="3"/>
      <c r="R211" s="3"/>
      <c r="S211" s="3"/>
      <c r="T211" s="3"/>
      <c r="U211" s="3"/>
      <c r="V211" s="3"/>
      <c r="W211" s="3"/>
      <c r="X211" s="3"/>
      <c r="Y211" s="3"/>
      <c r="Z211" s="3"/>
    </row>
    <row r="212" spans="1:26" ht="14.25" customHeight="1">
      <c r="A212" s="1"/>
      <c r="B212" s="1"/>
      <c r="C212" s="1"/>
      <c r="D212" s="1"/>
      <c r="E212" s="136"/>
      <c r="F212" s="12"/>
      <c r="G212" s="145"/>
      <c r="H212" s="145"/>
      <c r="I212" s="3"/>
      <c r="J212" s="3"/>
      <c r="K212" s="3"/>
      <c r="L212" s="3"/>
      <c r="M212" s="3"/>
      <c r="N212" s="3"/>
      <c r="O212" s="3"/>
      <c r="P212" s="3"/>
      <c r="Q212" s="3"/>
      <c r="R212" s="3"/>
      <c r="S212" s="3"/>
      <c r="T212" s="3"/>
      <c r="U212" s="3"/>
      <c r="V212" s="3"/>
      <c r="W212" s="3"/>
      <c r="X212" s="3"/>
      <c r="Y212" s="3"/>
      <c r="Z212" s="3"/>
    </row>
    <row r="213" spans="1:26" ht="14.25" customHeight="1">
      <c r="A213" s="1"/>
      <c r="B213" s="1"/>
      <c r="C213" s="1"/>
      <c r="D213" s="1"/>
      <c r="E213" s="136"/>
      <c r="F213" s="12"/>
      <c r="G213" s="145"/>
      <c r="H213" s="145"/>
      <c r="I213" s="3"/>
      <c r="J213" s="3"/>
      <c r="K213" s="3"/>
      <c r="L213" s="3"/>
      <c r="M213" s="3"/>
      <c r="N213" s="3"/>
      <c r="O213" s="3"/>
      <c r="P213" s="3"/>
      <c r="Q213" s="3"/>
      <c r="R213" s="3"/>
      <c r="S213" s="3"/>
      <c r="T213" s="3"/>
      <c r="U213" s="3"/>
      <c r="V213" s="3"/>
      <c r="W213" s="3"/>
      <c r="X213" s="3"/>
      <c r="Y213" s="3"/>
      <c r="Z213" s="3"/>
    </row>
    <row r="214" spans="1:26" ht="14.25" customHeight="1">
      <c r="A214" s="1"/>
      <c r="B214" s="1"/>
      <c r="C214" s="1"/>
      <c r="D214" s="1"/>
      <c r="E214" s="136"/>
      <c r="F214" s="12"/>
      <c r="G214" s="145"/>
      <c r="H214" s="145"/>
      <c r="I214" s="3"/>
      <c r="J214" s="3"/>
      <c r="K214" s="3"/>
      <c r="L214" s="3"/>
      <c r="M214" s="3"/>
      <c r="N214" s="3"/>
      <c r="O214" s="3"/>
      <c r="P214" s="3"/>
      <c r="Q214" s="3"/>
      <c r="R214" s="3"/>
      <c r="S214" s="3"/>
      <c r="T214" s="3"/>
      <c r="U214" s="3"/>
      <c r="V214" s="3"/>
      <c r="W214" s="3"/>
      <c r="X214" s="3"/>
      <c r="Y214" s="3"/>
      <c r="Z214" s="3"/>
    </row>
    <row r="215" spans="1:26" ht="14.25" customHeight="1">
      <c r="A215" s="1"/>
      <c r="B215" s="1"/>
      <c r="C215" s="1"/>
      <c r="D215" s="1"/>
      <c r="E215" s="136"/>
      <c r="F215" s="12"/>
      <c r="G215" s="145"/>
      <c r="H215" s="145"/>
      <c r="I215" s="3"/>
      <c r="J215" s="3"/>
      <c r="K215" s="3"/>
      <c r="L215" s="3"/>
      <c r="M215" s="3"/>
      <c r="N215" s="3"/>
      <c r="O215" s="3"/>
      <c r="P215" s="3"/>
      <c r="Q215" s="3"/>
      <c r="R215" s="3"/>
      <c r="S215" s="3"/>
      <c r="T215" s="3"/>
      <c r="U215" s="3"/>
      <c r="V215" s="3"/>
      <c r="W215" s="3"/>
      <c r="X215" s="3"/>
      <c r="Y215" s="3"/>
      <c r="Z215" s="3"/>
    </row>
    <row r="216" spans="1:26" ht="14.25" customHeight="1">
      <c r="A216" s="1"/>
      <c r="B216" s="1"/>
      <c r="C216" s="1"/>
      <c r="D216" s="1"/>
      <c r="E216" s="136"/>
      <c r="F216" s="12"/>
      <c r="G216" s="145"/>
      <c r="H216" s="145"/>
      <c r="I216" s="3"/>
      <c r="J216" s="3"/>
      <c r="K216" s="3"/>
      <c r="L216" s="3"/>
      <c r="M216" s="3"/>
      <c r="N216" s="3"/>
      <c r="O216" s="3"/>
      <c r="P216" s="3"/>
      <c r="Q216" s="3"/>
      <c r="R216" s="3"/>
      <c r="S216" s="3"/>
      <c r="T216" s="3"/>
      <c r="U216" s="3"/>
      <c r="V216" s="3"/>
      <c r="W216" s="3"/>
      <c r="X216" s="3"/>
      <c r="Y216" s="3"/>
      <c r="Z216" s="3"/>
    </row>
    <row r="217" spans="1:26" ht="14.25" customHeight="1">
      <c r="A217" s="1"/>
      <c r="B217" s="1"/>
      <c r="C217" s="1"/>
      <c r="D217" s="1"/>
      <c r="E217" s="136"/>
      <c r="F217" s="12"/>
      <c r="G217" s="145"/>
      <c r="H217" s="145"/>
      <c r="I217" s="3"/>
      <c r="J217" s="3"/>
      <c r="K217" s="3"/>
      <c r="L217" s="3"/>
      <c r="M217" s="3"/>
      <c r="N217" s="3"/>
      <c r="O217" s="3"/>
      <c r="P217" s="3"/>
      <c r="Q217" s="3"/>
      <c r="R217" s="3"/>
      <c r="S217" s="3"/>
      <c r="T217" s="3"/>
      <c r="U217" s="3"/>
      <c r="V217" s="3"/>
      <c r="W217" s="3"/>
      <c r="X217" s="3"/>
      <c r="Y217" s="3"/>
      <c r="Z217" s="3"/>
    </row>
    <row r="218" spans="1:26" ht="14.25" customHeight="1">
      <c r="A218" s="1"/>
      <c r="B218" s="1"/>
      <c r="C218" s="1"/>
      <c r="D218" s="1"/>
      <c r="E218" s="136"/>
      <c r="F218" s="12"/>
      <c r="G218" s="145"/>
      <c r="H218" s="145"/>
      <c r="I218" s="3"/>
      <c r="J218" s="3"/>
      <c r="K218" s="3"/>
      <c r="L218" s="3"/>
      <c r="M218" s="3"/>
      <c r="N218" s="3"/>
      <c r="O218" s="3"/>
      <c r="P218" s="3"/>
      <c r="Q218" s="3"/>
      <c r="R218" s="3"/>
      <c r="S218" s="3"/>
      <c r="T218" s="3"/>
      <c r="U218" s="3"/>
      <c r="V218" s="3"/>
      <c r="W218" s="3"/>
      <c r="X218" s="3"/>
      <c r="Y218" s="3"/>
      <c r="Z218" s="3"/>
    </row>
    <row r="219" spans="1:26" ht="14.25" customHeight="1">
      <c r="A219" s="1"/>
      <c r="B219" s="1"/>
      <c r="C219" s="1"/>
      <c r="D219" s="1"/>
      <c r="E219" s="136"/>
      <c r="F219" s="12"/>
      <c r="G219" s="145"/>
      <c r="H219" s="145"/>
      <c r="I219" s="3"/>
      <c r="J219" s="3"/>
      <c r="K219" s="3"/>
      <c r="L219" s="3"/>
      <c r="M219" s="3"/>
      <c r="N219" s="3"/>
      <c r="O219" s="3"/>
      <c r="P219" s="3"/>
      <c r="Q219" s="3"/>
      <c r="R219" s="3"/>
      <c r="S219" s="3"/>
      <c r="T219" s="3"/>
      <c r="U219" s="3"/>
      <c r="V219" s="3"/>
      <c r="W219" s="3"/>
      <c r="X219" s="3"/>
      <c r="Y219" s="3"/>
      <c r="Z219" s="3"/>
    </row>
    <row r="220" spans="1:26" ht="14.25" customHeight="1">
      <c r="A220" s="1"/>
      <c r="B220" s="1"/>
      <c r="C220" s="1"/>
      <c r="D220" s="1"/>
      <c r="E220" s="136"/>
      <c r="F220" s="12"/>
      <c r="G220" s="145"/>
      <c r="H220" s="145"/>
      <c r="I220" s="3"/>
      <c r="J220" s="3"/>
      <c r="K220" s="3"/>
      <c r="L220" s="3"/>
      <c r="M220" s="3"/>
      <c r="N220" s="3"/>
      <c r="O220" s="3"/>
      <c r="P220" s="3"/>
      <c r="Q220" s="3"/>
      <c r="R220" s="3"/>
      <c r="S220" s="3"/>
      <c r="T220" s="3"/>
      <c r="U220" s="3"/>
      <c r="V220" s="3"/>
      <c r="W220" s="3"/>
      <c r="X220" s="3"/>
      <c r="Y220" s="3"/>
      <c r="Z220" s="3"/>
    </row>
    <row r="221" spans="1:26" ht="14.25" customHeight="1">
      <c r="A221" s="1"/>
      <c r="B221" s="1"/>
      <c r="C221" s="1"/>
      <c r="D221" s="1"/>
      <c r="E221" s="136"/>
      <c r="F221" s="12"/>
      <c r="G221" s="145"/>
      <c r="H221" s="145"/>
      <c r="I221" s="3"/>
      <c r="J221" s="3"/>
      <c r="K221" s="3"/>
      <c r="L221" s="3"/>
      <c r="M221" s="3"/>
      <c r="N221" s="3"/>
      <c r="O221" s="3"/>
      <c r="P221" s="3"/>
      <c r="Q221" s="3"/>
      <c r="R221" s="3"/>
      <c r="S221" s="3"/>
      <c r="T221" s="3"/>
      <c r="U221" s="3"/>
      <c r="V221" s="3"/>
      <c r="W221" s="3"/>
      <c r="X221" s="3"/>
      <c r="Y221" s="3"/>
      <c r="Z221" s="3"/>
    </row>
    <row r="222" spans="1:26" ht="14.25" customHeight="1">
      <c r="A222" s="1"/>
      <c r="B222" s="1"/>
      <c r="C222" s="1"/>
      <c r="D222" s="1"/>
      <c r="E222" s="136"/>
      <c r="F222" s="12"/>
      <c r="G222" s="145"/>
      <c r="H222" s="145"/>
      <c r="I222" s="3"/>
      <c r="J222" s="3"/>
      <c r="K222" s="3"/>
      <c r="L222" s="3"/>
      <c r="M222" s="3"/>
      <c r="N222" s="3"/>
      <c r="O222" s="3"/>
      <c r="P222" s="3"/>
      <c r="Q222" s="3"/>
      <c r="R222" s="3"/>
      <c r="S222" s="3"/>
      <c r="T222" s="3"/>
      <c r="U222" s="3"/>
      <c r="V222" s="3"/>
      <c r="W222" s="3"/>
      <c r="X222" s="3"/>
      <c r="Y222" s="3"/>
      <c r="Z222" s="3"/>
    </row>
    <row r="223" spans="1:26" ht="14.25" customHeight="1">
      <c r="A223" s="1"/>
      <c r="B223" s="1"/>
      <c r="C223" s="1"/>
      <c r="D223" s="1"/>
      <c r="E223" s="136"/>
      <c r="F223" s="12"/>
      <c r="G223" s="145"/>
      <c r="H223" s="145"/>
      <c r="I223" s="3"/>
      <c r="J223" s="3"/>
      <c r="K223" s="3"/>
      <c r="L223" s="3"/>
      <c r="M223" s="3"/>
      <c r="N223" s="3"/>
      <c r="O223" s="3"/>
      <c r="P223" s="3"/>
      <c r="Q223" s="3"/>
      <c r="R223" s="3"/>
      <c r="S223" s="3"/>
      <c r="T223" s="3"/>
      <c r="U223" s="3"/>
      <c r="V223" s="3"/>
      <c r="W223" s="3"/>
      <c r="X223" s="3"/>
      <c r="Y223" s="3"/>
      <c r="Z223" s="3"/>
    </row>
    <row r="224" spans="1:26" ht="14.25" customHeight="1">
      <c r="A224" s="1"/>
      <c r="B224" s="1"/>
      <c r="C224" s="1"/>
      <c r="D224" s="1"/>
      <c r="E224" s="136"/>
      <c r="F224" s="12"/>
      <c r="G224" s="145"/>
      <c r="H224" s="145"/>
      <c r="I224" s="3"/>
      <c r="J224" s="3"/>
      <c r="K224" s="3"/>
      <c r="L224" s="3"/>
      <c r="M224" s="3"/>
      <c r="N224" s="3"/>
      <c r="O224" s="3"/>
      <c r="P224" s="3"/>
      <c r="Q224" s="3"/>
      <c r="R224" s="3"/>
      <c r="S224" s="3"/>
      <c r="T224" s="3"/>
      <c r="U224" s="3"/>
      <c r="V224" s="3"/>
      <c r="W224" s="3"/>
      <c r="X224" s="3"/>
      <c r="Y224" s="3"/>
      <c r="Z224" s="3"/>
    </row>
    <row r="225" spans="1:26" ht="14.25" customHeight="1">
      <c r="A225" s="1"/>
      <c r="B225" s="1"/>
      <c r="C225" s="1"/>
      <c r="D225" s="1"/>
      <c r="E225" s="136"/>
      <c r="F225" s="12"/>
      <c r="G225" s="145"/>
      <c r="H225" s="145"/>
      <c r="I225" s="3"/>
      <c r="J225" s="3"/>
      <c r="K225" s="3"/>
      <c r="L225" s="3"/>
      <c r="M225" s="3"/>
      <c r="N225" s="3"/>
      <c r="O225" s="3"/>
      <c r="P225" s="3"/>
      <c r="Q225" s="3"/>
      <c r="R225" s="3"/>
      <c r="S225" s="3"/>
      <c r="T225" s="3"/>
      <c r="U225" s="3"/>
      <c r="V225" s="3"/>
      <c r="W225" s="3"/>
      <c r="X225" s="3"/>
      <c r="Y225" s="3"/>
      <c r="Z225" s="3"/>
    </row>
    <row r="226" spans="1:26" ht="14.25" customHeight="1">
      <c r="A226" s="1"/>
      <c r="B226" s="1"/>
      <c r="C226" s="1"/>
      <c r="D226" s="1"/>
      <c r="E226" s="136"/>
      <c r="F226" s="12"/>
      <c r="G226" s="145"/>
      <c r="H226" s="145"/>
      <c r="I226" s="3"/>
      <c r="J226" s="3"/>
      <c r="K226" s="3"/>
      <c r="L226" s="3"/>
      <c r="M226" s="3"/>
      <c r="N226" s="3"/>
      <c r="O226" s="3"/>
      <c r="P226" s="3"/>
      <c r="Q226" s="3"/>
      <c r="R226" s="3"/>
      <c r="S226" s="3"/>
      <c r="T226" s="3"/>
      <c r="U226" s="3"/>
      <c r="V226" s="3"/>
      <c r="W226" s="3"/>
      <c r="X226" s="3"/>
      <c r="Y226" s="3"/>
      <c r="Z226" s="3"/>
    </row>
    <row r="227" spans="1:26" ht="14.25" customHeight="1">
      <c r="A227" s="1"/>
      <c r="B227" s="1"/>
      <c r="C227" s="1"/>
      <c r="D227" s="1"/>
      <c r="E227" s="136"/>
      <c r="F227" s="12"/>
      <c r="G227" s="145"/>
      <c r="H227" s="145"/>
      <c r="I227" s="3"/>
      <c r="J227" s="3"/>
      <c r="K227" s="3"/>
      <c r="L227" s="3"/>
      <c r="M227" s="3"/>
      <c r="N227" s="3"/>
      <c r="O227" s="3"/>
      <c r="P227" s="3"/>
      <c r="Q227" s="3"/>
      <c r="R227" s="3"/>
      <c r="S227" s="3"/>
      <c r="T227" s="3"/>
      <c r="U227" s="3"/>
      <c r="V227" s="3"/>
      <c r="W227" s="3"/>
      <c r="X227" s="3"/>
      <c r="Y227" s="3"/>
      <c r="Z227" s="3"/>
    </row>
    <row r="228" spans="1:26" ht="14.25" customHeight="1">
      <c r="A228" s="1"/>
      <c r="B228" s="1"/>
      <c r="C228" s="1"/>
      <c r="D228" s="1"/>
      <c r="E228" s="136"/>
      <c r="F228" s="12"/>
      <c r="G228" s="145"/>
      <c r="H228" s="145"/>
      <c r="I228" s="3"/>
      <c r="J228" s="3"/>
      <c r="K228" s="3"/>
      <c r="L228" s="3"/>
      <c r="M228" s="3"/>
      <c r="N228" s="3"/>
      <c r="O228" s="3"/>
      <c r="P228" s="3"/>
      <c r="Q228" s="3"/>
      <c r="R228" s="3"/>
      <c r="S228" s="3"/>
      <c r="T228" s="3"/>
      <c r="U228" s="3"/>
      <c r="V228" s="3"/>
      <c r="W228" s="3"/>
      <c r="X228" s="3"/>
      <c r="Y228" s="3"/>
      <c r="Z228" s="3"/>
    </row>
    <row r="229" spans="1:26" ht="14.25" customHeight="1">
      <c r="A229" s="1"/>
      <c r="B229" s="1"/>
      <c r="C229" s="1"/>
      <c r="D229" s="1"/>
      <c r="E229" s="136"/>
      <c r="F229" s="12"/>
      <c r="G229" s="145"/>
      <c r="H229" s="145"/>
      <c r="I229" s="3"/>
      <c r="J229" s="3"/>
      <c r="K229" s="3"/>
      <c r="L229" s="3"/>
      <c r="M229" s="3"/>
      <c r="N229" s="3"/>
      <c r="O229" s="3"/>
      <c r="P229" s="3"/>
      <c r="Q229" s="3"/>
      <c r="R229" s="3"/>
      <c r="S229" s="3"/>
      <c r="T229" s="3"/>
      <c r="U229" s="3"/>
      <c r="V229" s="3"/>
      <c r="W229" s="3"/>
      <c r="X229" s="3"/>
      <c r="Y229" s="3"/>
      <c r="Z229" s="3"/>
    </row>
    <row r="230" spans="1:26" ht="14.25" customHeight="1">
      <c r="A230" s="1"/>
      <c r="B230" s="1"/>
      <c r="C230" s="1"/>
      <c r="D230" s="1"/>
      <c r="E230" s="136"/>
      <c r="F230" s="12"/>
      <c r="G230" s="145"/>
      <c r="H230" s="145"/>
      <c r="I230" s="3"/>
      <c r="J230" s="3"/>
      <c r="K230" s="3"/>
      <c r="L230" s="3"/>
      <c r="M230" s="3"/>
      <c r="N230" s="3"/>
      <c r="O230" s="3"/>
      <c r="P230" s="3"/>
      <c r="Q230" s="3"/>
      <c r="R230" s="3"/>
      <c r="S230" s="3"/>
      <c r="T230" s="3"/>
      <c r="U230" s="3"/>
      <c r="V230" s="3"/>
      <c r="W230" s="3"/>
      <c r="X230" s="3"/>
      <c r="Y230" s="3"/>
      <c r="Z230" s="3"/>
    </row>
    <row r="231" spans="1:26" ht="14.25" customHeight="1">
      <c r="A231" s="1"/>
      <c r="B231" s="1"/>
      <c r="C231" s="1"/>
      <c r="D231" s="1"/>
      <c r="E231" s="136"/>
      <c r="F231" s="12"/>
      <c r="G231" s="145"/>
      <c r="H231" s="145"/>
      <c r="I231" s="3"/>
      <c r="J231" s="3"/>
      <c r="K231" s="3"/>
      <c r="L231" s="3"/>
      <c r="M231" s="3"/>
      <c r="N231" s="3"/>
      <c r="O231" s="3"/>
      <c r="P231" s="3"/>
      <c r="Q231" s="3"/>
      <c r="R231" s="3"/>
      <c r="S231" s="3"/>
      <c r="T231" s="3"/>
      <c r="U231" s="3"/>
      <c r="V231" s="3"/>
      <c r="W231" s="3"/>
      <c r="X231" s="3"/>
      <c r="Y231" s="3"/>
      <c r="Z231" s="3"/>
    </row>
    <row r="232" spans="1:26" ht="14.25" customHeight="1">
      <c r="A232" s="1"/>
      <c r="B232" s="1"/>
      <c r="C232" s="1"/>
      <c r="D232" s="1"/>
      <c r="E232" s="136"/>
      <c r="F232" s="12"/>
      <c r="G232" s="145"/>
      <c r="H232" s="145"/>
      <c r="I232" s="3"/>
      <c r="J232" s="3"/>
      <c r="K232" s="3"/>
      <c r="L232" s="3"/>
      <c r="M232" s="3"/>
      <c r="N232" s="3"/>
      <c r="O232" s="3"/>
      <c r="P232" s="3"/>
      <c r="Q232" s="3"/>
      <c r="R232" s="3"/>
      <c r="S232" s="3"/>
      <c r="T232" s="3"/>
      <c r="U232" s="3"/>
      <c r="V232" s="3"/>
      <c r="W232" s="3"/>
      <c r="X232" s="3"/>
      <c r="Y232" s="3"/>
      <c r="Z232" s="3"/>
    </row>
    <row r="233" spans="1:26" ht="14.25" customHeight="1">
      <c r="A233" s="1"/>
      <c r="B233" s="1"/>
      <c r="C233" s="1"/>
      <c r="D233" s="1"/>
      <c r="E233" s="136"/>
      <c r="F233" s="12"/>
      <c r="G233" s="145"/>
      <c r="H233" s="145"/>
      <c r="I233" s="3"/>
      <c r="J233" s="3"/>
      <c r="K233" s="3"/>
      <c r="L233" s="3"/>
      <c r="M233" s="3"/>
      <c r="N233" s="3"/>
      <c r="O233" s="3"/>
      <c r="P233" s="3"/>
      <c r="Q233" s="3"/>
      <c r="R233" s="3"/>
      <c r="S233" s="3"/>
      <c r="T233" s="3"/>
      <c r="U233" s="3"/>
      <c r="V233" s="3"/>
      <c r="W233" s="3"/>
      <c r="X233" s="3"/>
      <c r="Y233" s="3"/>
      <c r="Z233" s="3"/>
    </row>
    <row r="234" spans="1:26" ht="14.25" customHeight="1">
      <c r="A234" s="1"/>
      <c r="B234" s="1"/>
      <c r="C234" s="1"/>
      <c r="D234" s="1"/>
      <c r="E234" s="136"/>
      <c r="F234" s="12"/>
      <c r="G234" s="145"/>
      <c r="H234" s="145"/>
      <c r="I234" s="3"/>
      <c r="J234" s="3"/>
      <c r="K234" s="3"/>
      <c r="L234" s="3"/>
      <c r="M234" s="3"/>
      <c r="N234" s="3"/>
      <c r="O234" s="3"/>
      <c r="P234" s="3"/>
      <c r="Q234" s="3"/>
      <c r="R234" s="3"/>
      <c r="S234" s="3"/>
      <c r="T234" s="3"/>
      <c r="U234" s="3"/>
      <c r="V234" s="3"/>
      <c r="W234" s="3"/>
      <c r="X234" s="3"/>
      <c r="Y234" s="3"/>
      <c r="Z234" s="3"/>
    </row>
    <row r="235" spans="1:26" ht="14.25" customHeight="1">
      <c r="A235" s="1"/>
      <c r="B235" s="1"/>
      <c r="C235" s="1"/>
      <c r="D235" s="1"/>
      <c r="E235" s="136"/>
      <c r="F235" s="12"/>
      <c r="G235" s="145"/>
      <c r="H235" s="145"/>
      <c r="I235" s="3"/>
      <c r="J235" s="3"/>
      <c r="K235" s="3"/>
      <c r="L235" s="3"/>
      <c r="M235" s="3"/>
      <c r="N235" s="3"/>
      <c r="O235" s="3"/>
      <c r="P235" s="3"/>
      <c r="Q235" s="3"/>
      <c r="R235" s="3"/>
      <c r="S235" s="3"/>
      <c r="T235" s="3"/>
      <c r="U235" s="3"/>
      <c r="V235" s="3"/>
      <c r="W235" s="3"/>
      <c r="X235" s="3"/>
      <c r="Y235" s="3"/>
      <c r="Z235" s="3"/>
    </row>
    <row r="236" spans="1:26" ht="14.25" customHeight="1">
      <c r="A236" s="1"/>
      <c r="B236" s="1"/>
      <c r="C236" s="1"/>
      <c r="D236" s="1"/>
      <c r="E236" s="136"/>
      <c r="F236" s="12"/>
      <c r="G236" s="145"/>
      <c r="H236" s="145"/>
      <c r="I236" s="3"/>
      <c r="J236" s="3"/>
      <c r="K236" s="3"/>
      <c r="L236" s="3"/>
      <c r="M236" s="3"/>
      <c r="N236" s="3"/>
      <c r="O236" s="3"/>
      <c r="P236" s="3"/>
      <c r="Q236" s="3"/>
      <c r="R236" s="3"/>
      <c r="S236" s="3"/>
      <c r="T236" s="3"/>
      <c r="U236" s="3"/>
      <c r="V236" s="3"/>
      <c r="W236" s="3"/>
      <c r="X236" s="3"/>
      <c r="Y236" s="3"/>
      <c r="Z236" s="3"/>
    </row>
    <row r="237" spans="1:26" ht="14.25" customHeight="1">
      <c r="A237" s="1"/>
      <c r="B237" s="1"/>
      <c r="C237" s="1"/>
      <c r="D237" s="1"/>
      <c r="E237" s="136"/>
      <c r="F237" s="12"/>
      <c r="G237" s="145"/>
      <c r="H237" s="145"/>
      <c r="I237" s="3"/>
      <c r="J237" s="3"/>
      <c r="K237" s="3"/>
      <c r="L237" s="3"/>
      <c r="M237" s="3"/>
      <c r="N237" s="3"/>
      <c r="O237" s="3"/>
      <c r="P237" s="3"/>
      <c r="Q237" s="3"/>
      <c r="R237" s="3"/>
      <c r="S237" s="3"/>
      <c r="T237" s="3"/>
      <c r="U237" s="3"/>
      <c r="V237" s="3"/>
      <c r="W237" s="3"/>
      <c r="X237" s="3"/>
      <c r="Y237" s="3"/>
      <c r="Z237" s="3"/>
    </row>
    <row r="238" spans="1:26" ht="14.25" customHeight="1">
      <c r="A238" s="1"/>
      <c r="B238" s="1"/>
      <c r="C238" s="1"/>
      <c r="D238" s="1"/>
      <c r="E238" s="136"/>
      <c r="F238" s="12"/>
      <c r="G238" s="145"/>
      <c r="H238" s="145"/>
      <c r="I238" s="3"/>
      <c r="J238" s="3"/>
      <c r="K238" s="3"/>
      <c r="L238" s="3"/>
      <c r="M238" s="3"/>
      <c r="N238" s="3"/>
      <c r="O238" s="3"/>
      <c r="P238" s="3"/>
      <c r="Q238" s="3"/>
      <c r="R238" s="3"/>
      <c r="S238" s="3"/>
      <c r="T238" s="3"/>
      <c r="U238" s="3"/>
      <c r="V238" s="3"/>
      <c r="W238" s="3"/>
      <c r="X238" s="3"/>
      <c r="Y238" s="3"/>
      <c r="Z238" s="3"/>
    </row>
    <row r="239" spans="1:26" ht="14.25" customHeight="1">
      <c r="A239" s="1"/>
      <c r="B239" s="1"/>
      <c r="C239" s="1"/>
      <c r="D239" s="1"/>
      <c r="E239" s="136"/>
      <c r="F239" s="12"/>
      <c r="G239" s="145"/>
      <c r="H239" s="145"/>
      <c r="I239" s="3"/>
      <c r="J239" s="3"/>
      <c r="K239" s="3"/>
      <c r="L239" s="3"/>
      <c r="M239" s="3"/>
      <c r="N239" s="3"/>
      <c r="O239" s="3"/>
      <c r="P239" s="3"/>
      <c r="Q239" s="3"/>
      <c r="R239" s="3"/>
      <c r="S239" s="3"/>
      <c r="T239" s="3"/>
      <c r="U239" s="3"/>
      <c r="V239" s="3"/>
      <c r="W239" s="3"/>
      <c r="X239" s="3"/>
      <c r="Y239" s="3"/>
      <c r="Z239" s="3"/>
    </row>
    <row r="240" spans="1:26" ht="14.25" customHeight="1">
      <c r="A240" s="1"/>
      <c r="B240" s="1"/>
      <c r="C240" s="1"/>
      <c r="D240" s="1"/>
      <c r="E240" s="136"/>
      <c r="F240" s="12"/>
      <c r="G240" s="145"/>
      <c r="H240" s="145"/>
      <c r="I240" s="3"/>
      <c r="J240" s="3"/>
      <c r="K240" s="3"/>
      <c r="L240" s="3"/>
      <c r="M240" s="3"/>
      <c r="N240" s="3"/>
      <c r="O240" s="3"/>
      <c r="P240" s="3"/>
      <c r="Q240" s="3"/>
      <c r="R240" s="3"/>
      <c r="S240" s="3"/>
      <c r="T240" s="3"/>
      <c r="U240" s="3"/>
      <c r="V240" s="3"/>
      <c r="W240" s="3"/>
      <c r="X240" s="3"/>
      <c r="Y240" s="3"/>
      <c r="Z240" s="3"/>
    </row>
    <row r="241" spans="1:26" ht="14.25" customHeight="1">
      <c r="A241" s="1"/>
      <c r="B241" s="1"/>
      <c r="C241" s="1"/>
      <c r="D241" s="1"/>
      <c r="E241" s="136"/>
      <c r="F241" s="12"/>
      <c r="G241" s="145"/>
      <c r="H241" s="145"/>
      <c r="I241" s="3"/>
      <c r="J241" s="3"/>
      <c r="K241" s="3"/>
      <c r="L241" s="3"/>
      <c r="M241" s="3"/>
      <c r="N241" s="3"/>
      <c r="O241" s="3"/>
      <c r="P241" s="3"/>
      <c r="Q241" s="3"/>
      <c r="R241" s="3"/>
      <c r="S241" s="3"/>
      <c r="T241" s="3"/>
      <c r="U241" s="3"/>
      <c r="V241" s="3"/>
      <c r="W241" s="3"/>
      <c r="X241" s="3"/>
      <c r="Y241" s="3"/>
      <c r="Z241" s="3"/>
    </row>
    <row r="242" spans="1:26" ht="14.25" customHeight="1">
      <c r="A242" s="1"/>
      <c r="B242" s="1"/>
      <c r="C242" s="1"/>
      <c r="D242" s="1"/>
      <c r="E242" s="136"/>
      <c r="F242" s="12"/>
      <c r="G242" s="145"/>
      <c r="H242" s="145"/>
      <c r="I242" s="3"/>
      <c r="J242" s="3"/>
      <c r="K242" s="3"/>
      <c r="L242" s="3"/>
      <c r="M242" s="3"/>
      <c r="N242" s="3"/>
      <c r="O242" s="3"/>
      <c r="P242" s="3"/>
      <c r="Q242" s="3"/>
      <c r="R242" s="3"/>
      <c r="S242" s="3"/>
      <c r="T242" s="3"/>
      <c r="U242" s="3"/>
      <c r="V242" s="3"/>
      <c r="W242" s="3"/>
      <c r="X242" s="3"/>
      <c r="Y242" s="3"/>
      <c r="Z242" s="3"/>
    </row>
    <row r="243" spans="1:26" ht="14.25" customHeight="1">
      <c r="A243" s="1"/>
      <c r="B243" s="1"/>
      <c r="C243" s="1"/>
      <c r="D243" s="1"/>
      <c r="E243" s="136"/>
      <c r="F243" s="12"/>
      <c r="G243" s="145"/>
      <c r="H243" s="145"/>
      <c r="I243" s="3"/>
      <c r="J243" s="3"/>
      <c r="K243" s="3"/>
      <c r="L243" s="3"/>
      <c r="M243" s="3"/>
      <c r="N243" s="3"/>
      <c r="O243" s="3"/>
      <c r="P243" s="3"/>
      <c r="Q243" s="3"/>
      <c r="R243" s="3"/>
      <c r="S243" s="3"/>
      <c r="T243" s="3"/>
      <c r="U243" s="3"/>
      <c r="V243" s="3"/>
      <c r="W243" s="3"/>
      <c r="X243" s="3"/>
      <c r="Y243" s="3"/>
      <c r="Z243" s="3"/>
    </row>
    <row r="244" spans="1:26" ht="14.25" customHeight="1">
      <c r="A244" s="1"/>
      <c r="B244" s="1"/>
      <c r="C244" s="1"/>
      <c r="D244" s="1"/>
      <c r="E244" s="136"/>
      <c r="F244" s="12"/>
      <c r="G244" s="145"/>
      <c r="H244" s="145"/>
      <c r="I244" s="3"/>
      <c r="J244" s="3"/>
      <c r="K244" s="3"/>
      <c r="L244" s="3"/>
      <c r="M244" s="3"/>
      <c r="N244" s="3"/>
      <c r="O244" s="3"/>
      <c r="P244" s="3"/>
      <c r="Q244" s="3"/>
      <c r="R244" s="3"/>
      <c r="S244" s="3"/>
      <c r="T244" s="3"/>
      <c r="U244" s="3"/>
      <c r="V244" s="3"/>
      <c r="W244" s="3"/>
      <c r="X244" s="3"/>
      <c r="Y244" s="3"/>
      <c r="Z244" s="3"/>
    </row>
    <row r="245" spans="1:26" ht="14.25" customHeight="1">
      <c r="A245" s="1"/>
      <c r="B245" s="1"/>
      <c r="C245" s="1"/>
      <c r="D245" s="1"/>
      <c r="E245" s="136"/>
      <c r="F245" s="12"/>
      <c r="G245" s="145"/>
      <c r="H245" s="145"/>
      <c r="I245" s="3"/>
      <c r="J245" s="3"/>
      <c r="K245" s="3"/>
      <c r="L245" s="3"/>
      <c r="M245" s="3"/>
      <c r="N245" s="3"/>
      <c r="O245" s="3"/>
      <c r="P245" s="3"/>
      <c r="Q245" s="3"/>
      <c r="R245" s="3"/>
      <c r="S245" s="3"/>
      <c r="T245" s="3"/>
      <c r="U245" s="3"/>
      <c r="V245" s="3"/>
      <c r="W245" s="3"/>
      <c r="X245" s="3"/>
      <c r="Y245" s="3"/>
      <c r="Z245" s="3"/>
    </row>
    <row r="246" spans="1:26" ht="14.25" customHeight="1">
      <c r="A246" s="1"/>
      <c r="B246" s="1"/>
      <c r="C246" s="1"/>
      <c r="D246" s="1"/>
      <c r="E246" s="136"/>
      <c r="F246" s="12"/>
      <c r="G246" s="145"/>
      <c r="H246" s="145"/>
      <c r="I246" s="3"/>
      <c r="J246" s="3"/>
      <c r="K246" s="3"/>
      <c r="L246" s="3"/>
      <c r="M246" s="3"/>
      <c r="N246" s="3"/>
      <c r="O246" s="3"/>
      <c r="P246" s="3"/>
      <c r="Q246" s="3"/>
      <c r="R246" s="3"/>
      <c r="S246" s="3"/>
      <c r="T246" s="3"/>
      <c r="U246" s="3"/>
      <c r="V246" s="3"/>
      <c r="W246" s="3"/>
      <c r="X246" s="3"/>
      <c r="Y246" s="3"/>
      <c r="Z246" s="3"/>
    </row>
    <row r="247" spans="1:26" ht="14.25" customHeight="1">
      <c r="A247" s="1"/>
      <c r="B247" s="1"/>
      <c r="C247" s="1"/>
      <c r="D247" s="1"/>
      <c r="E247" s="136"/>
      <c r="F247" s="12"/>
      <c r="G247" s="145"/>
      <c r="H247" s="145"/>
      <c r="I247" s="3"/>
      <c r="J247" s="3"/>
      <c r="K247" s="3"/>
      <c r="L247" s="3"/>
      <c r="M247" s="3"/>
      <c r="N247" s="3"/>
      <c r="O247" s="3"/>
      <c r="P247" s="3"/>
      <c r="Q247" s="3"/>
      <c r="R247" s="3"/>
      <c r="S247" s="3"/>
      <c r="T247" s="3"/>
      <c r="U247" s="3"/>
      <c r="V247" s="3"/>
      <c r="W247" s="3"/>
      <c r="X247" s="3"/>
      <c r="Y247" s="3"/>
      <c r="Z247" s="3"/>
    </row>
    <row r="248" spans="1:26" ht="14.25" customHeight="1">
      <c r="A248" s="1"/>
      <c r="B248" s="1"/>
      <c r="C248" s="1"/>
      <c r="D248" s="1"/>
      <c r="E248" s="136"/>
      <c r="F248" s="12"/>
      <c r="G248" s="145"/>
      <c r="H248" s="145"/>
      <c r="I248" s="3"/>
      <c r="J248" s="3"/>
      <c r="K248" s="3"/>
      <c r="L248" s="3"/>
      <c r="M248" s="3"/>
      <c r="N248" s="3"/>
      <c r="O248" s="3"/>
      <c r="P248" s="3"/>
      <c r="Q248" s="3"/>
      <c r="R248" s="3"/>
      <c r="S248" s="3"/>
      <c r="T248" s="3"/>
      <c r="U248" s="3"/>
      <c r="V248" s="3"/>
      <c r="W248" s="3"/>
      <c r="X248" s="3"/>
      <c r="Y248" s="3"/>
      <c r="Z248" s="3"/>
    </row>
    <row r="249" spans="1:26" ht="14.25" customHeight="1">
      <c r="A249" s="1"/>
      <c r="B249" s="1"/>
      <c r="C249" s="1"/>
      <c r="D249" s="1"/>
      <c r="E249" s="136"/>
      <c r="F249" s="12"/>
      <c r="G249" s="145"/>
      <c r="H249" s="145"/>
      <c r="I249" s="3"/>
      <c r="J249" s="3"/>
      <c r="K249" s="3"/>
      <c r="L249" s="3"/>
      <c r="M249" s="3"/>
      <c r="N249" s="3"/>
      <c r="O249" s="3"/>
      <c r="P249" s="3"/>
      <c r="Q249" s="3"/>
      <c r="R249" s="3"/>
      <c r="S249" s="3"/>
      <c r="T249" s="3"/>
      <c r="U249" s="3"/>
      <c r="V249" s="3"/>
      <c r="W249" s="3"/>
      <c r="X249" s="3"/>
      <c r="Y249" s="3"/>
      <c r="Z249" s="3"/>
    </row>
    <row r="250" spans="1:26" ht="14.25" customHeight="1">
      <c r="A250" s="1"/>
      <c r="B250" s="1"/>
      <c r="C250" s="1"/>
      <c r="D250" s="1"/>
      <c r="E250" s="136"/>
      <c r="F250" s="12"/>
      <c r="G250" s="145"/>
      <c r="H250" s="145"/>
      <c r="I250" s="3"/>
      <c r="J250" s="3"/>
      <c r="K250" s="3"/>
      <c r="L250" s="3"/>
      <c r="M250" s="3"/>
      <c r="N250" s="3"/>
      <c r="O250" s="3"/>
      <c r="P250" s="3"/>
      <c r="Q250" s="3"/>
      <c r="R250" s="3"/>
      <c r="S250" s="3"/>
      <c r="T250" s="3"/>
      <c r="U250" s="3"/>
      <c r="V250" s="3"/>
      <c r="W250" s="3"/>
      <c r="X250" s="3"/>
      <c r="Y250" s="3"/>
      <c r="Z250" s="3"/>
    </row>
    <row r="251" spans="1:26" ht="14.25" customHeight="1">
      <c r="A251" s="1"/>
      <c r="B251" s="1"/>
      <c r="C251" s="1"/>
      <c r="D251" s="1"/>
      <c r="E251" s="136"/>
      <c r="F251" s="12"/>
      <c r="G251" s="145"/>
      <c r="H251" s="145"/>
      <c r="I251" s="3"/>
      <c r="J251" s="3"/>
      <c r="K251" s="3"/>
      <c r="L251" s="3"/>
      <c r="M251" s="3"/>
      <c r="N251" s="3"/>
      <c r="O251" s="3"/>
      <c r="P251" s="3"/>
      <c r="Q251" s="3"/>
      <c r="R251" s="3"/>
      <c r="S251" s="3"/>
      <c r="T251" s="3"/>
      <c r="U251" s="3"/>
      <c r="V251" s="3"/>
      <c r="W251" s="3"/>
      <c r="X251" s="3"/>
      <c r="Y251" s="3"/>
      <c r="Z251" s="3"/>
    </row>
    <row r="252" spans="1:26" ht="14.25" customHeight="1">
      <c r="A252" s="1"/>
      <c r="B252" s="1"/>
      <c r="C252" s="1"/>
      <c r="D252" s="1"/>
      <c r="E252" s="136"/>
      <c r="F252" s="12"/>
      <c r="G252" s="145"/>
      <c r="H252" s="145"/>
      <c r="I252" s="3"/>
      <c r="J252" s="3"/>
      <c r="K252" s="3"/>
      <c r="L252" s="3"/>
      <c r="M252" s="3"/>
      <c r="N252" s="3"/>
      <c r="O252" s="3"/>
      <c r="P252" s="3"/>
      <c r="Q252" s="3"/>
      <c r="R252" s="3"/>
      <c r="S252" s="3"/>
      <c r="T252" s="3"/>
      <c r="U252" s="3"/>
      <c r="V252" s="3"/>
      <c r="W252" s="3"/>
      <c r="X252" s="3"/>
      <c r="Y252" s="3"/>
      <c r="Z252" s="3"/>
    </row>
    <row r="253" spans="1:26" ht="14.25" customHeight="1">
      <c r="A253" s="1"/>
      <c r="B253" s="1"/>
      <c r="C253" s="1"/>
      <c r="D253" s="1"/>
      <c r="E253" s="136"/>
      <c r="F253" s="12"/>
      <c r="G253" s="145"/>
      <c r="H253" s="145"/>
      <c r="I253" s="3"/>
      <c r="J253" s="3"/>
      <c r="K253" s="3"/>
      <c r="L253" s="3"/>
      <c r="M253" s="3"/>
      <c r="N253" s="3"/>
      <c r="O253" s="3"/>
      <c r="P253" s="3"/>
      <c r="Q253" s="3"/>
      <c r="R253" s="3"/>
      <c r="S253" s="3"/>
      <c r="T253" s="3"/>
      <c r="U253" s="3"/>
      <c r="V253" s="3"/>
      <c r="W253" s="3"/>
      <c r="X253" s="3"/>
      <c r="Y253" s="3"/>
      <c r="Z253" s="3"/>
    </row>
    <row r="254" spans="1:26" ht="14.25" customHeight="1">
      <c r="A254" s="1"/>
      <c r="B254" s="1"/>
      <c r="C254" s="1"/>
      <c r="D254" s="1"/>
      <c r="E254" s="136"/>
      <c r="F254" s="12"/>
      <c r="G254" s="145"/>
      <c r="H254" s="145"/>
      <c r="I254" s="3"/>
      <c r="J254" s="3"/>
      <c r="K254" s="3"/>
      <c r="L254" s="3"/>
      <c r="M254" s="3"/>
      <c r="N254" s="3"/>
      <c r="O254" s="3"/>
      <c r="P254" s="3"/>
      <c r="Q254" s="3"/>
      <c r="R254" s="3"/>
      <c r="S254" s="3"/>
      <c r="T254" s="3"/>
      <c r="U254" s="3"/>
      <c r="V254" s="3"/>
      <c r="W254" s="3"/>
      <c r="X254" s="3"/>
      <c r="Y254" s="3"/>
      <c r="Z254" s="3"/>
    </row>
    <row r="255" spans="1:26" ht="14.25" customHeight="1">
      <c r="A255" s="1"/>
      <c r="B255" s="1"/>
      <c r="C255" s="1"/>
      <c r="D255" s="1"/>
      <c r="E255" s="136"/>
      <c r="F255" s="12"/>
      <c r="G255" s="145"/>
      <c r="H255" s="145"/>
      <c r="I255" s="3"/>
      <c r="J255" s="3"/>
      <c r="K255" s="3"/>
      <c r="L255" s="3"/>
      <c r="M255" s="3"/>
      <c r="N255" s="3"/>
      <c r="O255" s="3"/>
      <c r="P255" s="3"/>
      <c r="Q255" s="3"/>
      <c r="R255" s="3"/>
      <c r="S255" s="3"/>
      <c r="T255" s="3"/>
      <c r="U255" s="3"/>
      <c r="V255" s="3"/>
      <c r="W255" s="3"/>
      <c r="X255" s="3"/>
      <c r="Y255" s="3"/>
      <c r="Z255" s="3"/>
    </row>
    <row r="256" spans="1:26" ht="14.25" customHeight="1">
      <c r="A256" s="1"/>
      <c r="B256" s="1"/>
      <c r="C256" s="1"/>
      <c r="D256" s="1"/>
      <c r="E256" s="136"/>
      <c r="F256" s="12"/>
      <c r="G256" s="145"/>
      <c r="H256" s="145"/>
      <c r="I256" s="3"/>
      <c r="J256" s="3"/>
      <c r="K256" s="3"/>
      <c r="L256" s="3"/>
      <c r="M256" s="3"/>
      <c r="N256" s="3"/>
      <c r="O256" s="3"/>
      <c r="P256" s="3"/>
      <c r="Q256" s="3"/>
      <c r="R256" s="3"/>
      <c r="S256" s="3"/>
      <c r="T256" s="3"/>
      <c r="U256" s="3"/>
      <c r="V256" s="3"/>
      <c r="W256" s="3"/>
      <c r="X256" s="3"/>
      <c r="Y256" s="3"/>
      <c r="Z256" s="3"/>
    </row>
    <row r="257" spans="1:26" ht="14.25" customHeight="1">
      <c r="A257" s="1"/>
      <c r="B257" s="1"/>
      <c r="C257" s="1"/>
      <c r="D257" s="1"/>
      <c r="E257" s="136"/>
      <c r="F257" s="12"/>
      <c r="G257" s="145"/>
      <c r="H257" s="145"/>
      <c r="I257" s="3"/>
      <c r="J257" s="3"/>
      <c r="K257" s="3"/>
      <c r="L257" s="3"/>
      <c r="M257" s="3"/>
      <c r="N257" s="3"/>
      <c r="O257" s="3"/>
      <c r="P257" s="3"/>
      <c r="Q257" s="3"/>
      <c r="R257" s="3"/>
      <c r="S257" s="3"/>
      <c r="T257" s="3"/>
      <c r="U257" s="3"/>
      <c r="V257" s="3"/>
      <c r="W257" s="3"/>
      <c r="X257" s="3"/>
      <c r="Y257" s="3"/>
      <c r="Z257" s="3"/>
    </row>
    <row r="258" spans="1:26" ht="14.25" customHeight="1">
      <c r="A258" s="1"/>
      <c r="B258" s="1"/>
      <c r="C258" s="1"/>
      <c r="D258" s="1"/>
      <c r="E258" s="136"/>
      <c r="F258" s="12"/>
      <c r="G258" s="145"/>
      <c r="H258" s="145"/>
      <c r="I258" s="3"/>
      <c r="J258" s="3"/>
      <c r="K258" s="3"/>
      <c r="L258" s="3"/>
      <c r="M258" s="3"/>
      <c r="N258" s="3"/>
      <c r="O258" s="3"/>
      <c r="P258" s="3"/>
      <c r="Q258" s="3"/>
      <c r="R258" s="3"/>
      <c r="S258" s="3"/>
      <c r="T258" s="3"/>
      <c r="U258" s="3"/>
      <c r="V258" s="3"/>
      <c r="W258" s="3"/>
      <c r="X258" s="3"/>
      <c r="Y258" s="3"/>
      <c r="Z258" s="3"/>
    </row>
    <row r="259" spans="1:26" ht="14.25" customHeight="1">
      <c r="A259" s="1"/>
      <c r="B259" s="1"/>
      <c r="C259" s="1"/>
      <c r="D259" s="1"/>
      <c r="E259" s="136"/>
      <c r="F259" s="12"/>
      <c r="G259" s="145"/>
      <c r="H259" s="145"/>
      <c r="I259" s="3"/>
      <c r="J259" s="3"/>
      <c r="K259" s="3"/>
      <c r="L259" s="3"/>
      <c r="M259" s="3"/>
      <c r="N259" s="3"/>
      <c r="O259" s="3"/>
      <c r="P259" s="3"/>
      <c r="Q259" s="3"/>
      <c r="R259" s="3"/>
      <c r="S259" s="3"/>
      <c r="T259" s="3"/>
      <c r="U259" s="3"/>
      <c r="V259" s="3"/>
      <c r="W259" s="3"/>
      <c r="X259" s="3"/>
      <c r="Y259" s="3"/>
      <c r="Z259" s="3"/>
    </row>
    <row r="260" spans="1:26" ht="14.25" customHeight="1">
      <c r="A260" s="1"/>
      <c r="B260" s="1"/>
      <c r="C260" s="1"/>
      <c r="D260" s="1"/>
      <c r="E260" s="136"/>
      <c r="F260" s="12"/>
      <c r="G260" s="145"/>
      <c r="H260" s="145"/>
      <c r="I260" s="3"/>
      <c r="J260" s="3"/>
      <c r="K260" s="3"/>
      <c r="L260" s="3"/>
      <c r="M260" s="3"/>
      <c r="N260" s="3"/>
      <c r="O260" s="3"/>
      <c r="P260" s="3"/>
      <c r="Q260" s="3"/>
      <c r="R260" s="3"/>
      <c r="S260" s="3"/>
      <c r="T260" s="3"/>
      <c r="U260" s="3"/>
      <c r="V260" s="3"/>
      <c r="W260" s="3"/>
      <c r="X260" s="3"/>
      <c r="Y260" s="3"/>
      <c r="Z260" s="3"/>
    </row>
    <row r="261" spans="1:26" ht="14.25" customHeight="1">
      <c r="A261" s="1"/>
      <c r="B261" s="1"/>
      <c r="C261" s="1"/>
      <c r="D261" s="1"/>
      <c r="E261" s="136"/>
      <c r="F261" s="12"/>
      <c r="G261" s="145"/>
      <c r="H261" s="145"/>
      <c r="I261" s="3"/>
      <c r="J261" s="3"/>
      <c r="K261" s="3"/>
      <c r="L261" s="3"/>
      <c r="M261" s="3"/>
      <c r="N261" s="3"/>
      <c r="O261" s="3"/>
      <c r="P261" s="3"/>
      <c r="Q261" s="3"/>
      <c r="R261" s="3"/>
      <c r="S261" s="3"/>
      <c r="T261" s="3"/>
      <c r="U261" s="3"/>
      <c r="V261" s="3"/>
      <c r="W261" s="3"/>
      <c r="X261" s="3"/>
      <c r="Y261" s="3"/>
      <c r="Z261" s="3"/>
    </row>
    <row r="262" spans="1:26" ht="14.25" customHeight="1">
      <c r="A262" s="1"/>
      <c r="B262" s="1"/>
      <c r="C262" s="1"/>
      <c r="D262" s="1"/>
      <c r="E262" s="136"/>
      <c r="F262" s="12"/>
      <c r="G262" s="145"/>
      <c r="H262" s="145"/>
      <c r="I262" s="3"/>
      <c r="J262" s="3"/>
      <c r="K262" s="3"/>
      <c r="L262" s="3"/>
      <c r="M262" s="3"/>
      <c r="N262" s="3"/>
      <c r="O262" s="3"/>
      <c r="P262" s="3"/>
      <c r="Q262" s="3"/>
      <c r="R262" s="3"/>
      <c r="S262" s="3"/>
      <c r="T262" s="3"/>
      <c r="U262" s="3"/>
      <c r="V262" s="3"/>
      <c r="W262" s="3"/>
      <c r="X262" s="3"/>
      <c r="Y262" s="3"/>
      <c r="Z262" s="3"/>
    </row>
    <row r="263" spans="1:26" ht="14.25" customHeight="1">
      <c r="A263" s="1"/>
      <c r="B263" s="1"/>
      <c r="C263" s="1"/>
      <c r="D263" s="1"/>
      <c r="E263" s="136"/>
      <c r="F263" s="12"/>
      <c r="G263" s="145"/>
      <c r="H263" s="145"/>
      <c r="I263" s="3"/>
      <c r="J263" s="3"/>
      <c r="K263" s="3"/>
      <c r="L263" s="3"/>
      <c r="M263" s="3"/>
      <c r="N263" s="3"/>
      <c r="O263" s="3"/>
      <c r="P263" s="3"/>
      <c r="Q263" s="3"/>
      <c r="R263" s="3"/>
      <c r="S263" s="3"/>
      <c r="T263" s="3"/>
      <c r="U263" s="3"/>
      <c r="V263" s="3"/>
      <c r="W263" s="3"/>
      <c r="X263" s="3"/>
      <c r="Y263" s="3"/>
      <c r="Z263" s="3"/>
    </row>
    <row r="264" spans="1:26" ht="14.25" customHeight="1">
      <c r="A264" s="1"/>
      <c r="B264" s="1"/>
      <c r="C264" s="1"/>
      <c r="D264" s="1"/>
      <c r="E264" s="136"/>
      <c r="F264" s="12"/>
      <c r="G264" s="145"/>
      <c r="H264" s="145"/>
      <c r="I264" s="3"/>
      <c r="J264" s="3"/>
      <c r="K264" s="3"/>
      <c r="L264" s="3"/>
      <c r="M264" s="3"/>
      <c r="N264" s="3"/>
      <c r="O264" s="3"/>
      <c r="P264" s="3"/>
      <c r="Q264" s="3"/>
      <c r="R264" s="3"/>
      <c r="S264" s="3"/>
      <c r="T264" s="3"/>
      <c r="U264" s="3"/>
      <c r="V264" s="3"/>
      <c r="W264" s="3"/>
      <c r="X264" s="3"/>
      <c r="Y264" s="3"/>
      <c r="Z264" s="3"/>
    </row>
    <row r="265" spans="1:26" ht="14.25" customHeight="1">
      <c r="A265" s="1"/>
      <c r="B265" s="1"/>
      <c r="C265" s="1"/>
      <c r="D265" s="1"/>
      <c r="E265" s="136"/>
      <c r="F265" s="12"/>
      <c r="G265" s="145"/>
      <c r="H265" s="145"/>
      <c r="I265" s="3"/>
      <c r="J265" s="3"/>
      <c r="K265" s="3"/>
      <c r="L265" s="3"/>
      <c r="M265" s="3"/>
      <c r="N265" s="3"/>
      <c r="O265" s="3"/>
      <c r="P265" s="3"/>
      <c r="Q265" s="3"/>
      <c r="R265" s="3"/>
      <c r="S265" s="3"/>
      <c r="T265" s="3"/>
      <c r="U265" s="3"/>
      <c r="V265" s="3"/>
      <c r="W265" s="3"/>
      <c r="X265" s="3"/>
      <c r="Y265" s="3"/>
      <c r="Z265" s="3"/>
    </row>
    <row r="266" spans="1:26" ht="14.25" customHeight="1">
      <c r="A266" s="1"/>
      <c r="B266" s="1"/>
      <c r="C266" s="1"/>
      <c r="D266" s="1"/>
      <c r="E266" s="136"/>
      <c r="F266" s="12"/>
      <c r="G266" s="145"/>
      <c r="H266" s="145"/>
      <c r="I266" s="3"/>
      <c r="J266" s="3"/>
      <c r="K266" s="3"/>
      <c r="L266" s="3"/>
      <c r="M266" s="3"/>
      <c r="N266" s="3"/>
      <c r="O266" s="3"/>
      <c r="P266" s="3"/>
      <c r="Q266" s="3"/>
      <c r="R266" s="3"/>
      <c r="S266" s="3"/>
      <c r="T266" s="3"/>
      <c r="U266" s="3"/>
      <c r="V266" s="3"/>
      <c r="W266" s="3"/>
      <c r="X266" s="3"/>
      <c r="Y266" s="3"/>
      <c r="Z266" s="3"/>
    </row>
    <row r="267" spans="1:26" ht="14.25" customHeight="1">
      <c r="A267" s="1"/>
      <c r="B267" s="1"/>
      <c r="C267" s="1"/>
      <c r="D267" s="1"/>
      <c r="E267" s="136"/>
      <c r="F267" s="12"/>
      <c r="G267" s="145"/>
      <c r="H267" s="145"/>
      <c r="I267" s="3"/>
      <c r="J267" s="3"/>
      <c r="K267" s="3"/>
      <c r="L267" s="3"/>
      <c r="M267" s="3"/>
      <c r="N267" s="3"/>
      <c r="O267" s="3"/>
      <c r="P267" s="3"/>
      <c r="Q267" s="3"/>
      <c r="R267" s="3"/>
      <c r="S267" s="3"/>
      <c r="T267" s="3"/>
      <c r="U267" s="3"/>
      <c r="V267" s="3"/>
      <c r="W267" s="3"/>
      <c r="X267" s="3"/>
      <c r="Y267" s="3"/>
      <c r="Z267" s="3"/>
    </row>
    <row r="268" spans="1:26" ht="14.25" customHeight="1">
      <c r="A268" s="1"/>
      <c r="B268" s="1"/>
      <c r="C268" s="1"/>
      <c r="D268" s="1"/>
      <c r="E268" s="136"/>
      <c r="F268" s="12"/>
      <c r="G268" s="145"/>
      <c r="H268" s="145"/>
      <c r="I268" s="3"/>
      <c r="J268" s="3"/>
      <c r="K268" s="3"/>
      <c r="L268" s="3"/>
      <c r="M268" s="3"/>
      <c r="N268" s="3"/>
      <c r="O268" s="3"/>
      <c r="P268" s="3"/>
      <c r="Q268" s="3"/>
      <c r="R268" s="3"/>
      <c r="S268" s="3"/>
      <c r="T268" s="3"/>
      <c r="U268" s="3"/>
      <c r="V268" s="3"/>
      <c r="W268" s="3"/>
      <c r="X268" s="3"/>
      <c r="Y268" s="3"/>
      <c r="Z268" s="3"/>
    </row>
    <row r="269" spans="1:26" ht="14.25" customHeight="1">
      <c r="A269" s="1"/>
      <c r="B269" s="1"/>
      <c r="C269" s="1"/>
      <c r="D269" s="1"/>
      <c r="E269" s="136"/>
      <c r="F269" s="12"/>
      <c r="G269" s="145"/>
      <c r="H269" s="145"/>
      <c r="I269" s="3"/>
      <c r="J269" s="3"/>
      <c r="K269" s="3"/>
      <c r="L269" s="3"/>
      <c r="M269" s="3"/>
      <c r="N269" s="3"/>
      <c r="O269" s="3"/>
      <c r="P269" s="3"/>
      <c r="Q269" s="3"/>
      <c r="R269" s="3"/>
      <c r="S269" s="3"/>
      <c r="T269" s="3"/>
      <c r="U269" s="3"/>
      <c r="V269" s="3"/>
      <c r="W269" s="3"/>
      <c r="X269" s="3"/>
      <c r="Y269" s="3"/>
      <c r="Z269" s="3"/>
    </row>
    <row r="270" spans="1:26" ht="14.25" customHeight="1">
      <c r="A270" s="1"/>
      <c r="B270" s="1"/>
      <c r="C270" s="1"/>
      <c r="D270" s="1"/>
      <c r="E270" s="136"/>
      <c r="F270" s="12"/>
      <c r="G270" s="145"/>
      <c r="H270" s="145"/>
      <c r="I270" s="3"/>
      <c r="J270" s="3"/>
      <c r="K270" s="3"/>
      <c r="L270" s="3"/>
      <c r="M270" s="3"/>
      <c r="N270" s="3"/>
      <c r="O270" s="3"/>
      <c r="P270" s="3"/>
      <c r="Q270" s="3"/>
      <c r="R270" s="3"/>
      <c r="S270" s="3"/>
      <c r="T270" s="3"/>
      <c r="U270" s="3"/>
      <c r="V270" s="3"/>
      <c r="W270" s="3"/>
      <c r="X270" s="3"/>
      <c r="Y270" s="3"/>
      <c r="Z270" s="3"/>
    </row>
    <row r="271" spans="1:26" ht="14.25" customHeight="1">
      <c r="A271" s="1"/>
      <c r="B271" s="1"/>
      <c r="C271" s="1"/>
      <c r="D271" s="1"/>
      <c r="E271" s="136"/>
      <c r="F271" s="12"/>
      <c r="G271" s="145"/>
      <c r="H271" s="145"/>
      <c r="I271" s="3"/>
      <c r="J271" s="3"/>
      <c r="K271" s="3"/>
      <c r="L271" s="3"/>
      <c r="M271" s="3"/>
      <c r="N271" s="3"/>
      <c r="O271" s="3"/>
      <c r="P271" s="3"/>
      <c r="Q271" s="3"/>
      <c r="R271" s="3"/>
      <c r="S271" s="3"/>
      <c r="T271" s="3"/>
      <c r="U271" s="3"/>
      <c r="V271" s="3"/>
      <c r="W271" s="3"/>
      <c r="X271" s="3"/>
      <c r="Y271" s="3"/>
      <c r="Z271" s="3"/>
    </row>
    <row r="272" spans="1:26" ht="14.25" customHeight="1">
      <c r="A272" s="1"/>
      <c r="B272" s="1"/>
      <c r="C272" s="1"/>
      <c r="D272" s="1"/>
      <c r="E272" s="136"/>
      <c r="F272" s="12"/>
      <c r="G272" s="145"/>
      <c r="H272" s="145"/>
      <c r="I272" s="3"/>
      <c r="J272" s="3"/>
      <c r="K272" s="3"/>
      <c r="L272" s="3"/>
      <c r="M272" s="3"/>
      <c r="N272" s="3"/>
      <c r="O272" s="3"/>
      <c r="P272" s="3"/>
      <c r="Q272" s="3"/>
      <c r="R272" s="3"/>
      <c r="S272" s="3"/>
      <c r="T272" s="3"/>
      <c r="U272" s="3"/>
      <c r="V272" s="3"/>
      <c r="W272" s="3"/>
      <c r="X272" s="3"/>
      <c r="Y272" s="3"/>
      <c r="Z272" s="3"/>
    </row>
    <row r="273" spans="1:26" ht="14.25" customHeight="1">
      <c r="A273" s="1"/>
      <c r="B273" s="1"/>
      <c r="C273" s="1"/>
      <c r="D273" s="1"/>
      <c r="E273" s="136"/>
      <c r="F273" s="12"/>
      <c r="G273" s="145"/>
      <c r="H273" s="145"/>
      <c r="I273" s="3"/>
      <c r="J273" s="3"/>
      <c r="K273" s="3"/>
      <c r="L273" s="3"/>
      <c r="M273" s="3"/>
      <c r="N273" s="3"/>
      <c r="O273" s="3"/>
      <c r="P273" s="3"/>
      <c r="Q273" s="3"/>
      <c r="R273" s="3"/>
      <c r="S273" s="3"/>
      <c r="T273" s="3"/>
      <c r="U273" s="3"/>
      <c r="V273" s="3"/>
      <c r="W273" s="3"/>
      <c r="X273" s="3"/>
      <c r="Y273" s="3"/>
      <c r="Z273" s="3"/>
    </row>
    <row r="274" spans="1:26" ht="14.25" customHeight="1">
      <c r="A274" s="1"/>
      <c r="B274" s="1"/>
      <c r="C274" s="1"/>
      <c r="D274" s="1"/>
      <c r="E274" s="136"/>
      <c r="F274" s="12"/>
      <c r="G274" s="145"/>
      <c r="H274" s="145"/>
      <c r="I274" s="3"/>
      <c r="J274" s="3"/>
      <c r="K274" s="3"/>
      <c r="L274" s="3"/>
      <c r="M274" s="3"/>
      <c r="N274" s="3"/>
      <c r="O274" s="3"/>
      <c r="P274" s="3"/>
      <c r="Q274" s="3"/>
      <c r="R274" s="3"/>
      <c r="S274" s="3"/>
      <c r="T274" s="3"/>
      <c r="U274" s="3"/>
      <c r="V274" s="3"/>
      <c r="W274" s="3"/>
      <c r="X274" s="3"/>
      <c r="Y274" s="3"/>
      <c r="Z274" s="3"/>
    </row>
    <row r="275" spans="1:26" ht="14.25" customHeight="1">
      <c r="A275" s="1"/>
      <c r="B275" s="1"/>
      <c r="C275" s="1"/>
      <c r="D275" s="1"/>
      <c r="E275" s="136"/>
      <c r="F275" s="12"/>
      <c r="G275" s="145"/>
      <c r="H275" s="145"/>
      <c r="I275" s="3"/>
      <c r="J275" s="3"/>
      <c r="K275" s="3"/>
      <c r="L275" s="3"/>
      <c r="M275" s="3"/>
      <c r="N275" s="3"/>
      <c r="O275" s="3"/>
      <c r="P275" s="3"/>
      <c r="Q275" s="3"/>
      <c r="R275" s="3"/>
      <c r="S275" s="3"/>
      <c r="T275" s="3"/>
      <c r="U275" s="3"/>
      <c r="V275" s="3"/>
      <c r="W275" s="3"/>
      <c r="X275" s="3"/>
      <c r="Y275" s="3"/>
      <c r="Z275" s="3"/>
    </row>
    <row r="276" spans="1:26" ht="14.25" customHeight="1">
      <c r="A276" s="1"/>
      <c r="B276" s="1"/>
      <c r="C276" s="1"/>
      <c r="D276" s="1"/>
      <c r="E276" s="136"/>
      <c r="F276" s="12"/>
      <c r="G276" s="145"/>
      <c r="H276" s="145"/>
      <c r="I276" s="3"/>
      <c r="J276" s="3"/>
      <c r="K276" s="3"/>
      <c r="L276" s="3"/>
      <c r="M276" s="3"/>
      <c r="N276" s="3"/>
      <c r="O276" s="3"/>
      <c r="P276" s="3"/>
      <c r="Q276" s="3"/>
      <c r="R276" s="3"/>
      <c r="S276" s="3"/>
      <c r="T276" s="3"/>
      <c r="U276" s="3"/>
      <c r="V276" s="3"/>
      <c r="W276" s="3"/>
      <c r="X276" s="3"/>
      <c r="Y276" s="3"/>
      <c r="Z276" s="3"/>
    </row>
    <row r="277" spans="1:26" ht="14.25" customHeight="1">
      <c r="A277" s="1"/>
      <c r="B277" s="1"/>
      <c r="C277" s="1"/>
      <c r="D277" s="1"/>
      <c r="E277" s="136"/>
      <c r="F277" s="12"/>
      <c r="G277" s="145"/>
      <c r="H277" s="145"/>
      <c r="I277" s="3"/>
      <c r="J277" s="3"/>
      <c r="K277" s="3"/>
      <c r="L277" s="3"/>
      <c r="M277" s="3"/>
      <c r="N277" s="3"/>
      <c r="O277" s="3"/>
      <c r="P277" s="3"/>
      <c r="Q277" s="3"/>
      <c r="R277" s="3"/>
      <c r="S277" s="3"/>
      <c r="T277" s="3"/>
      <c r="U277" s="3"/>
      <c r="V277" s="3"/>
      <c r="W277" s="3"/>
      <c r="X277" s="3"/>
      <c r="Y277" s="3"/>
      <c r="Z277" s="3"/>
    </row>
    <row r="278" spans="1:26" ht="14.25" customHeight="1">
      <c r="A278" s="1"/>
      <c r="B278" s="1"/>
      <c r="C278" s="1"/>
      <c r="D278" s="1"/>
      <c r="E278" s="136"/>
      <c r="F278" s="12"/>
      <c r="G278" s="145"/>
      <c r="H278" s="145"/>
      <c r="I278" s="3"/>
      <c r="J278" s="3"/>
      <c r="K278" s="3"/>
      <c r="L278" s="3"/>
      <c r="M278" s="3"/>
      <c r="N278" s="3"/>
      <c r="O278" s="3"/>
      <c r="P278" s="3"/>
      <c r="Q278" s="3"/>
      <c r="R278" s="3"/>
      <c r="S278" s="3"/>
      <c r="T278" s="3"/>
      <c r="U278" s="3"/>
      <c r="V278" s="3"/>
      <c r="W278" s="3"/>
      <c r="X278" s="3"/>
      <c r="Y278" s="3"/>
      <c r="Z278" s="3"/>
    </row>
    <row r="279" spans="1:26" ht="14.25" customHeight="1">
      <c r="A279" s="1"/>
      <c r="B279" s="1"/>
      <c r="C279" s="1"/>
      <c r="D279" s="1"/>
      <c r="E279" s="136"/>
      <c r="F279" s="12"/>
      <c r="G279" s="145"/>
      <c r="H279" s="145"/>
      <c r="I279" s="3"/>
      <c r="J279" s="3"/>
      <c r="K279" s="3"/>
      <c r="L279" s="3"/>
      <c r="M279" s="3"/>
      <c r="N279" s="3"/>
      <c r="O279" s="3"/>
      <c r="P279" s="3"/>
      <c r="Q279" s="3"/>
      <c r="R279" s="3"/>
      <c r="S279" s="3"/>
      <c r="T279" s="3"/>
      <c r="U279" s="3"/>
      <c r="V279" s="3"/>
      <c r="W279" s="3"/>
      <c r="X279" s="3"/>
      <c r="Y279" s="3"/>
      <c r="Z279" s="3"/>
    </row>
    <row r="280" spans="1:26" ht="14.25" customHeight="1">
      <c r="A280" s="1"/>
      <c r="B280" s="1"/>
      <c r="C280" s="1"/>
      <c r="D280" s="1"/>
      <c r="E280" s="136"/>
      <c r="F280" s="12"/>
      <c r="G280" s="145"/>
      <c r="H280" s="145"/>
      <c r="I280" s="3"/>
      <c r="J280" s="3"/>
      <c r="K280" s="3"/>
      <c r="L280" s="3"/>
      <c r="M280" s="3"/>
      <c r="N280" s="3"/>
      <c r="O280" s="3"/>
      <c r="P280" s="3"/>
      <c r="Q280" s="3"/>
      <c r="R280" s="3"/>
      <c r="S280" s="3"/>
      <c r="T280" s="3"/>
      <c r="U280" s="3"/>
      <c r="V280" s="3"/>
      <c r="W280" s="3"/>
      <c r="X280" s="3"/>
      <c r="Y280" s="3"/>
      <c r="Z280" s="3"/>
    </row>
    <row r="281" spans="1:26" ht="14.25" customHeight="1">
      <c r="A281" s="1"/>
      <c r="B281" s="1"/>
      <c r="C281" s="1"/>
      <c r="D281" s="1"/>
      <c r="E281" s="136"/>
      <c r="F281" s="12"/>
      <c r="G281" s="145"/>
      <c r="H281" s="145"/>
      <c r="I281" s="3"/>
      <c r="J281" s="3"/>
      <c r="K281" s="3"/>
      <c r="L281" s="3"/>
      <c r="M281" s="3"/>
      <c r="N281" s="3"/>
      <c r="O281" s="3"/>
      <c r="P281" s="3"/>
      <c r="Q281" s="3"/>
      <c r="R281" s="3"/>
      <c r="S281" s="3"/>
      <c r="T281" s="3"/>
      <c r="U281" s="3"/>
      <c r="V281" s="3"/>
      <c r="W281" s="3"/>
      <c r="X281" s="3"/>
      <c r="Y281" s="3"/>
      <c r="Z281" s="3"/>
    </row>
    <row r="282" spans="1:26" ht="14.25" customHeight="1">
      <c r="A282" s="1"/>
      <c r="B282" s="1"/>
      <c r="C282" s="1"/>
      <c r="D282" s="1"/>
      <c r="E282" s="136"/>
      <c r="F282" s="12"/>
      <c r="G282" s="145"/>
      <c r="H282" s="145"/>
      <c r="I282" s="3"/>
      <c r="J282" s="3"/>
      <c r="K282" s="3"/>
      <c r="L282" s="3"/>
      <c r="M282" s="3"/>
      <c r="N282" s="3"/>
      <c r="O282" s="3"/>
      <c r="P282" s="3"/>
      <c r="Q282" s="3"/>
      <c r="R282" s="3"/>
      <c r="S282" s="3"/>
      <c r="T282" s="3"/>
      <c r="U282" s="3"/>
      <c r="V282" s="3"/>
      <c r="W282" s="3"/>
      <c r="X282" s="3"/>
      <c r="Y282" s="3"/>
      <c r="Z282" s="3"/>
    </row>
    <row r="283" spans="1:26" ht="14.25" customHeight="1">
      <c r="A283" s="1"/>
      <c r="B283" s="1"/>
      <c r="C283" s="1"/>
      <c r="D283" s="1"/>
      <c r="E283" s="136"/>
      <c r="F283" s="12"/>
      <c r="G283" s="145"/>
      <c r="H283" s="145"/>
      <c r="I283" s="3"/>
      <c r="J283" s="3"/>
      <c r="K283" s="3"/>
      <c r="L283" s="3"/>
      <c r="M283" s="3"/>
      <c r="N283" s="3"/>
      <c r="O283" s="3"/>
      <c r="P283" s="3"/>
      <c r="Q283" s="3"/>
      <c r="R283" s="3"/>
      <c r="S283" s="3"/>
      <c r="T283" s="3"/>
      <c r="U283" s="3"/>
      <c r="V283" s="3"/>
      <c r="W283" s="3"/>
      <c r="X283" s="3"/>
      <c r="Y283" s="3"/>
      <c r="Z283" s="3"/>
    </row>
    <row r="284" spans="1:26" ht="14.25" customHeight="1">
      <c r="A284" s="1"/>
      <c r="B284" s="1"/>
      <c r="C284" s="1"/>
      <c r="D284" s="1"/>
      <c r="E284" s="136"/>
      <c r="F284" s="12"/>
      <c r="G284" s="145"/>
      <c r="H284" s="145"/>
      <c r="I284" s="3"/>
      <c r="J284" s="3"/>
      <c r="K284" s="3"/>
      <c r="L284" s="3"/>
      <c r="M284" s="3"/>
      <c r="N284" s="3"/>
      <c r="O284" s="3"/>
      <c r="P284" s="3"/>
      <c r="Q284" s="3"/>
      <c r="R284" s="3"/>
      <c r="S284" s="3"/>
      <c r="T284" s="3"/>
      <c r="U284" s="3"/>
      <c r="V284" s="3"/>
      <c r="W284" s="3"/>
      <c r="X284" s="3"/>
      <c r="Y284" s="3"/>
      <c r="Z284" s="3"/>
    </row>
    <row r="285" spans="1:26" ht="14.25" customHeight="1">
      <c r="A285" s="1"/>
      <c r="B285" s="1"/>
      <c r="C285" s="1"/>
      <c r="D285" s="1"/>
      <c r="E285" s="136"/>
      <c r="F285" s="12"/>
      <c r="G285" s="145"/>
      <c r="H285" s="145"/>
      <c r="I285" s="3"/>
      <c r="J285" s="3"/>
      <c r="K285" s="3"/>
      <c r="L285" s="3"/>
      <c r="M285" s="3"/>
      <c r="N285" s="3"/>
      <c r="O285" s="3"/>
      <c r="P285" s="3"/>
      <c r="Q285" s="3"/>
      <c r="R285" s="3"/>
      <c r="S285" s="3"/>
      <c r="T285" s="3"/>
      <c r="U285" s="3"/>
      <c r="V285" s="3"/>
      <c r="W285" s="3"/>
      <c r="X285" s="3"/>
      <c r="Y285" s="3"/>
      <c r="Z285" s="3"/>
    </row>
    <row r="286" spans="1:26" ht="14.25" customHeight="1">
      <c r="A286" s="1"/>
      <c r="B286" s="1"/>
      <c r="C286" s="1"/>
      <c r="D286" s="1"/>
      <c r="E286" s="136"/>
      <c r="F286" s="12"/>
      <c r="G286" s="145"/>
      <c r="H286" s="145"/>
      <c r="I286" s="3"/>
      <c r="J286" s="3"/>
      <c r="K286" s="3"/>
      <c r="L286" s="3"/>
      <c r="M286" s="3"/>
      <c r="N286" s="3"/>
      <c r="O286" s="3"/>
      <c r="P286" s="3"/>
      <c r="Q286" s="3"/>
      <c r="R286" s="3"/>
      <c r="S286" s="3"/>
      <c r="T286" s="3"/>
      <c r="U286" s="3"/>
      <c r="V286" s="3"/>
      <c r="W286" s="3"/>
      <c r="X286" s="3"/>
      <c r="Y286" s="3"/>
      <c r="Z286" s="3"/>
    </row>
    <row r="287" spans="1:26" ht="14.25" customHeight="1">
      <c r="A287" s="1"/>
      <c r="B287" s="1"/>
      <c r="C287" s="1"/>
      <c r="D287" s="1"/>
      <c r="E287" s="136"/>
      <c r="F287" s="12"/>
      <c r="G287" s="145"/>
      <c r="H287" s="145"/>
      <c r="I287" s="3"/>
      <c r="J287" s="3"/>
      <c r="K287" s="3"/>
      <c r="L287" s="3"/>
      <c r="M287" s="3"/>
      <c r="N287" s="3"/>
      <c r="O287" s="3"/>
      <c r="P287" s="3"/>
      <c r="Q287" s="3"/>
      <c r="R287" s="3"/>
      <c r="S287" s="3"/>
      <c r="T287" s="3"/>
      <c r="U287" s="3"/>
      <c r="V287" s="3"/>
      <c r="W287" s="3"/>
      <c r="X287" s="3"/>
      <c r="Y287" s="3"/>
      <c r="Z287" s="3"/>
    </row>
    <row r="288" spans="1:26" ht="14.25" customHeight="1">
      <c r="A288" s="1"/>
      <c r="B288" s="1"/>
      <c r="C288" s="1"/>
      <c r="D288" s="1"/>
      <c r="E288" s="136"/>
      <c r="F288" s="12"/>
      <c r="G288" s="145"/>
      <c r="H288" s="145"/>
      <c r="I288" s="3"/>
      <c r="J288" s="3"/>
      <c r="K288" s="3"/>
      <c r="L288" s="3"/>
      <c r="M288" s="3"/>
      <c r="N288" s="3"/>
      <c r="O288" s="3"/>
      <c r="P288" s="3"/>
      <c r="Q288" s="3"/>
      <c r="R288" s="3"/>
      <c r="S288" s="3"/>
      <c r="T288" s="3"/>
      <c r="U288" s="3"/>
      <c r="V288" s="3"/>
      <c r="W288" s="3"/>
      <c r="X288" s="3"/>
      <c r="Y288" s="3"/>
      <c r="Z288" s="3"/>
    </row>
    <row r="289" spans="1:26" ht="14.25" customHeight="1">
      <c r="A289" s="1"/>
      <c r="B289" s="1"/>
      <c r="C289" s="1"/>
      <c r="D289" s="1"/>
      <c r="E289" s="136"/>
      <c r="F289" s="12"/>
      <c r="G289" s="145"/>
      <c r="H289" s="145"/>
      <c r="I289" s="3"/>
      <c r="J289" s="3"/>
      <c r="K289" s="3"/>
      <c r="L289" s="3"/>
      <c r="M289" s="3"/>
      <c r="N289" s="3"/>
      <c r="O289" s="3"/>
      <c r="P289" s="3"/>
      <c r="Q289" s="3"/>
      <c r="R289" s="3"/>
      <c r="S289" s="3"/>
      <c r="T289" s="3"/>
      <c r="U289" s="3"/>
      <c r="V289" s="3"/>
      <c r="W289" s="3"/>
      <c r="X289" s="3"/>
      <c r="Y289" s="3"/>
      <c r="Z289" s="3"/>
    </row>
    <row r="290" spans="1:26" ht="14.25" customHeight="1">
      <c r="A290" s="1"/>
      <c r="B290" s="1"/>
      <c r="C290" s="1"/>
      <c r="D290" s="1"/>
      <c r="E290" s="136"/>
      <c r="F290" s="12"/>
      <c r="G290" s="145"/>
      <c r="H290" s="145"/>
      <c r="I290" s="3"/>
      <c r="J290" s="3"/>
      <c r="K290" s="3"/>
      <c r="L290" s="3"/>
      <c r="M290" s="3"/>
      <c r="N290" s="3"/>
      <c r="O290" s="3"/>
      <c r="P290" s="3"/>
      <c r="Q290" s="3"/>
      <c r="R290" s="3"/>
      <c r="S290" s="3"/>
      <c r="T290" s="3"/>
      <c r="U290" s="3"/>
      <c r="V290" s="3"/>
      <c r="W290" s="3"/>
      <c r="X290" s="3"/>
      <c r="Y290" s="3"/>
      <c r="Z290" s="3"/>
    </row>
    <row r="291" spans="1:26" ht="14.25" customHeight="1">
      <c r="A291" s="1"/>
      <c r="B291" s="1"/>
      <c r="C291" s="1"/>
      <c r="D291" s="1"/>
      <c r="E291" s="136"/>
      <c r="F291" s="12"/>
      <c r="G291" s="145"/>
      <c r="H291" s="145"/>
      <c r="I291" s="3"/>
      <c r="J291" s="3"/>
      <c r="K291" s="3"/>
      <c r="L291" s="3"/>
      <c r="M291" s="3"/>
      <c r="N291" s="3"/>
      <c r="O291" s="3"/>
      <c r="P291" s="3"/>
      <c r="Q291" s="3"/>
      <c r="R291" s="3"/>
      <c r="S291" s="3"/>
      <c r="T291" s="3"/>
      <c r="U291" s="3"/>
      <c r="V291" s="3"/>
      <c r="W291" s="3"/>
      <c r="X291" s="3"/>
      <c r="Y291" s="3"/>
      <c r="Z291" s="3"/>
    </row>
    <row r="292" spans="1:26" ht="14.25" customHeight="1">
      <c r="A292" s="1"/>
      <c r="B292" s="1"/>
      <c r="C292" s="1"/>
      <c r="D292" s="1"/>
      <c r="E292" s="136"/>
      <c r="F292" s="12"/>
      <c r="G292" s="145"/>
      <c r="H292" s="145"/>
      <c r="I292" s="3"/>
      <c r="J292" s="3"/>
      <c r="K292" s="3"/>
      <c r="L292" s="3"/>
      <c r="M292" s="3"/>
      <c r="N292" s="3"/>
      <c r="O292" s="3"/>
      <c r="P292" s="3"/>
      <c r="Q292" s="3"/>
      <c r="R292" s="3"/>
      <c r="S292" s="3"/>
      <c r="T292" s="3"/>
      <c r="U292" s="3"/>
      <c r="V292" s="3"/>
      <c r="W292" s="3"/>
      <c r="X292" s="3"/>
      <c r="Y292" s="3"/>
      <c r="Z292" s="3"/>
    </row>
    <row r="293" spans="1:26" ht="14.25" customHeight="1">
      <c r="A293" s="1"/>
      <c r="B293" s="1"/>
      <c r="C293" s="1"/>
      <c r="D293" s="1"/>
      <c r="E293" s="136"/>
      <c r="F293" s="12"/>
      <c r="G293" s="145"/>
      <c r="H293" s="145"/>
      <c r="I293" s="3"/>
      <c r="J293" s="3"/>
      <c r="K293" s="3"/>
      <c r="L293" s="3"/>
      <c r="M293" s="3"/>
      <c r="N293" s="3"/>
      <c r="O293" s="3"/>
      <c r="P293" s="3"/>
      <c r="Q293" s="3"/>
      <c r="R293" s="3"/>
      <c r="S293" s="3"/>
      <c r="T293" s="3"/>
      <c r="U293" s="3"/>
      <c r="V293" s="3"/>
      <c r="W293" s="3"/>
      <c r="X293" s="3"/>
      <c r="Y293" s="3"/>
      <c r="Z293" s="3"/>
    </row>
    <row r="294" spans="1:26" ht="14.25" customHeight="1">
      <c r="A294" s="1"/>
      <c r="B294" s="1"/>
      <c r="C294" s="1"/>
      <c r="D294" s="1"/>
      <c r="E294" s="136"/>
      <c r="F294" s="12"/>
      <c r="G294" s="145"/>
      <c r="H294" s="145"/>
      <c r="I294" s="3"/>
      <c r="J294" s="3"/>
      <c r="K294" s="3"/>
      <c r="L294" s="3"/>
      <c r="M294" s="3"/>
      <c r="N294" s="3"/>
      <c r="O294" s="3"/>
      <c r="P294" s="3"/>
      <c r="Q294" s="3"/>
      <c r="R294" s="3"/>
      <c r="S294" s="3"/>
      <c r="T294" s="3"/>
      <c r="U294" s="3"/>
      <c r="V294" s="3"/>
      <c r="W294" s="3"/>
      <c r="X294" s="3"/>
      <c r="Y294" s="3"/>
      <c r="Z294" s="3"/>
    </row>
    <row r="295" spans="1:26" ht="14.25" customHeight="1">
      <c r="A295" s="1"/>
      <c r="B295" s="1"/>
      <c r="C295" s="1"/>
      <c r="D295" s="1"/>
      <c r="E295" s="136"/>
      <c r="F295" s="12"/>
      <c r="G295" s="145"/>
      <c r="H295" s="145"/>
      <c r="I295" s="3"/>
      <c r="J295" s="3"/>
      <c r="K295" s="3"/>
      <c r="L295" s="3"/>
      <c r="M295" s="3"/>
      <c r="N295" s="3"/>
      <c r="O295" s="3"/>
      <c r="P295" s="3"/>
      <c r="Q295" s="3"/>
      <c r="R295" s="3"/>
      <c r="S295" s="3"/>
      <c r="T295" s="3"/>
      <c r="U295" s="3"/>
      <c r="V295" s="3"/>
      <c r="W295" s="3"/>
      <c r="X295" s="3"/>
      <c r="Y295" s="3"/>
      <c r="Z295" s="3"/>
    </row>
    <row r="296" spans="1:26" ht="14.25" customHeight="1">
      <c r="A296" s="1"/>
      <c r="B296" s="1"/>
      <c r="C296" s="1"/>
      <c r="D296" s="1"/>
      <c r="E296" s="136"/>
      <c r="F296" s="12"/>
      <c r="G296" s="145"/>
      <c r="H296" s="145"/>
      <c r="I296" s="3"/>
      <c r="J296" s="3"/>
      <c r="K296" s="3"/>
      <c r="L296" s="3"/>
      <c r="M296" s="3"/>
      <c r="N296" s="3"/>
      <c r="O296" s="3"/>
      <c r="P296" s="3"/>
      <c r="Q296" s="3"/>
      <c r="R296" s="3"/>
      <c r="S296" s="3"/>
      <c r="T296" s="3"/>
      <c r="U296" s="3"/>
      <c r="V296" s="3"/>
      <c r="W296" s="3"/>
      <c r="X296" s="3"/>
      <c r="Y296" s="3"/>
      <c r="Z296" s="3"/>
    </row>
    <row r="297" spans="1:26" ht="14.25" customHeight="1">
      <c r="A297" s="1"/>
      <c r="B297" s="1"/>
      <c r="C297" s="1"/>
      <c r="D297" s="1"/>
      <c r="E297" s="136"/>
      <c r="F297" s="12"/>
      <c r="G297" s="145"/>
      <c r="H297" s="145"/>
      <c r="I297" s="3"/>
      <c r="J297" s="3"/>
      <c r="K297" s="3"/>
      <c r="L297" s="3"/>
      <c r="M297" s="3"/>
      <c r="N297" s="3"/>
      <c r="O297" s="3"/>
      <c r="P297" s="3"/>
      <c r="Q297" s="3"/>
      <c r="R297" s="3"/>
      <c r="S297" s="3"/>
      <c r="T297" s="3"/>
      <c r="U297" s="3"/>
      <c r="V297" s="3"/>
      <c r="W297" s="3"/>
      <c r="X297" s="3"/>
      <c r="Y297" s="3"/>
      <c r="Z297" s="3"/>
    </row>
    <row r="298" spans="1:26" ht="14.25" customHeight="1">
      <c r="A298" s="1"/>
      <c r="B298" s="1"/>
      <c r="C298" s="1"/>
      <c r="D298" s="1"/>
      <c r="E298" s="136"/>
      <c r="F298" s="12"/>
      <c r="G298" s="145"/>
      <c r="H298" s="145"/>
      <c r="I298" s="3"/>
      <c r="J298" s="3"/>
      <c r="K298" s="3"/>
      <c r="L298" s="3"/>
      <c r="M298" s="3"/>
      <c r="N298" s="3"/>
      <c r="O298" s="3"/>
      <c r="P298" s="3"/>
      <c r="Q298" s="3"/>
      <c r="R298" s="3"/>
      <c r="S298" s="3"/>
      <c r="T298" s="3"/>
      <c r="U298" s="3"/>
      <c r="V298" s="3"/>
      <c r="W298" s="3"/>
      <c r="X298" s="3"/>
      <c r="Y298" s="3"/>
      <c r="Z298" s="3"/>
    </row>
    <row r="299" spans="1:26" ht="14.25" customHeight="1">
      <c r="A299" s="1"/>
      <c r="B299" s="1"/>
      <c r="C299" s="1"/>
      <c r="D299" s="1"/>
      <c r="E299" s="136"/>
      <c r="F299" s="12"/>
      <c r="G299" s="145"/>
      <c r="H299" s="145"/>
      <c r="I299" s="3"/>
      <c r="J299" s="3"/>
      <c r="K299" s="3"/>
      <c r="L299" s="3"/>
      <c r="M299" s="3"/>
      <c r="N299" s="3"/>
      <c r="O299" s="3"/>
      <c r="P299" s="3"/>
      <c r="Q299" s="3"/>
      <c r="R299" s="3"/>
      <c r="S299" s="3"/>
      <c r="T299" s="3"/>
      <c r="U299" s="3"/>
      <c r="V299" s="3"/>
      <c r="W299" s="3"/>
      <c r="X299" s="3"/>
      <c r="Y299" s="3"/>
      <c r="Z299" s="3"/>
    </row>
    <row r="300" spans="1:26" ht="14.25" customHeight="1">
      <c r="A300" s="1"/>
      <c r="B300" s="1"/>
      <c r="C300" s="1"/>
      <c r="D300" s="1"/>
      <c r="E300" s="136"/>
      <c r="F300" s="12"/>
      <c r="G300" s="145"/>
      <c r="H300" s="145"/>
      <c r="I300" s="3"/>
      <c r="J300" s="3"/>
      <c r="K300" s="3"/>
      <c r="L300" s="3"/>
      <c r="M300" s="3"/>
      <c r="N300" s="3"/>
      <c r="O300" s="3"/>
      <c r="P300" s="3"/>
      <c r="Q300" s="3"/>
      <c r="R300" s="3"/>
      <c r="S300" s="3"/>
      <c r="T300" s="3"/>
      <c r="U300" s="3"/>
      <c r="V300" s="3"/>
      <c r="W300" s="3"/>
      <c r="X300" s="3"/>
      <c r="Y300" s="3"/>
      <c r="Z300" s="3"/>
    </row>
    <row r="301" spans="1:26" ht="14.25" customHeight="1">
      <c r="A301" s="1"/>
      <c r="B301" s="1"/>
      <c r="C301" s="1"/>
      <c r="D301" s="1"/>
      <c r="E301" s="136"/>
      <c r="F301" s="12"/>
      <c r="G301" s="145"/>
      <c r="H301" s="145"/>
      <c r="I301" s="3"/>
      <c r="J301" s="3"/>
      <c r="K301" s="3"/>
      <c r="L301" s="3"/>
      <c r="M301" s="3"/>
      <c r="N301" s="3"/>
      <c r="O301" s="3"/>
      <c r="P301" s="3"/>
      <c r="Q301" s="3"/>
      <c r="R301" s="3"/>
      <c r="S301" s="3"/>
      <c r="T301" s="3"/>
      <c r="U301" s="3"/>
      <c r="V301" s="3"/>
      <c r="W301" s="3"/>
      <c r="X301" s="3"/>
      <c r="Y301" s="3"/>
      <c r="Z301" s="3"/>
    </row>
    <row r="302" spans="1:26" ht="14.25" customHeight="1">
      <c r="A302" s="1"/>
      <c r="B302" s="1"/>
      <c r="C302" s="1"/>
      <c r="D302" s="1"/>
      <c r="E302" s="136"/>
      <c r="F302" s="12"/>
      <c r="G302" s="145"/>
      <c r="H302" s="145"/>
      <c r="I302" s="3"/>
      <c r="J302" s="3"/>
      <c r="K302" s="3"/>
      <c r="L302" s="3"/>
      <c r="M302" s="3"/>
      <c r="N302" s="3"/>
      <c r="O302" s="3"/>
      <c r="P302" s="3"/>
      <c r="Q302" s="3"/>
      <c r="R302" s="3"/>
      <c r="S302" s="3"/>
      <c r="T302" s="3"/>
      <c r="U302" s="3"/>
      <c r="V302" s="3"/>
      <c r="W302" s="3"/>
      <c r="X302" s="3"/>
      <c r="Y302" s="3"/>
      <c r="Z302" s="3"/>
    </row>
    <row r="303" spans="1:26" ht="14.25" customHeight="1">
      <c r="A303" s="1"/>
      <c r="B303" s="1"/>
      <c r="C303" s="1"/>
      <c r="D303" s="1"/>
      <c r="E303" s="136"/>
      <c r="F303" s="12"/>
      <c r="G303" s="145"/>
      <c r="H303" s="145"/>
      <c r="I303" s="3"/>
      <c r="J303" s="3"/>
      <c r="K303" s="3"/>
      <c r="L303" s="3"/>
      <c r="M303" s="3"/>
      <c r="N303" s="3"/>
      <c r="O303" s="3"/>
      <c r="P303" s="3"/>
      <c r="Q303" s="3"/>
      <c r="R303" s="3"/>
      <c r="S303" s="3"/>
      <c r="T303" s="3"/>
      <c r="U303" s="3"/>
      <c r="V303" s="3"/>
      <c r="W303" s="3"/>
      <c r="X303" s="3"/>
      <c r="Y303" s="3"/>
      <c r="Z303" s="3"/>
    </row>
    <row r="304" spans="1:26" ht="14.25" customHeight="1">
      <c r="A304" s="1"/>
      <c r="B304" s="1"/>
      <c r="C304" s="1"/>
      <c r="D304" s="1"/>
      <c r="E304" s="136"/>
      <c r="F304" s="12"/>
      <c r="G304" s="145"/>
      <c r="H304" s="145"/>
      <c r="I304" s="3"/>
      <c r="J304" s="3"/>
      <c r="K304" s="3"/>
      <c r="L304" s="3"/>
      <c r="M304" s="3"/>
      <c r="N304" s="3"/>
      <c r="O304" s="3"/>
      <c r="P304" s="3"/>
      <c r="Q304" s="3"/>
      <c r="R304" s="3"/>
      <c r="S304" s="3"/>
      <c r="T304" s="3"/>
      <c r="U304" s="3"/>
      <c r="V304" s="3"/>
      <c r="W304" s="3"/>
      <c r="X304" s="3"/>
      <c r="Y304" s="3"/>
      <c r="Z304" s="3"/>
    </row>
    <row r="305" spans="1:26" ht="14.25" customHeight="1">
      <c r="A305" s="1"/>
      <c r="B305" s="1"/>
      <c r="C305" s="1"/>
      <c r="D305" s="1"/>
      <c r="E305" s="136"/>
      <c r="F305" s="12"/>
      <c r="G305" s="145"/>
      <c r="H305" s="145"/>
      <c r="I305" s="3"/>
      <c r="J305" s="3"/>
      <c r="K305" s="3"/>
      <c r="L305" s="3"/>
      <c r="M305" s="3"/>
      <c r="N305" s="3"/>
      <c r="O305" s="3"/>
      <c r="P305" s="3"/>
      <c r="Q305" s="3"/>
      <c r="R305" s="3"/>
      <c r="S305" s="3"/>
      <c r="T305" s="3"/>
      <c r="U305" s="3"/>
      <c r="V305" s="3"/>
      <c r="W305" s="3"/>
      <c r="X305" s="3"/>
      <c r="Y305" s="3"/>
      <c r="Z305" s="3"/>
    </row>
    <row r="306" spans="1:26" ht="14.25" customHeight="1">
      <c r="A306" s="1"/>
      <c r="B306" s="1"/>
      <c r="C306" s="1"/>
      <c r="D306" s="1"/>
      <c r="E306" s="136"/>
      <c r="F306" s="12"/>
      <c r="G306" s="145"/>
      <c r="H306" s="145"/>
      <c r="I306" s="3"/>
      <c r="J306" s="3"/>
      <c r="K306" s="3"/>
      <c r="L306" s="3"/>
      <c r="M306" s="3"/>
      <c r="N306" s="3"/>
      <c r="O306" s="3"/>
      <c r="P306" s="3"/>
      <c r="Q306" s="3"/>
      <c r="R306" s="3"/>
      <c r="S306" s="3"/>
      <c r="T306" s="3"/>
      <c r="U306" s="3"/>
      <c r="V306" s="3"/>
      <c r="W306" s="3"/>
      <c r="X306" s="3"/>
      <c r="Y306" s="3"/>
      <c r="Z306" s="3"/>
    </row>
    <row r="307" spans="1:26" ht="14.25" customHeight="1">
      <c r="A307" s="1"/>
      <c r="B307" s="1"/>
      <c r="C307" s="1"/>
      <c r="D307" s="1"/>
      <c r="E307" s="136"/>
      <c r="F307" s="12"/>
      <c r="G307" s="145"/>
      <c r="H307" s="145"/>
      <c r="I307" s="3"/>
      <c r="J307" s="3"/>
      <c r="K307" s="3"/>
      <c r="L307" s="3"/>
      <c r="M307" s="3"/>
      <c r="N307" s="3"/>
      <c r="O307" s="3"/>
      <c r="P307" s="3"/>
      <c r="Q307" s="3"/>
      <c r="R307" s="3"/>
      <c r="S307" s="3"/>
      <c r="T307" s="3"/>
      <c r="U307" s="3"/>
      <c r="V307" s="3"/>
      <c r="W307" s="3"/>
      <c r="X307" s="3"/>
      <c r="Y307" s="3"/>
      <c r="Z307" s="3"/>
    </row>
    <row r="308" spans="1:26" ht="14.25" customHeight="1">
      <c r="A308" s="1"/>
      <c r="B308" s="1"/>
      <c r="C308" s="1"/>
      <c r="D308" s="1"/>
      <c r="E308" s="136"/>
      <c r="F308" s="12"/>
      <c r="G308" s="145"/>
      <c r="H308" s="145"/>
      <c r="I308" s="3"/>
      <c r="J308" s="3"/>
      <c r="K308" s="3"/>
      <c r="L308" s="3"/>
      <c r="M308" s="3"/>
      <c r="N308" s="3"/>
      <c r="O308" s="3"/>
      <c r="P308" s="3"/>
      <c r="Q308" s="3"/>
      <c r="R308" s="3"/>
      <c r="S308" s="3"/>
      <c r="T308" s="3"/>
      <c r="U308" s="3"/>
      <c r="V308" s="3"/>
      <c r="W308" s="3"/>
      <c r="X308" s="3"/>
      <c r="Y308" s="3"/>
      <c r="Z308" s="3"/>
    </row>
    <row r="309" spans="1:26" ht="14.25" customHeight="1">
      <c r="A309" s="1"/>
      <c r="B309" s="1"/>
      <c r="C309" s="1"/>
      <c r="D309" s="1"/>
      <c r="E309" s="136"/>
      <c r="F309" s="12"/>
      <c r="G309" s="145"/>
      <c r="H309" s="145"/>
      <c r="I309" s="3"/>
      <c r="J309" s="3"/>
      <c r="K309" s="3"/>
      <c r="L309" s="3"/>
      <c r="M309" s="3"/>
      <c r="N309" s="3"/>
      <c r="O309" s="3"/>
      <c r="P309" s="3"/>
      <c r="Q309" s="3"/>
      <c r="R309" s="3"/>
      <c r="S309" s="3"/>
      <c r="T309" s="3"/>
      <c r="U309" s="3"/>
      <c r="V309" s="3"/>
      <c r="W309" s="3"/>
      <c r="X309" s="3"/>
      <c r="Y309" s="3"/>
      <c r="Z309" s="3"/>
    </row>
    <row r="310" spans="1:26" ht="14.25" customHeight="1">
      <c r="A310" s="1"/>
      <c r="B310" s="1"/>
      <c r="C310" s="1"/>
      <c r="D310" s="1"/>
      <c r="E310" s="136"/>
      <c r="F310" s="12"/>
      <c r="G310" s="145"/>
      <c r="H310" s="145"/>
      <c r="I310" s="3"/>
      <c r="J310" s="3"/>
      <c r="K310" s="3"/>
      <c r="L310" s="3"/>
      <c r="M310" s="3"/>
      <c r="N310" s="3"/>
      <c r="O310" s="3"/>
      <c r="P310" s="3"/>
      <c r="Q310" s="3"/>
      <c r="R310" s="3"/>
      <c r="S310" s="3"/>
      <c r="T310" s="3"/>
      <c r="U310" s="3"/>
      <c r="V310" s="3"/>
      <c r="W310" s="3"/>
      <c r="X310" s="3"/>
      <c r="Y310" s="3"/>
      <c r="Z310" s="3"/>
    </row>
    <row r="311" spans="1:26" ht="14.25" customHeight="1">
      <c r="A311" s="1"/>
      <c r="B311" s="1"/>
      <c r="C311" s="1"/>
      <c r="D311" s="1"/>
      <c r="E311" s="136"/>
      <c r="F311" s="12"/>
      <c r="G311" s="145"/>
      <c r="H311" s="145"/>
      <c r="I311" s="3"/>
      <c r="J311" s="3"/>
      <c r="K311" s="3"/>
      <c r="L311" s="3"/>
      <c r="M311" s="3"/>
      <c r="N311" s="3"/>
      <c r="O311" s="3"/>
      <c r="P311" s="3"/>
      <c r="Q311" s="3"/>
      <c r="R311" s="3"/>
      <c r="S311" s="3"/>
      <c r="T311" s="3"/>
      <c r="U311" s="3"/>
      <c r="V311" s="3"/>
      <c r="W311" s="3"/>
      <c r="X311" s="3"/>
      <c r="Y311" s="3"/>
      <c r="Z311" s="3"/>
    </row>
    <row r="312" spans="1:26" ht="14.25" customHeight="1">
      <c r="A312" s="1"/>
      <c r="B312" s="1"/>
      <c r="C312" s="1"/>
      <c r="D312" s="1"/>
      <c r="E312" s="136"/>
      <c r="F312" s="12"/>
      <c r="G312" s="145"/>
      <c r="H312" s="145"/>
      <c r="I312" s="3"/>
      <c r="J312" s="3"/>
      <c r="K312" s="3"/>
      <c r="L312" s="3"/>
      <c r="M312" s="3"/>
      <c r="N312" s="3"/>
      <c r="O312" s="3"/>
      <c r="P312" s="3"/>
      <c r="Q312" s="3"/>
      <c r="R312" s="3"/>
      <c r="S312" s="3"/>
      <c r="T312" s="3"/>
      <c r="U312" s="3"/>
      <c r="V312" s="3"/>
      <c r="W312" s="3"/>
      <c r="X312" s="3"/>
      <c r="Y312" s="3"/>
      <c r="Z312" s="3"/>
    </row>
    <row r="313" spans="1:26" ht="14.25" customHeight="1">
      <c r="A313" s="1"/>
      <c r="B313" s="1"/>
      <c r="C313" s="1"/>
      <c r="D313" s="1"/>
      <c r="E313" s="136"/>
      <c r="F313" s="12"/>
      <c r="G313" s="145"/>
      <c r="H313" s="145"/>
      <c r="I313" s="3"/>
      <c r="J313" s="3"/>
      <c r="K313" s="3"/>
      <c r="L313" s="3"/>
      <c r="M313" s="3"/>
      <c r="N313" s="3"/>
      <c r="O313" s="3"/>
      <c r="P313" s="3"/>
      <c r="Q313" s="3"/>
      <c r="R313" s="3"/>
      <c r="S313" s="3"/>
      <c r="T313" s="3"/>
      <c r="U313" s="3"/>
      <c r="V313" s="3"/>
      <c r="W313" s="3"/>
      <c r="X313" s="3"/>
      <c r="Y313" s="3"/>
      <c r="Z313" s="3"/>
    </row>
    <row r="314" spans="1:26" ht="14.25" customHeight="1">
      <c r="A314" s="1"/>
      <c r="B314" s="1"/>
      <c r="C314" s="1"/>
      <c r="D314" s="1"/>
      <c r="E314" s="136"/>
      <c r="F314" s="12"/>
      <c r="G314" s="145"/>
      <c r="H314" s="145"/>
      <c r="I314" s="3"/>
      <c r="J314" s="3"/>
      <c r="K314" s="3"/>
      <c r="L314" s="3"/>
      <c r="M314" s="3"/>
      <c r="N314" s="3"/>
      <c r="O314" s="3"/>
      <c r="P314" s="3"/>
      <c r="Q314" s="3"/>
      <c r="R314" s="3"/>
      <c r="S314" s="3"/>
      <c r="T314" s="3"/>
      <c r="U314" s="3"/>
      <c r="V314" s="3"/>
      <c r="W314" s="3"/>
      <c r="X314" s="3"/>
      <c r="Y314" s="3"/>
      <c r="Z314" s="3"/>
    </row>
    <row r="315" spans="1:26" ht="14.25" customHeight="1">
      <c r="A315" s="1"/>
      <c r="B315" s="1"/>
      <c r="C315" s="1"/>
      <c r="D315" s="1"/>
      <c r="E315" s="136"/>
      <c r="F315" s="12"/>
      <c r="G315" s="145"/>
      <c r="H315" s="145"/>
      <c r="I315" s="3"/>
      <c r="J315" s="3"/>
      <c r="K315" s="3"/>
      <c r="L315" s="3"/>
      <c r="M315" s="3"/>
      <c r="N315" s="3"/>
      <c r="O315" s="3"/>
      <c r="P315" s="3"/>
      <c r="Q315" s="3"/>
      <c r="R315" s="3"/>
      <c r="S315" s="3"/>
      <c r="T315" s="3"/>
      <c r="U315" s="3"/>
      <c r="V315" s="3"/>
      <c r="W315" s="3"/>
      <c r="X315" s="3"/>
      <c r="Y315" s="3"/>
      <c r="Z315" s="3"/>
    </row>
    <row r="316" spans="1:26" ht="14.25" customHeight="1">
      <c r="A316" s="1"/>
      <c r="B316" s="1"/>
      <c r="C316" s="1"/>
      <c r="D316" s="1"/>
      <c r="E316" s="136"/>
      <c r="F316" s="12"/>
      <c r="G316" s="145"/>
      <c r="H316" s="145"/>
      <c r="I316" s="3"/>
      <c r="J316" s="3"/>
      <c r="K316" s="3"/>
      <c r="L316" s="3"/>
      <c r="M316" s="3"/>
      <c r="N316" s="3"/>
      <c r="O316" s="3"/>
      <c r="P316" s="3"/>
      <c r="Q316" s="3"/>
      <c r="R316" s="3"/>
      <c r="S316" s="3"/>
      <c r="T316" s="3"/>
      <c r="U316" s="3"/>
      <c r="V316" s="3"/>
      <c r="W316" s="3"/>
      <c r="X316" s="3"/>
      <c r="Y316" s="3"/>
      <c r="Z316" s="3"/>
    </row>
    <row r="317" spans="1:26" ht="14.25" customHeight="1">
      <c r="A317" s="1"/>
      <c r="B317" s="1"/>
      <c r="C317" s="1"/>
      <c r="D317" s="1"/>
      <c r="E317" s="136"/>
      <c r="F317" s="12"/>
      <c r="G317" s="145"/>
      <c r="H317" s="145"/>
      <c r="I317" s="3"/>
      <c r="J317" s="3"/>
      <c r="K317" s="3"/>
      <c r="L317" s="3"/>
      <c r="M317" s="3"/>
      <c r="N317" s="3"/>
      <c r="O317" s="3"/>
      <c r="P317" s="3"/>
      <c r="Q317" s="3"/>
      <c r="R317" s="3"/>
      <c r="S317" s="3"/>
      <c r="T317" s="3"/>
      <c r="U317" s="3"/>
      <c r="V317" s="3"/>
      <c r="W317" s="3"/>
      <c r="X317" s="3"/>
      <c r="Y317" s="3"/>
      <c r="Z317" s="3"/>
    </row>
    <row r="318" spans="1:26" ht="14.25" customHeight="1">
      <c r="A318" s="1"/>
      <c r="B318" s="1"/>
      <c r="C318" s="1"/>
      <c r="D318" s="1"/>
      <c r="E318" s="136"/>
      <c r="F318" s="12"/>
      <c r="G318" s="145"/>
      <c r="H318" s="145"/>
      <c r="I318" s="3"/>
      <c r="J318" s="3"/>
      <c r="K318" s="3"/>
      <c r="L318" s="3"/>
      <c r="M318" s="3"/>
      <c r="N318" s="3"/>
      <c r="O318" s="3"/>
      <c r="P318" s="3"/>
      <c r="Q318" s="3"/>
      <c r="R318" s="3"/>
      <c r="S318" s="3"/>
      <c r="T318" s="3"/>
      <c r="U318" s="3"/>
      <c r="V318" s="3"/>
      <c r="W318" s="3"/>
      <c r="X318" s="3"/>
      <c r="Y318" s="3"/>
      <c r="Z318" s="3"/>
    </row>
    <row r="319" spans="1:26" ht="14.25" customHeight="1">
      <c r="A319" s="1"/>
      <c r="B319" s="1"/>
      <c r="C319" s="1"/>
      <c r="D319" s="1"/>
      <c r="E319" s="136"/>
      <c r="F319" s="12"/>
      <c r="G319" s="145"/>
      <c r="H319" s="145"/>
      <c r="I319" s="3"/>
      <c r="J319" s="3"/>
      <c r="K319" s="3"/>
      <c r="L319" s="3"/>
      <c r="M319" s="3"/>
      <c r="N319" s="3"/>
      <c r="O319" s="3"/>
      <c r="P319" s="3"/>
      <c r="Q319" s="3"/>
      <c r="R319" s="3"/>
      <c r="S319" s="3"/>
      <c r="T319" s="3"/>
      <c r="U319" s="3"/>
      <c r="V319" s="3"/>
      <c r="W319" s="3"/>
      <c r="X319" s="3"/>
      <c r="Y319" s="3"/>
      <c r="Z319" s="3"/>
    </row>
    <row r="320" spans="1:26" ht="14.25" customHeight="1">
      <c r="A320" s="1"/>
      <c r="B320" s="1"/>
      <c r="C320" s="1"/>
      <c r="D320" s="1"/>
      <c r="E320" s="136"/>
      <c r="F320" s="12"/>
      <c r="G320" s="145"/>
      <c r="H320" s="145"/>
      <c r="I320" s="3"/>
      <c r="J320" s="3"/>
      <c r="K320" s="3"/>
      <c r="L320" s="3"/>
      <c r="M320" s="3"/>
      <c r="N320" s="3"/>
      <c r="O320" s="3"/>
      <c r="P320" s="3"/>
      <c r="Q320" s="3"/>
      <c r="R320" s="3"/>
      <c r="S320" s="3"/>
      <c r="T320" s="3"/>
      <c r="U320" s="3"/>
      <c r="V320" s="3"/>
      <c r="W320" s="3"/>
      <c r="X320" s="3"/>
      <c r="Y320" s="3"/>
      <c r="Z320" s="3"/>
    </row>
    <row r="321" spans="1:26" ht="14.25" customHeight="1">
      <c r="A321" s="1"/>
      <c r="B321" s="1"/>
      <c r="C321" s="1"/>
      <c r="D321" s="1"/>
      <c r="E321" s="136"/>
      <c r="F321" s="12"/>
      <c r="G321" s="145"/>
      <c r="H321" s="145"/>
      <c r="I321" s="3"/>
      <c r="J321" s="3"/>
      <c r="K321" s="3"/>
      <c r="L321" s="3"/>
      <c r="M321" s="3"/>
      <c r="N321" s="3"/>
      <c r="O321" s="3"/>
      <c r="P321" s="3"/>
      <c r="Q321" s="3"/>
      <c r="R321" s="3"/>
      <c r="S321" s="3"/>
      <c r="T321" s="3"/>
      <c r="U321" s="3"/>
      <c r="V321" s="3"/>
      <c r="W321" s="3"/>
      <c r="X321" s="3"/>
      <c r="Y321" s="3"/>
      <c r="Z321" s="3"/>
    </row>
    <row r="322" spans="1:26" ht="14.25" customHeight="1">
      <c r="A322" s="1"/>
      <c r="B322" s="1"/>
      <c r="C322" s="1"/>
      <c r="D322" s="1"/>
      <c r="E322" s="136"/>
      <c r="F322" s="12"/>
      <c r="G322" s="145"/>
      <c r="H322" s="145"/>
      <c r="I322" s="3"/>
      <c r="J322" s="3"/>
      <c r="K322" s="3"/>
      <c r="L322" s="3"/>
      <c r="M322" s="3"/>
      <c r="N322" s="3"/>
      <c r="O322" s="3"/>
      <c r="P322" s="3"/>
      <c r="Q322" s="3"/>
      <c r="R322" s="3"/>
      <c r="S322" s="3"/>
      <c r="T322" s="3"/>
      <c r="U322" s="3"/>
      <c r="V322" s="3"/>
      <c r="W322" s="3"/>
      <c r="X322" s="3"/>
      <c r="Y322" s="3"/>
      <c r="Z322" s="3"/>
    </row>
    <row r="323" spans="1:26" ht="14.25" customHeight="1">
      <c r="A323" s="1"/>
      <c r="B323" s="1"/>
      <c r="C323" s="1"/>
      <c r="D323" s="1"/>
      <c r="E323" s="136"/>
      <c r="F323" s="12"/>
      <c r="G323" s="145"/>
      <c r="H323" s="145"/>
      <c r="I323" s="3"/>
      <c r="J323" s="3"/>
      <c r="K323" s="3"/>
      <c r="L323" s="3"/>
      <c r="M323" s="3"/>
      <c r="N323" s="3"/>
      <c r="O323" s="3"/>
      <c r="P323" s="3"/>
      <c r="Q323" s="3"/>
      <c r="R323" s="3"/>
      <c r="S323" s="3"/>
      <c r="T323" s="3"/>
      <c r="U323" s="3"/>
      <c r="V323" s="3"/>
      <c r="W323" s="3"/>
      <c r="X323" s="3"/>
      <c r="Y323" s="3"/>
      <c r="Z323" s="3"/>
    </row>
    <row r="324" spans="1:26" ht="14.25" customHeight="1">
      <c r="A324" s="1"/>
      <c r="B324" s="1"/>
      <c r="C324" s="1"/>
      <c r="D324" s="1"/>
      <c r="E324" s="136"/>
      <c r="F324" s="12"/>
      <c r="G324" s="145"/>
      <c r="H324" s="145"/>
      <c r="I324" s="3"/>
      <c r="J324" s="3"/>
      <c r="K324" s="3"/>
      <c r="L324" s="3"/>
      <c r="M324" s="3"/>
      <c r="N324" s="3"/>
      <c r="O324" s="3"/>
      <c r="P324" s="3"/>
      <c r="Q324" s="3"/>
      <c r="R324" s="3"/>
      <c r="S324" s="3"/>
      <c r="T324" s="3"/>
      <c r="U324" s="3"/>
      <c r="V324" s="3"/>
      <c r="W324" s="3"/>
      <c r="X324" s="3"/>
      <c r="Y324" s="3"/>
      <c r="Z324" s="3"/>
    </row>
    <row r="325" spans="1:26" ht="14.25" customHeight="1">
      <c r="A325" s="1"/>
      <c r="B325" s="1"/>
      <c r="C325" s="1"/>
      <c r="D325" s="1"/>
      <c r="E325" s="136"/>
      <c r="F325" s="12"/>
      <c r="G325" s="145"/>
      <c r="H325" s="145"/>
      <c r="I325" s="3"/>
      <c r="J325" s="3"/>
      <c r="K325" s="3"/>
      <c r="L325" s="3"/>
      <c r="M325" s="3"/>
      <c r="N325" s="3"/>
      <c r="O325" s="3"/>
      <c r="P325" s="3"/>
      <c r="Q325" s="3"/>
      <c r="R325" s="3"/>
      <c r="S325" s="3"/>
      <c r="T325" s="3"/>
      <c r="U325" s="3"/>
      <c r="V325" s="3"/>
      <c r="W325" s="3"/>
      <c r="X325" s="3"/>
      <c r="Y325" s="3"/>
      <c r="Z325" s="3"/>
    </row>
    <row r="326" spans="1:26" ht="14.25" customHeight="1">
      <c r="A326" s="1"/>
      <c r="B326" s="1"/>
      <c r="C326" s="1"/>
      <c r="D326" s="1"/>
      <c r="E326" s="136"/>
      <c r="F326" s="12"/>
      <c r="G326" s="145"/>
      <c r="H326" s="145"/>
      <c r="I326" s="3"/>
      <c r="J326" s="3"/>
      <c r="K326" s="3"/>
      <c r="L326" s="3"/>
      <c r="M326" s="3"/>
      <c r="N326" s="3"/>
      <c r="O326" s="3"/>
      <c r="P326" s="3"/>
      <c r="Q326" s="3"/>
      <c r="R326" s="3"/>
      <c r="S326" s="3"/>
      <c r="T326" s="3"/>
      <c r="U326" s="3"/>
      <c r="V326" s="3"/>
      <c r="W326" s="3"/>
      <c r="X326" s="3"/>
      <c r="Y326" s="3"/>
      <c r="Z326" s="3"/>
    </row>
    <row r="327" spans="1:26" ht="14.25" customHeight="1">
      <c r="A327" s="1"/>
      <c r="B327" s="1"/>
      <c r="C327" s="1"/>
      <c r="D327" s="1"/>
      <c r="E327" s="136"/>
      <c r="F327" s="12"/>
      <c r="G327" s="145"/>
      <c r="H327" s="145"/>
      <c r="I327" s="3"/>
      <c r="J327" s="3"/>
      <c r="K327" s="3"/>
      <c r="L327" s="3"/>
      <c r="M327" s="3"/>
      <c r="N327" s="3"/>
      <c r="O327" s="3"/>
      <c r="P327" s="3"/>
      <c r="Q327" s="3"/>
      <c r="R327" s="3"/>
      <c r="S327" s="3"/>
      <c r="T327" s="3"/>
      <c r="U327" s="3"/>
      <c r="V327" s="3"/>
      <c r="W327" s="3"/>
      <c r="X327" s="3"/>
      <c r="Y327" s="3"/>
      <c r="Z327" s="3"/>
    </row>
    <row r="328" spans="1:26" ht="14.25" customHeight="1">
      <c r="A328" s="1"/>
      <c r="B328" s="1"/>
      <c r="C328" s="1"/>
      <c r="D328" s="1"/>
      <c r="E328" s="136"/>
      <c r="F328" s="12"/>
      <c r="G328" s="145"/>
      <c r="H328" s="145"/>
      <c r="I328" s="3"/>
      <c r="J328" s="3"/>
      <c r="K328" s="3"/>
      <c r="L328" s="3"/>
      <c r="M328" s="3"/>
      <c r="N328" s="3"/>
      <c r="O328" s="3"/>
      <c r="P328" s="3"/>
      <c r="Q328" s="3"/>
      <c r="R328" s="3"/>
      <c r="S328" s="3"/>
      <c r="T328" s="3"/>
      <c r="U328" s="3"/>
      <c r="V328" s="3"/>
      <c r="W328" s="3"/>
      <c r="X328" s="3"/>
      <c r="Y328" s="3"/>
      <c r="Z328" s="3"/>
    </row>
    <row r="329" spans="1:26" ht="14.25" customHeight="1">
      <c r="A329" s="1"/>
      <c r="B329" s="1"/>
      <c r="C329" s="1"/>
      <c r="D329" s="1"/>
      <c r="E329" s="136"/>
      <c r="F329" s="12"/>
      <c r="G329" s="145"/>
      <c r="H329" s="145"/>
      <c r="I329" s="3"/>
      <c r="J329" s="3"/>
      <c r="K329" s="3"/>
      <c r="L329" s="3"/>
      <c r="M329" s="3"/>
      <c r="N329" s="3"/>
      <c r="O329" s="3"/>
      <c r="P329" s="3"/>
      <c r="Q329" s="3"/>
      <c r="R329" s="3"/>
      <c r="S329" s="3"/>
      <c r="T329" s="3"/>
      <c r="U329" s="3"/>
      <c r="V329" s="3"/>
      <c r="W329" s="3"/>
      <c r="X329" s="3"/>
      <c r="Y329" s="3"/>
      <c r="Z329" s="3"/>
    </row>
    <row r="330" spans="1:26" ht="14.25" customHeight="1">
      <c r="A330" s="1"/>
      <c r="B330" s="1"/>
      <c r="C330" s="1"/>
      <c r="D330" s="1"/>
      <c r="E330" s="136"/>
      <c r="F330" s="12"/>
      <c r="G330" s="145"/>
      <c r="H330" s="145"/>
      <c r="I330" s="3"/>
      <c r="J330" s="3"/>
      <c r="K330" s="3"/>
      <c r="L330" s="3"/>
      <c r="M330" s="3"/>
      <c r="N330" s="3"/>
      <c r="O330" s="3"/>
      <c r="P330" s="3"/>
      <c r="Q330" s="3"/>
      <c r="R330" s="3"/>
      <c r="S330" s="3"/>
      <c r="T330" s="3"/>
      <c r="U330" s="3"/>
      <c r="V330" s="3"/>
      <c r="W330" s="3"/>
      <c r="X330" s="3"/>
      <c r="Y330" s="3"/>
      <c r="Z330" s="3"/>
    </row>
    <row r="331" spans="1:26" ht="14.25" customHeight="1">
      <c r="A331" s="1"/>
      <c r="B331" s="1"/>
      <c r="C331" s="1"/>
      <c r="D331" s="1"/>
      <c r="E331" s="136"/>
      <c r="F331" s="12"/>
      <c r="G331" s="145"/>
      <c r="H331" s="145"/>
      <c r="I331" s="3"/>
      <c r="J331" s="3"/>
      <c r="K331" s="3"/>
      <c r="L331" s="3"/>
      <c r="M331" s="3"/>
      <c r="N331" s="3"/>
      <c r="O331" s="3"/>
      <c r="P331" s="3"/>
      <c r="Q331" s="3"/>
      <c r="R331" s="3"/>
      <c r="S331" s="3"/>
      <c r="T331" s="3"/>
      <c r="U331" s="3"/>
      <c r="V331" s="3"/>
      <c r="W331" s="3"/>
      <c r="X331" s="3"/>
      <c r="Y331" s="3"/>
      <c r="Z331" s="3"/>
    </row>
    <row r="332" spans="1:26" ht="14.25" customHeight="1">
      <c r="A332" s="1"/>
      <c r="B332" s="1"/>
      <c r="C332" s="1"/>
      <c r="D332" s="1"/>
      <c r="E332" s="136"/>
      <c r="F332" s="12"/>
      <c r="G332" s="145"/>
      <c r="H332" s="145"/>
      <c r="I332" s="3"/>
      <c r="J332" s="3"/>
      <c r="K332" s="3"/>
      <c r="L332" s="3"/>
      <c r="M332" s="3"/>
      <c r="N332" s="3"/>
      <c r="O332" s="3"/>
      <c r="P332" s="3"/>
      <c r="Q332" s="3"/>
      <c r="R332" s="3"/>
      <c r="S332" s="3"/>
      <c r="T332" s="3"/>
      <c r="U332" s="3"/>
      <c r="V332" s="3"/>
      <c r="W332" s="3"/>
      <c r="X332" s="3"/>
      <c r="Y332" s="3"/>
      <c r="Z332" s="3"/>
    </row>
    <row r="333" spans="1:26" ht="14.25" customHeight="1">
      <c r="A333" s="1"/>
      <c r="B333" s="1"/>
      <c r="C333" s="1"/>
      <c r="D333" s="1"/>
      <c r="E333" s="136"/>
      <c r="F333" s="12"/>
      <c r="G333" s="145"/>
      <c r="H333" s="145"/>
      <c r="I333" s="3"/>
      <c r="J333" s="3"/>
      <c r="K333" s="3"/>
      <c r="L333" s="3"/>
      <c r="M333" s="3"/>
      <c r="N333" s="3"/>
      <c r="O333" s="3"/>
      <c r="P333" s="3"/>
      <c r="Q333" s="3"/>
      <c r="R333" s="3"/>
      <c r="S333" s="3"/>
      <c r="T333" s="3"/>
      <c r="U333" s="3"/>
      <c r="V333" s="3"/>
      <c r="W333" s="3"/>
      <c r="X333" s="3"/>
      <c r="Y333" s="3"/>
      <c r="Z333" s="3"/>
    </row>
    <row r="334" spans="1:26" ht="14.25" customHeight="1">
      <c r="A334" s="1"/>
      <c r="B334" s="1"/>
      <c r="C334" s="1"/>
      <c r="D334" s="1"/>
      <c r="E334" s="136"/>
      <c r="F334" s="12"/>
      <c r="G334" s="145"/>
      <c r="H334" s="145"/>
      <c r="I334" s="3"/>
      <c r="J334" s="3"/>
      <c r="K334" s="3"/>
      <c r="L334" s="3"/>
      <c r="M334" s="3"/>
      <c r="N334" s="3"/>
      <c r="O334" s="3"/>
      <c r="P334" s="3"/>
      <c r="Q334" s="3"/>
      <c r="R334" s="3"/>
      <c r="S334" s="3"/>
      <c r="T334" s="3"/>
      <c r="U334" s="3"/>
      <c r="V334" s="3"/>
      <c r="W334" s="3"/>
      <c r="X334" s="3"/>
      <c r="Y334" s="3"/>
      <c r="Z334" s="3"/>
    </row>
    <row r="335" spans="1:26" ht="14.25" customHeight="1">
      <c r="A335" s="1"/>
      <c r="B335" s="1"/>
      <c r="C335" s="1"/>
      <c r="D335" s="1"/>
      <c r="E335" s="136"/>
      <c r="F335" s="12"/>
      <c r="G335" s="145"/>
      <c r="H335" s="145"/>
      <c r="I335" s="3"/>
      <c r="J335" s="3"/>
      <c r="K335" s="3"/>
      <c r="L335" s="3"/>
      <c r="M335" s="3"/>
      <c r="N335" s="3"/>
      <c r="O335" s="3"/>
      <c r="P335" s="3"/>
      <c r="Q335" s="3"/>
      <c r="R335" s="3"/>
      <c r="S335" s="3"/>
      <c r="T335" s="3"/>
      <c r="U335" s="3"/>
      <c r="V335" s="3"/>
      <c r="W335" s="3"/>
      <c r="X335" s="3"/>
      <c r="Y335" s="3"/>
      <c r="Z335" s="3"/>
    </row>
    <row r="336" spans="1:26" ht="14.25" customHeight="1">
      <c r="A336" s="1"/>
      <c r="B336" s="1"/>
      <c r="C336" s="1"/>
      <c r="D336" s="1"/>
      <c r="E336" s="136"/>
      <c r="F336" s="12"/>
      <c r="G336" s="145"/>
      <c r="H336" s="145"/>
      <c r="I336" s="3"/>
      <c r="J336" s="3"/>
      <c r="K336" s="3"/>
      <c r="L336" s="3"/>
      <c r="M336" s="3"/>
      <c r="N336" s="3"/>
      <c r="O336" s="3"/>
      <c r="P336" s="3"/>
      <c r="Q336" s="3"/>
      <c r="R336" s="3"/>
      <c r="S336" s="3"/>
      <c r="T336" s="3"/>
      <c r="U336" s="3"/>
      <c r="V336" s="3"/>
      <c r="W336" s="3"/>
      <c r="X336" s="3"/>
      <c r="Y336" s="3"/>
      <c r="Z336" s="3"/>
    </row>
    <row r="337" spans="1:26" ht="14.25" customHeight="1">
      <c r="A337" s="1"/>
      <c r="B337" s="1"/>
      <c r="C337" s="1"/>
      <c r="D337" s="1"/>
      <c r="E337" s="136"/>
      <c r="F337" s="12"/>
      <c r="G337" s="145"/>
      <c r="H337" s="145"/>
      <c r="I337" s="3"/>
      <c r="J337" s="3"/>
      <c r="K337" s="3"/>
      <c r="L337" s="3"/>
      <c r="M337" s="3"/>
      <c r="N337" s="3"/>
      <c r="O337" s="3"/>
      <c r="P337" s="3"/>
      <c r="Q337" s="3"/>
      <c r="R337" s="3"/>
      <c r="S337" s="3"/>
      <c r="T337" s="3"/>
      <c r="U337" s="3"/>
      <c r="V337" s="3"/>
      <c r="W337" s="3"/>
      <c r="X337" s="3"/>
      <c r="Y337" s="3"/>
      <c r="Z337" s="3"/>
    </row>
    <row r="338" spans="1:26" ht="14.25" customHeight="1">
      <c r="A338" s="1"/>
      <c r="B338" s="1"/>
      <c r="C338" s="1"/>
      <c r="D338" s="1"/>
      <c r="E338" s="136"/>
      <c r="F338" s="12"/>
      <c r="G338" s="145"/>
      <c r="H338" s="145"/>
      <c r="I338" s="3"/>
      <c r="J338" s="3"/>
      <c r="K338" s="3"/>
      <c r="L338" s="3"/>
      <c r="M338" s="3"/>
      <c r="N338" s="3"/>
      <c r="O338" s="3"/>
      <c r="P338" s="3"/>
      <c r="Q338" s="3"/>
      <c r="R338" s="3"/>
      <c r="S338" s="3"/>
      <c r="T338" s="3"/>
      <c r="U338" s="3"/>
      <c r="V338" s="3"/>
      <c r="W338" s="3"/>
      <c r="X338" s="3"/>
      <c r="Y338" s="3"/>
      <c r="Z338" s="3"/>
    </row>
    <row r="339" spans="1:26" ht="14.25" customHeight="1">
      <c r="A339" s="1"/>
      <c r="B339" s="1"/>
      <c r="C339" s="1"/>
      <c r="D339" s="1"/>
      <c r="E339" s="136"/>
      <c r="F339" s="12"/>
      <c r="G339" s="145"/>
      <c r="H339" s="145"/>
      <c r="I339" s="3"/>
      <c r="J339" s="3"/>
      <c r="K339" s="3"/>
      <c r="L339" s="3"/>
      <c r="M339" s="3"/>
      <c r="N339" s="3"/>
      <c r="O339" s="3"/>
      <c r="P339" s="3"/>
      <c r="Q339" s="3"/>
      <c r="R339" s="3"/>
      <c r="S339" s="3"/>
      <c r="T339" s="3"/>
      <c r="U339" s="3"/>
      <c r="V339" s="3"/>
      <c r="W339" s="3"/>
      <c r="X339" s="3"/>
      <c r="Y339" s="3"/>
      <c r="Z339" s="3"/>
    </row>
    <row r="340" spans="1:26" ht="14.25" customHeight="1">
      <c r="A340" s="1"/>
      <c r="B340" s="1"/>
      <c r="C340" s="1"/>
      <c r="D340" s="1"/>
      <c r="E340" s="136"/>
      <c r="F340" s="12"/>
      <c r="G340" s="145"/>
      <c r="H340" s="145"/>
      <c r="I340" s="3"/>
      <c r="J340" s="3"/>
      <c r="K340" s="3"/>
      <c r="L340" s="3"/>
      <c r="M340" s="3"/>
      <c r="N340" s="3"/>
      <c r="O340" s="3"/>
      <c r="P340" s="3"/>
      <c r="Q340" s="3"/>
      <c r="R340" s="3"/>
      <c r="S340" s="3"/>
      <c r="T340" s="3"/>
      <c r="U340" s="3"/>
      <c r="V340" s="3"/>
      <c r="W340" s="3"/>
      <c r="X340" s="3"/>
      <c r="Y340" s="3"/>
      <c r="Z340" s="3"/>
    </row>
    <row r="341" spans="1:26" ht="14.25" customHeight="1">
      <c r="A341" s="1"/>
      <c r="B341" s="1"/>
      <c r="C341" s="1"/>
      <c r="D341" s="1"/>
      <c r="E341" s="136"/>
      <c r="F341" s="12"/>
      <c r="G341" s="145"/>
      <c r="H341" s="145"/>
      <c r="I341" s="3"/>
      <c r="J341" s="3"/>
      <c r="K341" s="3"/>
      <c r="L341" s="3"/>
      <c r="M341" s="3"/>
      <c r="N341" s="3"/>
      <c r="O341" s="3"/>
      <c r="P341" s="3"/>
      <c r="Q341" s="3"/>
      <c r="R341" s="3"/>
      <c r="S341" s="3"/>
      <c r="T341" s="3"/>
      <c r="U341" s="3"/>
      <c r="V341" s="3"/>
      <c r="W341" s="3"/>
      <c r="X341" s="3"/>
      <c r="Y341" s="3"/>
      <c r="Z341" s="3"/>
    </row>
    <row r="342" spans="1:26" ht="14.25" customHeight="1">
      <c r="A342" s="1"/>
      <c r="B342" s="1"/>
      <c r="C342" s="1"/>
      <c r="D342" s="1"/>
      <c r="E342" s="136"/>
      <c r="F342" s="12"/>
      <c r="G342" s="145"/>
      <c r="H342" s="145"/>
      <c r="I342" s="3"/>
      <c r="J342" s="3"/>
      <c r="K342" s="3"/>
      <c r="L342" s="3"/>
      <c r="M342" s="3"/>
      <c r="N342" s="3"/>
      <c r="O342" s="3"/>
      <c r="P342" s="3"/>
      <c r="Q342" s="3"/>
      <c r="R342" s="3"/>
      <c r="S342" s="3"/>
      <c r="T342" s="3"/>
      <c r="U342" s="3"/>
      <c r="V342" s="3"/>
      <c r="W342" s="3"/>
      <c r="X342" s="3"/>
      <c r="Y342" s="3"/>
      <c r="Z342" s="3"/>
    </row>
    <row r="343" spans="1:26" ht="14.25" customHeight="1">
      <c r="A343" s="1"/>
      <c r="B343" s="1"/>
      <c r="C343" s="1"/>
      <c r="D343" s="1"/>
      <c r="E343" s="136"/>
      <c r="F343" s="12"/>
      <c r="G343" s="145"/>
      <c r="H343" s="145"/>
      <c r="I343" s="3"/>
      <c r="J343" s="3"/>
      <c r="K343" s="3"/>
      <c r="L343" s="3"/>
      <c r="M343" s="3"/>
      <c r="N343" s="3"/>
      <c r="O343" s="3"/>
      <c r="P343" s="3"/>
      <c r="Q343" s="3"/>
      <c r="R343" s="3"/>
      <c r="S343" s="3"/>
      <c r="T343" s="3"/>
      <c r="U343" s="3"/>
      <c r="V343" s="3"/>
      <c r="W343" s="3"/>
      <c r="X343" s="3"/>
      <c r="Y343" s="3"/>
      <c r="Z343" s="3"/>
    </row>
    <row r="344" spans="1:26" ht="14.25" customHeight="1">
      <c r="A344" s="1"/>
      <c r="B344" s="1"/>
      <c r="C344" s="1"/>
      <c r="D344" s="1"/>
      <c r="E344" s="136"/>
      <c r="F344" s="12"/>
      <c r="G344" s="145"/>
      <c r="H344" s="145"/>
      <c r="I344" s="3"/>
      <c r="J344" s="3"/>
      <c r="K344" s="3"/>
      <c r="L344" s="3"/>
      <c r="M344" s="3"/>
      <c r="N344" s="3"/>
      <c r="O344" s="3"/>
      <c r="P344" s="3"/>
      <c r="Q344" s="3"/>
      <c r="R344" s="3"/>
      <c r="S344" s="3"/>
      <c r="T344" s="3"/>
      <c r="U344" s="3"/>
      <c r="V344" s="3"/>
      <c r="W344" s="3"/>
      <c r="X344" s="3"/>
      <c r="Y344" s="3"/>
      <c r="Z344" s="3"/>
    </row>
    <row r="345" spans="1:26" ht="14.25" customHeight="1">
      <c r="A345" s="1"/>
      <c r="B345" s="1"/>
      <c r="C345" s="1"/>
      <c r="D345" s="1"/>
      <c r="E345" s="136"/>
      <c r="F345" s="12"/>
      <c r="G345" s="145"/>
      <c r="H345" s="145"/>
      <c r="I345" s="3"/>
      <c r="J345" s="3"/>
      <c r="K345" s="3"/>
      <c r="L345" s="3"/>
      <c r="M345" s="3"/>
      <c r="N345" s="3"/>
      <c r="O345" s="3"/>
      <c r="P345" s="3"/>
      <c r="Q345" s="3"/>
      <c r="R345" s="3"/>
      <c r="S345" s="3"/>
      <c r="T345" s="3"/>
      <c r="U345" s="3"/>
      <c r="V345" s="3"/>
      <c r="W345" s="3"/>
      <c r="X345" s="3"/>
      <c r="Y345" s="3"/>
      <c r="Z345" s="3"/>
    </row>
    <row r="346" spans="1:26" ht="14.25" customHeight="1">
      <c r="A346" s="1"/>
      <c r="B346" s="1"/>
      <c r="C346" s="1"/>
      <c r="D346" s="1"/>
      <c r="E346" s="136"/>
      <c r="F346" s="12"/>
      <c r="G346" s="145"/>
      <c r="H346" s="145"/>
      <c r="I346" s="3"/>
      <c r="J346" s="3"/>
      <c r="K346" s="3"/>
      <c r="L346" s="3"/>
      <c r="M346" s="3"/>
      <c r="N346" s="3"/>
      <c r="O346" s="3"/>
      <c r="P346" s="3"/>
      <c r="Q346" s="3"/>
      <c r="R346" s="3"/>
      <c r="S346" s="3"/>
      <c r="T346" s="3"/>
      <c r="U346" s="3"/>
      <c r="V346" s="3"/>
      <c r="W346" s="3"/>
      <c r="X346" s="3"/>
      <c r="Y346" s="3"/>
      <c r="Z346" s="3"/>
    </row>
    <row r="347" spans="1:26" ht="14.25" customHeight="1">
      <c r="A347" s="1"/>
      <c r="B347" s="1"/>
      <c r="C347" s="1"/>
      <c r="D347" s="1"/>
      <c r="E347" s="136"/>
      <c r="F347" s="12"/>
      <c r="G347" s="145"/>
      <c r="H347" s="145"/>
      <c r="I347" s="3"/>
      <c r="J347" s="3"/>
      <c r="K347" s="3"/>
      <c r="L347" s="3"/>
      <c r="M347" s="3"/>
      <c r="N347" s="3"/>
      <c r="O347" s="3"/>
      <c r="P347" s="3"/>
      <c r="Q347" s="3"/>
      <c r="R347" s="3"/>
      <c r="S347" s="3"/>
      <c r="T347" s="3"/>
      <c r="U347" s="3"/>
      <c r="V347" s="3"/>
      <c r="W347" s="3"/>
      <c r="X347" s="3"/>
      <c r="Y347" s="3"/>
      <c r="Z347" s="3"/>
    </row>
    <row r="348" spans="1:26" ht="14.25" customHeight="1">
      <c r="A348" s="1"/>
      <c r="B348" s="1"/>
      <c r="C348" s="1"/>
      <c r="D348" s="1"/>
      <c r="E348" s="136"/>
      <c r="F348" s="12"/>
      <c r="G348" s="145"/>
      <c r="H348" s="145"/>
      <c r="I348" s="3"/>
      <c r="J348" s="3"/>
      <c r="K348" s="3"/>
      <c r="L348" s="3"/>
      <c r="M348" s="3"/>
      <c r="N348" s="3"/>
      <c r="O348" s="3"/>
      <c r="P348" s="3"/>
      <c r="Q348" s="3"/>
      <c r="R348" s="3"/>
      <c r="S348" s="3"/>
      <c r="T348" s="3"/>
      <c r="U348" s="3"/>
      <c r="V348" s="3"/>
      <c r="W348" s="3"/>
      <c r="X348" s="3"/>
      <c r="Y348" s="3"/>
      <c r="Z348" s="3"/>
    </row>
    <row r="349" spans="1:26" ht="14.25" customHeight="1">
      <c r="A349" s="1"/>
      <c r="B349" s="1"/>
      <c r="C349" s="1"/>
      <c r="D349" s="1"/>
      <c r="E349" s="136"/>
      <c r="F349" s="12"/>
      <c r="G349" s="145"/>
      <c r="H349" s="145"/>
      <c r="I349" s="3"/>
      <c r="J349" s="3"/>
      <c r="K349" s="3"/>
      <c r="L349" s="3"/>
      <c r="M349" s="3"/>
      <c r="N349" s="3"/>
      <c r="O349" s="3"/>
      <c r="P349" s="3"/>
      <c r="Q349" s="3"/>
      <c r="R349" s="3"/>
      <c r="S349" s="3"/>
      <c r="T349" s="3"/>
      <c r="U349" s="3"/>
      <c r="V349" s="3"/>
      <c r="W349" s="3"/>
      <c r="X349" s="3"/>
      <c r="Y349" s="3"/>
      <c r="Z349" s="3"/>
    </row>
    <row r="350" spans="1:26" ht="14.25" customHeight="1">
      <c r="A350" s="1"/>
      <c r="B350" s="1"/>
      <c r="C350" s="1"/>
      <c r="D350" s="1"/>
      <c r="E350" s="136"/>
      <c r="F350" s="12"/>
      <c r="G350" s="145"/>
      <c r="H350" s="145"/>
      <c r="I350" s="3"/>
      <c r="J350" s="3"/>
      <c r="K350" s="3"/>
      <c r="L350" s="3"/>
      <c r="M350" s="3"/>
      <c r="N350" s="3"/>
      <c r="O350" s="3"/>
      <c r="P350" s="3"/>
      <c r="Q350" s="3"/>
      <c r="R350" s="3"/>
      <c r="S350" s="3"/>
      <c r="T350" s="3"/>
      <c r="U350" s="3"/>
      <c r="V350" s="3"/>
      <c r="W350" s="3"/>
      <c r="X350" s="3"/>
      <c r="Y350" s="3"/>
      <c r="Z350" s="3"/>
    </row>
    <row r="351" spans="1:26" ht="14.25" customHeight="1">
      <c r="A351" s="1"/>
      <c r="B351" s="1"/>
      <c r="C351" s="1"/>
      <c r="D351" s="1"/>
      <c r="E351" s="136"/>
      <c r="F351" s="12"/>
      <c r="G351" s="145"/>
      <c r="H351" s="145"/>
      <c r="I351" s="3"/>
      <c r="J351" s="3"/>
      <c r="K351" s="3"/>
      <c r="L351" s="3"/>
      <c r="M351" s="3"/>
      <c r="N351" s="3"/>
      <c r="O351" s="3"/>
      <c r="P351" s="3"/>
      <c r="Q351" s="3"/>
      <c r="R351" s="3"/>
      <c r="S351" s="3"/>
      <c r="T351" s="3"/>
      <c r="U351" s="3"/>
      <c r="V351" s="3"/>
      <c r="W351" s="3"/>
      <c r="X351" s="3"/>
      <c r="Y351" s="3"/>
      <c r="Z351" s="3"/>
    </row>
    <row r="352" spans="1:26" ht="14.25" customHeight="1">
      <c r="A352" s="1"/>
      <c r="B352" s="1"/>
      <c r="C352" s="1"/>
      <c r="D352" s="1"/>
      <c r="E352" s="136"/>
      <c r="F352" s="12"/>
      <c r="G352" s="145"/>
      <c r="H352" s="145"/>
      <c r="I352" s="3"/>
      <c r="J352" s="3"/>
      <c r="K352" s="3"/>
      <c r="L352" s="3"/>
      <c r="M352" s="3"/>
      <c r="N352" s="3"/>
      <c r="O352" s="3"/>
      <c r="P352" s="3"/>
      <c r="Q352" s="3"/>
      <c r="R352" s="3"/>
      <c r="S352" s="3"/>
      <c r="T352" s="3"/>
      <c r="U352" s="3"/>
      <c r="V352" s="3"/>
      <c r="W352" s="3"/>
      <c r="X352" s="3"/>
      <c r="Y352" s="3"/>
      <c r="Z352" s="3"/>
    </row>
    <row r="353" spans="1:26" ht="14.25" customHeight="1">
      <c r="A353" s="1"/>
      <c r="B353" s="1"/>
      <c r="C353" s="1"/>
      <c r="D353" s="1"/>
      <c r="E353" s="136"/>
      <c r="F353" s="12"/>
      <c r="G353" s="145"/>
      <c r="H353" s="145"/>
      <c r="I353" s="3"/>
      <c r="J353" s="3"/>
      <c r="K353" s="3"/>
      <c r="L353" s="3"/>
      <c r="M353" s="3"/>
      <c r="N353" s="3"/>
      <c r="O353" s="3"/>
      <c r="P353" s="3"/>
      <c r="Q353" s="3"/>
      <c r="R353" s="3"/>
      <c r="S353" s="3"/>
      <c r="T353" s="3"/>
      <c r="U353" s="3"/>
      <c r="V353" s="3"/>
      <c r="W353" s="3"/>
      <c r="X353" s="3"/>
      <c r="Y353" s="3"/>
      <c r="Z353" s="3"/>
    </row>
    <row r="354" spans="1:26" ht="14.25" customHeight="1">
      <c r="A354" s="1"/>
      <c r="B354" s="1"/>
      <c r="C354" s="1"/>
      <c r="D354" s="1"/>
      <c r="E354" s="136"/>
      <c r="F354" s="12"/>
      <c r="G354" s="145"/>
      <c r="H354" s="145"/>
      <c r="I354" s="3"/>
      <c r="J354" s="3"/>
      <c r="K354" s="3"/>
      <c r="L354" s="3"/>
      <c r="M354" s="3"/>
      <c r="N354" s="3"/>
      <c r="O354" s="3"/>
      <c r="P354" s="3"/>
      <c r="Q354" s="3"/>
      <c r="R354" s="3"/>
      <c r="S354" s="3"/>
      <c r="T354" s="3"/>
      <c r="U354" s="3"/>
      <c r="V354" s="3"/>
      <c r="W354" s="3"/>
      <c r="X354" s="3"/>
      <c r="Y354" s="3"/>
      <c r="Z354" s="3"/>
    </row>
    <row r="355" spans="1:26" ht="14.25" customHeight="1">
      <c r="A355" s="1"/>
      <c r="B355" s="1"/>
      <c r="C355" s="1"/>
      <c r="D355" s="1"/>
      <c r="E355" s="136"/>
      <c r="F355" s="12"/>
      <c r="G355" s="145"/>
      <c r="H355" s="145"/>
      <c r="I355" s="3"/>
      <c r="J355" s="3"/>
      <c r="K355" s="3"/>
      <c r="L355" s="3"/>
      <c r="M355" s="3"/>
      <c r="N355" s="3"/>
      <c r="O355" s="3"/>
      <c r="P355" s="3"/>
      <c r="Q355" s="3"/>
      <c r="R355" s="3"/>
      <c r="S355" s="3"/>
      <c r="T355" s="3"/>
      <c r="U355" s="3"/>
      <c r="V355" s="3"/>
      <c r="W355" s="3"/>
      <c r="X355" s="3"/>
      <c r="Y355" s="3"/>
      <c r="Z355" s="3"/>
    </row>
    <row r="356" spans="1:26" ht="14.25" customHeight="1">
      <c r="A356" s="1"/>
      <c r="B356" s="1"/>
      <c r="C356" s="1"/>
      <c r="D356" s="1"/>
      <c r="E356" s="136"/>
      <c r="F356" s="12"/>
      <c r="G356" s="145"/>
      <c r="H356" s="145"/>
      <c r="I356" s="3"/>
      <c r="J356" s="3"/>
      <c r="K356" s="3"/>
      <c r="L356" s="3"/>
      <c r="M356" s="3"/>
      <c r="N356" s="3"/>
      <c r="O356" s="3"/>
      <c r="P356" s="3"/>
      <c r="Q356" s="3"/>
      <c r="R356" s="3"/>
      <c r="S356" s="3"/>
      <c r="T356" s="3"/>
      <c r="U356" s="3"/>
      <c r="V356" s="3"/>
      <c r="W356" s="3"/>
      <c r="X356" s="3"/>
      <c r="Y356" s="3"/>
      <c r="Z356" s="3"/>
    </row>
    <row r="357" spans="1:26" ht="14.25" customHeight="1">
      <c r="A357" s="1"/>
      <c r="B357" s="1"/>
      <c r="C357" s="1"/>
      <c r="D357" s="1"/>
      <c r="E357" s="136"/>
      <c r="F357" s="12"/>
      <c r="G357" s="145"/>
      <c r="H357" s="145"/>
      <c r="I357" s="3"/>
      <c r="J357" s="3"/>
      <c r="K357" s="3"/>
      <c r="L357" s="3"/>
      <c r="M357" s="3"/>
      <c r="N357" s="3"/>
      <c r="O357" s="3"/>
      <c r="P357" s="3"/>
      <c r="Q357" s="3"/>
      <c r="R357" s="3"/>
      <c r="S357" s="3"/>
      <c r="T357" s="3"/>
      <c r="U357" s="3"/>
      <c r="V357" s="3"/>
      <c r="W357" s="3"/>
      <c r="X357" s="3"/>
      <c r="Y357" s="3"/>
      <c r="Z357" s="3"/>
    </row>
    <row r="358" spans="1:26" ht="14.25" customHeight="1">
      <c r="A358" s="1"/>
      <c r="B358" s="1"/>
      <c r="C358" s="1"/>
      <c r="D358" s="1"/>
      <c r="E358" s="136"/>
      <c r="F358" s="12"/>
      <c r="G358" s="145"/>
      <c r="H358" s="145"/>
      <c r="I358" s="3"/>
      <c r="J358" s="3"/>
      <c r="K358" s="3"/>
      <c r="L358" s="3"/>
      <c r="M358" s="3"/>
      <c r="N358" s="3"/>
      <c r="O358" s="3"/>
      <c r="P358" s="3"/>
      <c r="Q358" s="3"/>
      <c r="R358" s="3"/>
      <c r="S358" s="3"/>
      <c r="T358" s="3"/>
      <c r="U358" s="3"/>
      <c r="V358" s="3"/>
      <c r="W358" s="3"/>
      <c r="X358" s="3"/>
      <c r="Y358" s="3"/>
      <c r="Z358" s="3"/>
    </row>
    <row r="359" spans="1:26" ht="14.25" customHeight="1">
      <c r="A359" s="1"/>
      <c r="B359" s="1"/>
      <c r="C359" s="1"/>
      <c r="D359" s="1"/>
      <c r="E359" s="136"/>
      <c r="F359" s="12"/>
      <c r="G359" s="145"/>
      <c r="H359" s="145"/>
      <c r="I359" s="3"/>
      <c r="J359" s="3"/>
      <c r="K359" s="3"/>
      <c r="L359" s="3"/>
      <c r="M359" s="3"/>
      <c r="N359" s="3"/>
      <c r="O359" s="3"/>
      <c r="P359" s="3"/>
      <c r="Q359" s="3"/>
      <c r="R359" s="3"/>
      <c r="S359" s="3"/>
      <c r="T359" s="3"/>
      <c r="U359" s="3"/>
      <c r="V359" s="3"/>
      <c r="W359" s="3"/>
      <c r="X359" s="3"/>
      <c r="Y359" s="3"/>
      <c r="Z359" s="3"/>
    </row>
    <row r="360" spans="1:26" ht="14.25" customHeight="1">
      <c r="A360" s="1"/>
      <c r="B360" s="1"/>
      <c r="C360" s="1"/>
      <c r="D360" s="1"/>
      <c r="E360" s="136"/>
      <c r="F360" s="12"/>
      <c r="G360" s="145"/>
      <c r="H360" s="145"/>
      <c r="I360" s="3"/>
      <c r="J360" s="3"/>
      <c r="K360" s="3"/>
      <c r="L360" s="3"/>
      <c r="M360" s="3"/>
      <c r="N360" s="3"/>
      <c r="O360" s="3"/>
      <c r="P360" s="3"/>
      <c r="Q360" s="3"/>
      <c r="R360" s="3"/>
      <c r="S360" s="3"/>
      <c r="T360" s="3"/>
      <c r="U360" s="3"/>
      <c r="V360" s="3"/>
      <c r="W360" s="3"/>
      <c r="X360" s="3"/>
      <c r="Y360" s="3"/>
      <c r="Z360" s="3"/>
    </row>
    <row r="361" spans="1:26" ht="14.25" customHeight="1">
      <c r="A361" s="1"/>
      <c r="B361" s="1"/>
      <c r="C361" s="1"/>
      <c r="D361" s="1"/>
      <c r="E361" s="136"/>
      <c r="F361" s="12"/>
      <c r="G361" s="145"/>
      <c r="H361" s="145"/>
      <c r="I361" s="3"/>
      <c r="J361" s="3"/>
      <c r="K361" s="3"/>
      <c r="L361" s="3"/>
      <c r="M361" s="3"/>
      <c r="N361" s="3"/>
      <c r="O361" s="3"/>
      <c r="P361" s="3"/>
      <c r="Q361" s="3"/>
      <c r="R361" s="3"/>
      <c r="S361" s="3"/>
      <c r="T361" s="3"/>
      <c r="U361" s="3"/>
      <c r="V361" s="3"/>
      <c r="W361" s="3"/>
      <c r="X361" s="3"/>
      <c r="Y361" s="3"/>
      <c r="Z361" s="3"/>
    </row>
    <row r="362" spans="1:26" ht="14.25" customHeight="1">
      <c r="A362" s="1"/>
      <c r="B362" s="1"/>
      <c r="C362" s="1"/>
      <c r="D362" s="1"/>
      <c r="E362" s="136"/>
      <c r="F362" s="12"/>
      <c r="G362" s="145"/>
      <c r="H362" s="145"/>
      <c r="I362" s="3"/>
      <c r="J362" s="3"/>
      <c r="K362" s="3"/>
      <c r="L362" s="3"/>
      <c r="M362" s="3"/>
      <c r="N362" s="3"/>
      <c r="O362" s="3"/>
      <c r="P362" s="3"/>
      <c r="Q362" s="3"/>
      <c r="R362" s="3"/>
      <c r="S362" s="3"/>
      <c r="T362" s="3"/>
      <c r="U362" s="3"/>
      <c r="V362" s="3"/>
      <c r="W362" s="3"/>
      <c r="X362" s="3"/>
      <c r="Y362" s="3"/>
      <c r="Z362" s="3"/>
    </row>
    <row r="363" spans="1:26" ht="14.25" customHeight="1">
      <c r="A363" s="1"/>
      <c r="B363" s="1"/>
      <c r="C363" s="1"/>
      <c r="D363" s="1"/>
      <c r="E363" s="136"/>
      <c r="F363" s="12"/>
      <c r="G363" s="145"/>
      <c r="H363" s="145"/>
      <c r="I363" s="3"/>
      <c r="J363" s="3"/>
      <c r="K363" s="3"/>
      <c r="L363" s="3"/>
      <c r="M363" s="3"/>
      <c r="N363" s="3"/>
      <c r="O363" s="3"/>
      <c r="P363" s="3"/>
      <c r="Q363" s="3"/>
      <c r="R363" s="3"/>
      <c r="S363" s="3"/>
      <c r="T363" s="3"/>
      <c r="U363" s="3"/>
      <c r="V363" s="3"/>
      <c r="W363" s="3"/>
      <c r="X363" s="3"/>
      <c r="Y363" s="3"/>
      <c r="Z363" s="3"/>
    </row>
    <row r="364" spans="1:26" ht="14.25" customHeight="1">
      <c r="A364" s="1"/>
      <c r="B364" s="1"/>
      <c r="C364" s="1"/>
      <c r="D364" s="1"/>
      <c r="E364" s="136"/>
      <c r="F364" s="12"/>
      <c r="G364" s="145"/>
      <c r="H364" s="145"/>
      <c r="I364" s="3"/>
      <c r="J364" s="3"/>
      <c r="K364" s="3"/>
      <c r="L364" s="3"/>
      <c r="M364" s="3"/>
      <c r="N364" s="3"/>
      <c r="O364" s="3"/>
      <c r="P364" s="3"/>
      <c r="Q364" s="3"/>
      <c r="R364" s="3"/>
      <c r="S364" s="3"/>
      <c r="T364" s="3"/>
      <c r="U364" s="3"/>
      <c r="V364" s="3"/>
      <c r="W364" s="3"/>
      <c r="X364" s="3"/>
      <c r="Y364" s="3"/>
      <c r="Z364" s="3"/>
    </row>
    <row r="365" spans="1:26" ht="14.25" customHeight="1">
      <c r="A365" s="1"/>
      <c r="B365" s="1"/>
      <c r="C365" s="1"/>
      <c r="D365" s="1"/>
      <c r="E365" s="136"/>
      <c r="F365" s="12"/>
      <c r="G365" s="145"/>
      <c r="H365" s="145"/>
      <c r="I365" s="3"/>
      <c r="J365" s="3"/>
      <c r="K365" s="3"/>
      <c r="L365" s="3"/>
      <c r="M365" s="3"/>
      <c r="N365" s="3"/>
      <c r="O365" s="3"/>
      <c r="P365" s="3"/>
      <c r="Q365" s="3"/>
      <c r="R365" s="3"/>
      <c r="S365" s="3"/>
      <c r="T365" s="3"/>
      <c r="U365" s="3"/>
      <c r="V365" s="3"/>
      <c r="W365" s="3"/>
      <c r="X365" s="3"/>
      <c r="Y365" s="3"/>
      <c r="Z365" s="3"/>
    </row>
    <row r="366" spans="1:26" ht="14.25" customHeight="1">
      <c r="A366" s="1"/>
      <c r="B366" s="1"/>
      <c r="C366" s="1"/>
      <c r="D366" s="1"/>
      <c r="E366" s="136"/>
      <c r="F366" s="12"/>
      <c r="G366" s="145"/>
      <c r="H366" s="145"/>
      <c r="I366" s="3"/>
      <c r="J366" s="3"/>
      <c r="K366" s="3"/>
      <c r="L366" s="3"/>
      <c r="M366" s="3"/>
      <c r="N366" s="3"/>
      <c r="O366" s="3"/>
      <c r="P366" s="3"/>
      <c r="Q366" s="3"/>
      <c r="R366" s="3"/>
      <c r="S366" s="3"/>
      <c r="T366" s="3"/>
      <c r="U366" s="3"/>
      <c r="V366" s="3"/>
      <c r="W366" s="3"/>
      <c r="X366" s="3"/>
      <c r="Y366" s="3"/>
      <c r="Z366" s="3"/>
    </row>
    <row r="367" spans="1:26" ht="14.25" customHeight="1">
      <c r="A367" s="1"/>
      <c r="B367" s="1"/>
      <c r="C367" s="1"/>
      <c r="D367" s="1"/>
      <c r="E367" s="136"/>
      <c r="F367" s="12"/>
      <c r="G367" s="145"/>
      <c r="H367" s="145"/>
      <c r="I367" s="3"/>
      <c r="J367" s="3"/>
      <c r="K367" s="3"/>
      <c r="L367" s="3"/>
      <c r="M367" s="3"/>
      <c r="N367" s="3"/>
      <c r="O367" s="3"/>
      <c r="P367" s="3"/>
      <c r="Q367" s="3"/>
      <c r="R367" s="3"/>
      <c r="S367" s="3"/>
      <c r="T367" s="3"/>
      <c r="U367" s="3"/>
      <c r="V367" s="3"/>
      <c r="W367" s="3"/>
      <c r="X367" s="3"/>
      <c r="Y367" s="3"/>
      <c r="Z367" s="3"/>
    </row>
    <row r="368" spans="1:26" ht="14.25" customHeight="1">
      <c r="A368" s="1"/>
      <c r="B368" s="1"/>
      <c r="C368" s="1"/>
      <c r="D368" s="1"/>
      <c r="E368" s="136"/>
      <c r="F368" s="12"/>
      <c r="G368" s="145"/>
      <c r="H368" s="145"/>
      <c r="I368" s="3"/>
      <c r="J368" s="3"/>
      <c r="K368" s="3"/>
      <c r="L368" s="3"/>
      <c r="M368" s="3"/>
      <c r="N368" s="3"/>
      <c r="O368" s="3"/>
      <c r="P368" s="3"/>
      <c r="Q368" s="3"/>
      <c r="R368" s="3"/>
      <c r="S368" s="3"/>
      <c r="T368" s="3"/>
      <c r="U368" s="3"/>
      <c r="V368" s="3"/>
      <c r="W368" s="3"/>
      <c r="X368" s="3"/>
      <c r="Y368" s="3"/>
      <c r="Z368" s="3"/>
    </row>
    <row r="369" spans="1:26" ht="14.25" customHeight="1">
      <c r="A369" s="1"/>
      <c r="B369" s="1"/>
      <c r="C369" s="1"/>
      <c r="D369" s="1"/>
      <c r="E369" s="136"/>
      <c r="F369" s="12"/>
      <c r="G369" s="145"/>
      <c r="H369" s="145"/>
      <c r="I369" s="3"/>
      <c r="J369" s="3"/>
      <c r="K369" s="3"/>
      <c r="L369" s="3"/>
      <c r="M369" s="3"/>
      <c r="N369" s="3"/>
      <c r="O369" s="3"/>
      <c r="P369" s="3"/>
      <c r="Q369" s="3"/>
      <c r="R369" s="3"/>
      <c r="S369" s="3"/>
      <c r="T369" s="3"/>
      <c r="U369" s="3"/>
      <c r="V369" s="3"/>
      <c r="W369" s="3"/>
      <c r="X369" s="3"/>
      <c r="Y369" s="3"/>
      <c r="Z369" s="3"/>
    </row>
    <row r="370" spans="1:26" ht="14.25" customHeight="1">
      <c r="A370" s="1"/>
      <c r="B370" s="1"/>
      <c r="C370" s="1"/>
      <c r="D370" s="1"/>
      <c r="E370" s="136"/>
      <c r="F370" s="12"/>
      <c r="G370" s="145"/>
      <c r="H370" s="145"/>
      <c r="I370" s="3"/>
      <c r="J370" s="3"/>
      <c r="K370" s="3"/>
      <c r="L370" s="3"/>
      <c r="M370" s="3"/>
      <c r="N370" s="3"/>
      <c r="O370" s="3"/>
      <c r="P370" s="3"/>
      <c r="Q370" s="3"/>
      <c r="R370" s="3"/>
      <c r="S370" s="3"/>
      <c r="T370" s="3"/>
      <c r="U370" s="3"/>
      <c r="V370" s="3"/>
      <c r="W370" s="3"/>
      <c r="X370" s="3"/>
      <c r="Y370" s="3"/>
      <c r="Z370" s="3"/>
    </row>
    <row r="371" spans="1:26" ht="14.25" customHeight="1">
      <c r="A371" s="1"/>
      <c r="B371" s="1"/>
      <c r="C371" s="1"/>
      <c r="D371" s="1"/>
      <c r="E371" s="136"/>
      <c r="F371" s="12"/>
      <c r="G371" s="145"/>
      <c r="H371" s="145"/>
      <c r="I371" s="3"/>
      <c r="J371" s="3"/>
      <c r="K371" s="3"/>
      <c r="L371" s="3"/>
      <c r="M371" s="3"/>
      <c r="N371" s="3"/>
      <c r="O371" s="3"/>
      <c r="P371" s="3"/>
      <c r="Q371" s="3"/>
      <c r="R371" s="3"/>
      <c r="S371" s="3"/>
      <c r="T371" s="3"/>
      <c r="U371" s="3"/>
      <c r="V371" s="3"/>
      <c r="W371" s="3"/>
      <c r="X371" s="3"/>
      <c r="Y371" s="3"/>
      <c r="Z371" s="3"/>
    </row>
    <row r="372" spans="1:26" ht="14.25" customHeight="1">
      <c r="A372" s="1"/>
      <c r="B372" s="1"/>
      <c r="C372" s="1"/>
      <c r="D372" s="1"/>
      <c r="E372" s="136"/>
      <c r="F372" s="12"/>
      <c r="G372" s="145"/>
      <c r="H372" s="145"/>
      <c r="I372" s="3"/>
      <c r="J372" s="3"/>
      <c r="K372" s="3"/>
      <c r="L372" s="3"/>
      <c r="M372" s="3"/>
      <c r="N372" s="3"/>
      <c r="O372" s="3"/>
      <c r="P372" s="3"/>
      <c r="Q372" s="3"/>
      <c r="R372" s="3"/>
      <c r="S372" s="3"/>
      <c r="T372" s="3"/>
      <c r="U372" s="3"/>
      <c r="V372" s="3"/>
      <c r="W372" s="3"/>
      <c r="X372" s="3"/>
      <c r="Y372" s="3"/>
      <c r="Z372" s="3"/>
    </row>
    <row r="373" spans="1:26" ht="14.25" customHeight="1">
      <c r="A373" s="1"/>
      <c r="B373" s="1"/>
      <c r="C373" s="1"/>
      <c r="D373" s="1"/>
      <c r="E373" s="136"/>
      <c r="F373" s="12"/>
      <c r="G373" s="145"/>
      <c r="H373" s="145"/>
      <c r="I373" s="3"/>
      <c r="J373" s="3"/>
      <c r="K373" s="3"/>
      <c r="L373" s="3"/>
      <c r="M373" s="3"/>
      <c r="N373" s="3"/>
      <c r="O373" s="3"/>
      <c r="P373" s="3"/>
      <c r="Q373" s="3"/>
      <c r="R373" s="3"/>
      <c r="S373" s="3"/>
      <c r="T373" s="3"/>
      <c r="U373" s="3"/>
      <c r="V373" s="3"/>
      <c r="W373" s="3"/>
      <c r="X373" s="3"/>
      <c r="Y373" s="3"/>
      <c r="Z373" s="3"/>
    </row>
    <row r="374" spans="1:26" ht="14.25" customHeight="1">
      <c r="A374" s="1"/>
      <c r="B374" s="1"/>
      <c r="C374" s="1"/>
      <c r="D374" s="1"/>
      <c r="E374" s="136"/>
      <c r="F374" s="12"/>
      <c r="G374" s="145"/>
      <c r="H374" s="145"/>
      <c r="I374" s="3"/>
      <c r="J374" s="3"/>
      <c r="K374" s="3"/>
      <c r="L374" s="3"/>
      <c r="M374" s="3"/>
      <c r="N374" s="3"/>
      <c r="O374" s="3"/>
      <c r="P374" s="3"/>
      <c r="Q374" s="3"/>
      <c r="R374" s="3"/>
      <c r="S374" s="3"/>
      <c r="T374" s="3"/>
      <c r="U374" s="3"/>
      <c r="V374" s="3"/>
      <c r="W374" s="3"/>
      <c r="X374" s="3"/>
      <c r="Y374" s="3"/>
      <c r="Z374" s="3"/>
    </row>
    <row r="375" spans="1:26" ht="14.25" customHeight="1">
      <c r="A375" s="1"/>
      <c r="B375" s="1"/>
      <c r="C375" s="1"/>
      <c r="D375" s="1"/>
      <c r="E375" s="136"/>
      <c r="F375" s="12"/>
      <c r="G375" s="145"/>
      <c r="H375" s="145"/>
      <c r="I375" s="3"/>
      <c r="J375" s="3"/>
      <c r="K375" s="3"/>
      <c r="L375" s="3"/>
      <c r="M375" s="3"/>
      <c r="N375" s="3"/>
      <c r="O375" s="3"/>
      <c r="P375" s="3"/>
      <c r="Q375" s="3"/>
      <c r="R375" s="3"/>
      <c r="S375" s="3"/>
      <c r="T375" s="3"/>
      <c r="U375" s="3"/>
      <c r="V375" s="3"/>
      <c r="W375" s="3"/>
      <c r="X375" s="3"/>
      <c r="Y375" s="3"/>
      <c r="Z375" s="3"/>
    </row>
    <row r="376" spans="1:26" ht="14.25" customHeight="1">
      <c r="A376" s="1"/>
      <c r="B376" s="1"/>
      <c r="C376" s="1"/>
      <c r="D376" s="1"/>
      <c r="E376" s="136"/>
      <c r="F376" s="12"/>
      <c r="G376" s="145"/>
      <c r="H376" s="145"/>
      <c r="I376" s="3"/>
      <c r="J376" s="3"/>
      <c r="K376" s="3"/>
      <c r="L376" s="3"/>
      <c r="M376" s="3"/>
      <c r="N376" s="3"/>
      <c r="O376" s="3"/>
      <c r="P376" s="3"/>
      <c r="Q376" s="3"/>
      <c r="R376" s="3"/>
      <c r="S376" s="3"/>
      <c r="T376" s="3"/>
      <c r="U376" s="3"/>
      <c r="V376" s="3"/>
      <c r="W376" s="3"/>
      <c r="X376" s="3"/>
      <c r="Y376" s="3"/>
      <c r="Z376" s="3"/>
    </row>
    <row r="377" spans="1:26" ht="14.25" customHeight="1">
      <c r="A377" s="1"/>
      <c r="B377" s="1"/>
      <c r="C377" s="1"/>
      <c r="D377" s="1"/>
      <c r="E377" s="136"/>
      <c r="F377" s="12"/>
      <c r="G377" s="145"/>
      <c r="H377" s="145"/>
      <c r="I377" s="3"/>
      <c r="J377" s="3"/>
      <c r="K377" s="3"/>
      <c r="L377" s="3"/>
      <c r="M377" s="3"/>
      <c r="N377" s="3"/>
      <c r="O377" s="3"/>
      <c r="P377" s="3"/>
      <c r="Q377" s="3"/>
      <c r="R377" s="3"/>
      <c r="S377" s="3"/>
      <c r="T377" s="3"/>
      <c r="U377" s="3"/>
      <c r="V377" s="3"/>
      <c r="W377" s="3"/>
      <c r="X377" s="3"/>
      <c r="Y377" s="3"/>
      <c r="Z377" s="3"/>
    </row>
    <row r="378" spans="1:26" ht="14.25" customHeight="1">
      <c r="A378" s="1"/>
      <c r="B378" s="1"/>
      <c r="C378" s="1"/>
      <c r="D378" s="1"/>
      <c r="E378" s="136"/>
      <c r="F378" s="12"/>
      <c r="G378" s="145"/>
      <c r="H378" s="145"/>
      <c r="I378" s="3"/>
      <c r="J378" s="3"/>
      <c r="K378" s="3"/>
      <c r="L378" s="3"/>
      <c r="M378" s="3"/>
      <c r="N378" s="3"/>
      <c r="O378" s="3"/>
      <c r="P378" s="3"/>
      <c r="Q378" s="3"/>
      <c r="R378" s="3"/>
      <c r="S378" s="3"/>
      <c r="T378" s="3"/>
      <c r="U378" s="3"/>
      <c r="V378" s="3"/>
      <c r="W378" s="3"/>
      <c r="X378" s="3"/>
      <c r="Y378" s="3"/>
      <c r="Z378" s="3"/>
    </row>
    <row r="379" spans="1:26" ht="14.25" customHeight="1">
      <c r="A379" s="1"/>
      <c r="B379" s="1"/>
      <c r="C379" s="1"/>
      <c r="D379" s="1"/>
      <c r="E379" s="136"/>
      <c r="F379" s="12"/>
      <c r="G379" s="145"/>
      <c r="H379" s="145"/>
      <c r="I379" s="3"/>
      <c r="J379" s="3"/>
      <c r="K379" s="3"/>
      <c r="L379" s="3"/>
      <c r="M379" s="3"/>
      <c r="N379" s="3"/>
      <c r="O379" s="3"/>
      <c r="P379" s="3"/>
      <c r="Q379" s="3"/>
      <c r="R379" s="3"/>
      <c r="S379" s="3"/>
      <c r="T379" s="3"/>
      <c r="U379" s="3"/>
      <c r="V379" s="3"/>
      <c r="W379" s="3"/>
      <c r="X379" s="3"/>
      <c r="Y379" s="3"/>
      <c r="Z379" s="3"/>
    </row>
    <row r="380" spans="1:26" ht="14.25" customHeight="1">
      <c r="A380" s="1"/>
      <c r="B380" s="1"/>
      <c r="C380" s="1"/>
      <c r="D380" s="1"/>
      <c r="E380" s="136"/>
      <c r="F380" s="12"/>
      <c r="G380" s="145"/>
      <c r="H380" s="145"/>
      <c r="I380" s="3"/>
      <c r="J380" s="3"/>
      <c r="K380" s="3"/>
      <c r="L380" s="3"/>
      <c r="M380" s="3"/>
      <c r="N380" s="3"/>
      <c r="O380" s="3"/>
      <c r="P380" s="3"/>
      <c r="Q380" s="3"/>
      <c r="R380" s="3"/>
      <c r="S380" s="3"/>
      <c r="T380" s="3"/>
      <c r="U380" s="3"/>
      <c r="V380" s="3"/>
      <c r="W380" s="3"/>
      <c r="X380" s="3"/>
      <c r="Y380" s="3"/>
      <c r="Z380" s="3"/>
    </row>
    <row r="381" spans="1:26" ht="14.25" customHeight="1">
      <c r="A381" s="1"/>
      <c r="B381" s="1"/>
      <c r="C381" s="1"/>
      <c r="D381" s="1"/>
      <c r="E381" s="136"/>
      <c r="F381" s="12"/>
      <c r="G381" s="145"/>
      <c r="H381" s="145"/>
      <c r="I381" s="3"/>
      <c r="J381" s="3"/>
      <c r="K381" s="3"/>
      <c r="L381" s="3"/>
      <c r="M381" s="3"/>
      <c r="N381" s="3"/>
      <c r="O381" s="3"/>
      <c r="P381" s="3"/>
      <c r="Q381" s="3"/>
      <c r="R381" s="3"/>
      <c r="S381" s="3"/>
      <c r="T381" s="3"/>
      <c r="U381" s="3"/>
      <c r="V381" s="3"/>
      <c r="W381" s="3"/>
      <c r="X381" s="3"/>
      <c r="Y381" s="3"/>
      <c r="Z381" s="3"/>
    </row>
    <row r="382" spans="1:26" ht="14.25" customHeight="1">
      <c r="A382" s="1"/>
      <c r="B382" s="1"/>
      <c r="C382" s="1"/>
      <c r="D382" s="1"/>
      <c r="E382" s="136"/>
      <c r="F382" s="12"/>
      <c r="G382" s="145"/>
      <c r="H382" s="145"/>
      <c r="I382" s="3"/>
      <c r="J382" s="3"/>
      <c r="K382" s="3"/>
      <c r="L382" s="3"/>
      <c r="M382" s="3"/>
      <c r="N382" s="3"/>
      <c r="O382" s="3"/>
      <c r="P382" s="3"/>
      <c r="Q382" s="3"/>
      <c r="R382" s="3"/>
      <c r="S382" s="3"/>
      <c r="T382" s="3"/>
      <c r="U382" s="3"/>
      <c r="V382" s="3"/>
      <c r="W382" s="3"/>
      <c r="X382" s="3"/>
      <c r="Y382" s="3"/>
      <c r="Z382" s="3"/>
    </row>
    <row r="383" spans="1:26" ht="14.25" customHeight="1">
      <c r="A383" s="1"/>
      <c r="B383" s="1"/>
      <c r="C383" s="1"/>
      <c r="D383" s="1"/>
      <c r="E383" s="136"/>
      <c r="F383" s="12"/>
      <c r="G383" s="145"/>
      <c r="H383" s="145"/>
      <c r="I383" s="3"/>
      <c r="J383" s="3"/>
      <c r="K383" s="3"/>
      <c r="L383" s="3"/>
      <c r="M383" s="3"/>
      <c r="N383" s="3"/>
      <c r="O383" s="3"/>
      <c r="P383" s="3"/>
      <c r="Q383" s="3"/>
      <c r="R383" s="3"/>
      <c r="S383" s="3"/>
      <c r="T383" s="3"/>
      <c r="U383" s="3"/>
      <c r="V383" s="3"/>
      <c r="W383" s="3"/>
      <c r="X383" s="3"/>
      <c r="Y383" s="3"/>
      <c r="Z383" s="3"/>
    </row>
    <row r="384" spans="1:26" ht="14.25" customHeight="1">
      <c r="A384" s="1"/>
      <c r="B384" s="1"/>
      <c r="C384" s="1"/>
      <c r="D384" s="1"/>
      <c r="E384" s="136"/>
      <c r="F384" s="12"/>
      <c r="G384" s="145"/>
      <c r="H384" s="145"/>
      <c r="I384" s="3"/>
      <c r="J384" s="3"/>
      <c r="K384" s="3"/>
      <c r="L384" s="3"/>
      <c r="M384" s="3"/>
      <c r="N384" s="3"/>
      <c r="O384" s="3"/>
      <c r="P384" s="3"/>
      <c r="Q384" s="3"/>
      <c r="R384" s="3"/>
      <c r="S384" s="3"/>
      <c r="T384" s="3"/>
      <c r="U384" s="3"/>
      <c r="V384" s="3"/>
      <c r="W384" s="3"/>
      <c r="X384" s="3"/>
      <c r="Y384" s="3"/>
      <c r="Z384" s="3"/>
    </row>
    <row r="385" spans="1:26" ht="14.25" customHeight="1">
      <c r="A385" s="1"/>
      <c r="B385" s="1"/>
      <c r="C385" s="1"/>
      <c r="D385" s="1"/>
      <c r="E385" s="136"/>
      <c r="F385" s="12"/>
      <c r="G385" s="145"/>
      <c r="H385" s="145"/>
      <c r="I385" s="3"/>
      <c r="J385" s="3"/>
      <c r="K385" s="3"/>
      <c r="L385" s="3"/>
      <c r="M385" s="3"/>
      <c r="N385" s="3"/>
      <c r="O385" s="3"/>
      <c r="P385" s="3"/>
      <c r="Q385" s="3"/>
      <c r="R385" s="3"/>
      <c r="S385" s="3"/>
      <c r="T385" s="3"/>
      <c r="U385" s="3"/>
      <c r="V385" s="3"/>
      <c r="W385" s="3"/>
      <c r="X385" s="3"/>
      <c r="Y385" s="3"/>
      <c r="Z385" s="3"/>
    </row>
    <row r="386" spans="1:26" ht="14.25" customHeight="1">
      <c r="A386" s="1"/>
      <c r="B386" s="1"/>
      <c r="C386" s="1"/>
      <c r="D386" s="1"/>
      <c r="E386" s="136"/>
      <c r="F386" s="12"/>
      <c r="G386" s="145"/>
      <c r="H386" s="145"/>
      <c r="I386" s="3"/>
      <c r="J386" s="3"/>
      <c r="K386" s="3"/>
      <c r="L386" s="3"/>
      <c r="M386" s="3"/>
      <c r="N386" s="3"/>
      <c r="O386" s="3"/>
      <c r="P386" s="3"/>
      <c r="Q386" s="3"/>
      <c r="R386" s="3"/>
      <c r="S386" s="3"/>
      <c r="T386" s="3"/>
      <c r="U386" s="3"/>
      <c r="V386" s="3"/>
      <c r="W386" s="3"/>
      <c r="X386" s="3"/>
      <c r="Y386" s="3"/>
      <c r="Z386" s="3"/>
    </row>
    <row r="387" spans="1:26" ht="14.25" customHeight="1">
      <c r="A387" s="1"/>
      <c r="B387" s="1"/>
      <c r="C387" s="1"/>
      <c r="D387" s="1"/>
      <c r="E387" s="136"/>
      <c r="F387" s="12"/>
      <c r="G387" s="145"/>
      <c r="H387" s="145"/>
      <c r="I387" s="3"/>
      <c r="J387" s="3"/>
      <c r="K387" s="3"/>
      <c r="L387" s="3"/>
      <c r="M387" s="3"/>
      <c r="N387" s="3"/>
      <c r="O387" s="3"/>
      <c r="P387" s="3"/>
      <c r="Q387" s="3"/>
      <c r="R387" s="3"/>
      <c r="S387" s="3"/>
      <c r="T387" s="3"/>
      <c r="U387" s="3"/>
      <c r="V387" s="3"/>
      <c r="W387" s="3"/>
      <c r="X387" s="3"/>
      <c r="Y387" s="3"/>
      <c r="Z387" s="3"/>
    </row>
    <row r="388" spans="1:26" ht="14.25" customHeight="1">
      <c r="A388" s="1"/>
      <c r="B388" s="1"/>
      <c r="C388" s="1"/>
      <c r="D388" s="1"/>
      <c r="E388" s="136"/>
      <c r="F388" s="12"/>
      <c r="G388" s="145"/>
      <c r="H388" s="145"/>
      <c r="I388" s="3"/>
      <c r="J388" s="3"/>
      <c r="K388" s="3"/>
      <c r="L388" s="3"/>
      <c r="M388" s="3"/>
      <c r="N388" s="3"/>
      <c r="O388" s="3"/>
      <c r="P388" s="3"/>
      <c r="Q388" s="3"/>
      <c r="R388" s="3"/>
      <c r="S388" s="3"/>
      <c r="T388" s="3"/>
      <c r="U388" s="3"/>
      <c r="V388" s="3"/>
      <c r="W388" s="3"/>
      <c r="X388" s="3"/>
      <c r="Y388" s="3"/>
      <c r="Z388" s="3"/>
    </row>
    <row r="389" spans="1:26" ht="14.25" customHeight="1">
      <c r="A389" s="1"/>
      <c r="B389" s="1"/>
      <c r="C389" s="1"/>
      <c r="D389" s="1"/>
      <c r="E389" s="136"/>
      <c r="F389" s="12"/>
      <c r="G389" s="145"/>
      <c r="H389" s="145"/>
      <c r="I389" s="3"/>
      <c r="J389" s="3"/>
      <c r="K389" s="3"/>
      <c r="L389" s="3"/>
      <c r="M389" s="3"/>
      <c r="N389" s="3"/>
      <c r="O389" s="3"/>
      <c r="P389" s="3"/>
      <c r="Q389" s="3"/>
      <c r="R389" s="3"/>
      <c r="S389" s="3"/>
      <c r="T389" s="3"/>
      <c r="U389" s="3"/>
      <c r="V389" s="3"/>
      <c r="W389" s="3"/>
      <c r="X389" s="3"/>
      <c r="Y389" s="3"/>
      <c r="Z389" s="3"/>
    </row>
    <row r="390" spans="1:26" ht="14.25" customHeight="1">
      <c r="A390" s="1"/>
      <c r="B390" s="1"/>
      <c r="C390" s="1"/>
      <c r="D390" s="1"/>
      <c r="E390" s="136"/>
      <c r="F390" s="12"/>
      <c r="G390" s="145"/>
      <c r="H390" s="145"/>
      <c r="I390" s="3"/>
      <c r="J390" s="3"/>
      <c r="K390" s="3"/>
      <c r="L390" s="3"/>
      <c r="M390" s="3"/>
      <c r="N390" s="3"/>
      <c r="O390" s="3"/>
      <c r="P390" s="3"/>
      <c r="Q390" s="3"/>
      <c r="R390" s="3"/>
      <c r="S390" s="3"/>
      <c r="T390" s="3"/>
      <c r="U390" s="3"/>
      <c r="V390" s="3"/>
      <c r="W390" s="3"/>
      <c r="X390" s="3"/>
      <c r="Y390" s="3"/>
      <c r="Z390" s="3"/>
    </row>
    <row r="391" spans="1:26" ht="14.25" customHeight="1">
      <c r="A391" s="1"/>
      <c r="B391" s="1"/>
      <c r="C391" s="1"/>
      <c r="D391" s="1"/>
      <c r="E391" s="136"/>
      <c r="F391" s="12"/>
      <c r="G391" s="145"/>
      <c r="H391" s="145"/>
      <c r="I391" s="3"/>
      <c r="J391" s="3"/>
      <c r="K391" s="3"/>
      <c r="L391" s="3"/>
      <c r="M391" s="3"/>
      <c r="N391" s="3"/>
      <c r="O391" s="3"/>
      <c r="P391" s="3"/>
      <c r="Q391" s="3"/>
      <c r="R391" s="3"/>
      <c r="S391" s="3"/>
      <c r="T391" s="3"/>
      <c r="U391" s="3"/>
      <c r="V391" s="3"/>
      <c r="W391" s="3"/>
      <c r="X391" s="3"/>
      <c r="Y391" s="3"/>
      <c r="Z391" s="3"/>
    </row>
    <row r="392" spans="1:26" ht="14.25" customHeight="1">
      <c r="A392" s="1"/>
      <c r="B392" s="1"/>
      <c r="C392" s="1"/>
      <c r="D392" s="1"/>
      <c r="E392" s="136"/>
      <c r="F392" s="12"/>
      <c r="G392" s="145"/>
      <c r="H392" s="145"/>
      <c r="I392" s="3"/>
      <c r="J392" s="3"/>
      <c r="K392" s="3"/>
      <c r="L392" s="3"/>
      <c r="M392" s="3"/>
      <c r="N392" s="3"/>
      <c r="O392" s="3"/>
      <c r="P392" s="3"/>
      <c r="Q392" s="3"/>
      <c r="R392" s="3"/>
      <c r="S392" s="3"/>
      <c r="T392" s="3"/>
      <c r="U392" s="3"/>
      <c r="V392" s="3"/>
      <c r="W392" s="3"/>
      <c r="X392" s="3"/>
      <c r="Y392" s="3"/>
      <c r="Z392" s="3"/>
    </row>
    <row r="393" spans="1:26" ht="14.25" customHeight="1">
      <c r="A393" s="1"/>
      <c r="B393" s="1"/>
      <c r="C393" s="1"/>
      <c r="D393" s="1"/>
      <c r="E393" s="136"/>
      <c r="F393" s="12"/>
      <c r="G393" s="145"/>
      <c r="H393" s="145"/>
      <c r="I393" s="3"/>
      <c r="J393" s="3"/>
      <c r="K393" s="3"/>
      <c r="L393" s="3"/>
      <c r="M393" s="3"/>
      <c r="N393" s="3"/>
      <c r="O393" s="3"/>
      <c r="P393" s="3"/>
      <c r="Q393" s="3"/>
      <c r="R393" s="3"/>
      <c r="S393" s="3"/>
      <c r="T393" s="3"/>
      <c r="U393" s="3"/>
      <c r="V393" s="3"/>
      <c r="W393" s="3"/>
      <c r="X393" s="3"/>
      <c r="Y393" s="3"/>
      <c r="Z393" s="3"/>
    </row>
    <row r="394" spans="1:26" ht="14.25" customHeight="1">
      <c r="A394" s="1"/>
      <c r="B394" s="1"/>
      <c r="C394" s="1"/>
      <c r="D394" s="1"/>
      <c r="E394" s="136"/>
      <c r="F394" s="12"/>
      <c r="G394" s="145"/>
      <c r="H394" s="145"/>
      <c r="I394" s="3"/>
      <c r="J394" s="3"/>
      <c r="K394" s="3"/>
      <c r="L394" s="3"/>
      <c r="M394" s="3"/>
      <c r="N394" s="3"/>
      <c r="O394" s="3"/>
      <c r="P394" s="3"/>
      <c r="Q394" s="3"/>
      <c r="R394" s="3"/>
      <c r="S394" s="3"/>
      <c r="T394" s="3"/>
      <c r="U394" s="3"/>
      <c r="V394" s="3"/>
      <c r="W394" s="3"/>
      <c r="X394" s="3"/>
      <c r="Y394" s="3"/>
      <c r="Z394" s="3"/>
    </row>
    <row r="395" spans="1:26" ht="14.25" customHeight="1">
      <c r="A395" s="1"/>
      <c r="B395" s="1"/>
      <c r="C395" s="1"/>
      <c r="D395" s="1"/>
      <c r="E395" s="136"/>
      <c r="F395" s="12"/>
      <c r="G395" s="145"/>
      <c r="H395" s="145"/>
      <c r="I395" s="3"/>
      <c r="J395" s="3"/>
      <c r="K395" s="3"/>
      <c r="L395" s="3"/>
      <c r="M395" s="3"/>
      <c r="N395" s="3"/>
      <c r="O395" s="3"/>
      <c r="P395" s="3"/>
      <c r="Q395" s="3"/>
      <c r="R395" s="3"/>
      <c r="S395" s="3"/>
      <c r="T395" s="3"/>
      <c r="U395" s="3"/>
      <c r="V395" s="3"/>
      <c r="W395" s="3"/>
      <c r="X395" s="3"/>
      <c r="Y395" s="3"/>
      <c r="Z395" s="3"/>
    </row>
    <row r="396" spans="1:26" ht="14.25" customHeight="1">
      <c r="A396" s="1"/>
      <c r="B396" s="1"/>
      <c r="C396" s="1"/>
      <c r="D396" s="1"/>
      <c r="E396" s="136"/>
      <c r="F396" s="12"/>
      <c r="G396" s="145"/>
      <c r="H396" s="145"/>
      <c r="I396" s="3"/>
      <c r="J396" s="3"/>
      <c r="K396" s="3"/>
      <c r="L396" s="3"/>
      <c r="M396" s="3"/>
      <c r="N396" s="3"/>
      <c r="O396" s="3"/>
      <c r="P396" s="3"/>
      <c r="Q396" s="3"/>
      <c r="R396" s="3"/>
      <c r="S396" s="3"/>
      <c r="T396" s="3"/>
      <c r="U396" s="3"/>
      <c r="V396" s="3"/>
      <c r="W396" s="3"/>
      <c r="X396" s="3"/>
      <c r="Y396" s="3"/>
      <c r="Z396" s="3"/>
    </row>
    <row r="397" spans="1:26" ht="14.25" customHeight="1">
      <c r="A397" s="1"/>
      <c r="B397" s="1"/>
      <c r="C397" s="1"/>
      <c r="D397" s="1"/>
      <c r="E397" s="136"/>
      <c r="F397" s="12"/>
      <c r="G397" s="145"/>
      <c r="H397" s="145"/>
      <c r="I397" s="3"/>
      <c r="J397" s="3"/>
      <c r="K397" s="3"/>
      <c r="L397" s="3"/>
      <c r="M397" s="3"/>
      <c r="N397" s="3"/>
      <c r="O397" s="3"/>
      <c r="P397" s="3"/>
      <c r="Q397" s="3"/>
      <c r="R397" s="3"/>
      <c r="S397" s="3"/>
      <c r="T397" s="3"/>
      <c r="U397" s="3"/>
      <c r="V397" s="3"/>
      <c r="W397" s="3"/>
      <c r="X397" s="3"/>
      <c r="Y397" s="3"/>
      <c r="Z397" s="3"/>
    </row>
    <row r="398" spans="1:26" ht="14.25" customHeight="1">
      <c r="A398" s="1"/>
      <c r="B398" s="1"/>
      <c r="C398" s="1"/>
      <c r="D398" s="1"/>
      <c r="E398" s="136"/>
      <c r="F398" s="12"/>
      <c r="G398" s="145"/>
      <c r="H398" s="145"/>
      <c r="I398" s="3"/>
      <c r="J398" s="3"/>
      <c r="K398" s="3"/>
      <c r="L398" s="3"/>
      <c r="M398" s="3"/>
      <c r="N398" s="3"/>
      <c r="O398" s="3"/>
      <c r="P398" s="3"/>
      <c r="Q398" s="3"/>
      <c r="R398" s="3"/>
      <c r="S398" s="3"/>
      <c r="T398" s="3"/>
      <c r="U398" s="3"/>
      <c r="V398" s="3"/>
      <c r="W398" s="3"/>
      <c r="X398" s="3"/>
      <c r="Y398" s="3"/>
      <c r="Z398" s="3"/>
    </row>
    <row r="399" spans="1:26" ht="14.25" customHeight="1">
      <c r="A399" s="1"/>
      <c r="B399" s="1"/>
      <c r="C399" s="1"/>
      <c r="D399" s="1"/>
      <c r="E399" s="136"/>
      <c r="F399" s="12"/>
      <c r="G399" s="145"/>
      <c r="H399" s="145"/>
      <c r="I399" s="3"/>
      <c r="J399" s="3"/>
      <c r="K399" s="3"/>
      <c r="L399" s="3"/>
      <c r="M399" s="3"/>
      <c r="N399" s="3"/>
      <c r="O399" s="3"/>
      <c r="P399" s="3"/>
      <c r="Q399" s="3"/>
      <c r="R399" s="3"/>
      <c r="S399" s="3"/>
      <c r="T399" s="3"/>
      <c r="U399" s="3"/>
      <c r="V399" s="3"/>
      <c r="W399" s="3"/>
      <c r="X399" s="3"/>
      <c r="Y399" s="3"/>
      <c r="Z399" s="3"/>
    </row>
    <row r="400" spans="1:26" ht="14.25" customHeight="1">
      <c r="A400" s="1"/>
      <c r="B400" s="1"/>
      <c r="C400" s="1"/>
      <c r="D400" s="1"/>
      <c r="E400" s="136"/>
      <c r="F400" s="12"/>
      <c r="G400" s="145"/>
      <c r="H400" s="145"/>
      <c r="I400" s="3"/>
      <c r="J400" s="3"/>
      <c r="K400" s="3"/>
      <c r="L400" s="3"/>
      <c r="M400" s="3"/>
      <c r="N400" s="3"/>
      <c r="O400" s="3"/>
      <c r="P400" s="3"/>
      <c r="Q400" s="3"/>
      <c r="R400" s="3"/>
      <c r="S400" s="3"/>
      <c r="T400" s="3"/>
      <c r="U400" s="3"/>
      <c r="V400" s="3"/>
      <c r="W400" s="3"/>
      <c r="X400" s="3"/>
      <c r="Y400" s="3"/>
      <c r="Z400" s="3"/>
    </row>
    <row r="401" spans="1:26" ht="14.25" customHeight="1">
      <c r="A401" s="1"/>
      <c r="B401" s="1"/>
      <c r="C401" s="1"/>
      <c r="D401" s="1"/>
      <c r="E401" s="136"/>
      <c r="F401" s="12"/>
      <c r="G401" s="145"/>
      <c r="H401" s="145"/>
      <c r="I401" s="3"/>
      <c r="J401" s="3"/>
      <c r="K401" s="3"/>
      <c r="L401" s="3"/>
      <c r="M401" s="3"/>
      <c r="N401" s="3"/>
      <c r="O401" s="3"/>
      <c r="P401" s="3"/>
      <c r="Q401" s="3"/>
      <c r="R401" s="3"/>
      <c r="S401" s="3"/>
      <c r="T401" s="3"/>
      <c r="U401" s="3"/>
      <c r="V401" s="3"/>
      <c r="W401" s="3"/>
      <c r="X401" s="3"/>
      <c r="Y401" s="3"/>
      <c r="Z401" s="3"/>
    </row>
    <row r="402" spans="1:26" ht="14.25" customHeight="1">
      <c r="A402" s="1"/>
      <c r="B402" s="1"/>
      <c r="C402" s="1"/>
      <c r="D402" s="1"/>
      <c r="E402" s="136"/>
      <c r="F402" s="12"/>
      <c r="G402" s="145"/>
      <c r="H402" s="145"/>
      <c r="I402" s="3"/>
      <c r="J402" s="3"/>
      <c r="K402" s="3"/>
      <c r="L402" s="3"/>
      <c r="M402" s="3"/>
      <c r="N402" s="3"/>
      <c r="O402" s="3"/>
      <c r="P402" s="3"/>
      <c r="Q402" s="3"/>
      <c r="R402" s="3"/>
      <c r="S402" s="3"/>
      <c r="T402" s="3"/>
      <c r="U402" s="3"/>
      <c r="V402" s="3"/>
      <c r="W402" s="3"/>
      <c r="X402" s="3"/>
      <c r="Y402" s="3"/>
      <c r="Z402" s="3"/>
    </row>
    <row r="403" spans="1:26" ht="14.25" customHeight="1">
      <c r="A403" s="1"/>
      <c r="B403" s="1"/>
      <c r="C403" s="1"/>
      <c r="D403" s="1"/>
      <c r="E403" s="136"/>
      <c r="F403" s="12"/>
      <c r="G403" s="145"/>
      <c r="H403" s="145"/>
      <c r="I403" s="3"/>
      <c r="J403" s="3"/>
      <c r="K403" s="3"/>
      <c r="L403" s="3"/>
      <c r="M403" s="3"/>
      <c r="N403" s="3"/>
      <c r="O403" s="3"/>
      <c r="P403" s="3"/>
      <c r="Q403" s="3"/>
      <c r="R403" s="3"/>
      <c r="S403" s="3"/>
      <c r="T403" s="3"/>
      <c r="U403" s="3"/>
      <c r="V403" s="3"/>
      <c r="W403" s="3"/>
      <c r="X403" s="3"/>
      <c r="Y403" s="3"/>
      <c r="Z403" s="3"/>
    </row>
    <row r="404" spans="1:26" ht="14.25" customHeight="1">
      <c r="A404" s="1"/>
      <c r="B404" s="1"/>
      <c r="C404" s="1"/>
      <c r="D404" s="1"/>
      <c r="E404" s="136"/>
      <c r="F404" s="12"/>
      <c r="G404" s="145"/>
      <c r="H404" s="145"/>
      <c r="I404" s="3"/>
      <c r="J404" s="3"/>
      <c r="K404" s="3"/>
      <c r="L404" s="3"/>
      <c r="M404" s="3"/>
      <c r="N404" s="3"/>
      <c r="O404" s="3"/>
      <c r="P404" s="3"/>
      <c r="Q404" s="3"/>
      <c r="R404" s="3"/>
      <c r="S404" s="3"/>
      <c r="T404" s="3"/>
      <c r="U404" s="3"/>
      <c r="V404" s="3"/>
      <c r="W404" s="3"/>
      <c r="X404" s="3"/>
      <c r="Y404" s="3"/>
      <c r="Z404" s="3"/>
    </row>
    <row r="405" spans="1:26" ht="14.25" customHeight="1">
      <c r="A405" s="1"/>
      <c r="B405" s="1"/>
      <c r="C405" s="1"/>
      <c r="D405" s="1"/>
      <c r="E405" s="136"/>
      <c r="F405" s="12"/>
      <c r="G405" s="145"/>
      <c r="H405" s="145"/>
      <c r="I405" s="3"/>
      <c r="J405" s="3"/>
      <c r="K405" s="3"/>
      <c r="L405" s="3"/>
      <c r="M405" s="3"/>
      <c r="N405" s="3"/>
      <c r="O405" s="3"/>
      <c r="P405" s="3"/>
      <c r="Q405" s="3"/>
      <c r="R405" s="3"/>
      <c r="S405" s="3"/>
      <c r="T405" s="3"/>
      <c r="U405" s="3"/>
      <c r="V405" s="3"/>
      <c r="W405" s="3"/>
      <c r="X405" s="3"/>
      <c r="Y405" s="3"/>
      <c r="Z405" s="3"/>
    </row>
    <row r="406" spans="1:26" ht="14.25" customHeight="1">
      <c r="A406" s="1"/>
      <c r="B406" s="1"/>
      <c r="C406" s="1"/>
      <c r="D406" s="1"/>
      <c r="E406" s="136"/>
      <c r="F406" s="12"/>
      <c r="G406" s="145"/>
      <c r="H406" s="145"/>
      <c r="I406" s="3"/>
      <c r="J406" s="3"/>
      <c r="K406" s="3"/>
      <c r="L406" s="3"/>
      <c r="M406" s="3"/>
      <c r="N406" s="3"/>
      <c r="O406" s="3"/>
      <c r="P406" s="3"/>
      <c r="Q406" s="3"/>
      <c r="R406" s="3"/>
      <c r="S406" s="3"/>
      <c r="T406" s="3"/>
      <c r="U406" s="3"/>
      <c r="V406" s="3"/>
      <c r="W406" s="3"/>
      <c r="X406" s="3"/>
      <c r="Y406" s="3"/>
      <c r="Z406" s="3"/>
    </row>
    <row r="407" spans="1:26" ht="14.25" customHeight="1">
      <c r="A407" s="1"/>
      <c r="B407" s="1"/>
      <c r="C407" s="1"/>
      <c r="D407" s="1"/>
      <c r="E407" s="136"/>
      <c r="F407" s="12"/>
      <c r="G407" s="145"/>
      <c r="H407" s="145"/>
      <c r="I407" s="3"/>
      <c r="J407" s="3"/>
      <c r="K407" s="3"/>
      <c r="L407" s="3"/>
      <c r="M407" s="3"/>
      <c r="N407" s="3"/>
      <c r="O407" s="3"/>
      <c r="P407" s="3"/>
      <c r="Q407" s="3"/>
      <c r="R407" s="3"/>
      <c r="S407" s="3"/>
      <c r="T407" s="3"/>
      <c r="U407" s="3"/>
      <c r="V407" s="3"/>
      <c r="W407" s="3"/>
      <c r="X407" s="3"/>
      <c r="Y407" s="3"/>
      <c r="Z407" s="3"/>
    </row>
    <row r="408" spans="1:26" ht="14.25" customHeight="1">
      <c r="A408" s="1"/>
      <c r="B408" s="1"/>
      <c r="C408" s="1"/>
      <c r="D408" s="1"/>
      <c r="E408" s="136"/>
      <c r="F408" s="12"/>
      <c r="G408" s="145"/>
      <c r="H408" s="145"/>
      <c r="I408" s="3"/>
      <c r="J408" s="3"/>
      <c r="K408" s="3"/>
      <c r="L408" s="3"/>
      <c r="M408" s="3"/>
      <c r="N408" s="3"/>
      <c r="O408" s="3"/>
      <c r="P408" s="3"/>
      <c r="Q408" s="3"/>
      <c r="R408" s="3"/>
      <c r="S408" s="3"/>
      <c r="T408" s="3"/>
      <c r="U408" s="3"/>
      <c r="V408" s="3"/>
      <c r="W408" s="3"/>
      <c r="X408" s="3"/>
      <c r="Y408" s="3"/>
      <c r="Z408" s="3"/>
    </row>
    <row r="409" spans="1:26" ht="14.25" customHeight="1">
      <c r="A409" s="1"/>
      <c r="B409" s="1"/>
      <c r="C409" s="1"/>
      <c r="D409" s="1"/>
      <c r="E409" s="136"/>
      <c r="F409" s="12"/>
      <c r="G409" s="145"/>
      <c r="H409" s="145"/>
      <c r="I409" s="3"/>
      <c r="J409" s="3"/>
      <c r="K409" s="3"/>
      <c r="L409" s="3"/>
      <c r="M409" s="3"/>
      <c r="N409" s="3"/>
      <c r="O409" s="3"/>
      <c r="P409" s="3"/>
      <c r="Q409" s="3"/>
      <c r="R409" s="3"/>
      <c r="S409" s="3"/>
      <c r="T409" s="3"/>
      <c r="U409" s="3"/>
      <c r="V409" s="3"/>
      <c r="W409" s="3"/>
      <c r="X409" s="3"/>
      <c r="Y409" s="3"/>
      <c r="Z409" s="3"/>
    </row>
    <row r="410" spans="1:26" ht="14.25" customHeight="1">
      <c r="A410" s="1"/>
      <c r="B410" s="1"/>
      <c r="C410" s="1"/>
      <c r="D410" s="1"/>
      <c r="E410" s="136"/>
      <c r="F410" s="12"/>
      <c r="G410" s="145"/>
      <c r="H410" s="145"/>
      <c r="I410" s="3"/>
      <c r="J410" s="3"/>
      <c r="K410" s="3"/>
      <c r="L410" s="3"/>
      <c r="M410" s="3"/>
      <c r="N410" s="3"/>
      <c r="O410" s="3"/>
      <c r="P410" s="3"/>
      <c r="Q410" s="3"/>
      <c r="R410" s="3"/>
      <c r="S410" s="3"/>
      <c r="T410" s="3"/>
      <c r="U410" s="3"/>
      <c r="V410" s="3"/>
      <c r="W410" s="3"/>
      <c r="X410" s="3"/>
      <c r="Y410" s="3"/>
      <c r="Z410" s="3"/>
    </row>
    <row r="411" spans="1:26" ht="14.25" customHeight="1">
      <c r="A411" s="1"/>
      <c r="B411" s="1"/>
      <c r="C411" s="1"/>
      <c r="D411" s="1"/>
      <c r="E411" s="136"/>
      <c r="F411" s="12"/>
      <c r="G411" s="145"/>
      <c r="H411" s="145"/>
      <c r="I411" s="3"/>
      <c r="J411" s="3"/>
      <c r="K411" s="3"/>
      <c r="L411" s="3"/>
      <c r="M411" s="3"/>
      <c r="N411" s="3"/>
      <c r="O411" s="3"/>
      <c r="P411" s="3"/>
      <c r="Q411" s="3"/>
      <c r="R411" s="3"/>
      <c r="S411" s="3"/>
      <c r="T411" s="3"/>
      <c r="U411" s="3"/>
      <c r="V411" s="3"/>
      <c r="W411" s="3"/>
      <c r="X411" s="3"/>
      <c r="Y411" s="3"/>
      <c r="Z411" s="3"/>
    </row>
    <row r="412" spans="1:26" ht="14.25" customHeight="1">
      <c r="A412" s="1"/>
      <c r="B412" s="1"/>
      <c r="C412" s="1"/>
      <c r="D412" s="1"/>
      <c r="E412" s="136"/>
      <c r="F412" s="12"/>
      <c r="G412" s="145"/>
      <c r="H412" s="145"/>
      <c r="I412" s="3"/>
      <c r="J412" s="3"/>
      <c r="K412" s="3"/>
      <c r="L412" s="3"/>
      <c r="M412" s="3"/>
      <c r="N412" s="3"/>
      <c r="O412" s="3"/>
      <c r="P412" s="3"/>
      <c r="Q412" s="3"/>
      <c r="R412" s="3"/>
      <c r="S412" s="3"/>
      <c r="T412" s="3"/>
      <c r="U412" s="3"/>
      <c r="V412" s="3"/>
      <c r="W412" s="3"/>
      <c r="X412" s="3"/>
      <c r="Y412" s="3"/>
      <c r="Z412" s="3"/>
    </row>
    <row r="413" spans="1:26" ht="14.25" customHeight="1">
      <c r="A413" s="1"/>
      <c r="B413" s="1"/>
      <c r="C413" s="1"/>
      <c r="D413" s="1"/>
      <c r="E413" s="136"/>
      <c r="F413" s="12"/>
      <c r="G413" s="145"/>
      <c r="H413" s="145"/>
      <c r="I413" s="3"/>
      <c r="J413" s="3"/>
      <c r="K413" s="3"/>
      <c r="L413" s="3"/>
      <c r="M413" s="3"/>
      <c r="N413" s="3"/>
      <c r="O413" s="3"/>
      <c r="P413" s="3"/>
      <c r="Q413" s="3"/>
      <c r="R413" s="3"/>
      <c r="S413" s="3"/>
      <c r="T413" s="3"/>
      <c r="U413" s="3"/>
      <c r="V413" s="3"/>
      <c r="W413" s="3"/>
      <c r="X413" s="3"/>
      <c r="Y413" s="3"/>
      <c r="Z413" s="3"/>
    </row>
    <row r="414" spans="1:26" ht="14.25" customHeight="1">
      <c r="A414" s="1"/>
      <c r="B414" s="1"/>
      <c r="C414" s="1"/>
      <c r="D414" s="1"/>
      <c r="E414" s="136"/>
      <c r="F414" s="12"/>
      <c r="G414" s="145"/>
      <c r="H414" s="145"/>
      <c r="I414" s="3"/>
      <c r="J414" s="3"/>
      <c r="K414" s="3"/>
      <c r="L414" s="3"/>
      <c r="M414" s="3"/>
      <c r="N414" s="3"/>
      <c r="O414" s="3"/>
      <c r="P414" s="3"/>
      <c r="Q414" s="3"/>
      <c r="R414" s="3"/>
      <c r="S414" s="3"/>
      <c r="T414" s="3"/>
      <c r="U414" s="3"/>
      <c r="V414" s="3"/>
      <c r="W414" s="3"/>
      <c r="X414" s="3"/>
      <c r="Y414" s="3"/>
      <c r="Z414" s="3"/>
    </row>
    <row r="415" spans="1:26" ht="14.25" customHeight="1">
      <c r="A415" s="1"/>
      <c r="B415" s="1"/>
      <c r="C415" s="1"/>
      <c r="D415" s="1"/>
      <c r="E415" s="136"/>
      <c r="F415" s="12"/>
      <c r="G415" s="145"/>
      <c r="H415" s="145"/>
      <c r="I415" s="3"/>
      <c r="J415" s="3"/>
      <c r="K415" s="3"/>
      <c r="L415" s="3"/>
      <c r="M415" s="3"/>
      <c r="N415" s="3"/>
      <c r="O415" s="3"/>
      <c r="P415" s="3"/>
      <c r="Q415" s="3"/>
      <c r="R415" s="3"/>
      <c r="S415" s="3"/>
      <c r="T415" s="3"/>
      <c r="U415" s="3"/>
      <c r="V415" s="3"/>
      <c r="W415" s="3"/>
      <c r="X415" s="3"/>
      <c r="Y415" s="3"/>
      <c r="Z415" s="3"/>
    </row>
    <row r="416" spans="1:26" ht="14.25" customHeight="1">
      <c r="A416" s="1"/>
      <c r="B416" s="1"/>
      <c r="C416" s="1"/>
      <c r="D416" s="1"/>
      <c r="E416" s="136"/>
      <c r="F416" s="12"/>
      <c r="G416" s="145"/>
      <c r="H416" s="145"/>
      <c r="I416" s="3"/>
      <c r="J416" s="3"/>
      <c r="K416" s="3"/>
      <c r="L416" s="3"/>
      <c r="M416" s="3"/>
      <c r="N416" s="3"/>
      <c r="O416" s="3"/>
      <c r="P416" s="3"/>
      <c r="Q416" s="3"/>
      <c r="R416" s="3"/>
      <c r="S416" s="3"/>
      <c r="T416" s="3"/>
      <c r="U416" s="3"/>
      <c r="V416" s="3"/>
      <c r="W416" s="3"/>
      <c r="X416" s="3"/>
      <c r="Y416" s="3"/>
      <c r="Z416" s="3"/>
    </row>
    <row r="417" spans="1:26" ht="14.25" customHeight="1">
      <c r="A417" s="1"/>
      <c r="B417" s="1"/>
      <c r="C417" s="1"/>
      <c r="D417" s="1"/>
      <c r="E417" s="136"/>
      <c r="F417" s="12"/>
      <c r="G417" s="145"/>
      <c r="H417" s="145"/>
      <c r="I417" s="3"/>
      <c r="J417" s="3"/>
      <c r="K417" s="3"/>
      <c r="L417" s="3"/>
      <c r="M417" s="3"/>
      <c r="N417" s="3"/>
      <c r="O417" s="3"/>
      <c r="P417" s="3"/>
      <c r="Q417" s="3"/>
      <c r="R417" s="3"/>
      <c r="S417" s="3"/>
      <c r="T417" s="3"/>
      <c r="U417" s="3"/>
      <c r="V417" s="3"/>
      <c r="W417" s="3"/>
      <c r="X417" s="3"/>
      <c r="Y417" s="3"/>
      <c r="Z417" s="3"/>
    </row>
    <row r="418" spans="1:26" ht="14.25" customHeight="1">
      <c r="A418" s="1"/>
      <c r="B418" s="1"/>
      <c r="C418" s="1"/>
      <c r="D418" s="1"/>
      <c r="E418" s="136"/>
      <c r="F418" s="12"/>
      <c r="G418" s="145"/>
      <c r="H418" s="145"/>
      <c r="I418" s="3"/>
      <c r="J418" s="3"/>
      <c r="K418" s="3"/>
      <c r="L418" s="3"/>
      <c r="M418" s="3"/>
      <c r="N418" s="3"/>
      <c r="O418" s="3"/>
      <c r="P418" s="3"/>
      <c r="Q418" s="3"/>
      <c r="R418" s="3"/>
      <c r="S418" s="3"/>
      <c r="T418" s="3"/>
      <c r="U418" s="3"/>
      <c r="V418" s="3"/>
      <c r="W418" s="3"/>
      <c r="X418" s="3"/>
      <c r="Y418" s="3"/>
      <c r="Z418" s="3"/>
    </row>
    <row r="419" spans="1:26" ht="14.25" customHeight="1">
      <c r="A419" s="1"/>
      <c r="B419" s="1"/>
      <c r="C419" s="1"/>
      <c r="D419" s="1"/>
      <c r="E419" s="136"/>
      <c r="F419" s="12"/>
      <c r="G419" s="145"/>
      <c r="H419" s="145"/>
      <c r="I419" s="3"/>
      <c r="J419" s="3"/>
      <c r="K419" s="3"/>
      <c r="L419" s="3"/>
      <c r="M419" s="3"/>
      <c r="N419" s="3"/>
      <c r="O419" s="3"/>
      <c r="P419" s="3"/>
      <c r="Q419" s="3"/>
      <c r="R419" s="3"/>
      <c r="S419" s="3"/>
      <c r="T419" s="3"/>
      <c r="U419" s="3"/>
      <c r="V419" s="3"/>
      <c r="W419" s="3"/>
      <c r="X419" s="3"/>
      <c r="Y419" s="3"/>
      <c r="Z419" s="3"/>
    </row>
    <row r="420" spans="1:26" ht="14.25" customHeight="1">
      <c r="A420" s="1"/>
      <c r="B420" s="1"/>
      <c r="C420" s="1"/>
      <c r="D420" s="1"/>
      <c r="E420" s="136"/>
      <c r="F420" s="12"/>
      <c r="G420" s="145"/>
      <c r="H420" s="145"/>
      <c r="I420" s="3"/>
      <c r="J420" s="3"/>
      <c r="K420" s="3"/>
      <c r="L420" s="3"/>
      <c r="M420" s="3"/>
      <c r="N420" s="3"/>
      <c r="O420" s="3"/>
      <c r="P420" s="3"/>
      <c r="Q420" s="3"/>
      <c r="R420" s="3"/>
      <c r="S420" s="3"/>
      <c r="T420" s="3"/>
      <c r="U420" s="3"/>
      <c r="V420" s="3"/>
      <c r="W420" s="3"/>
      <c r="X420" s="3"/>
      <c r="Y420" s="3"/>
      <c r="Z420" s="3"/>
    </row>
    <row r="421" spans="1:26" ht="14.25" customHeight="1">
      <c r="A421" s="1"/>
      <c r="B421" s="1"/>
      <c r="C421" s="1"/>
      <c r="D421" s="1"/>
      <c r="E421" s="136"/>
      <c r="F421" s="12"/>
      <c r="G421" s="145"/>
      <c r="H421" s="145"/>
      <c r="I421" s="3"/>
      <c r="J421" s="3"/>
      <c r="K421" s="3"/>
      <c r="L421" s="3"/>
      <c r="M421" s="3"/>
      <c r="N421" s="3"/>
      <c r="O421" s="3"/>
      <c r="P421" s="3"/>
      <c r="Q421" s="3"/>
      <c r="R421" s="3"/>
      <c r="S421" s="3"/>
      <c r="T421" s="3"/>
      <c r="U421" s="3"/>
      <c r="V421" s="3"/>
      <c r="W421" s="3"/>
      <c r="X421" s="3"/>
      <c r="Y421" s="3"/>
      <c r="Z421" s="3"/>
    </row>
    <row r="422" spans="1:26" ht="14.25" customHeight="1">
      <c r="A422" s="1"/>
      <c r="B422" s="1"/>
      <c r="C422" s="1"/>
      <c r="D422" s="1"/>
      <c r="E422" s="136"/>
      <c r="F422" s="12"/>
      <c r="G422" s="145"/>
      <c r="H422" s="145"/>
      <c r="I422" s="3"/>
      <c r="J422" s="3"/>
      <c r="K422" s="3"/>
      <c r="L422" s="3"/>
      <c r="M422" s="3"/>
      <c r="N422" s="3"/>
      <c r="O422" s="3"/>
      <c r="P422" s="3"/>
      <c r="Q422" s="3"/>
      <c r="R422" s="3"/>
      <c r="S422" s="3"/>
      <c r="T422" s="3"/>
      <c r="U422" s="3"/>
      <c r="V422" s="3"/>
      <c r="W422" s="3"/>
      <c r="X422" s="3"/>
      <c r="Y422" s="3"/>
      <c r="Z422" s="3"/>
    </row>
    <row r="423" spans="1:26" ht="14.25" customHeight="1">
      <c r="A423" s="1"/>
      <c r="B423" s="1"/>
      <c r="C423" s="1"/>
      <c r="D423" s="1"/>
      <c r="E423" s="136"/>
      <c r="F423" s="12"/>
      <c r="G423" s="145"/>
      <c r="H423" s="145"/>
      <c r="I423" s="3"/>
      <c r="J423" s="3"/>
      <c r="K423" s="3"/>
      <c r="L423" s="3"/>
      <c r="M423" s="3"/>
      <c r="N423" s="3"/>
      <c r="O423" s="3"/>
      <c r="P423" s="3"/>
      <c r="Q423" s="3"/>
      <c r="R423" s="3"/>
      <c r="S423" s="3"/>
      <c r="T423" s="3"/>
      <c r="U423" s="3"/>
      <c r="V423" s="3"/>
      <c r="W423" s="3"/>
      <c r="X423" s="3"/>
      <c r="Y423" s="3"/>
      <c r="Z423" s="3"/>
    </row>
    <row r="424" spans="1:26" ht="14.25" customHeight="1">
      <c r="A424" s="1"/>
      <c r="B424" s="1"/>
      <c r="C424" s="1"/>
      <c r="D424" s="1"/>
      <c r="E424" s="136"/>
      <c r="F424" s="12"/>
      <c r="G424" s="145"/>
      <c r="H424" s="145"/>
      <c r="I424" s="3"/>
      <c r="J424" s="3"/>
      <c r="K424" s="3"/>
      <c r="L424" s="3"/>
      <c r="M424" s="3"/>
      <c r="N424" s="3"/>
      <c r="O424" s="3"/>
      <c r="P424" s="3"/>
      <c r="Q424" s="3"/>
      <c r="R424" s="3"/>
      <c r="S424" s="3"/>
      <c r="T424" s="3"/>
      <c r="U424" s="3"/>
      <c r="V424" s="3"/>
      <c r="W424" s="3"/>
      <c r="X424" s="3"/>
      <c r="Y424" s="3"/>
      <c r="Z424" s="3"/>
    </row>
    <row r="425" spans="1:26" ht="14.25" customHeight="1">
      <c r="A425" s="1"/>
      <c r="B425" s="1"/>
      <c r="C425" s="1"/>
      <c r="D425" s="1"/>
      <c r="E425" s="136"/>
      <c r="F425" s="12"/>
      <c r="G425" s="145"/>
      <c r="H425" s="145"/>
      <c r="I425" s="3"/>
      <c r="J425" s="3"/>
      <c r="K425" s="3"/>
      <c r="L425" s="3"/>
      <c r="M425" s="3"/>
      <c r="N425" s="3"/>
      <c r="O425" s="3"/>
      <c r="P425" s="3"/>
      <c r="Q425" s="3"/>
      <c r="R425" s="3"/>
      <c r="S425" s="3"/>
      <c r="T425" s="3"/>
      <c r="U425" s="3"/>
      <c r="V425" s="3"/>
      <c r="W425" s="3"/>
      <c r="X425" s="3"/>
      <c r="Y425" s="3"/>
      <c r="Z425" s="3"/>
    </row>
    <row r="426" spans="1:26" ht="14.25" customHeight="1">
      <c r="A426" s="1"/>
      <c r="B426" s="1"/>
      <c r="C426" s="1"/>
      <c r="D426" s="1"/>
      <c r="E426" s="136"/>
      <c r="F426" s="12"/>
      <c r="G426" s="145"/>
      <c r="H426" s="145"/>
      <c r="I426" s="3"/>
      <c r="J426" s="3"/>
      <c r="K426" s="3"/>
      <c r="L426" s="3"/>
      <c r="M426" s="3"/>
      <c r="N426" s="3"/>
      <c r="O426" s="3"/>
      <c r="P426" s="3"/>
      <c r="Q426" s="3"/>
      <c r="R426" s="3"/>
      <c r="S426" s="3"/>
      <c r="T426" s="3"/>
      <c r="U426" s="3"/>
      <c r="V426" s="3"/>
      <c r="W426" s="3"/>
      <c r="X426" s="3"/>
      <c r="Y426" s="3"/>
      <c r="Z426" s="3"/>
    </row>
    <row r="427" spans="1:26" ht="14.25" customHeight="1">
      <c r="A427" s="1"/>
      <c r="B427" s="1"/>
      <c r="C427" s="1"/>
      <c r="D427" s="1"/>
      <c r="E427" s="136"/>
      <c r="F427" s="12"/>
      <c r="G427" s="145"/>
      <c r="H427" s="145"/>
      <c r="I427" s="3"/>
      <c r="J427" s="3"/>
      <c r="K427" s="3"/>
      <c r="L427" s="3"/>
      <c r="M427" s="3"/>
      <c r="N427" s="3"/>
      <c r="O427" s="3"/>
      <c r="P427" s="3"/>
      <c r="Q427" s="3"/>
      <c r="R427" s="3"/>
      <c r="S427" s="3"/>
      <c r="T427" s="3"/>
      <c r="U427" s="3"/>
      <c r="V427" s="3"/>
      <c r="W427" s="3"/>
      <c r="X427" s="3"/>
      <c r="Y427" s="3"/>
      <c r="Z427" s="3"/>
    </row>
    <row r="428" spans="1:26" ht="14.25" customHeight="1">
      <c r="A428" s="1"/>
      <c r="B428" s="1"/>
      <c r="C428" s="1"/>
      <c r="D428" s="1"/>
      <c r="E428" s="136"/>
      <c r="F428" s="12"/>
      <c r="G428" s="145"/>
      <c r="H428" s="145"/>
      <c r="I428" s="3"/>
      <c r="J428" s="3"/>
      <c r="K428" s="3"/>
      <c r="L428" s="3"/>
      <c r="M428" s="3"/>
      <c r="N428" s="3"/>
      <c r="O428" s="3"/>
      <c r="P428" s="3"/>
      <c r="Q428" s="3"/>
      <c r="R428" s="3"/>
      <c r="S428" s="3"/>
      <c r="T428" s="3"/>
      <c r="U428" s="3"/>
      <c r="V428" s="3"/>
      <c r="W428" s="3"/>
      <c r="X428" s="3"/>
      <c r="Y428" s="3"/>
      <c r="Z428" s="3"/>
    </row>
    <row r="429" spans="1:26" ht="14.25" customHeight="1">
      <c r="A429" s="1"/>
      <c r="B429" s="1"/>
      <c r="C429" s="1"/>
      <c r="D429" s="1"/>
      <c r="E429" s="136"/>
      <c r="F429" s="12"/>
      <c r="G429" s="145"/>
      <c r="H429" s="145"/>
      <c r="I429" s="3"/>
      <c r="J429" s="3"/>
      <c r="K429" s="3"/>
      <c r="L429" s="3"/>
      <c r="M429" s="3"/>
      <c r="N429" s="3"/>
      <c r="O429" s="3"/>
      <c r="P429" s="3"/>
      <c r="Q429" s="3"/>
      <c r="R429" s="3"/>
      <c r="S429" s="3"/>
      <c r="T429" s="3"/>
      <c r="U429" s="3"/>
      <c r="V429" s="3"/>
      <c r="W429" s="3"/>
      <c r="X429" s="3"/>
      <c r="Y429" s="3"/>
      <c r="Z429" s="3"/>
    </row>
    <row r="430" spans="1:26" ht="14.25" customHeight="1">
      <c r="A430" s="1"/>
      <c r="B430" s="1"/>
      <c r="C430" s="1"/>
      <c r="D430" s="1"/>
      <c r="E430" s="136"/>
      <c r="F430" s="12"/>
      <c r="G430" s="145"/>
      <c r="H430" s="145"/>
      <c r="I430" s="3"/>
      <c r="J430" s="3"/>
      <c r="K430" s="3"/>
      <c r="L430" s="3"/>
      <c r="M430" s="3"/>
      <c r="N430" s="3"/>
      <c r="O430" s="3"/>
      <c r="P430" s="3"/>
      <c r="Q430" s="3"/>
      <c r="R430" s="3"/>
      <c r="S430" s="3"/>
      <c r="T430" s="3"/>
      <c r="U430" s="3"/>
      <c r="V430" s="3"/>
      <c r="W430" s="3"/>
      <c r="X430" s="3"/>
      <c r="Y430" s="3"/>
      <c r="Z430" s="3"/>
    </row>
    <row r="431" spans="1:26" ht="14.25" customHeight="1">
      <c r="A431" s="1"/>
      <c r="B431" s="1"/>
      <c r="C431" s="1"/>
      <c r="D431" s="1"/>
      <c r="E431" s="136"/>
      <c r="F431" s="12"/>
      <c r="G431" s="145"/>
      <c r="H431" s="145"/>
      <c r="I431" s="3"/>
      <c r="J431" s="3"/>
      <c r="K431" s="3"/>
      <c r="L431" s="3"/>
      <c r="M431" s="3"/>
      <c r="N431" s="3"/>
      <c r="O431" s="3"/>
      <c r="P431" s="3"/>
      <c r="Q431" s="3"/>
      <c r="R431" s="3"/>
      <c r="S431" s="3"/>
      <c r="T431" s="3"/>
      <c r="U431" s="3"/>
      <c r="V431" s="3"/>
      <c r="W431" s="3"/>
      <c r="X431" s="3"/>
      <c r="Y431" s="3"/>
      <c r="Z431" s="3"/>
    </row>
    <row r="432" spans="1:26" ht="14.25" customHeight="1">
      <c r="A432" s="1"/>
      <c r="B432" s="1"/>
      <c r="C432" s="1"/>
      <c r="D432" s="1"/>
      <c r="E432" s="136"/>
      <c r="F432" s="12"/>
      <c r="G432" s="145"/>
      <c r="H432" s="145"/>
      <c r="I432" s="3"/>
      <c r="J432" s="3"/>
      <c r="K432" s="3"/>
      <c r="L432" s="3"/>
      <c r="M432" s="3"/>
      <c r="N432" s="3"/>
      <c r="O432" s="3"/>
      <c r="P432" s="3"/>
      <c r="Q432" s="3"/>
      <c r="R432" s="3"/>
      <c r="S432" s="3"/>
      <c r="T432" s="3"/>
      <c r="U432" s="3"/>
      <c r="V432" s="3"/>
      <c r="W432" s="3"/>
      <c r="X432" s="3"/>
      <c r="Y432" s="3"/>
      <c r="Z432" s="3"/>
    </row>
    <row r="433" spans="1:26" ht="14.25" customHeight="1">
      <c r="A433" s="1"/>
      <c r="B433" s="1"/>
      <c r="C433" s="1"/>
      <c r="D433" s="1"/>
      <c r="E433" s="136"/>
      <c r="F433" s="12"/>
      <c r="G433" s="145"/>
      <c r="H433" s="145"/>
      <c r="I433" s="3"/>
      <c r="J433" s="3"/>
      <c r="K433" s="3"/>
      <c r="L433" s="3"/>
      <c r="M433" s="3"/>
      <c r="N433" s="3"/>
      <c r="O433" s="3"/>
      <c r="P433" s="3"/>
      <c r="Q433" s="3"/>
      <c r="R433" s="3"/>
      <c r="S433" s="3"/>
      <c r="T433" s="3"/>
      <c r="U433" s="3"/>
      <c r="V433" s="3"/>
      <c r="W433" s="3"/>
      <c r="X433" s="3"/>
      <c r="Y433" s="3"/>
      <c r="Z433" s="3"/>
    </row>
    <row r="434" spans="1:26" ht="14.25" customHeight="1">
      <c r="A434" s="1"/>
      <c r="B434" s="1"/>
      <c r="C434" s="1"/>
      <c r="D434" s="1"/>
      <c r="E434" s="136"/>
      <c r="F434" s="12"/>
      <c r="G434" s="145"/>
      <c r="H434" s="145"/>
      <c r="I434" s="3"/>
      <c r="J434" s="3"/>
      <c r="K434" s="3"/>
      <c r="L434" s="3"/>
      <c r="M434" s="3"/>
      <c r="N434" s="3"/>
      <c r="O434" s="3"/>
      <c r="P434" s="3"/>
      <c r="Q434" s="3"/>
      <c r="R434" s="3"/>
      <c r="S434" s="3"/>
      <c r="T434" s="3"/>
      <c r="U434" s="3"/>
      <c r="V434" s="3"/>
      <c r="W434" s="3"/>
      <c r="X434" s="3"/>
      <c r="Y434" s="3"/>
      <c r="Z434" s="3"/>
    </row>
    <row r="435" spans="1:26" ht="14.25" customHeight="1">
      <c r="A435" s="1"/>
      <c r="B435" s="1"/>
      <c r="C435" s="1"/>
      <c r="D435" s="1"/>
      <c r="E435" s="136"/>
      <c r="F435" s="12"/>
      <c r="G435" s="145"/>
      <c r="H435" s="145"/>
      <c r="I435" s="3"/>
      <c r="J435" s="3"/>
      <c r="K435" s="3"/>
      <c r="L435" s="3"/>
      <c r="M435" s="3"/>
      <c r="N435" s="3"/>
      <c r="O435" s="3"/>
      <c r="P435" s="3"/>
      <c r="Q435" s="3"/>
      <c r="R435" s="3"/>
      <c r="S435" s="3"/>
      <c r="T435" s="3"/>
      <c r="U435" s="3"/>
      <c r="V435" s="3"/>
      <c r="W435" s="3"/>
      <c r="X435" s="3"/>
      <c r="Y435" s="3"/>
      <c r="Z435" s="3"/>
    </row>
    <row r="436" spans="1:26" ht="14.25" customHeight="1">
      <c r="A436" s="1"/>
      <c r="B436" s="1"/>
      <c r="C436" s="1"/>
      <c r="D436" s="1"/>
      <c r="E436" s="136"/>
      <c r="F436" s="12"/>
      <c r="G436" s="145"/>
      <c r="H436" s="145"/>
      <c r="I436" s="3"/>
      <c r="J436" s="3"/>
      <c r="K436" s="3"/>
      <c r="L436" s="3"/>
      <c r="M436" s="3"/>
      <c r="N436" s="3"/>
      <c r="O436" s="3"/>
      <c r="P436" s="3"/>
      <c r="Q436" s="3"/>
      <c r="R436" s="3"/>
      <c r="S436" s="3"/>
      <c r="T436" s="3"/>
      <c r="U436" s="3"/>
      <c r="V436" s="3"/>
      <c r="W436" s="3"/>
      <c r="X436" s="3"/>
      <c r="Y436" s="3"/>
      <c r="Z436" s="3"/>
    </row>
    <row r="437" spans="1:26" ht="14.25" customHeight="1">
      <c r="A437" s="1"/>
      <c r="B437" s="1"/>
      <c r="C437" s="1"/>
      <c r="D437" s="1"/>
      <c r="E437" s="136"/>
      <c r="F437" s="12"/>
      <c r="G437" s="145"/>
      <c r="H437" s="145"/>
      <c r="I437" s="3"/>
      <c r="J437" s="3"/>
      <c r="K437" s="3"/>
      <c r="L437" s="3"/>
      <c r="M437" s="3"/>
      <c r="N437" s="3"/>
      <c r="O437" s="3"/>
      <c r="P437" s="3"/>
      <c r="Q437" s="3"/>
      <c r="R437" s="3"/>
      <c r="S437" s="3"/>
      <c r="T437" s="3"/>
      <c r="U437" s="3"/>
      <c r="V437" s="3"/>
      <c r="W437" s="3"/>
      <c r="X437" s="3"/>
      <c r="Y437" s="3"/>
      <c r="Z437" s="3"/>
    </row>
    <row r="438" spans="1:26" ht="14.25" customHeight="1">
      <c r="A438" s="1"/>
      <c r="B438" s="1"/>
      <c r="C438" s="1"/>
      <c r="D438" s="1"/>
      <c r="E438" s="136"/>
      <c r="F438" s="12"/>
      <c r="G438" s="145"/>
      <c r="H438" s="145"/>
      <c r="I438" s="3"/>
      <c r="J438" s="3"/>
      <c r="K438" s="3"/>
      <c r="L438" s="3"/>
      <c r="M438" s="3"/>
      <c r="N438" s="3"/>
      <c r="O438" s="3"/>
      <c r="P438" s="3"/>
      <c r="Q438" s="3"/>
      <c r="R438" s="3"/>
      <c r="S438" s="3"/>
      <c r="T438" s="3"/>
      <c r="U438" s="3"/>
      <c r="V438" s="3"/>
      <c r="W438" s="3"/>
      <c r="X438" s="3"/>
      <c r="Y438" s="3"/>
      <c r="Z438" s="3"/>
    </row>
    <row r="439" spans="1:26" ht="14.25" customHeight="1">
      <c r="A439" s="1"/>
      <c r="B439" s="1"/>
      <c r="C439" s="1"/>
      <c r="D439" s="1"/>
      <c r="E439" s="136"/>
      <c r="F439" s="12"/>
      <c r="G439" s="145"/>
      <c r="H439" s="145"/>
      <c r="I439" s="3"/>
      <c r="J439" s="3"/>
      <c r="K439" s="3"/>
      <c r="L439" s="3"/>
      <c r="M439" s="3"/>
      <c r="N439" s="3"/>
      <c r="O439" s="3"/>
      <c r="P439" s="3"/>
      <c r="Q439" s="3"/>
      <c r="R439" s="3"/>
      <c r="S439" s="3"/>
      <c r="T439" s="3"/>
      <c r="U439" s="3"/>
      <c r="V439" s="3"/>
      <c r="W439" s="3"/>
      <c r="X439" s="3"/>
      <c r="Y439" s="3"/>
      <c r="Z439" s="3"/>
    </row>
    <row r="440" spans="1:26" ht="14.25" customHeight="1">
      <c r="A440" s="1"/>
      <c r="B440" s="1"/>
      <c r="C440" s="1"/>
      <c r="D440" s="1"/>
      <c r="E440" s="136"/>
      <c r="F440" s="12"/>
      <c r="G440" s="145"/>
      <c r="H440" s="145"/>
      <c r="I440" s="3"/>
      <c r="J440" s="3"/>
      <c r="K440" s="3"/>
      <c r="L440" s="3"/>
      <c r="M440" s="3"/>
      <c r="N440" s="3"/>
      <c r="O440" s="3"/>
      <c r="P440" s="3"/>
      <c r="Q440" s="3"/>
      <c r="R440" s="3"/>
      <c r="S440" s="3"/>
      <c r="T440" s="3"/>
      <c r="U440" s="3"/>
      <c r="V440" s="3"/>
      <c r="W440" s="3"/>
      <c r="X440" s="3"/>
      <c r="Y440" s="3"/>
      <c r="Z440" s="3"/>
    </row>
    <row r="441" spans="1:26" ht="14.25" customHeight="1">
      <c r="A441" s="1"/>
      <c r="B441" s="1"/>
      <c r="C441" s="1"/>
      <c r="D441" s="1"/>
      <c r="E441" s="136"/>
      <c r="F441" s="12"/>
      <c r="G441" s="145"/>
      <c r="H441" s="145"/>
      <c r="I441" s="3"/>
      <c r="J441" s="3"/>
      <c r="K441" s="3"/>
      <c r="L441" s="3"/>
      <c r="M441" s="3"/>
      <c r="N441" s="3"/>
      <c r="O441" s="3"/>
      <c r="P441" s="3"/>
      <c r="Q441" s="3"/>
      <c r="R441" s="3"/>
      <c r="S441" s="3"/>
      <c r="T441" s="3"/>
      <c r="U441" s="3"/>
      <c r="V441" s="3"/>
      <c r="W441" s="3"/>
      <c r="X441" s="3"/>
      <c r="Y441" s="3"/>
      <c r="Z441" s="3"/>
    </row>
    <row r="442" spans="1:26" ht="14.25" customHeight="1">
      <c r="A442" s="1"/>
      <c r="B442" s="1"/>
      <c r="C442" s="1"/>
      <c r="D442" s="1"/>
      <c r="E442" s="136"/>
      <c r="F442" s="12"/>
      <c r="G442" s="145"/>
      <c r="H442" s="145"/>
      <c r="I442" s="3"/>
      <c r="J442" s="3"/>
      <c r="K442" s="3"/>
      <c r="L442" s="3"/>
      <c r="M442" s="3"/>
      <c r="N442" s="3"/>
      <c r="O442" s="3"/>
      <c r="P442" s="3"/>
      <c r="Q442" s="3"/>
      <c r="R442" s="3"/>
      <c r="S442" s="3"/>
      <c r="T442" s="3"/>
      <c r="U442" s="3"/>
      <c r="V442" s="3"/>
      <c r="W442" s="3"/>
      <c r="X442" s="3"/>
      <c r="Y442" s="3"/>
      <c r="Z442" s="3"/>
    </row>
    <row r="443" spans="1:26" ht="14.25" customHeight="1">
      <c r="A443" s="1"/>
      <c r="B443" s="1"/>
      <c r="C443" s="1"/>
      <c r="D443" s="1"/>
      <c r="E443" s="136"/>
      <c r="F443" s="12"/>
      <c r="G443" s="145"/>
      <c r="H443" s="145"/>
      <c r="I443" s="3"/>
      <c r="J443" s="3"/>
      <c r="K443" s="3"/>
      <c r="L443" s="3"/>
      <c r="M443" s="3"/>
      <c r="N443" s="3"/>
      <c r="O443" s="3"/>
      <c r="P443" s="3"/>
      <c r="Q443" s="3"/>
      <c r="R443" s="3"/>
      <c r="S443" s="3"/>
      <c r="T443" s="3"/>
      <c r="U443" s="3"/>
      <c r="V443" s="3"/>
      <c r="W443" s="3"/>
      <c r="X443" s="3"/>
      <c r="Y443" s="3"/>
      <c r="Z443" s="3"/>
    </row>
    <row r="444" spans="1:26" ht="14.25" customHeight="1">
      <c r="A444" s="1"/>
      <c r="B444" s="1"/>
      <c r="C444" s="1"/>
      <c r="D444" s="1"/>
      <c r="E444" s="136"/>
      <c r="F444" s="12"/>
      <c r="G444" s="145"/>
      <c r="H444" s="145"/>
      <c r="I444" s="3"/>
      <c r="J444" s="3"/>
      <c r="K444" s="3"/>
      <c r="L444" s="3"/>
      <c r="M444" s="3"/>
      <c r="N444" s="3"/>
      <c r="O444" s="3"/>
      <c r="P444" s="3"/>
      <c r="Q444" s="3"/>
      <c r="R444" s="3"/>
      <c r="S444" s="3"/>
      <c r="T444" s="3"/>
      <c r="U444" s="3"/>
      <c r="V444" s="3"/>
      <c r="W444" s="3"/>
      <c r="X444" s="3"/>
      <c r="Y444" s="3"/>
      <c r="Z444" s="3"/>
    </row>
    <row r="445" spans="1:26" ht="14.25" customHeight="1">
      <c r="A445" s="1"/>
      <c r="B445" s="1"/>
      <c r="C445" s="1"/>
      <c r="D445" s="1"/>
      <c r="E445" s="136"/>
      <c r="F445" s="12"/>
      <c r="G445" s="145"/>
      <c r="H445" s="145"/>
      <c r="I445" s="3"/>
      <c r="J445" s="3"/>
      <c r="K445" s="3"/>
      <c r="L445" s="3"/>
      <c r="M445" s="3"/>
      <c r="N445" s="3"/>
      <c r="O445" s="3"/>
      <c r="P445" s="3"/>
      <c r="Q445" s="3"/>
      <c r="R445" s="3"/>
      <c r="S445" s="3"/>
      <c r="T445" s="3"/>
      <c r="U445" s="3"/>
      <c r="V445" s="3"/>
      <c r="W445" s="3"/>
      <c r="X445" s="3"/>
      <c r="Y445" s="3"/>
      <c r="Z445" s="3"/>
    </row>
    <row r="446" spans="1:26" ht="14.25" customHeight="1">
      <c r="A446" s="1"/>
      <c r="B446" s="1"/>
      <c r="C446" s="1"/>
      <c r="D446" s="1"/>
      <c r="E446" s="136"/>
      <c r="F446" s="12"/>
      <c r="G446" s="145"/>
      <c r="H446" s="145"/>
      <c r="I446" s="3"/>
      <c r="J446" s="3"/>
      <c r="K446" s="3"/>
      <c r="L446" s="3"/>
      <c r="M446" s="3"/>
      <c r="N446" s="3"/>
      <c r="O446" s="3"/>
      <c r="P446" s="3"/>
      <c r="Q446" s="3"/>
      <c r="R446" s="3"/>
      <c r="S446" s="3"/>
      <c r="T446" s="3"/>
      <c r="U446" s="3"/>
      <c r="V446" s="3"/>
      <c r="W446" s="3"/>
      <c r="X446" s="3"/>
      <c r="Y446" s="3"/>
      <c r="Z446" s="3"/>
    </row>
    <row r="447" spans="1:26" ht="14.25" customHeight="1">
      <c r="A447" s="1"/>
      <c r="B447" s="1"/>
      <c r="C447" s="1"/>
      <c r="D447" s="1"/>
      <c r="E447" s="136"/>
      <c r="F447" s="12"/>
      <c r="G447" s="145"/>
      <c r="H447" s="145"/>
      <c r="I447" s="3"/>
      <c r="J447" s="3"/>
      <c r="K447" s="3"/>
      <c r="L447" s="3"/>
      <c r="M447" s="3"/>
      <c r="N447" s="3"/>
      <c r="O447" s="3"/>
      <c r="P447" s="3"/>
      <c r="Q447" s="3"/>
      <c r="R447" s="3"/>
      <c r="S447" s="3"/>
      <c r="T447" s="3"/>
      <c r="U447" s="3"/>
      <c r="V447" s="3"/>
      <c r="W447" s="3"/>
      <c r="X447" s="3"/>
      <c r="Y447" s="3"/>
      <c r="Z447" s="3"/>
    </row>
    <row r="448" spans="1:26" ht="14.25" customHeight="1">
      <c r="A448" s="1"/>
      <c r="B448" s="1"/>
      <c r="C448" s="1"/>
      <c r="D448" s="1"/>
      <c r="E448" s="136"/>
      <c r="F448" s="12"/>
      <c r="G448" s="145"/>
      <c r="H448" s="145"/>
      <c r="I448" s="3"/>
      <c r="J448" s="3"/>
      <c r="K448" s="3"/>
      <c r="L448" s="3"/>
      <c r="M448" s="3"/>
      <c r="N448" s="3"/>
      <c r="O448" s="3"/>
      <c r="P448" s="3"/>
      <c r="Q448" s="3"/>
      <c r="R448" s="3"/>
      <c r="S448" s="3"/>
      <c r="T448" s="3"/>
      <c r="U448" s="3"/>
      <c r="V448" s="3"/>
      <c r="W448" s="3"/>
      <c r="X448" s="3"/>
      <c r="Y448" s="3"/>
      <c r="Z448" s="3"/>
    </row>
    <row r="449" spans="1:26" ht="14.25" customHeight="1">
      <c r="A449" s="1"/>
      <c r="B449" s="1"/>
      <c r="C449" s="1"/>
      <c r="D449" s="1"/>
      <c r="E449" s="136"/>
      <c r="F449" s="12"/>
      <c r="G449" s="145"/>
      <c r="H449" s="145"/>
      <c r="I449" s="3"/>
      <c r="J449" s="3"/>
      <c r="K449" s="3"/>
      <c r="L449" s="3"/>
      <c r="M449" s="3"/>
      <c r="N449" s="3"/>
      <c r="O449" s="3"/>
      <c r="P449" s="3"/>
      <c r="Q449" s="3"/>
      <c r="R449" s="3"/>
      <c r="S449" s="3"/>
      <c r="T449" s="3"/>
      <c r="U449" s="3"/>
      <c r="V449" s="3"/>
      <c r="W449" s="3"/>
      <c r="X449" s="3"/>
      <c r="Y449" s="3"/>
      <c r="Z449" s="3"/>
    </row>
    <row r="450" spans="1:26" ht="14.25" customHeight="1">
      <c r="A450" s="1"/>
      <c r="B450" s="1"/>
      <c r="C450" s="1"/>
      <c r="D450" s="1"/>
      <c r="E450" s="136"/>
      <c r="F450" s="12"/>
      <c r="G450" s="145"/>
      <c r="H450" s="145"/>
      <c r="I450" s="3"/>
      <c r="J450" s="3"/>
      <c r="K450" s="3"/>
      <c r="L450" s="3"/>
      <c r="M450" s="3"/>
      <c r="N450" s="3"/>
      <c r="O450" s="3"/>
      <c r="P450" s="3"/>
      <c r="Q450" s="3"/>
      <c r="R450" s="3"/>
      <c r="S450" s="3"/>
      <c r="T450" s="3"/>
      <c r="U450" s="3"/>
      <c r="V450" s="3"/>
      <c r="W450" s="3"/>
      <c r="X450" s="3"/>
      <c r="Y450" s="3"/>
      <c r="Z450" s="3"/>
    </row>
    <row r="451" spans="1:26" ht="14.25" customHeight="1">
      <c r="A451" s="1"/>
      <c r="B451" s="1"/>
      <c r="C451" s="1"/>
      <c r="D451" s="1"/>
      <c r="E451" s="136"/>
      <c r="F451" s="12"/>
      <c r="G451" s="145"/>
      <c r="H451" s="145"/>
      <c r="I451" s="3"/>
      <c r="J451" s="3"/>
      <c r="K451" s="3"/>
      <c r="L451" s="3"/>
      <c r="M451" s="3"/>
      <c r="N451" s="3"/>
      <c r="O451" s="3"/>
      <c r="P451" s="3"/>
      <c r="Q451" s="3"/>
      <c r="R451" s="3"/>
      <c r="S451" s="3"/>
      <c r="T451" s="3"/>
      <c r="U451" s="3"/>
      <c r="V451" s="3"/>
      <c r="W451" s="3"/>
      <c r="X451" s="3"/>
      <c r="Y451" s="3"/>
      <c r="Z451" s="3"/>
    </row>
    <row r="452" spans="1:26" ht="14.25" customHeight="1">
      <c r="A452" s="1"/>
      <c r="B452" s="1"/>
      <c r="C452" s="1"/>
      <c r="D452" s="1"/>
      <c r="E452" s="136"/>
      <c r="F452" s="12"/>
      <c r="G452" s="145"/>
      <c r="H452" s="145"/>
      <c r="I452" s="3"/>
      <c r="J452" s="3"/>
      <c r="K452" s="3"/>
      <c r="L452" s="3"/>
      <c r="M452" s="3"/>
      <c r="N452" s="3"/>
      <c r="O452" s="3"/>
      <c r="P452" s="3"/>
      <c r="Q452" s="3"/>
      <c r="R452" s="3"/>
      <c r="S452" s="3"/>
      <c r="T452" s="3"/>
      <c r="U452" s="3"/>
      <c r="V452" s="3"/>
      <c r="W452" s="3"/>
      <c r="X452" s="3"/>
      <c r="Y452" s="3"/>
      <c r="Z452" s="3"/>
    </row>
    <row r="453" spans="1:26" ht="14.25" customHeight="1">
      <c r="A453" s="1"/>
      <c r="B453" s="1"/>
      <c r="C453" s="1"/>
      <c r="D453" s="1"/>
      <c r="E453" s="136"/>
      <c r="F453" s="12"/>
      <c r="G453" s="145"/>
      <c r="H453" s="145"/>
      <c r="I453" s="3"/>
      <c r="J453" s="3"/>
      <c r="K453" s="3"/>
      <c r="L453" s="3"/>
      <c r="M453" s="3"/>
      <c r="N453" s="3"/>
      <c r="O453" s="3"/>
      <c r="P453" s="3"/>
      <c r="Q453" s="3"/>
      <c r="R453" s="3"/>
      <c r="S453" s="3"/>
      <c r="T453" s="3"/>
      <c r="U453" s="3"/>
      <c r="V453" s="3"/>
      <c r="W453" s="3"/>
      <c r="X453" s="3"/>
      <c r="Y453" s="3"/>
      <c r="Z453" s="3"/>
    </row>
    <row r="454" spans="1:26" ht="14.25" customHeight="1">
      <c r="A454" s="1"/>
      <c r="B454" s="1"/>
      <c r="C454" s="1"/>
      <c r="D454" s="1"/>
      <c r="E454" s="136"/>
      <c r="F454" s="12"/>
      <c r="G454" s="145"/>
      <c r="H454" s="145"/>
      <c r="I454" s="3"/>
      <c r="J454" s="3"/>
      <c r="K454" s="3"/>
      <c r="L454" s="3"/>
      <c r="M454" s="3"/>
      <c r="N454" s="3"/>
      <c r="O454" s="3"/>
      <c r="P454" s="3"/>
      <c r="Q454" s="3"/>
      <c r="R454" s="3"/>
      <c r="S454" s="3"/>
      <c r="T454" s="3"/>
      <c r="U454" s="3"/>
      <c r="V454" s="3"/>
      <c r="W454" s="3"/>
      <c r="X454" s="3"/>
      <c r="Y454" s="3"/>
      <c r="Z454" s="3"/>
    </row>
    <row r="455" spans="1:26" ht="14.25" customHeight="1">
      <c r="A455" s="1"/>
      <c r="B455" s="1"/>
      <c r="C455" s="1"/>
      <c r="D455" s="1"/>
      <c r="E455" s="136"/>
      <c r="F455" s="12"/>
      <c r="G455" s="145"/>
      <c r="H455" s="145"/>
      <c r="I455" s="3"/>
      <c r="J455" s="3"/>
      <c r="K455" s="3"/>
      <c r="L455" s="3"/>
      <c r="M455" s="3"/>
      <c r="N455" s="3"/>
      <c r="O455" s="3"/>
      <c r="P455" s="3"/>
      <c r="Q455" s="3"/>
      <c r="R455" s="3"/>
      <c r="S455" s="3"/>
      <c r="T455" s="3"/>
      <c r="U455" s="3"/>
      <c r="V455" s="3"/>
      <c r="W455" s="3"/>
      <c r="X455" s="3"/>
      <c r="Y455" s="3"/>
      <c r="Z455" s="3"/>
    </row>
    <row r="456" spans="1:26" ht="14.25" customHeight="1">
      <c r="A456" s="1"/>
      <c r="B456" s="1"/>
      <c r="C456" s="1"/>
      <c r="D456" s="1"/>
      <c r="E456" s="136"/>
      <c r="F456" s="12"/>
      <c r="G456" s="145"/>
      <c r="H456" s="145"/>
      <c r="I456" s="3"/>
      <c r="J456" s="3"/>
      <c r="K456" s="3"/>
      <c r="L456" s="3"/>
      <c r="M456" s="3"/>
      <c r="N456" s="3"/>
      <c r="O456" s="3"/>
      <c r="P456" s="3"/>
      <c r="Q456" s="3"/>
      <c r="R456" s="3"/>
      <c r="S456" s="3"/>
      <c r="T456" s="3"/>
      <c r="U456" s="3"/>
      <c r="V456" s="3"/>
      <c r="W456" s="3"/>
      <c r="X456" s="3"/>
      <c r="Y456" s="3"/>
      <c r="Z456" s="3"/>
    </row>
    <row r="457" spans="1:26" ht="14.25" customHeight="1">
      <c r="A457" s="1"/>
      <c r="B457" s="1"/>
      <c r="C457" s="1"/>
      <c r="D457" s="1"/>
      <c r="E457" s="136"/>
      <c r="F457" s="12"/>
      <c r="G457" s="145"/>
      <c r="H457" s="145"/>
      <c r="I457" s="3"/>
      <c r="J457" s="3"/>
      <c r="K457" s="3"/>
      <c r="L457" s="3"/>
      <c r="M457" s="3"/>
      <c r="N457" s="3"/>
      <c r="O457" s="3"/>
      <c r="P457" s="3"/>
      <c r="Q457" s="3"/>
      <c r="R457" s="3"/>
      <c r="S457" s="3"/>
      <c r="T457" s="3"/>
      <c r="U457" s="3"/>
      <c r="V457" s="3"/>
      <c r="W457" s="3"/>
      <c r="X457" s="3"/>
      <c r="Y457" s="3"/>
      <c r="Z457" s="3"/>
    </row>
    <row r="458" spans="1:26" ht="14.25" customHeight="1">
      <c r="A458" s="1"/>
      <c r="B458" s="1"/>
      <c r="C458" s="1"/>
      <c r="D458" s="1"/>
      <c r="E458" s="136"/>
      <c r="F458" s="12"/>
      <c r="G458" s="145"/>
      <c r="H458" s="145"/>
      <c r="I458" s="3"/>
      <c r="J458" s="3"/>
      <c r="K458" s="3"/>
      <c r="L458" s="3"/>
      <c r="M458" s="3"/>
      <c r="N458" s="3"/>
      <c r="O458" s="3"/>
      <c r="P458" s="3"/>
      <c r="Q458" s="3"/>
      <c r="R458" s="3"/>
      <c r="S458" s="3"/>
      <c r="T458" s="3"/>
      <c r="U458" s="3"/>
      <c r="V458" s="3"/>
      <c r="W458" s="3"/>
      <c r="X458" s="3"/>
      <c r="Y458" s="3"/>
      <c r="Z458" s="3"/>
    </row>
    <row r="459" spans="1:26" ht="14.25" customHeight="1">
      <c r="A459" s="1"/>
      <c r="B459" s="1"/>
      <c r="C459" s="1"/>
      <c r="D459" s="1"/>
      <c r="E459" s="136"/>
      <c r="F459" s="12"/>
      <c r="G459" s="145"/>
      <c r="H459" s="145"/>
      <c r="I459" s="3"/>
      <c r="J459" s="3"/>
      <c r="K459" s="3"/>
      <c r="L459" s="3"/>
      <c r="M459" s="3"/>
      <c r="N459" s="3"/>
      <c r="O459" s="3"/>
      <c r="P459" s="3"/>
      <c r="Q459" s="3"/>
      <c r="R459" s="3"/>
      <c r="S459" s="3"/>
      <c r="T459" s="3"/>
      <c r="U459" s="3"/>
      <c r="V459" s="3"/>
      <c r="W459" s="3"/>
      <c r="X459" s="3"/>
      <c r="Y459" s="3"/>
      <c r="Z459" s="3"/>
    </row>
    <row r="460" spans="1:26" ht="14.25" customHeight="1">
      <c r="A460" s="1"/>
      <c r="B460" s="1"/>
      <c r="C460" s="1"/>
      <c r="D460" s="1"/>
      <c r="E460" s="136"/>
      <c r="F460" s="12"/>
      <c r="G460" s="145"/>
      <c r="H460" s="145"/>
      <c r="I460" s="3"/>
      <c r="J460" s="3"/>
      <c r="K460" s="3"/>
      <c r="L460" s="3"/>
      <c r="M460" s="3"/>
      <c r="N460" s="3"/>
      <c r="O460" s="3"/>
      <c r="P460" s="3"/>
      <c r="Q460" s="3"/>
      <c r="R460" s="3"/>
      <c r="S460" s="3"/>
      <c r="T460" s="3"/>
      <c r="U460" s="3"/>
      <c r="V460" s="3"/>
      <c r="W460" s="3"/>
      <c r="X460" s="3"/>
      <c r="Y460" s="3"/>
      <c r="Z460" s="3"/>
    </row>
    <row r="461" spans="1:26" ht="14.25" customHeight="1">
      <c r="A461" s="1"/>
      <c r="B461" s="1"/>
      <c r="C461" s="1"/>
      <c r="D461" s="1"/>
      <c r="E461" s="136"/>
      <c r="F461" s="12"/>
      <c r="G461" s="145"/>
      <c r="H461" s="145"/>
      <c r="I461" s="3"/>
      <c r="J461" s="3"/>
      <c r="K461" s="3"/>
      <c r="L461" s="3"/>
      <c r="M461" s="3"/>
      <c r="N461" s="3"/>
      <c r="O461" s="3"/>
      <c r="P461" s="3"/>
      <c r="Q461" s="3"/>
      <c r="R461" s="3"/>
      <c r="S461" s="3"/>
      <c r="T461" s="3"/>
      <c r="U461" s="3"/>
      <c r="V461" s="3"/>
      <c r="W461" s="3"/>
      <c r="X461" s="3"/>
      <c r="Y461" s="3"/>
      <c r="Z461" s="3"/>
    </row>
    <row r="462" spans="1:26" ht="14.25" customHeight="1">
      <c r="A462" s="1"/>
      <c r="B462" s="1"/>
      <c r="C462" s="1"/>
      <c r="D462" s="1"/>
      <c r="E462" s="136"/>
      <c r="F462" s="12"/>
      <c r="G462" s="145"/>
      <c r="H462" s="145"/>
      <c r="I462" s="3"/>
      <c r="J462" s="3"/>
      <c r="K462" s="3"/>
      <c r="L462" s="3"/>
      <c r="M462" s="3"/>
      <c r="N462" s="3"/>
      <c r="O462" s="3"/>
      <c r="P462" s="3"/>
      <c r="Q462" s="3"/>
      <c r="R462" s="3"/>
      <c r="S462" s="3"/>
      <c r="T462" s="3"/>
      <c r="U462" s="3"/>
      <c r="V462" s="3"/>
      <c r="W462" s="3"/>
      <c r="X462" s="3"/>
      <c r="Y462" s="3"/>
      <c r="Z462" s="3"/>
    </row>
    <row r="463" spans="1:26" ht="14.25" customHeight="1">
      <c r="A463" s="1"/>
      <c r="B463" s="1"/>
      <c r="C463" s="1"/>
      <c r="D463" s="1"/>
      <c r="E463" s="136"/>
      <c r="F463" s="12"/>
      <c r="G463" s="145"/>
      <c r="H463" s="145"/>
      <c r="I463" s="3"/>
      <c r="J463" s="3"/>
      <c r="K463" s="3"/>
      <c r="L463" s="3"/>
      <c r="M463" s="3"/>
      <c r="N463" s="3"/>
      <c r="O463" s="3"/>
      <c r="P463" s="3"/>
      <c r="Q463" s="3"/>
      <c r="R463" s="3"/>
      <c r="S463" s="3"/>
      <c r="T463" s="3"/>
      <c r="U463" s="3"/>
      <c r="V463" s="3"/>
      <c r="W463" s="3"/>
      <c r="X463" s="3"/>
      <c r="Y463" s="3"/>
      <c r="Z463" s="3"/>
    </row>
    <row r="464" spans="1:26" ht="14.25" customHeight="1">
      <c r="A464" s="1"/>
      <c r="B464" s="1"/>
      <c r="C464" s="1"/>
      <c r="D464" s="1"/>
      <c r="E464" s="136"/>
      <c r="F464" s="12"/>
      <c r="G464" s="145"/>
      <c r="H464" s="145"/>
      <c r="I464" s="3"/>
      <c r="J464" s="3"/>
      <c r="K464" s="3"/>
      <c r="L464" s="3"/>
      <c r="M464" s="3"/>
      <c r="N464" s="3"/>
      <c r="O464" s="3"/>
      <c r="P464" s="3"/>
      <c r="Q464" s="3"/>
      <c r="R464" s="3"/>
      <c r="S464" s="3"/>
      <c r="T464" s="3"/>
      <c r="U464" s="3"/>
      <c r="V464" s="3"/>
      <c r="W464" s="3"/>
      <c r="X464" s="3"/>
      <c r="Y464" s="3"/>
      <c r="Z464" s="3"/>
    </row>
    <row r="465" spans="1:26" ht="14.25" customHeight="1">
      <c r="A465" s="1"/>
      <c r="B465" s="1"/>
      <c r="C465" s="1"/>
      <c r="D465" s="1"/>
      <c r="E465" s="136"/>
      <c r="F465" s="12"/>
      <c r="G465" s="145"/>
      <c r="H465" s="145"/>
      <c r="I465" s="3"/>
      <c r="J465" s="3"/>
      <c r="K465" s="3"/>
      <c r="L465" s="3"/>
      <c r="M465" s="3"/>
      <c r="N465" s="3"/>
      <c r="O465" s="3"/>
      <c r="P465" s="3"/>
      <c r="Q465" s="3"/>
      <c r="R465" s="3"/>
      <c r="S465" s="3"/>
      <c r="T465" s="3"/>
      <c r="U465" s="3"/>
      <c r="V465" s="3"/>
      <c r="W465" s="3"/>
      <c r="X465" s="3"/>
      <c r="Y465" s="3"/>
      <c r="Z465" s="3"/>
    </row>
    <row r="466" spans="1:26" ht="14.25" customHeight="1">
      <c r="A466" s="1"/>
      <c r="B466" s="1"/>
      <c r="C466" s="1"/>
      <c r="D466" s="1"/>
      <c r="E466" s="136"/>
      <c r="F466" s="12"/>
      <c r="G466" s="145"/>
      <c r="H466" s="145"/>
      <c r="I466" s="3"/>
      <c r="J466" s="3"/>
      <c r="K466" s="3"/>
      <c r="L466" s="3"/>
      <c r="M466" s="3"/>
      <c r="N466" s="3"/>
      <c r="O466" s="3"/>
      <c r="P466" s="3"/>
      <c r="Q466" s="3"/>
      <c r="R466" s="3"/>
      <c r="S466" s="3"/>
      <c r="T466" s="3"/>
      <c r="U466" s="3"/>
      <c r="V466" s="3"/>
      <c r="W466" s="3"/>
      <c r="X466" s="3"/>
      <c r="Y466" s="3"/>
      <c r="Z466" s="3"/>
    </row>
    <row r="467" spans="1:26" ht="14.25" customHeight="1">
      <c r="A467" s="1"/>
      <c r="B467" s="1"/>
      <c r="C467" s="1"/>
      <c r="D467" s="1"/>
      <c r="E467" s="136"/>
      <c r="F467" s="12"/>
      <c r="G467" s="145"/>
      <c r="H467" s="145"/>
      <c r="I467" s="3"/>
      <c r="J467" s="3"/>
      <c r="K467" s="3"/>
      <c r="L467" s="3"/>
      <c r="M467" s="3"/>
      <c r="N467" s="3"/>
      <c r="O467" s="3"/>
      <c r="P467" s="3"/>
      <c r="Q467" s="3"/>
      <c r="R467" s="3"/>
      <c r="S467" s="3"/>
      <c r="T467" s="3"/>
      <c r="U467" s="3"/>
      <c r="V467" s="3"/>
      <c r="W467" s="3"/>
      <c r="X467" s="3"/>
      <c r="Y467" s="3"/>
      <c r="Z467" s="3"/>
    </row>
    <row r="468" spans="1:26" ht="14.25" customHeight="1">
      <c r="A468" s="1"/>
      <c r="B468" s="1"/>
      <c r="C468" s="1"/>
      <c r="D468" s="1"/>
      <c r="E468" s="136"/>
      <c r="F468" s="12"/>
      <c r="G468" s="145"/>
      <c r="H468" s="145"/>
      <c r="I468" s="3"/>
      <c r="J468" s="3"/>
      <c r="K468" s="3"/>
      <c r="L468" s="3"/>
      <c r="M468" s="3"/>
      <c r="N468" s="3"/>
      <c r="O468" s="3"/>
      <c r="P468" s="3"/>
      <c r="Q468" s="3"/>
      <c r="R468" s="3"/>
      <c r="S468" s="3"/>
      <c r="T468" s="3"/>
      <c r="U468" s="3"/>
      <c r="V468" s="3"/>
      <c r="W468" s="3"/>
      <c r="X468" s="3"/>
      <c r="Y468" s="3"/>
      <c r="Z468" s="3"/>
    </row>
    <row r="469" spans="1:26" ht="14.25" customHeight="1">
      <c r="A469" s="1"/>
      <c r="B469" s="1"/>
      <c r="C469" s="1"/>
      <c r="D469" s="1"/>
      <c r="E469" s="136"/>
      <c r="F469" s="12"/>
      <c r="G469" s="145"/>
      <c r="H469" s="145"/>
      <c r="I469" s="3"/>
      <c r="J469" s="3"/>
      <c r="K469" s="3"/>
      <c r="L469" s="3"/>
      <c r="M469" s="3"/>
      <c r="N469" s="3"/>
      <c r="O469" s="3"/>
      <c r="P469" s="3"/>
      <c r="Q469" s="3"/>
      <c r="R469" s="3"/>
      <c r="S469" s="3"/>
      <c r="T469" s="3"/>
      <c r="U469" s="3"/>
      <c r="V469" s="3"/>
      <c r="W469" s="3"/>
      <c r="X469" s="3"/>
      <c r="Y469" s="3"/>
      <c r="Z469" s="3"/>
    </row>
    <row r="470" spans="1:26" ht="14.25" customHeight="1">
      <c r="A470" s="1"/>
      <c r="B470" s="1"/>
      <c r="C470" s="1"/>
      <c r="D470" s="1"/>
      <c r="E470" s="136"/>
      <c r="F470" s="12"/>
      <c r="G470" s="145"/>
      <c r="H470" s="145"/>
      <c r="I470" s="3"/>
      <c r="J470" s="3"/>
      <c r="K470" s="3"/>
      <c r="L470" s="3"/>
      <c r="M470" s="3"/>
      <c r="N470" s="3"/>
      <c r="O470" s="3"/>
      <c r="P470" s="3"/>
      <c r="Q470" s="3"/>
      <c r="R470" s="3"/>
      <c r="S470" s="3"/>
      <c r="T470" s="3"/>
      <c r="U470" s="3"/>
      <c r="V470" s="3"/>
      <c r="W470" s="3"/>
      <c r="X470" s="3"/>
      <c r="Y470" s="3"/>
      <c r="Z470" s="3"/>
    </row>
    <row r="471" spans="1:26" ht="14.25" customHeight="1">
      <c r="A471" s="1"/>
      <c r="B471" s="1"/>
      <c r="C471" s="1"/>
      <c r="D471" s="1"/>
      <c r="E471" s="136"/>
      <c r="F471" s="12"/>
      <c r="G471" s="145"/>
      <c r="H471" s="145"/>
      <c r="I471" s="3"/>
      <c r="J471" s="3"/>
      <c r="K471" s="3"/>
      <c r="L471" s="3"/>
      <c r="M471" s="3"/>
      <c r="N471" s="3"/>
      <c r="O471" s="3"/>
      <c r="P471" s="3"/>
      <c r="Q471" s="3"/>
      <c r="R471" s="3"/>
      <c r="S471" s="3"/>
      <c r="T471" s="3"/>
      <c r="U471" s="3"/>
      <c r="V471" s="3"/>
      <c r="W471" s="3"/>
      <c r="X471" s="3"/>
      <c r="Y471" s="3"/>
      <c r="Z471" s="3"/>
    </row>
    <row r="472" spans="1:26" ht="14.25" customHeight="1">
      <c r="A472" s="1"/>
      <c r="B472" s="1"/>
      <c r="C472" s="1"/>
      <c r="D472" s="1"/>
      <c r="E472" s="136"/>
      <c r="F472" s="12"/>
      <c r="G472" s="145"/>
      <c r="H472" s="145"/>
      <c r="I472" s="3"/>
      <c r="J472" s="3"/>
      <c r="K472" s="3"/>
      <c r="L472" s="3"/>
      <c r="M472" s="3"/>
      <c r="N472" s="3"/>
      <c r="O472" s="3"/>
      <c r="P472" s="3"/>
      <c r="Q472" s="3"/>
      <c r="R472" s="3"/>
      <c r="S472" s="3"/>
      <c r="T472" s="3"/>
      <c r="U472" s="3"/>
      <c r="V472" s="3"/>
      <c r="W472" s="3"/>
      <c r="X472" s="3"/>
      <c r="Y472" s="3"/>
      <c r="Z472" s="3"/>
    </row>
    <row r="473" spans="1:26" ht="14.25" customHeight="1">
      <c r="A473" s="1"/>
      <c r="B473" s="1"/>
      <c r="C473" s="1"/>
      <c r="D473" s="1"/>
      <c r="E473" s="136"/>
      <c r="F473" s="12"/>
      <c r="G473" s="145"/>
      <c r="H473" s="145"/>
      <c r="I473" s="3"/>
      <c r="J473" s="3"/>
      <c r="K473" s="3"/>
      <c r="L473" s="3"/>
      <c r="M473" s="3"/>
      <c r="N473" s="3"/>
      <c r="O473" s="3"/>
      <c r="P473" s="3"/>
      <c r="Q473" s="3"/>
      <c r="R473" s="3"/>
      <c r="S473" s="3"/>
      <c r="T473" s="3"/>
      <c r="U473" s="3"/>
      <c r="V473" s="3"/>
      <c r="W473" s="3"/>
      <c r="X473" s="3"/>
      <c r="Y473" s="3"/>
      <c r="Z473" s="3"/>
    </row>
    <row r="474" spans="1:26" ht="14.25" customHeight="1">
      <c r="A474" s="1"/>
      <c r="B474" s="1"/>
      <c r="C474" s="1"/>
      <c r="D474" s="1"/>
      <c r="E474" s="136"/>
      <c r="F474" s="12"/>
      <c r="G474" s="145"/>
      <c r="H474" s="145"/>
      <c r="I474" s="3"/>
      <c r="J474" s="3"/>
      <c r="K474" s="3"/>
      <c r="L474" s="3"/>
      <c r="M474" s="3"/>
      <c r="N474" s="3"/>
      <c r="O474" s="3"/>
      <c r="P474" s="3"/>
      <c r="Q474" s="3"/>
      <c r="R474" s="3"/>
      <c r="S474" s="3"/>
      <c r="T474" s="3"/>
      <c r="U474" s="3"/>
      <c r="V474" s="3"/>
      <c r="W474" s="3"/>
      <c r="X474" s="3"/>
      <c r="Y474" s="3"/>
      <c r="Z474" s="3"/>
    </row>
    <row r="475" spans="1:26" ht="14.25" customHeight="1">
      <c r="A475" s="1"/>
      <c r="B475" s="1"/>
      <c r="C475" s="1"/>
      <c r="D475" s="1"/>
      <c r="E475" s="136"/>
      <c r="F475" s="12"/>
      <c r="G475" s="145"/>
      <c r="H475" s="145"/>
      <c r="I475" s="3"/>
      <c r="J475" s="3"/>
      <c r="K475" s="3"/>
      <c r="L475" s="3"/>
      <c r="M475" s="3"/>
      <c r="N475" s="3"/>
      <c r="O475" s="3"/>
      <c r="P475" s="3"/>
      <c r="Q475" s="3"/>
      <c r="R475" s="3"/>
      <c r="S475" s="3"/>
      <c r="T475" s="3"/>
      <c r="U475" s="3"/>
      <c r="V475" s="3"/>
      <c r="W475" s="3"/>
      <c r="X475" s="3"/>
      <c r="Y475" s="3"/>
      <c r="Z475" s="3"/>
    </row>
    <row r="476" spans="1:26" ht="14.25" customHeight="1">
      <c r="A476" s="1"/>
      <c r="B476" s="1"/>
      <c r="C476" s="1"/>
      <c r="D476" s="1"/>
      <c r="E476" s="136"/>
      <c r="F476" s="12"/>
      <c r="G476" s="145"/>
      <c r="H476" s="145"/>
      <c r="I476" s="3"/>
      <c r="J476" s="3"/>
      <c r="K476" s="3"/>
      <c r="L476" s="3"/>
      <c r="M476" s="3"/>
      <c r="N476" s="3"/>
      <c r="O476" s="3"/>
      <c r="P476" s="3"/>
      <c r="Q476" s="3"/>
      <c r="R476" s="3"/>
      <c r="S476" s="3"/>
      <c r="T476" s="3"/>
      <c r="U476" s="3"/>
      <c r="V476" s="3"/>
      <c r="W476" s="3"/>
      <c r="X476" s="3"/>
      <c r="Y476" s="3"/>
      <c r="Z476" s="3"/>
    </row>
    <row r="477" spans="1:26" ht="14.25" customHeight="1">
      <c r="A477" s="1"/>
      <c r="B477" s="1"/>
      <c r="C477" s="1"/>
      <c r="D477" s="1"/>
      <c r="E477" s="136"/>
      <c r="F477" s="12"/>
      <c r="G477" s="145"/>
      <c r="H477" s="145"/>
      <c r="I477" s="3"/>
      <c r="J477" s="3"/>
      <c r="K477" s="3"/>
      <c r="L477" s="3"/>
      <c r="M477" s="3"/>
      <c r="N477" s="3"/>
      <c r="O477" s="3"/>
      <c r="P477" s="3"/>
      <c r="Q477" s="3"/>
      <c r="R477" s="3"/>
      <c r="S477" s="3"/>
      <c r="T477" s="3"/>
      <c r="U477" s="3"/>
      <c r="V477" s="3"/>
      <c r="W477" s="3"/>
      <c r="X477" s="3"/>
      <c r="Y477" s="3"/>
      <c r="Z477" s="3"/>
    </row>
    <row r="478" spans="1:26" ht="14.25" customHeight="1">
      <c r="A478" s="1"/>
      <c r="B478" s="1"/>
      <c r="C478" s="1"/>
      <c r="D478" s="1"/>
      <c r="E478" s="136"/>
      <c r="F478" s="12"/>
      <c r="G478" s="145"/>
      <c r="H478" s="145"/>
      <c r="I478" s="3"/>
      <c r="J478" s="3"/>
      <c r="K478" s="3"/>
      <c r="L478" s="3"/>
      <c r="M478" s="3"/>
      <c r="N478" s="3"/>
      <c r="O478" s="3"/>
      <c r="P478" s="3"/>
      <c r="Q478" s="3"/>
      <c r="R478" s="3"/>
      <c r="S478" s="3"/>
      <c r="T478" s="3"/>
      <c r="U478" s="3"/>
      <c r="V478" s="3"/>
      <c r="W478" s="3"/>
      <c r="X478" s="3"/>
      <c r="Y478" s="3"/>
      <c r="Z478" s="3"/>
    </row>
    <row r="479" spans="1:26" ht="14.25" customHeight="1">
      <c r="A479" s="1"/>
      <c r="B479" s="1"/>
      <c r="C479" s="1"/>
      <c r="D479" s="1"/>
      <c r="E479" s="136"/>
      <c r="F479" s="12"/>
      <c r="G479" s="145"/>
      <c r="H479" s="145"/>
      <c r="I479" s="3"/>
      <c r="J479" s="3"/>
      <c r="K479" s="3"/>
      <c r="L479" s="3"/>
      <c r="M479" s="3"/>
      <c r="N479" s="3"/>
      <c r="O479" s="3"/>
      <c r="P479" s="3"/>
      <c r="Q479" s="3"/>
      <c r="R479" s="3"/>
      <c r="S479" s="3"/>
      <c r="T479" s="3"/>
      <c r="U479" s="3"/>
      <c r="V479" s="3"/>
      <c r="W479" s="3"/>
      <c r="X479" s="3"/>
      <c r="Y479" s="3"/>
      <c r="Z479" s="3"/>
    </row>
    <row r="480" spans="1:26" ht="14.25" customHeight="1">
      <c r="A480" s="1"/>
      <c r="B480" s="1"/>
      <c r="C480" s="1"/>
      <c r="D480" s="1"/>
      <c r="E480" s="136"/>
      <c r="F480" s="12"/>
      <c r="G480" s="145"/>
      <c r="H480" s="145"/>
      <c r="I480" s="3"/>
      <c r="J480" s="3"/>
      <c r="K480" s="3"/>
      <c r="L480" s="3"/>
      <c r="M480" s="3"/>
      <c r="N480" s="3"/>
      <c r="O480" s="3"/>
      <c r="P480" s="3"/>
      <c r="Q480" s="3"/>
      <c r="R480" s="3"/>
      <c r="S480" s="3"/>
      <c r="T480" s="3"/>
      <c r="U480" s="3"/>
      <c r="V480" s="3"/>
      <c r="W480" s="3"/>
      <c r="X480" s="3"/>
      <c r="Y480" s="3"/>
      <c r="Z480" s="3"/>
    </row>
    <row r="481" spans="1:26" ht="14.25" customHeight="1">
      <c r="A481" s="1"/>
      <c r="B481" s="1"/>
      <c r="C481" s="1"/>
      <c r="D481" s="1"/>
      <c r="E481" s="136"/>
      <c r="F481" s="12"/>
      <c r="G481" s="145"/>
      <c r="H481" s="145"/>
      <c r="I481" s="3"/>
      <c r="J481" s="3"/>
      <c r="K481" s="3"/>
      <c r="L481" s="3"/>
      <c r="M481" s="3"/>
      <c r="N481" s="3"/>
      <c r="O481" s="3"/>
      <c r="P481" s="3"/>
      <c r="Q481" s="3"/>
      <c r="R481" s="3"/>
      <c r="S481" s="3"/>
      <c r="T481" s="3"/>
      <c r="U481" s="3"/>
      <c r="V481" s="3"/>
      <c r="W481" s="3"/>
      <c r="X481" s="3"/>
      <c r="Y481" s="3"/>
      <c r="Z481" s="3"/>
    </row>
    <row r="482" spans="1:26" ht="14.25" customHeight="1">
      <c r="A482" s="1"/>
      <c r="B482" s="1"/>
      <c r="C482" s="1"/>
      <c r="D482" s="1"/>
      <c r="E482" s="136"/>
      <c r="F482" s="12"/>
      <c r="G482" s="145"/>
      <c r="H482" s="145"/>
      <c r="I482" s="3"/>
      <c r="J482" s="3"/>
      <c r="K482" s="3"/>
      <c r="L482" s="3"/>
      <c r="M482" s="3"/>
      <c r="N482" s="3"/>
      <c r="O482" s="3"/>
      <c r="P482" s="3"/>
      <c r="Q482" s="3"/>
      <c r="R482" s="3"/>
      <c r="S482" s="3"/>
      <c r="T482" s="3"/>
      <c r="U482" s="3"/>
      <c r="V482" s="3"/>
      <c r="W482" s="3"/>
      <c r="X482" s="3"/>
      <c r="Y482" s="3"/>
      <c r="Z482" s="3"/>
    </row>
    <row r="483" spans="1:26" ht="14.25" customHeight="1">
      <c r="A483" s="1"/>
      <c r="B483" s="1"/>
      <c r="C483" s="1"/>
      <c r="D483" s="1"/>
      <c r="E483" s="136"/>
      <c r="F483" s="12"/>
      <c r="G483" s="145"/>
      <c r="H483" s="145"/>
      <c r="I483" s="3"/>
      <c r="J483" s="3"/>
      <c r="K483" s="3"/>
      <c r="L483" s="3"/>
      <c r="M483" s="3"/>
      <c r="N483" s="3"/>
      <c r="O483" s="3"/>
      <c r="P483" s="3"/>
      <c r="Q483" s="3"/>
      <c r="R483" s="3"/>
      <c r="S483" s="3"/>
      <c r="T483" s="3"/>
      <c r="U483" s="3"/>
      <c r="V483" s="3"/>
      <c r="W483" s="3"/>
      <c r="X483" s="3"/>
      <c r="Y483" s="3"/>
      <c r="Z483" s="3"/>
    </row>
    <row r="484" spans="1:26" ht="14.25" customHeight="1">
      <c r="A484" s="1"/>
      <c r="B484" s="1"/>
      <c r="C484" s="1"/>
      <c r="D484" s="1"/>
      <c r="E484" s="136"/>
      <c r="F484" s="12"/>
      <c r="G484" s="145"/>
      <c r="H484" s="145"/>
      <c r="I484" s="3"/>
      <c r="J484" s="3"/>
      <c r="K484" s="3"/>
      <c r="L484" s="3"/>
      <c r="M484" s="3"/>
      <c r="N484" s="3"/>
      <c r="O484" s="3"/>
      <c r="P484" s="3"/>
      <c r="Q484" s="3"/>
      <c r="R484" s="3"/>
      <c r="S484" s="3"/>
      <c r="T484" s="3"/>
      <c r="U484" s="3"/>
      <c r="V484" s="3"/>
      <c r="W484" s="3"/>
      <c r="X484" s="3"/>
      <c r="Y484" s="3"/>
      <c r="Z484" s="3"/>
    </row>
    <row r="485" spans="1:26" ht="14.25" customHeight="1">
      <c r="A485" s="1"/>
      <c r="B485" s="1"/>
      <c r="C485" s="1"/>
      <c r="D485" s="1"/>
      <c r="E485" s="136"/>
      <c r="F485" s="12"/>
      <c r="G485" s="145"/>
      <c r="H485" s="145"/>
      <c r="I485" s="3"/>
      <c r="J485" s="3"/>
      <c r="K485" s="3"/>
      <c r="L485" s="3"/>
      <c r="M485" s="3"/>
      <c r="N485" s="3"/>
      <c r="O485" s="3"/>
      <c r="P485" s="3"/>
      <c r="Q485" s="3"/>
      <c r="R485" s="3"/>
      <c r="S485" s="3"/>
      <c r="T485" s="3"/>
      <c r="U485" s="3"/>
      <c r="V485" s="3"/>
      <c r="W485" s="3"/>
      <c r="X485" s="3"/>
      <c r="Y485" s="3"/>
      <c r="Z485" s="3"/>
    </row>
    <row r="486" spans="1:26" ht="14.25" customHeight="1">
      <c r="A486" s="1"/>
      <c r="B486" s="1"/>
      <c r="C486" s="1"/>
      <c r="D486" s="1"/>
      <c r="E486" s="136"/>
      <c r="F486" s="12"/>
      <c r="G486" s="145"/>
      <c r="H486" s="145"/>
      <c r="I486" s="3"/>
      <c r="J486" s="3"/>
      <c r="K486" s="3"/>
      <c r="L486" s="3"/>
      <c r="M486" s="3"/>
      <c r="N486" s="3"/>
      <c r="O486" s="3"/>
      <c r="P486" s="3"/>
      <c r="Q486" s="3"/>
      <c r="R486" s="3"/>
      <c r="S486" s="3"/>
      <c r="T486" s="3"/>
      <c r="U486" s="3"/>
      <c r="V486" s="3"/>
      <c r="W486" s="3"/>
      <c r="X486" s="3"/>
      <c r="Y486" s="3"/>
      <c r="Z486" s="3"/>
    </row>
    <row r="487" spans="1:26" ht="14.25" customHeight="1">
      <c r="A487" s="1"/>
      <c r="B487" s="1"/>
      <c r="C487" s="1"/>
      <c r="D487" s="1"/>
      <c r="E487" s="136"/>
      <c r="F487" s="12"/>
      <c r="G487" s="145"/>
      <c r="H487" s="145"/>
      <c r="I487" s="3"/>
      <c r="J487" s="3"/>
      <c r="K487" s="3"/>
      <c r="L487" s="3"/>
      <c r="M487" s="3"/>
      <c r="N487" s="3"/>
      <c r="O487" s="3"/>
      <c r="P487" s="3"/>
      <c r="Q487" s="3"/>
      <c r="R487" s="3"/>
      <c r="S487" s="3"/>
      <c r="T487" s="3"/>
      <c r="U487" s="3"/>
      <c r="V487" s="3"/>
      <c r="W487" s="3"/>
      <c r="X487" s="3"/>
      <c r="Y487" s="3"/>
      <c r="Z487" s="3"/>
    </row>
    <row r="488" spans="1:26" ht="14.25" customHeight="1">
      <c r="A488" s="1"/>
      <c r="B488" s="1"/>
      <c r="C488" s="1"/>
      <c r="D488" s="1"/>
      <c r="E488" s="136"/>
      <c r="F488" s="12"/>
      <c r="G488" s="145"/>
      <c r="H488" s="145"/>
      <c r="I488" s="3"/>
      <c r="J488" s="3"/>
      <c r="K488" s="3"/>
      <c r="L488" s="3"/>
      <c r="M488" s="3"/>
      <c r="N488" s="3"/>
      <c r="O488" s="3"/>
      <c r="P488" s="3"/>
      <c r="Q488" s="3"/>
      <c r="R488" s="3"/>
      <c r="S488" s="3"/>
      <c r="T488" s="3"/>
      <c r="U488" s="3"/>
      <c r="V488" s="3"/>
      <c r="W488" s="3"/>
      <c r="X488" s="3"/>
      <c r="Y488" s="3"/>
      <c r="Z488" s="3"/>
    </row>
    <row r="489" spans="1:26" ht="14.25" customHeight="1">
      <c r="A489" s="1"/>
      <c r="B489" s="1"/>
      <c r="C489" s="1"/>
      <c r="D489" s="1"/>
      <c r="E489" s="136"/>
      <c r="F489" s="12"/>
      <c r="G489" s="145"/>
      <c r="H489" s="145"/>
      <c r="I489" s="3"/>
      <c r="J489" s="3"/>
      <c r="K489" s="3"/>
      <c r="L489" s="3"/>
      <c r="M489" s="3"/>
      <c r="N489" s="3"/>
      <c r="O489" s="3"/>
      <c r="P489" s="3"/>
      <c r="Q489" s="3"/>
      <c r="R489" s="3"/>
      <c r="S489" s="3"/>
      <c r="T489" s="3"/>
      <c r="U489" s="3"/>
      <c r="V489" s="3"/>
      <c r="W489" s="3"/>
      <c r="X489" s="3"/>
      <c r="Y489" s="3"/>
      <c r="Z489" s="3"/>
    </row>
    <row r="490" spans="1:26" ht="14.25" customHeight="1">
      <c r="A490" s="1"/>
      <c r="B490" s="1"/>
      <c r="C490" s="1"/>
      <c r="D490" s="1"/>
      <c r="E490" s="136"/>
      <c r="F490" s="12"/>
      <c r="G490" s="145"/>
      <c r="H490" s="145"/>
      <c r="I490" s="3"/>
      <c r="J490" s="3"/>
      <c r="K490" s="3"/>
      <c r="L490" s="3"/>
      <c r="M490" s="3"/>
      <c r="N490" s="3"/>
      <c r="O490" s="3"/>
      <c r="P490" s="3"/>
      <c r="Q490" s="3"/>
      <c r="R490" s="3"/>
      <c r="S490" s="3"/>
      <c r="T490" s="3"/>
      <c r="U490" s="3"/>
      <c r="V490" s="3"/>
      <c r="W490" s="3"/>
      <c r="X490" s="3"/>
      <c r="Y490" s="3"/>
      <c r="Z490" s="3"/>
    </row>
    <row r="491" spans="1:26" ht="14.25" customHeight="1">
      <c r="A491" s="1"/>
      <c r="B491" s="1"/>
      <c r="C491" s="1"/>
      <c r="D491" s="1"/>
      <c r="E491" s="136"/>
      <c r="F491" s="12"/>
      <c r="G491" s="145"/>
      <c r="H491" s="145"/>
      <c r="I491" s="3"/>
      <c r="J491" s="3"/>
      <c r="K491" s="3"/>
      <c r="L491" s="3"/>
      <c r="M491" s="3"/>
      <c r="N491" s="3"/>
      <c r="O491" s="3"/>
      <c r="P491" s="3"/>
      <c r="Q491" s="3"/>
      <c r="R491" s="3"/>
      <c r="S491" s="3"/>
      <c r="T491" s="3"/>
      <c r="U491" s="3"/>
      <c r="V491" s="3"/>
      <c r="W491" s="3"/>
      <c r="X491" s="3"/>
      <c r="Y491" s="3"/>
      <c r="Z491" s="3"/>
    </row>
    <row r="492" spans="1:26" ht="14.25" customHeight="1">
      <c r="A492" s="1"/>
      <c r="B492" s="1"/>
      <c r="C492" s="1"/>
      <c r="D492" s="1"/>
      <c r="E492" s="136"/>
      <c r="F492" s="12"/>
      <c r="G492" s="145"/>
      <c r="H492" s="145"/>
      <c r="I492" s="3"/>
      <c r="J492" s="3"/>
      <c r="K492" s="3"/>
      <c r="L492" s="3"/>
      <c r="M492" s="3"/>
      <c r="N492" s="3"/>
      <c r="O492" s="3"/>
      <c r="P492" s="3"/>
      <c r="Q492" s="3"/>
      <c r="R492" s="3"/>
      <c r="S492" s="3"/>
      <c r="T492" s="3"/>
      <c r="U492" s="3"/>
      <c r="V492" s="3"/>
      <c r="W492" s="3"/>
      <c r="X492" s="3"/>
      <c r="Y492" s="3"/>
      <c r="Z492" s="3"/>
    </row>
    <row r="493" spans="1:26" ht="14.25" customHeight="1">
      <c r="A493" s="1"/>
      <c r="B493" s="1"/>
      <c r="C493" s="1"/>
      <c r="D493" s="1"/>
      <c r="E493" s="136"/>
      <c r="F493" s="12"/>
      <c r="G493" s="145"/>
      <c r="H493" s="145"/>
      <c r="I493" s="3"/>
      <c r="J493" s="3"/>
      <c r="K493" s="3"/>
      <c r="L493" s="3"/>
      <c r="M493" s="3"/>
      <c r="N493" s="3"/>
      <c r="O493" s="3"/>
      <c r="P493" s="3"/>
      <c r="Q493" s="3"/>
      <c r="R493" s="3"/>
      <c r="S493" s="3"/>
      <c r="T493" s="3"/>
      <c r="U493" s="3"/>
      <c r="V493" s="3"/>
      <c r="W493" s="3"/>
      <c r="X493" s="3"/>
      <c r="Y493" s="3"/>
      <c r="Z493" s="3"/>
    </row>
    <row r="494" spans="1:26" ht="14.25" customHeight="1">
      <c r="A494" s="1"/>
      <c r="B494" s="1"/>
      <c r="C494" s="1"/>
      <c r="D494" s="1"/>
      <c r="E494" s="136"/>
      <c r="F494" s="12"/>
      <c r="G494" s="145"/>
      <c r="H494" s="145"/>
      <c r="I494" s="3"/>
      <c r="J494" s="3"/>
      <c r="K494" s="3"/>
      <c r="L494" s="3"/>
      <c r="M494" s="3"/>
      <c r="N494" s="3"/>
      <c r="O494" s="3"/>
      <c r="P494" s="3"/>
      <c r="Q494" s="3"/>
      <c r="R494" s="3"/>
      <c r="S494" s="3"/>
      <c r="T494" s="3"/>
      <c r="U494" s="3"/>
      <c r="V494" s="3"/>
      <c r="W494" s="3"/>
      <c r="X494" s="3"/>
      <c r="Y494" s="3"/>
      <c r="Z494" s="3"/>
    </row>
    <row r="495" spans="1:26" ht="14.25" customHeight="1">
      <c r="A495" s="1"/>
      <c r="B495" s="1"/>
      <c r="C495" s="1"/>
      <c r="D495" s="1"/>
      <c r="E495" s="136"/>
      <c r="F495" s="12"/>
      <c r="G495" s="145"/>
      <c r="H495" s="145"/>
      <c r="I495" s="3"/>
      <c r="J495" s="3"/>
      <c r="K495" s="3"/>
      <c r="L495" s="3"/>
      <c r="M495" s="3"/>
      <c r="N495" s="3"/>
      <c r="O495" s="3"/>
      <c r="P495" s="3"/>
      <c r="Q495" s="3"/>
      <c r="R495" s="3"/>
      <c r="S495" s="3"/>
      <c r="T495" s="3"/>
      <c r="U495" s="3"/>
      <c r="V495" s="3"/>
      <c r="W495" s="3"/>
      <c r="X495" s="3"/>
      <c r="Y495" s="3"/>
      <c r="Z495" s="3"/>
    </row>
    <row r="496" spans="1:26" ht="14.25" customHeight="1">
      <c r="A496" s="1"/>
      <c r="B496" s="1"/>
      <c r="C496" s="1"/>
      <c r="D496" s="1"/>
      <c r="E496" s="136"/>
      <c r="F496" s="12"/>
      <c r="G496" s="145"/>
      <c r="H496" s="145"/>
      <c r="I496" s="3"/>
      <c r="J496" s="3"/>
      <c r="K496" s="3"/>
      <c r="L496" s="3"/>
      <c r="M496" s="3"/>
      <c r="N496" s="3"/>
      <c r="O496" s="3"/>
      <c r="P496" s="3"/>
      <c r="Q496" s="3"/>
      <c r="R496" s="3"/>
      <c r="S496" s="3"/>
      <c r="T496" s="3"/>
      <c r="U496" s="3"/>
      <c r="V496" s="3"/>
      <c r="W496" s="3"/>
      <c r="X496" s="3"/>
      <c r="Y496" s="3"/>
      <c r="Z496" s="3"/>
    </row>
    <row r="497" spans="1:26" ht="14.25" customHeight="1">
      <c r="A497" s="1"/>
      <c r="B497" s="1"/>
      <c r="C497" s="1"/>
      <c r="D497" s="1"/>
      <c r="E497" s="136"/>
      <c r="F497" s="12"/>
      <c r="G497" s="145"/>
      <c r="H497" s="145"/>
      <c r="I497" s="3"/>
      <c r="J497" s="3"/>
      <c r="K497" s="3"/>
      <c r="L497" s="3"/>
      <c r="M497" s="3"/>
      <c r="N497" s="3"/>
      <c r="O497" s="3"/>
      <c r="P497" s="3"/>
      <c r="Q497" s="3"/>
      <c r="R497" s="3"/>
      <c r="S497" s="3"/>
      <c r="T497" s="3"/>
      <c r="U497" s="3"/>
      <c r="V497" s="3"/>
      <c r="W497" s="3"/>
      <c r="X497" s="3"/>
      <c r="Y497" s="3"/>
      <c r="Z497" s="3"/>
    </row>
    <row r="498" spans="1:26" ht="14.25" customHeight="1">
      <c r="A498" s="1"/>
      <c r="B498" s="1"/>
      <c r="C498" s="1"/>
      <c r="D498" s="1"/>
      <c r="E498" s="136"/>
      <c r="F498" s="12"/>
      <c r="G498" s="145"/>
      <c r="H498" s="145"/>
      <c r="I498" s="3"/>
      <c r="J498" s="3"/>
      <c r="K498" s="3"/>
      <c r="L498" s="3"/>
      <c r="M498" s="3"/>
      <c r="N498" s="3"/>
      <c r="O498" s="3"/>
      <c r="P498" s="3"/>
      <c r="Q498" s="3"/>
      <c r="R498" s="3"/>
      <c r="S498" s="3"/>
      <c r="T498" s="3"/>
      <c r="U498" s="3"/>
      <c r="V498" s="3"/>
      <c r="W498" s="3"/>
      <c r="X498" s="3"/>
      <c r="Y498" s="3"/>
      <c r="Z498" s="3"/>
    </row>
    <row r="499" spans="1:26" ht="14.25" customHeight="1">
      <c r="A499" s="1"/>
      <c r="B499" s="1"/>
      <c r="C499" s="1"/>
      <c r="D499" s="1"/>
      <c r="E499" s="136"/>
      <c r="F499" s="12"/>
      <c r="G499" s="145"/>
      <c r="H499" s="145"/>
      <c r="I499" s="3"/>
      <c r="J499" s="3"/>
      <c r="K499" s="3"/>
      <c r="L499" s="3"/>
      <c r="M499" s="3"/>
      <c r="N499" s="3"/>
      <c r="O499" s="3"/>
      <c r="P499" s="3"/>
      <c r="Q499" s="3"/>
      <c r="R499" s="3"/>
      <c r="S499" s="3"/>
      <c r="T499" s="3"/>
      <c r="U499" s="3"/>
      <c r="V499" s="3"/>
      <c r="W499" s="3"/>
      <c r="X499" s="3"/>
      <c r="Y499" s="3"/>
      <c r="Z499" s="3"/>
    </row>
    <row r="500" spans="1:26" ht="14.25" customHeight="1">
      <c r="A500" s="1"/>
      <c r="B500" s="1"/>
      <c r="C500" s="1"/>
      <c r="D500" s="1"/>
      <c r="E500" s="136"/>
      <c r="F500" s="12"/>
      <c r="G500" s="145"/>
      <c r="H500" s="145"/>
      <c r="I500" s="3"/>
      <c r="J500" s="3"/>
      <c r="K500" s="3"/>
      <c r="L500" s="3"/>
      <c r="M500" s="3"/>
      <c r="N500" s="3"/>
      <c r="O500" s="3"/>
      <c r="P500" s="3"/>
      <c r="Q500" s="3"/>
      <c r="R500" s="3"/>
      <c r="S500" s="3"/>
      <c r="T500" s="3"/>
      <c r="U500" s="3"/>
      <c r="V500" s="3"/>
      <c r="W500" s="3"/>
      <c r="X500" s="3"/>
      <c r="Y500" s="3"/>
      <c r="Z500" s="3"/>
    </row>
    <row r="501" spans="1:26" ht="14.25" customHeight="1">
      <c r="A501" s="1"/>
      <c r="B501" s="1"/>
      <c r="C501" s="1"/>
      <c r="D501" s="1"/>
      <c r="E501" s="136"/>
      <c r="F501" s="12"/>
      <c r="G501" s="145"/>
      <c r="H501" s="145"/>
      <c r="I501" s="3"/>
      <c r="J501" s="3"/>
      <c r="K501" s="3"/>
      <c r="L501" s="3"/>
      <c r="M501" s="3"/>
      <c r="N501" s="3"/>
      <c r="O501" s="3"/>
      <c r="P501" s="3"/>
      <c r="Q501" s="3"/>
      <c r="R501" s="3"/>
      <c r="S501" s="3"/>
      <c r="T501" s="3"/>
      <c r="U501" s="3"/>
      <c r="V501" s="3"/>
      <c r="W501" s="3"/>
      <c r="X501" s="3"/>
      <c r="Y501" s="3"/>
      <c r="Z501" s="3"/>
    </row>
    <row r="502" spans="1:26" ht="14.25" customHeight="1">
      <c r="A502" s="1"/>
      <c r="B502" s="1"/>
      <c r="C502" s="1"/>
      <c r="D502" s="1"/>
      <c r="E502" s="136"/>
      <c r="F502" s="12"/>
      <c r="G502" s="145"/>
      <c r="H502" s="145"/>
      <c r="I502" s="3"/>
      <c r="J502" s="3"/>
      <c r="K502" s="3"/>
      <c r="L502" s="3"/>
      <c r="M502" s="3"/>
      <c r="N502" s="3"/>
      <c r="O502" s="3"/>
      <c r="P502" s="3"/>
      <c r="Q502" s="3"/>
      <c r="R502" s="3"/>
      <c r="S502" s="3"/>
      <c r="T502" s="3"/>
      <c r="U502" s="3"/>
      <c r="V502" s="3"/>
      <c r="W502" s="3"/>
      <c r="X502" s="3"/>
      <c r="Y502" s="3"/>
      <c r="Z502" s="3"/>
    </row>
    <row r="503" spans="1:26" ht="14.25" customHeight="1">
      <c r="A503" s="1"/>
      <c r="B503" s="1"/>
      <c r="C503" s="1"/>
      <c r="D503" s="1"/>
      <c r="E503" s="136"/>
      <c r="F503" s="12"/>
      <c r="G503" s="145"/>
      <c r="H503" s="145"/>
      <c r="I503" s="3"/>
      <c r="J503" s="3"/>
      <c r="K503" s="3"/>
      <c r="L503" s="3"/>
      <c r="M503" s="3"/>
      <c r="N503" s="3"/>
      <c r="O503" s="3"/>
      <c r="P503" s="3"/>
      <c r="Q503" s="3"/>
      <c r="R503" s="3"/>
      <c r="S503" s="3"/>
      <c r="T503" s="3"/>
      <c r="U503" s="3"/>
      <c r="V503" s="3"/>
      <c r="W503" s="3"/>
      <c r="X503" s="3"/>
      <c r="Y503" s="3"/>
      <c r="Z503" s="3"/>
    </row>
    <row r="504" spans="1:26" ht="14.25" customHeight="1">
      <c r="A504" s="1"/>
      <c r="B504" s="1"/>
      <c r="C504" s="1"/>
      <c r="D504" s="1"/>
      <c r="E504" s="136"/>
      <c r="F504" s="12"/>
      <c r="G504" s="145"/>
      <c r="H504" s="145"/>
      <c r="I504" s="3"/>
      <c r="J504" s="3"/>
      <c r="K504" s="3"/>
      <c r="L504" s="3"/>
      <c r="M504" s="3"/>
      <c r="N504" s="3"/>
      <c r="O504" s="3"/>
      <c r="P504" s="3"/>
      <c r="Q504" s="3"/>
      <c r="R504" s="3"/>
      <c r="S504" s="3"/>
      <c r="T504" s="3"/>
      <c r="U504" s="3"/>
      <c r="V504" s="3"/>
      <c r="W504" s="3"/>
      <c r="X504" s="3"/>
      <c r="Y504" s="3"/>
      <c r="Z504" s="3"/>
    </row>
    <row r="505" spans="1:26" ht="14.25" customHeight="1">
      <c r="A505" s="1"/>
      <c r="B505" s="1"/>
      <c r="C505" s="1"/>
      <c r="D505" s="1"/>
      <c r="E505" s="136"/>
      <c r="F505" s="12"/>
      <c r="G505" s="145"/>
      <c r="H505" s="145"/>
      <c r="I505" s="3"/>
      <c r="J505" s="3"/>
      <c r="K505" s="3"/>
      <c r="L505" s="3"/>
      <c r="M505" s="3"/>
      <c r="N505" s="3"/>
      <c r="O505" s="3"/>
      <c r="P505" s="3"/>
      <c r="Q505" s="3"/>
      <c r="R505" s="3"/>
      <c r="S505" s="3"/>
      <c r="T505" s="3"/>
      <c r="U505" s="3"/>
      <c r="V505" s="3"/>
      <c r="W505" s="3"/>
      <c r="X505" s="3"/>
      <c r="Y505" s="3"/>
      <c r="Z505" s="3"/>
    </row>
    <row r="506" spans="1:26" ht="14.25" customHeight="1">
      <c r="A506" s="1"/>
      <c r="B506" s="1"/>
      <c r="C506" s="1"/>
      <c r="D506" s="1"/>
      <c r="E506" s="136"/>
      <c r="F506" s="12"/>
      <c r="G506" s="145"/>
      <c r="H506" s="145"/>
      <c r="I506" s="3"/>
      <c r="J506" s="3"/>
      <c r="K506" s="3"/>
      <c r="L506" s="3"/>
      <c r="M506" s="3"/>
      <c r="N506" s="3"/>
      <c r="O506" s="3"/>
      <c r="P506" s="3"/>
      <c r="Q506" s="3"/>
      <c r="R506" s="3"/>
      <c r="S506" s="3"/>
      <c r="T506" s="3"/>
      <c r="U506" s="3"/>
      <c r="V506" s="3"/>
      <c r="W506" s="3"/>
      <c r="X506" s="3"/>
      <c r="Y506" s="3"/>
      <c r="Z506" s="3"/>
    </row>
    <row r="507" spans="1:26" ht="14.25" customHeight="1">
      <c r="A507" s="1"/>
      <c r="B507" s="1"/>
      <c r="C507" s="1"/>
      <c r="D507" s="1"/>
      <c r="E507" s="136"/>
      <c r="F507" s="12"/>
      <c r="G507" s="145"/>
      <c r="H507" s="145"/>
      <c r="I507" s="3"/>
      <c r="J507" s="3"/>
      <c r="K507" s="3"/>
      <c r="L507" s="3"/>
      <c r="M507" s="3"/>
      <c r="N507" s="3"/>
      <c r="O507" s="3"/>
      <c r="P507" s="3"/>
      <c r="Q507" s="3"/>
      <c r="R507" s="3"/>
      <c r="S507" s="3"/>
      <c r="T507" s="3"/>
      <c r="U507" s="3"/>
      <c r="V507" s="3"/>
      <c r="W507" s="3"/>
      <c r="X507" s="3"/>
      <c r="Y507" s="3"/>
      <c r="Z507" s="3"/>
    </row>
    <row r="508" spans="1:26" ht="14.25" customHeight="1">
      <c r="A508" s="1"/>
      <c r="B508" s="1"/>
      <c r="C508" s="1"/>
      <c r="D508" s="1"/>
      <c r="E508" s="136"/>
      <c r="F508" s="12"/>
      <c r="G508" s="145"/>
      <c r="H508" s="145"/>
      <c r="I508" s="3"/>
      <c r="J508" s="3"/>
      <c r="K508" s="3"/>
      <c r="L508" s="3"/>
      <c r="M508" s="3"/>
      <c r="N508" s="3"/>
      <c r="O508" s="3"/>
      <c r="P508" s="3"/>
      <c r="Q508" s="3"/>
      <c r="R508" s="3"/>
      <c r="S508" s="3"/>
      <c r="T508" s="3"/>
      <c r="U508" s="3"/>
      <c r="V508" s="3"/>
      <c r="W508" s="3"/>
      <c r="X508" s="3"/>
      <c r="Y508" s="3"/>
      <c r="Z508" s="3"/>
    </row>
    <row r="509" spans="1:26" ht="14.25" customHeight="1">
      <c r="A509" s="1"/>
      <c r="B509" s="1"/>
      <c r="C509" s="1"/>
      <c r="D509" s="1"/>
      <c r="E509" s="136"/>
      <c r="F509" s="12"/>
      <c r="G509" s="145"/>
      <c r="H509" s="145"/>
      <c r="I509" s="3"/>
      <c r="J509" s="3"/>
      <c r="K509" s="3"/>
      <c r="L509" s="3"/>
      <c r="M509" s="3"/>
      <c r="N509" s="3"/>
      <c r="O509" s="3"/>
      <c r="P509" s="3"/>
      <c r="Q509" s="3"/>
      <c r="R509" s="3"/>
      <c r="S509" s="3"/>
      <c r="T509" s="3"/>
      <c r="U509" s="3"/>
      <c r="V509" s="3"/>
      <c r="W509" s="3"/>
      <c r="X509" s="3"/>
      <c r="Y509" s="3"/>
      <c r="Z509" s="3"/>
    </row>
    <row r="510" spans="1:26" ht="14.25" customHeight="1">
      <c r="A510" s="1"/>
      <c r="B510" s="1"/>
      <c r="C510" s="1"/>
      <c r="D510" s="1"/>
      <c r="E510" s="136"/>
      <c r="F510" s="12"/>
      <c r="G510" s="145"/>
      <c r="H510" s="145"/>
      <c r="I510" s="3"/>
      <c r="J510" s="3"/>
      <c r="K510" s="3"/>
      <c r="L510" s="3"/>
      <c r="M510" s="3"/>
      <c r="N510" s="3"/>
      <c r="O510" s="3"/>
      <c r="P510" s="3"/>
      <c r="Q510" s="3"/>
      <c r="R510" s="3"/>
      <c r="S510" s="3"/>
      <c r="T510" s="3"/>
      <c r="U510" s="3"/>
      <c r="V510" s="3"/>
      <c r="W510" s="3"/>
      <c r="X510" s="3"/>
      <c r="Y510" s="3"/>
      <c r="Z510" s="3"/>
    </row>
    <row r="511" spans="1:26" ht="14.25" customHeight="1">
      <c r="A511" s="1"/>
      <c r="B511" s="1"/>
      <c r="C511" s="1"/>
      <c r="D511" s="1"/>
      <c r="E511" s="136"/>
      <c r="F511" s="12"/>
      <c r="G511" s="145"/>
      <c r="H511" s="145"/>
      <c r="I511" s="3"/>
      <c r="J511" s="3"/>
      <c r="K511" s="3"/>
      <c r="L511" s="3"/>
      <c r="M511" s="3"/>
      <c r="N511" s="3"/>
      <c r="O511" s="3"/>
      <c r="P511" s="3"/>
      <c r="Q511" s="3"/>
      <c r="R511" s="3"/>
      <c r="S511" s="3"/>
      <c r="T511" s="3"/>
      <c r="U511" s="3"/>
      <c r="V511" s="3"/>
      <c r="W511" s="3"/>
      <c r="X511" s="3"/>
      <c r="Y511" s="3"/>
      <c r="Z511" s="3"/>
    </row>
    <row r="512" spans="1:26" ht="14.25" customHeight="1">
      <c r="A512" s="1"/>
      <c r="B512" s="1"/>
      <c r="C512" s="1"/>
      <c r="D512" s="1"/>
      <c r="E512" s="136"/>
      <c r="F512" s="12"/>
      <c r="G512" s="145"/>
      <c r="H512" s="145"/>
      <c r="I512" s="3"/>
      <c r="J512" s="3"/>
      <c r="K512" s="3"/>
      <c r="L512" s="3"/>
      <c r="M512" s="3"/>
      <c r="N512" s="3"/>
      <c r="O512" s="3"/>
      <c r="P512" s="3"/>
      <c r="Q512" s="3"/>
      <c r="R512" s="3"/>
      <c r="S512" s="3"/>
      <c r="T512" s="3"/>
      <c r="U512" s="3"/>
      <c r="V512" s="3"/>
      <c r="W512" s="3"/>
      <c r="X512" s="3"/>
      <c r="Y512" s="3"/>
      <c r="Z512" s="3"/>
    </row>
    <row r="513" spans="1:26" ht="14.25" customHeight="1">
      <c r="A513" s="1"/>
      <c r="B513" s="1"/>
      <c r="C513" s="1"/>
      <c r="D513" s="1"/>
      <c r="E513" s="136"/>
      <c r="F513" s="12"/>
      <c r="G513" s="145"/>
      <c r="H513" s="145"/>
      <c r="I513" s="3"/>
      <c r="J513" s="3"/>
      <c r="K513" s="3"/>
      <c r="L513" s="3"/>
      <c r="M513" s="3"/>
      <c r="N513" s="3"/>
      <c r="O513" s="3"/>
      <c r="P513" s="3"/>
      <c r="Q513" s="3"/>
      <c r="R513" s="3"/>
      <c r="S513" s="3"/>
      <c r="T513" s="3"/>
      <c r="U513" s="3"/>
      <c r="V513" s="3"/>
      <c r="W513" s="3"/>
      <c r="X513" s="3"/>
      <c r="Y513" s="3"/>
      <c r="Z513" s="3"/>
    </row>
    <row r="514" spans="1:26" ht="14.25" customHeight="1">
      <c r="A514" s="1"/>
      <c r="B514" s="1"/>
      <c r="C514" s="1"/>
      <c r="D514" s="1"/>
      <c r="E514" s="136"/>
      <c r="F514" s="12"/>
      <c r="G514" s="145"/>
      <c r="H514" s="145"/>
      <c r="I514" s="3"/>
      <c r="J514" s="3"/>
      <c r="K514" s="3"/>
      <c r="L514" s="3"/>
      <c r="M514" s="3"/>
      <c r="N514" s="3"/>
      <c r="O514" s="3"/>
      <c r="P514" s="3"/>
      <c r="Q514" s="3"/>
      <c r="R514" s="3"/>
      <c r="S514" s="3"/>
      <c r="T514" s="3"/>
      <c r="U514" s="3"/>
      <c r="V514" s="3"/>
      <c r="W514" s="3"/>
      <c r="X514" s="3"/>
      <c r="Y514" s="3"/>
      <c r="Z514" s="3"/>
    </row>
    <row r="515" spans="1:26" ht="14.25" customHeight="1">
      <c r="A515" s="1"/>
      <c r="B515" s="1"/>
      <c r="C515" s="1"/>
      <c r="D515" s="1"/>
      <c r="E515" s="136"/>
      <c r="F515" s="12"/>
      <c r="G515" s="145"/>
      <c r="H515" s="145"/>
      <c r="I515" s="3"/>
      <c r="J515" s="3"/>
      <c r="K515" s="3"/>
      <c r="L515" s="3"/>
      <c r="M515" s="3"/>
      <c r="N515" s="3"/>
      <c r="O515" s="3"/>
      <c r="P515" s="3"/>
      <c r="Q515" s="3"/>
      <c r="R515" s="3"/>
      <c r="S515" s="3"/>
      <c r="T515" s="3"/>
      <c r="U515" s="3"/>
      <c r="V515" s="3"/>
      <c r="W515" s="3"/>
      <c r="X515" s="3"/>
      <c r="Y515" s="3"/>
      <c r="Z515" s="3"/>
    </row>
    <row r="516" spans="1:26" ht="14.25" customHeight="1">
      <c r="A516" s="1"/>
      <c r="B516" s="1"/>
      <c r="C516" s="1"/>
      <c r="D516" s="1"/>
      <c r="E516" s="136"/>
      <c r="F516" s="12"/>
      <c r="G516" s="145"/>
      <c r="H516" s="145"/>
      <c r="I516" s="3"/>
      <c r="J516" s="3"/>
      <c r="K516" s="3"/>
      <c r="L516" s="3"/>
      <c r="M516" s="3"/>
      <c r="N516" s="3"/>
      <c r="O516" s="3"/>
      <c r="P516" s="3"/>
      <c r="Q516" s="3"/>
      <c r="R516" s="3"/>
      <c r="S516" s="3"/>
      <c r="T516" s="3"/>
      <c r="U516" s="3"/>
      <c r="V516" s="3"/>
      <c r="W516" s="3"/>
      <c r="X516" s="3"/>
      <c r="Y516" s="3"/>
      <c r="Z516" s="3"/>
    </row>
    <row r="517" spans="1:26" ht="14.25" customHeight="1">
      <c r="A517" s="1"/>
      <c r="B517" s="1"/>
      <c r="C517" s="1"/>
      <c r="D517" s="1"/>
      <c r="E517" s="136"/>
      <c r="F517" s="12"/>
      <c r="G517" s="145"/>
      <c r="H517" s="145"/>
      <c r="I517" s="3"/>
      <c r="J517" s="3"/>
      <c r="K517" s="3"/>
      <c r="L517" s="3"/>
      <c r="M517" s="3"/>
      <c r="N517" s="3"/>
      <c r="O517" s="3"/>
      <c r="P517" s="3"/>
      <c r="Q517" s="3"/>
      <c r="R517" s="3"/>
      <c r="S517" s="3"/>
      <c r="T517" s="3"/>
      <c r="U517" s="3"/>
      <c r="V517" s="3"/>
      <c r="W517" s="3"/>
      <c r="X517" s="3"/>
      <c r="Y517" s="3"/>
      <c r="Z517" s="3"/>
    </row>
    <row r="518" spans="1:26" ht="14.25" customHeight="1">
      <c r="A518" s="1"/>
      <c r="B518" s="1"/>
      <c r="C518" s="1"/>
      <c r="D518" s="1"/>
      <c r="E518" s="136"/>
      <c r="F518" s="12"/>
      <c r="G518" s="145"/>
      <c r="H518" s="145"/>
      <c r="I518" s="3"/>
      <c r="J518" s="3"/>
      <c r="K518" s="3"/>
      <c r="L518" s="3"/>
      <c r="M518" s="3"/>
      <c r="N518" s="3"/>
      <c r="O518" s="3"/>
      <c r="P518" s="3"/>
      <c r="Q518" s="3"/>
      <c r="R518" s="3"/>
      <c r="S518" s="3"/>
      <c r="T518" s="3"/>
      <c r="U518" s="3"/>
      <c r="V518" s="3"/>
      <c r="W518" s="3"/>
      <c r="X518" s="3"/>
      <c r="Y518" s="3"/>
      <c r="Z518" s="3"/>
    </row>
    <row r="519" spans="1:26" ht="14.25" customHeight="1">
      <c r="A519" s="1"/>
      <c r="B519" s="1"/>
      <c r="C519" s="1"/>
      <c r="D519" s="1"/>
      <c r="E519" s="136"/>
      <c r="F519" s="12"/>
      <c r="G519" s="145"/>
      <c r="H519" s="145"/>
      <c r="I519" s="3"/>
      <c r="J519" s="3"/>
      <c r="K519" s="3"/>
      <c r="L519" s="3"/>
      <c r="M519" s="3"/>
      <c r="N519" s="3"/>
      <c r="O519" s="3"/>
      <c r="P519" s="3"/>
      <c r="Q519" s="3"/>
      <c r="R519" s="3"/>
      <c r="S519" s="3"/>
      <c r="T519" s="3"/>
      <c r="U519" s="3"/>
      <c r="V519" s="3"/>
      <c r="W519" s="3"/>
      <c r="X519" s="3"/>
      <c r="Y519" s="3"/>
      <c r="Z519" s="3"/>
    </row>
    <row r="520" spans="1:26" ht="14.25" customHeight="1">
      <c r="A520" s="1"/>
      <c r="B520" s="1"/>
      <c r="C520" s="1"/>
      <c r="D520" s="1"/>
      <c r="E520" s="136"/>
      <c r="F520" s="12"/>
      <c r="G520" s="145"/>
      <c r="H520" s="145"/>
      <c r="I520" s="3"/>
      <c r="J520" s="3"/>
      <c r="K520" s="3"/>
      <c r="L520" s="3"/>
      <c r="M520" s="3"/>
      <c r="N520" s="3"/>
      <c r="O520" s="3"/>
      <c r="P520" s="3"/>
      <c r="Q520" s="3"/>
      <c r="R520" s="3"/>
      <c r="S520" s="3"/>
      <c r="T520" s="3"/>
      <c r="U520" s="3"/>
      <c r="V520" s="3"/>
      <c r="W520" s="3"/>
      <c r="X520" s="3"/>
      <c r="Y520" s="3"/>
      <c r="Z520" s="3"/>
    </row>
    <row r="521" spans="1:26" ht="14.25" customHeight="1">
      <c r="A521" s="1"/>
      <c r="B521" s="1"/>
      <c r="C521" s="1"/>
      <c r="D521" s="1"/>
      <c r="E521" s="136"/>
      <c r="F521" s="12"/>
      <c r="G521" s="145"/>
      <c r="H521" s="145"/>
      <c r="I521" s="3"/>
      <c r="J521" s="3"/>
      <c r="K521" s="3"/>
      <c r="L521" s="3"/>
      <c r="M521" s="3"/>
      <c r="N521" s="3"/>
      <c r="O521" s="3"/>
      <c r="P521" s="3"/>
      <c r="Q521" s="3"/>
      <c r="R521" s="3"/>
      <c r="S521" s="3"/>
      <c r="T521" s="3"/>
      <c r="U521" s="3"/>
      <c r="V521" s="3"/>
      <c r="W521" s="3"/>
      <c r="X521" s="3"/>
      <c r="Y521" s="3"/>
      <c r="Z521" s="3"/>
    </row>
    <row r="522" spans="1:26" ht="14.25" customHeight="1">
      <c r="A522" s="1"/>
      <c r="B522" s="1"/>
      <c r="C522" s="1"/>
      <c r="D522" s="1"/>
      <c r="E522" s="136"/>
      <c r="F522" s="12"/>
      <c r="G522" s="145"/>
      <c r="H522" s="145"/>
      <c r="I522" s="3"/>
      <c r="J522" s="3"/>
      <c r="K522" s="3"/>
      <c r="L522" s="3"/>
      <c r="M522" s="3"/>
      <c r="N522" s="3"/>
      <c r="O522" s="3"/>
      <c r="P522" s="3"/>
      <c r="Q522" s="3"/>
      <c r="R522" s="3"/>
      <c r="S522" s="3"/>
      <c r="T522" s="3"/>
      <c r="U522" s="3"/>
      <c r="V522" s="3"/>
      <c r="W522" s="3"/>
      <c r="X522" s="3"/>
      <c r="Y522" s="3"/>
      <c r="Z522" s="3"/>
    </row>
    <row r="523" spans="1:26" ht="14.25" customHeight="1">
      <c r="A523" s="1"/>
      <c r="B523" s="1"/>
      <c r="C523" s="1"/>
      <c r="D523" s="1"/>
      <c r="E523" s="136"/>
      <c r="F523" s="12"/>
      <c r="G523" s="145"/>
      <c r="H523" s="145"/>
      <c r="I523" s="3"/>
      <c r="J523" s="3"/>
      <c r="K523" s="3"/>
      <c r="L523" s="3"/>
      <c r="M523" s="3"/>
      <c r="N523" s="3"/>
      <c r="O523" s="3"/>
      <c r="P523" s="3"/>
      <c r="Q523" s="3"/>
      <c r="R523" s="3"/>
      <c r="S523" s="3"/>
      <c r="T523" s="3"/>
      <c r="U523" s="3"/>
      <c r="V523" s="3"/>
      <c r="W523" s="3"/>
      <c r="X523" s="3"/>
      <c r="Y523" s="3"/>
      <c r="Z523" s="3"/>
    </row>
    <row r="524" spans="1:26" ht="14.25" customHeight="1">
      <c r="A524" s="1"/>
      <c r="B524" s="1"/>
      <c r="C524" s="1"/>
      <c r="D524" s="1"/>
      <c r="E524" s="136"/>
      <c r="F524" s="12"/>
      <c r="G524" s="145"/>
      <c r="H524" s="145"/>
      <c r="I524" s="3"/>
      <c r="J524" s="3"/>
      <c r="K524" s="3"/>
      <c r="L524" s="3"/>
      <c r="M524" s="3"/>
      <c r="N524" s="3"/>
      <c r="O524" s="3"/>
      <c r="P524" s="3"/>
      <c r="Q524" s="3"/>
      <c r="R524" s="3"/>
      <c r="S524" s="3"/>
      <c r="T524" s="3"/>
      <c r="U524" s="3"/>
      <c r="V524" s="3"/>
      <c r="W524" s="3"/>
      <c r="X524" s="3"/>
      <c r="Y524" s="3"/>
      <c r="Z524" s="3"/>
    </row>
    <row r="525" spans="1:26" ht="14.25" customHeight="1">
      <c r="A525" s="1"/>
      <c r="B525" s="1"/>
      <c r="C525" s="1"/>
      <c r="D525" s="1"/>
      <c r="E525" s="136"/>
      <c r="F525" s="12"/>
      <c r="G525" s="145"/>
      <c r="H525" s="145"/>
      <c r="I525" s="3"/>
      <c r="J525" s="3"/>
      <c r="K525" s="3"/>
      <c r="L525" s="3"/>
      <c r="M525" s="3"/>
      <c r="N525" s="3"/>
      <c r="O525" s="3"/>
      <c r="P525" s="3"/>
      <c r="Q525" s="3"/>
      <c r="R525" s="3"/>
      <c r="S525" s="3"/>
      <c r="T525" s="3"/>
      <c r="U525" s="3"/>
      <c r="V525" s="3"/>
      <c r="W525" s="3"/>
      <c r="X525" s="3"/>
      <c r="Y525" s="3"/>
      <c r="Z525" s="3"/>
    </row>
    <row r="526" spans="1:26" ht="14.25" customHeight="1">
      <c r="A526" s="1"/>
      <c r="B526" s="1"/>
      <c r="C526" s="1"/>
      <c r="D526" s="1"/>
      <c r="E526" s="136"/>
      <c r="F526" s="12"/>
      <c r="G526" s="145"/>
      <c r="H526" s="145"/>
      <c r="I526" s="3"/>
      <c r="J526" s="3"/>
      <c r="K526" s="3"/>
      <c r="L526" s="3"/>
      <c r="M526" s="3"/>
      <c r="N526" s="3"/>
      <c r="O526" s="3"/>
      <c r="P526" s="3"/>
      <c r="Q526" s="3"/>
      <c r="R526" s="3"/>
      <c r="S526" s="3"/>
      <c r="T526" s="3"/>
      <c r="U526" s="3"/>
      <c r="V526" s="3"/>
      <c r="W526" s="3"/>
      <c r="X526" s="3"/>
      <c r="Y526" s="3"/>
      <c r="Z526" s="3"/>
    </row>
    <row r="527" spans="1:26" ht="14.25" customHeight="1">
      <c r="A527" s="1"/>
      <c r="B527" s="1"/>
      <c r="C527" s="1"/>
      <c r="D527" s="1"/>
      <c r="E527" s="136"/>
      <c r="F527" s="12"/>
      <c r="G527" s="145"/>
      <c r="H527" s="145"/>
      <c r="I527" s="3"/>
      <c r="J527" s="3"/>
      <c r="K527" s="3"/>
      <c r="L527" s="3"/>
      <c r="M527" s="3"/>
      <c r="N527" s="3"/>
      <c r="O527" s="3"/>
      <c r="P527" s="3"/>
      <c r="Q527" s="3"/>
      <c r="R527" s="3"/>
      <c r="S527" s="3"/>
      <c r="T527" s="3"/>
      <c r="U527" s="3"/>
      <c r="V527" s="3"/>
      <c r="W527" s="3"/>
      <c r="X527" s="3"/>
      <c r="Y527" s="3"/>
      <c r="Z527" s="3"/>
    </row>
    <row r="528" spans="1:26" ht="14.25" customHeight="1">
      <c r="A528" s="1"/>
      <c r="B528" s="1"/>
      <c r="C528" s="1"/>
      <c r="D528" s="1"/>
      <c r="E528" s="136"/>
      <c r="F528" s="12"/>
      <c r="G528" s="145"/>
      <c r="H528" s="145"/>
      <c r="I528" s="3"/>
      <c r="J528" s="3"/>
      <c r="K528" s="3"/>
      <c r="L528" s="3"/>
      <c r="M528" s="3"/>
      <c r="N528" s="3"/>
      <c r="O528" s="3"/>
      <c r="P528" s="3"/>
      <c r="Q528" s="3"/>
      <c r="R528" s="3"/>
      <c r="S528" s="3"/>
      <c r="T528" s="3"/>
      <c r="U528" s="3"/>
      <c r="V528" s="3"/>
      <c r="W528" s="3"/>
      <c r="X528" s="3"/>
      <c r="Y528" s="3"/>
      <c r="Z528" s="3"/>
    </row>
    <row r="529" spans="1:26" ht="14.25" customHeight="1">
      <c r="A529" s="1"/>
      <c r="B529" s="1"/>
      <c r="C529" s="1"/>
      <c r="D529" s="1"/>
      <c r="E529" s="136"/>
      <c r="F529" s="12"/>
      <c r="G529" s="145"/>
      <c r="H529" s="145"/>
      <c r="I529" s="3"/>
      <c r="J529" s="3"/>
      <c r="K529" s="3"/>
      <c r="L529" s="3"/>
      <c r="M529" s="3"/>
      <c r="N529" s="3"/>
      <c r="O529" s="3"/>
      <c r="P529" s="3"/>
      <c r="Q529" s="3"/>
      <c r="R529" s="3"/>
      <c r="S529" s="3"/>
      <c r="T529" s="3"/>
      <c r="U529" s="3"/>
      <c r="V529" s="3"/>
      <c r="W529" s="3"/>
      <c r="X529" s="3"/>
      <c r="Y529" s="3"/>
      <c r="Z529" s="3"/>
    </row>
    <row r="530" spans="1:26" ht="14.25" customHeight="1">
      <c r="A530" s="1"/>
      <c r="B530" s="1"/>
      <c r="C530" s="1"/>
      <c r="D530" s="1"/>
      <c r="E530" s="136"/>
      <c r="F530" s="12"/>
      <c r="G530" s="145"/>
      <c r="H530" s="145"/>
      <c r="I530" s="3"/>
      <c r="J530" s="3"/>
      <c r="K530" s="3"/>
      <c r="L530" s="3"/>
      <c r="M530" s="3"/>
      <c r="N530" s="3"/>
      <c r="O530" s="3"/>
      <c r="P530" s="3"/>
      <c r="Q530" s="3"/>
      <c r="R530" s="3"/>
      <c r="S530" s="3"/>
      <c r="T530" s="3"/>
      <c r="U530" s="3"/>
      <c r="V530" s="3"/>
      <c r="W530" s="3"/>
      <c r="X530" s="3"/>
      <c r="Y530" s="3"/>
      <c r="Z530" s="3"/>
    </row>
    <row r="531" spans="1:26" ht="14.25" customHeight="1">
      <c r="A531" s="1"/>
      <c r="B531" s="1"/>
      <c r="C531" s="1"/>
      <c r="D531" s="1"/>
      <c r="E531" s="136"/>
      <c r="F531" s="12"/>
      <c r="G531" s="145"/>
      <c r="H531" s="145"/>
      <c r="I531" s="3"/>
      <c r="J531" s="3"/>
      <c r="K531" s="3"/>
      <c r="L531" s="3"/>
      <c r="M531" s="3"/>
      <c r="N531" s="3"/>
      <c r="O531" s="3"/>
      <c r="P531" s="3"/>
      <c r="Q531" s="3"/>
      <c r="R531" s="3"/>
      <c r="S531" s="3"/>
      <c r="T531" s="3"/>
      <c r="U531" s="3"/>
      <c r="V531" s="3"/>
      <c r="W531" s="3"/>
      <c r="X531" s="3"/>
      <c r="Y531" s="3"/>
      <c r="Z531" s="3"/>
    </row>
    <row r="532" spans="1:26" ht="14.25" customHeight="1">
      <c r="A532" s="1"/>
      <c r="B532" s="1"/>
      <c r="C532" s="1"/>
      <c r="D532" s="1"/>
      <c r="E532" s="136"/>
      <c r="F532" s="12"/>
      <c r="G532" s="145"/>
      <c r="H532" s="145"/>
      <c r="I532" s="3"/>
      <c r="J532" s="3"/>
      <c r="K532" s="3"/>
      <c r="L532" s="3"/>
      <c r="M532" s="3"/>
      <c r="N532" s="3"/>
      <c r="O532" s="3"/>
      <c r="P532" s="3"/>
      <c r="Q532" s="3"/>
      <c r="R532" s="3"/>
      <c r="S532" s="3"/>
      <c r="T532" s="3"/>
      <c r="U532" s="3"/>
      <c r="V532" s="3"/>
      <c r="W532" s="3"/>
      <c r="X532" s="3"/>
      <c r="Y532" s="3"/>
      <c r="Z532" s="3"/>
    </row>
    <row r="533" spans="1:26" ht="14.25" customHeight="1">
      <c r="A533" s="1"/>
      <c r="B533" s="1"/>
      <c r="C533" s="1"/>
      <c r="D533" s="1"/>
      <c r="E533" s="136"/>
      <c r="F533" s="12"/>
      <c r="G533" s="145"/>
      <c r="H533" s="145"/>
      <c r="I533" s="3"/>
      <c r="J533" s="3"/>
      <c r="K533" s="3"/>
      <c r="L533" s="3"/>
      <c r="M533" s="3"/>
      <c r="N533" s="3"/>
      <c r="O533" s="3"/>
      <c r="P533" s="3"/>
      <c r="Q533" s="3"/>
      <c r="R533" s="3"/>
      <c r="S533" s="3"/>
      <c r="T533" s="3"/>
      <c r="U533" s="3"/>
      <c r="V533" s="3"/>
      <c r="W533" s="3"/>
      <c r="X533" s="3"/>
      <c r="Y533" s="3"/>
      <c r="Z533" s="3"/>
    </row>
    <row r="534" spans="1:26" ht="14.25" customHeight="1">
      <c r="A534" s="1"/>
      <c r="B534" s="1"/>
      <c r="C534" s="1"/>
      <c r="D534" s="1"/>
      <c r="E534" s="136"/>
      <c r="F534" s="12"/>
      <c r="G534" s="145"/>
      <c r="H534" s="145"/>
      <c r="I534" s="3"/>
      <c r="J534" s="3"/>
      <c r="K534" s="3"/>
      <c r="L534" s="3"/>
      <c r="M534" s="3"/>
      <c r="N534" s="3"/>
      <c r="O534" s="3"/>
      <c r="P534" s="3"/>
      <c r="Q534" s="3"/>
      <c r="R534" s="3"/>
      <c r="S534" s="3"/>
      <c r="T534" s="3"/>
      <c r="U534" s="3"/>
      <c r="V534" s="3"/>
      <c r="W534" s="3"/>
      <c r="X534" s="3"/>
      <c r="Y534" s="3"/>
      <c r="Z534" s="3"/>
    </row>
    <row r="535" spans="1:26" ht="14.25" customHeight="1">
      <c r="A535" s="1"/>
      <c r="B535" s="1"/>
      <c r="C535" s="1"/>
      <c r="D535" s="1"/>
      <c r="E535" s="136"/>
      <c r="F535" s="12"/>
      <c r="G535" s="145"/>
      <c r="H535" s="145"/>
      <c r="I535" s="3"/>
      <c r="J535" s="3"/>
      <c r="K535" s="3"/>
      <c r="L535" s="3"/>
      <c r="M535" s="3"/>
      <c r="N535" s="3"/>
      <c r="O535" s="3"/>
      <c r="P535" s="3"/>
      <c r="Q535" s="3"/>
      <c r="R535" s="3"/>
      <c r="S535" s="3"/>
      <c r="T535" s="3"/>
      <c r="U535" s="3"/>
      <c r="V535" s="3"/>
      <c r="W535" s="3"/>
      <c r="X535" s="3"/>
      <c r="Y535" s="3"/>
      <c r="Z535" s="3"/>
    </row>
    <row r="536" spans="1:26" ht="14.25" customHeight="1">
      <c r="A536" s="1"/>
      <c r="B536" s="1"/>
      <c r="C536" s="1"/>
      <c r="D536" s="1"/>
      <c r="E536" s="136"/>
      <c r="F536" s="12"/>
      <c r="G536" s="145"/>
      <c r="H536" s="145"/>
      <c r="I536" s="3"/>
      <c r="J536" s="3"/>
      <c r="K536" s="3"/>
      <c r="L536" s="3"/>
      <c r="M536" s="3"/>
      <c r="N536" s="3"/>
      <c r="O536" s="3"/>
      <c r="P536" s="3"/>
      <c r="Q536" s="3"/>
      <c r="R536" s="3"/>
      <c r="S536" s="3"/>
      <c r="T536" s="3"/>
      <c r="U536" s="3"/>
      <c r="V536" s="3"/>
      <c r="W536" s="3"/>
      <c r="X536" s="3"/>
      <c r="Y536" s="3"/>
      <c r="Z536" s="3"/>
    </row>
    <row r="537" spans="1:26" ht="14.25" customHeight="1">
      <c r="A537" s="1"/>
      <c r="B537" s="1"/>
      <c r="C537" s="1"/>
      <c r="D537" s="1"/>
      <c r="E537" s="136"/>
      <c r="F537" s="12"/>
      <c r="G537" s="145"/>
      <c r="H537" s="145"/>
      <c r="I537" s="3"/>
      <c r="J537" s="3"/>
      <c r="K537" s="3"/>
      <c r="L537" s="3"/>
      <c r="M537" s="3"/>
      <c r="N537" s="3"/>
      <c r="O537" s="3"/>
      <c r="P537" s="3"/>
      <c r="Q537" s="3"/>
      <c r="R537" s="3"/>
      <c r="S537" s="3"/>
      <c r="T537" s="3"/>
      <c r="U537" s="3"/>
      <c r="V537" s="3"/>
      <c r="W537" s="3"/>
      <c r="X537" s="3"/>
      <c r="Y537" s="3"/>
      <c r="Z537" s="3"/>
    </row>
    <row r="538" spans="1:26" ht="14.25" customHeight="1">
      <c r="A538" s="1"/>
      <c r="B538" s="1"/>
      <c r="C538" s="1"/>
      <c r="D538" s="1"/>
      <c r="E538" s="136"/>
      <c r="F538" s="12"/>
      <c r="G538" s="145"/>
      <c r="H538" s="145"/>
      <c r="I538" s="3"/>
      <c r="J538" s="3"/>
      <c r="K538" s="3"/>
      <c r="L538" s="3"/>
      <c r="M538" s="3"/>
      <c r="N538" s="3"/>
      <c r="O538" s="3"/>
      <c r="P538" s="3"/>
      <c r="Q538" s="3"/>
      <c r="R538" s="3"/>
      <c r="S538" s="3"/>
      <c r="T538" s="3"/>
      <c r="U538" s="3"/>
      <c r="V538" s="3"/>
      <c r="W538" s="3"/>
      <c r="X538" s="3"/>
      <c r="Y538" s="3"/>
      <c r="Z538" s="3"/>
    </row>
    <row r="539" spans="1:26" ht="14.25" customHeight="1">
      <c r="A539" s="1"/>
      <c r="B539" s="1"/>
      <c r="C539" s="1"/>
      <c r="D539" s="1"/>
      <c r="E539" s="136"/>
      <c r="F539" s="12"/>
      <c r="G539" s="145"/>
      <c r="H539" s="145"/>
      <c r="I539" s="3"/>
      <c r="J539" s="3"/>
      <c r="K539" s="3"/>
      <c r="L539" s="3"/>
      <c r="M539" s="3"/>
      <c r="N539" s="3"/>
      <c r="O539" s="3"/>
      <c r="P539" s="3"/>
      <c r="Q539" s="3"/>
      <c r="R539" s="3"/>
      <c r="S539" s="3"/>
      <c r="T539" s="3"/>
      <c r="U539" s="3"/>
      <c r="V539" s="3"/>
      <c r="W539" s="3"/>
      <c r="X539" s="3"/>
      <c r="Y539" s="3"/>
      <c r="Z539" s="3"/>
    </row>
    <row r="540" spans="1:26" ht="14.25" customHeight="1">
      <c r="A540" s="1"/>
      <c r="B540" s="1"/>
      <c r="C540" s="1"/>
      <c r="D540" s="1"/>
      <c r="E540" s="136"/>
      <c r="F540" s="12"/>
      <c r="G540" s="145"/>
      <c r="H540" s="145"/>
      <c r="I540" s="3"/>
      <c r="J540" s="3"/>
      <c r="K540" s="3"/>
      <c r="L540" s="3"/>
      <c r="M540" s="3"/>
      <c r="N540" s="3"/>
      <c r="O540" s="3"/>
      <c r="P540" s="3"/>
      <c r="Q540" s="3"/>
      <c r="R540" s="3"/>
      <c r="S540" s="3"/>
      <c r="T540" s="3"/>
      <c r="U540" s="3"/>
      <c r="V540" s="3"/>
      <c r="W540" s="3"/>
      <c r="X540" s="3"/>
      <c r="Y540" s="3"/>
      <c r="Z540" s="3"/>
    </row>
    <row r="541" spans="1:26" ht="14.25" customHeight="1">
      <c r="A541" s="1"/>
      <c r="B541" s="1"/>
      <c r="C541" s="1"/>
      <c r="D541" s="1"/>
      <c r="E541" s="136"/>
      <c r="F541" s="12"/>
      <c r="G541" s="145"/>
      <c r="H541" s="145"/>
      <c r="I541" s="3"/>
      <c r="J541" s="3"/>
      <c r="K541" s="3"/>
      <c r="L541" s="3"/>
      <c r="M541" s="3"/>
      <c r="N541" s="3"/>
      <c r="O541" s="3"/>
      <c r="P541" s="3"/>
      <c r="Q541" s="3"/>
      <c r="R541" s="3"/>
      <c r="S541" s="3"/>
      <c r="T541" s="3"/>
      <c r="U541" s="3"/>
      <c r="V541" s="3"/>
      <c r="W541" s="3"/>
      <c r="X541" s="3"/>
      <c r="Y541" s="3"/>
      <c r="Z541" s="3"/>
    </row>
    <row r="542" spans="1:26" ht="14.25" customHeight="1">
      <c r="A542" s="1"/>
      <c r="B542" s="1"/>
      <c r="C542" s="1"/>
      <c r="D542" s="1"/>
      <c r="E542" s="136"/>
      <c r="F542" s="12"/>
      <c r="G542" s="145"/>
      <c r="H542" s="145"/>
      <c r="I542" s="3"/>
      <c r="J542" s="3"/>
      <c r="K542" s="3"/>
      <c r="L542" s="3"/>
      <c r="M542" s="3"/>
      <c r="N542" s="3"/>
      <c r="O542" s="3"/>
      <c r="P542" s="3"/>
      <c r="Q542" s="3"/>
      <c r="R542" s="3"/>
      <c r="S542" s="3"/>
      <c r="T542" s="3"/>
      <c r="U542" s="3"/>
      <c r="V542" s="3"/>
      <c r="W542" s="3"/>
      <c r="X542" s="3"/>
      <c r="Y542" s="3"/>
      <c r="Z542" s="3"/>
    </row>
    <row r="543" spans="1:26" ht="14.25" customHeight="1">
      <c r="A543" s="1"/>
      <c r="B543" s="1"/>
      <c r="C543" s="1"/>
      <c r="D543" s="1"/>
      <c r="E543" s="136"/>
      <c r="F543" s="12"/>
      <c r="G543" s="145"/>
      <c r="H543" s="145"/>
      <c r="I543" s="3"/>
      <c r="J543" s="3"/>
      <c r="K543" s="3"/>
      <c r="L543" s="3"/>
      <c r="M543" s="3"/>
      <c r="N543" s="3"/>
      <c r="O543" s="3"/>
      <c r="P543" s="3"/>
      <c r="Q543" s="3"/>
      <c r="R543" s="3"/>
      <c r="S543" s="3"/>
      <c r="T543" s="3"/>
      <c r="U543" s="3"/>
      <c r="V543" s="3"/>
      <c r="W543" s="3"/>
      <c r="X543" s="3"/>
      <c r="Y543" s="3"/>
      <c r="Z543" s="3"/>
    </row>
    <row r="544" spans="1:26" ht="14.25" customHeight="1">
      <c r="A544" s="1"/>
      <c r="B544" s="1"/>
      <c r="C544" s="1"/>
      <c r="D544" s="1"/>
      <c r="E544" s="136"/>
      <c r="F544" s="12"/>
      <c r="G544" s="145"/>
      <c r="H544" s="145"/>
      <c r="I544" s="3"/>
      <c r="J544" s="3"/>
      <c r="K544" s="3"/>
      <c r="L544" s="3"/>
      <c r="M544" s="3"/>
      <c r="N544" s="3"/>
      <c r="O544" s="3"/>
      <c r="P544" s="3"/>
      <c r="Q544" s="3"/>
      <c r="R544" s="3"/>
      <c r="S544" s="3"/>
      <c r="T544" s="3"/>
      <c r="U544" s="3"/>
      <c r="V544" s="3"/>
      <c r="W544" s="3"/>
      <c r="X544" s="3"/>
      <c r="Y544" s="3"/>
      <c r="Z544" s="3"/>
    </row>
    <row r="545" spans="1:26" ht="14.25" customHeight="1">
      <c r="A545" s="1"/>
      <c r="B545" s="1"/>
      <c r="C545" s="1"/>
      <c r="D545" s="1"/>
      <c r="E545" s="136"/>
      <c r="F545" s="12"/>
      <c r="G545" s="145"/>
      <c r="H545" s="145"/>
      <c r="I545" s="3"/>
      <c r="J545" s="3"/>
      <c r="K545" s="3"/>
      <c r="L545" s="3"/>
      <c r="M545" s="3"/>
      <c r="N545" s="3"/>
      <c r="O545" s="3"/>
      <c r="P545" s="3"/>
      <c r="Q545" s="3"/>
      <c r="R545" s="3"/>
      <c r="S545" s="3"/>
      <c r="T545" s="3"/>
      <c r="U545" s="3"/>
      <c r="V545" s="3"/>
      <c r="W545" s="3"/>
      <c r="X545" s="3"/>
      <c r="Y545" s="3"/>
      <c r="Z545" s="3"/>
    </row>
    <row r="546" spans="1:26" ht="14.25" customHeight="1">
      <c r="A546" s="1"/>
      <c r="B546" s="1"/>
      <c r="C546" s="1"/>
      <c r="D546" s="1"/>
      <c r="E546" s="136"/>
      <c r="F546" s="12"/>
      <c r="G546" s="145"/>
      <c r="H546" s="145"/>
      <c r="I546" s="3"/>
      <c r="J546" s="3"/>
      <c r="K546" s="3"/>
      <c r="L546" s="3"/>
      <c r="M546" s="3"/>
      <c r="N546" s="3"/>
      <c r="O546" s="3"/>
      <c r="P546" s="3"/>
      <c r="Q546" s="3"/>
      <c r="R546" s="3"/>
      <c r="S546" s="3"/>
      <c r="T546" s="3"/>
      <c r="U546" s="3"/>
      <c r="V546" s="3"/>
      <c r="W546" s="3"/>
      <c r="X546" s="3"/>
      <c r="Y546" s="3"/>
      <c r="Z546" s="3"/>
    </row>
    <row r="547" spans="1:26" ht="14.25" customHeight="1">
      <c r="A547" s="1"/>
      <c r="B547" s="1"/>
      <c r="C547" s="1"/>
      <c r="D547" s="1"/>
      <c r="E547" s="136"/>
      <c r="F547" s="12"/>
      <c r="G547" s="145"/>
      <c r="H547" s="145"/>
      <c r="I547" s="3"/>
      <c r="J547" s="3"/>
      <c r="K547" s="3"/>
      <c r="L547" s="3"/>
      <c r="M547" s="3"/>
      <c r="N547" s="3"/>
      <c r="O547" s="3"/>
      <c r="P547" s="3"/>
      <c r="Q547" s="3"/>
      <c r="R547" s="3"/>
      <c r="S547" s="3"/>
      <c r="T547" s="3"/>
      <c r="U547" s="3"/>
      <c r="V547" s="3"/>
      <c r="W547" s="3"/>
      <c r="X547" s="3"/>
      <c r="Y547" s="3"/>
      <c r="Z547" s="3"/>
    </row>
    <row r="548" spans="1:26" ht="14.25" customHeight="1">
      <c r="A548" s="1"/>
      <c r="B548" s="1"/>
      <c r="C548" s="1"/>
      <c r="D548" s="1"/>
      <c r="E548" s="136"/>
      <c r="F548" s="12"/>
      <c r="G548" s="145"/>
      <c r="H548" s="145"/>
      <c r="I548" s="3"/>
      <c r="J548" s="3"/>
      <c r="K548" s="3"/>
      <c r="L548" s="3"/>
      <c r="M548" s="3"/>
      <c r="N548" s="3"/>
      <c r="O548" s="3"/>
      <c r="P548" s="3"/>
      <c r="Q548" s="3"/>
      <c r="R548" s="3"/>
      <c r="S548" s="3"/>
      <c r="T548" s="3"/>
      <c r="U548" s="3"/>
      <c r="V548" s="3"/>
      <c r="W548" s="3"/>
      <c r="X548" s="3"/>
      <c r="Y548" s="3"/>
      <c r="Z548" s="3"/>
    </row>
    <row r="549" spans="1:26" ht="14.25" customHeight="1">
      <c r="A549" s="1"/>
      <c r="B549" s="1"/>
      <c r="C549" s="1"/>
      <c r="D549" s="1"/>
      <c r="E549" s="136"/>
      <c r="F549" s="12"/>
      <c r="G549" s="145"/>
      <c r="H549" s="145"/>
      <c r="I549" s="3"/>
      <c r="J549" s="3"/>
      <c r="K549" s="3"/>
      <c r="L549" s="3"/>
      <c r="M549" s="3"/>
      <c r="N549" s="3"/>
      <c r="O549" s="3"/>
      <c r="P549" s="3"/>
      <c r="Q549" s="3"/>
      <c r="R549" s="3"/>
      <c r="S549" s="3"/>
      <c r="T549" s="3"/>
      <c r="U549" s="3"/>
      <c r="V549" s="3"/>
      <c r="W549" s="3"/>
      <c r="X549" s="3"/>
      <c r="Y549" s="3"/>
      <c r="Z549" s="3"/>
    </row>
    <row r="550" spans="1:26" ht="14.25" customHeight="1">
      <c r="A550" s="1"/>
      <c r="B550" s="1"/>
      <c r="C550" s="1"/>
      <c r="D550" s="1"/>
      <c r="E550" s="136"/>
      <c r="F550" s="12"/>
      <c r="G550" s="145"/>
      <c r="H550" s="145"/>
      <c r="I550" s="3"/>
      <c r="J550" s="3"/>
      <c r="K550" s="3"/>
      <c r="L550" s="3"/>
      <c r="M550" s="3"/>
      <c r="N550" s="3"/>
      <c r="O550" s="3"/>
      <c r="P550" s="3"/>
      <c r="Q550" s="3"/>
      <c r="R550" s="3"/>
      <c r="S550" s="3"/>
      <c r="T550" s="3"/>
      <c r="U550" s="3"/>
      <c r="V550" s="3"/>
      <c r="W550" s="3"/>
      <c r="X550" s="3"/>
      <c r="Y550" s="3"/>
      <c r="Z550" s="3"/>
    </row>
    <row r="551" spans="1:26" ht="14.25" customHeight="1">
      <c r="A551" s="1"/>
      <c r="B551" s="1"/>
      <c r="C551" s="1"/>
      <c r="D551" s="1"/>
      <c r="E551" s="136"/>
      <c r="F551" s="12"/>
      <c r="G551" s="145"/>
      <c r="H551" s="145"/>
      <c r="I551" s="3"/>
      <c r="J551" s="3"/>
      <c r="K551" s="3"/>
      <c r="L551" s="3"/>
      <c r="M551" s="3"/>
      <c r="N551" s="3"/>
      <c r="O551" s="3"/>
      <c r="P551" s="3"/>
      <c r="Q551" s="3"/>
      <c r="R551" s="3"/>
      <c r="S551" s="3"/>
      <c r="T551" s="3"/>
      <c r="U551" s="3"/>
      <c r="V551" s="3"/>
      <c r="W551" s="3"/>
      <c r="X551" s="3"/>
      <c r="Y551" s="3"/>
      <c r="Z551" s="3"/>
    </row>
    <row r="552" spans="1:26" ht="14.25" customHeight="1">
      <c r="A552" s="1"/>
      <c r="B552" s="1"/>
      <c r="C552" s="1"/>
      <c r="D552" s="1"/>
      <c r="E552" s="136"/>
      <c r="F552" s="12"/>
      <c r="G552" s="145"/>
      <c r="H552" s="145"/>
      <c r="I552" s="3"/>
      <c r="J552" s="3"/>
      <c r="K552" s="3"/>
      <c r="L552" s="3"/>
      <c r="M552" s="3"/>
      <c r="N552" s="3"/>
      <c r="O552" s="3"/>
      <c r="P552" s="3"/>
      <c r="Q552" s="3"/>
      <c r="R552" s="3"/>
      <c r="S552" s="3"/>
      <c r="T552" s="3"/>
      <c r="U552" s="3"/>
      <c r="V552" s="3"/>
      <c r="W552" s="3"/>
      <c r="X552" s="3"/>
      <c r="Y552" s="3"/>
      <c r="Z552" s="3"/>
    </row>
    <row r="553" spans="1:26" ht="14.25" customHeight="1">
      <c r="A553" s="1"/>
      <c r="B553" s="1"/>
      <c r="C553" s="1"/>
      <c r="D553" s="1"/>
      <c r="E553" s="136"/>
      <c r="F553" s="12"/>
      <c r="G553" s="145"/>
      <c r="H553" s="145"/>
      <c r="I553" s="3"/>
      <c r="J553" s="3"/>
      <c r="K553" s="3"/>
      <c r="L553" s="3"/>
      <c r="M553" s="3"/>
      <c r="N553" s="3"/>
      <c r="O553" s="3"/>
      <c r="P553" s="3"/>
      <c r="Q553" s="3"/>
      <c r="R553" s="3"/>
      <c r="S553" s="3"/>
      <c r="T553" s="3"/>
      <c r="U553" s="3"/>
      <c r="V553" s="3"/>
      <c r="W553" s="3"/>
      <c r="X553" s="3"/>
      <c r="Y553" s="3"/>
      <c r="Z553" s="3"/>
    </row>
    <row r="554" spans="1:26" ht="14.25" customHeight="1">
      <c r="A554" s="1"/>
      <c r="B554" s="1"/>
      <c r="C554" s="1"/>
      <c r="D554" s="1"/>
      <c r="E554" s="136"/>
      <c r="F554" s="12"/>
      <c r="G554" s="145"/>
      <c r="H554" s="145"/>
      <c r="I554" s="3"/>
      <c r="J554" s="3"/>
      <c r="K554" s="3"/>
      <c r="L554" s="3"/>
      <c r="M554" s="3"/>
      <c r="N554" s="3"/>
      <c r="O554" s="3"/>
      <c r="P554" s="3"/>
      <c r="Q554" s="3"/>
      <c r="R554" s="3"/>
      <c r="S554" s="3"/>
      <c r="T554" s="3"/>
      <c r="U554" s="3"/>
      <c r="V554" s="3"/>
      <c r="W554" s="3"/>
      <c r="X554" s="3"/>
      <c r="Y554" s="3"/>
      <c r="Z554" s="3"/>
    </row>
    <row r="555" spans="1:26" ht="14.25" customHeight="1">
      <c r="A555" s="1"/>
      <c r="B555" s="1"/>
      <c r="C555" s="1"/>
      <c r="D555" s="1"/>
      <c r="E555" s="136"/>
      <c r="F555" s="12"/>
      <c r="G555" s="145"/>
      <c r="H555" s="145"/>
      <c r="I555" s="3"/>
      <c r="J555" s="3"/>
      <c r="K555" s="3"/>
      <c r="L555" s="3"/>
      <c r="M555" s="3"/>
      <c r="N555" s="3"/>
      <c r="O555" s="3"/>
      <c r="P555" s="3"/>
      <c r="Q555" s="3"/>
      <c r="R555" s="3"/>
      <c r="S555" s="3"/>
      <c r="T555" s="3"/>
      <c r="U555" s="3"/>
      <c r="V555" s="3"/>
      <c r="W555" s="3"/>
      <c r="X555" s="3"/>
      <c r="Y555" s="3"/>
      <c r="Z555" s="3"/>
    </row>
    <row r="556" spans="1:26" ht="14.25" customHeight="1">
      <c r="A556" s="1"/>
      <c r="B556" s="1"/>
      <c r="C556" s="1"/>
      <c r="D556" s="1"/>
      <c r="E556" s="136"/>
      <c r="F556" s="12"/>
      <c r="G556" s="145"/>
      <c r="H556" s="145"/>
      <c r="I556" s="3"/>
      <c r="J556" s="3"/>
      <c r="K556" s="3"/>
      <c r="L556" s="3"/>
      <c r="M556" s="3"/>
      <c r="N556" s="3"/>
      <c r="O556" s="3"/>
      <c r="P556" s="3"/>
      <c r="Q556" s="3"/>
      <c r="R556" s="3"/>
      <c r="S556" s="3"/>
      <c r="T556" s="3"/>
      <c r="U556" s="3"/>
      <c r="V556" s="3"/>
      <c r="W556" s="3"/>
      <c r="X556" s="3"/>
      <c r="Y556" s="3"/>
      <c r="Z556" s="3"/>
    </row>
    <row r="557" spans="1:26" ht="14.25" customHeight="1">
      <c r="A557" s="1"/>
      <c r="B557" s="1"/>
      <c r="C557" s="1"/>
      <c r="D557" s="1"/>
      <c r="E557" s="136"/>
      <c r="F557" s="12"/>
      <c r="G557" s="145"/>
      <c r="H557" s="145"/>
      <c r="I557" s="3"/>
      <c r="J557" s="3"/>
      <c r="K557" s="3"/>
      <c r="L557" s="3"/>
      <c r="M557" s="3"/>
      <c r="N557" s="3"/>
      <c r="O557" s="3"/>
      <c r="P557" s="3"/>
      <c r="Q557" s="3"/>
      <c r="R557" s="3"/>
      <c r="S557" s="3"/>
      <c r="T557" s="3"/>
      <c r="U557" s="3"/>
      <c r="V557" s="3"/>
      <c r="W557" s="3"/>
      <c r="X557" s="3"/>
      <c r="Y557" s="3"/>
      <c r="Z557" s="3"/>
    </row>
    <row r="558" spans="1:26" ht="14.25" customHeight="1">
      <c r="A558" s="1"/>
      <c r="B558" s="1"/>
      <c r="C558" s="1"/>
      <c r="D558" s="1"/>
      <c r="E558" s="136"/>
      <c r="F558" s="12"/>
      <c r="G558" s="145"/>
      <c r="H558" s="145"/>
      <c r="I558" s="3"/>
      <c r="J558" s="3"/>
      <c r="K558" s="3"/>
      <c r="L558" s="3"/>
      <c r="M558" s="3"/>
      <c r="N558" s="3"/>
      <c r="O558" s="3"/>
      <c r="P558" s="3"/>
      <c r="Q558" s="3"/>
      <c r="R558" s="3"/>
      <c r="S558" s="3"/>
      <c r="T558" s="3"/>
      <c r="U558" s="3"/>
      <c r="V558" s="3"/>
      <c r="W558" s="3"/>
      <c r="X558" s="3"/>
      <c r="Y558" s="3"/>
      <c r="Z558" s="3"/>
    </row>
    <row r="559" spans="1:26" ht="14.25" customHeight="1">
      <c r="A559" s="1"/>
      <c r="B559" s="1"/>
      <c r="C559" s="1"/>
      <c r="D559" s="1"/>
      <c r="E559" s="136"/>
      <c r="F559" s="12"/>
      <c r="G559" s="145"/>
      <c r="H559" s="145"/>
      <c r="I559" s="3"/>
      <c r="J559" s="3"/>
      <c r="K559" s="3"/>
      <c r="L559" s="3"/>
      <c r="M559" s="3"/>
      <c r="N559" s="3"/>
      <c r="O559" s="3"/>
      <c r="P559" s="3"/>
      <c r="Q559" s="3"/>
      <c r="R559" s="3"/>
      <c r="S559" s="3"/>
      <c r="T559" s="3"/>
      <c r="U559" s="3"/>
      <c r="V559" s="3"/>
      <c r="W559" s="3"/>
      <c r="X559" s="3"/>
      <c r="Y559" s="3"/>
      <c r="Z559" s="3"/>
    </row>
    <row r="560" spans="1:26" ht="14.25" customHeight="1">
      <c r="A560" s="1"/>
      <c r="B560" s="1"/>
      <c r="C560" s="1"/>
      <c r="D560" s="1"/>
      <c r="E560" s="136"/>
      <c r="F560" s="12"/>
      <c r="G560" s="145"/>
      <c r="H560" s="145"/>
      <c r="I560" s="3"/>
      <c r="J560" s="3"/>
      <c r="K560" s="3"/>
      <c r="L560" s="3"/>
      <c r="M560" s="3"/>
      <c r="N560" s="3"/>
      <c r="O560" s="3"/>
      <c r="P560" s="3"/>
      <c r="Q560" s="3"/>
      <c r="R560" s="3"/>
      <c r="S560" s="3"/>
      <c r="T560" s="3"/>
      <c r="U560" s="3"/>
      <c r="V560" s="3"/>
      <c r="W560" s="3"/>
      <c r="X560" s="3"/>
      <c r="Y560" s="3"/>
      <c r="Z560" s="3"/>
    </row>
    <row r="561" spans="1:26" ht="14.25" customHeight="1">
      <c r="A561" s="1"/>
      <c r="B561" s="1"/>
      <c r="C561" s="1"/>
      <c r="D561" s="1"/>
      <c r="E561" s="136"/>
      <c r="F561" s="12"/>
      <c r="G561" s="145"/>
      <c r="H561" s="145"/>
      <c r="I561" s="3"/>
      <c r="J561" s="3"/>
      <c r="K561" s="3"/>
      <c r="L561" s="3"/>
      <c r="M561" s="3"/>
      <c r="N561" s="3"/>
      <c r="O561" s="3"/>
      <c r="P561" s="3"/>
      <c r="Q561" s="3"/>
      <c r="R561" s="3"/>
      <c r="S561" s="3"/>
      <c r="T561" s="3"/>
      <c r="U561" s="3"/>
      <c r="V561" s="3"/>
      <c r="W561" s="3"/>
      <c r="X561" s="3"/>
      <c r="Y561" s="3"/>
      <c r="Z561" s="3"/>
    </row>
    <row r="562" spans="1:26" ht="14.25" customHeight="1">
      <c r="A562" s="1"/>
      <c r="B562" s="1"/>
      <c r="C562" s="1"/>
      <c r="D562" s="1"/>
      <c r="E562" s="136"/>
      <c r="F562" s="12"/>
      <c r="G562" s="145"/>
      <c r="H562" s="145"/>
      <c r="I562" s="3"/>
      <c r="J562" s="3"/>
      <c r="K562" s="3"/>
      <c r="L562" s="3"/>
      <c r="M562" s="3"/>
      <c r="N562" s="3"/>
      <c r="O562" s="3"/>
      <c r="P562" s="3"/>
      <c r="Q562" s="3"/>
      <c r="R562" s="3"/>
      <c r="S562" s="3"/>
      <c r="T562" s="3"/>
      <c r="U562" s="3"/>
      <c r="V562" s="3"/>
      <c r="W562" s="3"/>
      <c r="X562" s="3"/>
      <c r="Y562" s="3"/>
      <c r="Z562" s="3"/>
    </row>
    <row r="563" spans="1:26" ht="14.25" customHeight="1">
      <c r="A563" s="1"/>
      <c r="B563" s="1"/>
      <c r="C563" s="1"/>
      <c r="D563" s="1"/>
      <c r="E563" s="136"/>
      <c r="F563" s="12"/>
      <c r="G563" s="145"/>
      <c r="H563" s="145"/>
      <c r="I563" s="3"/>
      <c r="J563" s="3"/>
      <c r="K563" s="3"/>
      <c r="L563" s="3"/>
      <c r="M563" s="3"/>
      <c r="N563" s="3"/>
      <c r="O563" s="3"/>
      <c r="P563" s="3"/>
      <c r="Q563" s="3"/>
      <c r="R563" s="3"/>
      <c r="S563" s="3"/>
      <c r="T563" s="3"/>
      <c r="U563" s="3"/>
      <c r="V563" s="3"/>
      <c r="W563" s="3"/>
      <c r="X563" s="3"/>
      <c r="Y563" s="3"/>
      <c r="Z563" s="3"/>
    </row>
    <row r="564" spans="1:26" ht="14.25" customHeight="1">
      <c r="A564" s="1"/>
      <c r="B564" s="1"/>
      <c r="C564" s="1"/>
      <c r="D564" s="1"/>
      <c r="E564" s="136"/>
      <c r="F564" s="12"/>
      <c r="G564" s="145"/>
      <c r="H564" s="145"/>
      <c r="I564" s="3"/>
      <c r="J564" s="3"/>
      <c r="K564" s="3"/>
      <c r="L564" s="3"/>
      <c r="M564" s="3"/>
      <c r="N564" s="3"/>
      <c r="O564" s="3"/>
      <c r="P564" s="3"/>
      <c r="Q564" s="3"/>
      <c r="R564" s="3"/>
      <c r="S564" s="3"/>
      <c r="T564" s="3"/>
      <c r="U564" s="3"/>
      <c r="V564" s="3"/>
      <c r="W564" s="3"/>
      <c r="X564" s="3"/>
      <c r="Y564" s="3"/>
      <c r="Z564" s="3"/>
    </row>
    <row r="565" spans="1:26" ht="14.25" customHeight="1">
      <c r="A565" s="1"/>
      <c r="B565" s="1"/>
      <c r="C565" s="1"/>
      <c r="D565" s="1"/>
      <c r="E565" s="136"/>
      <c r="F565" s="12"/>
      <c r="G565" s="145"/>
      <c r="H565" s="145"/>
      <c r="I565" s="3"/>
      <c r="J565" s="3"/>
      <c r="K565" s="3"/>
      <c r="L565" s="3"/>
      <c r="M565" s="3"/>
      <c r="N565" s="3"/>
      <c r="O565" s="3"/>
      <c r="P565" s="3"/>
      <c r="Q565" s="3"/>
      <c r="R565" s="3"/>
      <c r="S565" s="3"/>
      <c r="T565" s="3"/>
      <c r="U565" s="3"/>
      <c r="V565" s="3"/>
      <c r="W565" s="3"/>
      <c r="X565" s="3"/>
      <c r="Y565" s="3"/>
      <c r="Z565" s="3"/>
    </row>
    <row r="566" spans="1:26" ht="14.25" customHeight="1">
      <c r="A566" s="1"/>
      <c r="B566" s="1"/>
      <c r="C566" s="1"/>
      <c r="D566" s="1"/>
      <c r="E566" s="136"/>
      <c r="F566" s="12"/>
      <c r="G566" s="145"/>
      <c r="H566" s="145"/>
      <c r="I566" s="3"/>
      <c r="J566" s="3"/>
      <c r="K566" s="3"/>
      <c r="L566" s="3"/>
      <c r="M566" s="3"/>
      <c r="N566" s="3"/>
      <c r="O566" s="3"/>
      <c r="P566" s="3"/>
      <c r="Q566" s="3"/>
      <c r="R566" s="3"/>
      <c r="S566" s="3"/>
      <c r="T566" s="3"/>
      <c r="U566" s="3"/>
      <c r="V566" s="3"/>
      <c r="W566" s="3"/>
      <c r="X566" s="3"/>
      <c r="Y566" s="3"/>
      <c r="Z566" s="3"/>
    </row>
    <row r="567" spans="1:26" ht="14.25" customHeight="1">
      <c r="A567" s="1"/>
      <c r="B567" s="1"/>
      <c r="C567" s="1"/>
      <c r="D567" s="1"/>
      <c r="E567" s="136"/>
      <c r="F567" s="12"/>
      <c r="G567" s="145"/>
      <c r="H567" s="145"/>
      <c r="I567" s="3"/>
      <c r="J567" s="3"/>
      <c r="K567" s="3"/>
      <c r="L567" s="3"/>
      <c r="M567" s="3"/>
      <c r="N567" s="3"/>
      <c r="O567" s="3"/>
      <c r="P567" s="3"/>
      <c r="Q567" s="3"/>
      <c r="R567" s="3"/>
      <c r="S567" s="3"/>
      <c r="T567" s="3"/>
      <c r="U567" s="3"/>
      <c r="V567" s="3"/>
      <c r="W567" s="3"/>
      <c r="X567" s="3"/>
      <c r="Y567" s="3"/>
      <c r="Z567" s="3"/>
    </row>
    <row r="568" spans="1:26" ht="14.25" customHeight="1">
      <c r="A568" s="1"/>
      <c r="B568" s="1"/>
      <c r="C568" s="1"/>
      <c r="D568" s="1"/>
      <c r="E568" s="136"/>
      <c r="F568" s="12"/>
      <c r="G568" s="145"/>
      <c r="H568" s="145"/>
      <c r="I568" s="3"/>
      <c r="J568" s="3"/>
      <c r="K568" s="3"/>
      <c r="L568" s="3"/>
      <c r="M568" s="3"/>
      <c r="N568" s="3"/>
      <c r="O568" s="3"/>
      <c r="P568" s="3"/>
      <c r="Q568" s="3"/>
      <c r="R568" s="3"/>
      <c r="S568" s="3"/>
      <c r="T568" s="3"/>
      <c r="U568" s="3"/>
      <c r="V568" s="3"/>
      <c r="W568" s="3"/>
      <c r="X568" s="3"/>
      <c r="Y568" s="3"/>
      <c r="Z568" s="3"/>
    </row>
    <row r="569" spans="1:26" ht="14.25" customHeight="1">
      <c r="A569" s="1"/>
      <c r="B569" s="1"/>
      <c r="C569" s="1"/>
      <c r="D569" s="1"/>
      <c r="E569" s="136"/>
      <c r="F569" s="12"/>
      <c r="G569" s="145"/>
      <c r="H569" s="145"/>
      <c r="I569" s="3"/>
      <c r="J569" s="3"/>
      <c r="K569" s="3"/>
      <c r="L569" s="3"/>
      <c r="M569" s="3"/>
      <c r="N569" s="3"/>
      <c r="O569" s="3"/>
      <c r="P569" s="3"/>
      <c r="Q569" s="3"/>
      <c r="R569" s="3"/>
      <c r="S569" s="3"/>
      <c r="T569" s="3"/>
      <c r="U569" s="3"/>
      <c r="V569" s="3"/>
      <c r="W569" s="3"/>
      <c r="X569" s="3"/>
      <c r="Y569" s="3"/>
      <c r="Z569" s="3"/>
    </row>
    <row r="570" spans="1:26" ht="14.25" customHeight="1">
      <c r="A570" s="1"/>
      <c r="B570" s="1"/>
      <c r="C570" s="1"/>
      <c r="D570" s="1"/>
      <c r="E570" s="136"/>
      <c r="F570" s="12"/>
      <c r="G570" s="145"/>
      <c r="H570" s="145"/>
      <c r="I570" s="3"/>
      <c r="J570" s="3"/>
      <c r="K570" s="3"/>
      <c r="L570" s="3"/>
      <c r="M570" s="3"/>
      <c r="N570" s="3"/>
      <c r="O570" s="3"/>
      <c r="P570" s="3"/>
      <c r="Q570" s="3"/>
      <c r="R570" s="3"/>
      <c r="S570" s="3"/>
      <c r="T570" s="3"/>
      <c r="U570" s="3"/>
      <c r="V570" s="3"/>
      <c r="W570" s="3"/>
      <c r="X570" s="3"/>
      <c r="Y570" s="3"/>
      <c r="Z570" s="3"/>
    </row>
    <row r="571" spans="1:26" ht="14.25" customHeight="1">
      <c r="A571" s="1"/>
      <c r="B571" s="1"/>
      <c r="C571" s="1"/>
      <c r="D571" s="1"/>
      <c r="E571" s="136"/>
      <c r="F571" s="12"/>
      <c r="G571" s="145"/>
      <c r="H571" s="145"/>
      <c r="I571" s="3"/>
      <c r="J571" s="3"/>
      <c r="K571" s="3"/>
      <c r="L571" s="3"/>
      <c r="M571" s="3"/>
      <c r="N571" s="3"/>
      <c r="O571" s="3"/>
      <c r="P571" s="3"/>
      <c r="Q571" s="3"/>
      <c r="R571" s="3"/>
      <c r="S571" s="3"/>
      <c r="T571" s="3"/>
      <c r="U571" s="3"/>
      <c r="V571" s="3"/>
      <c r="W571" s="3"/>
      <c r="X571" s="3"/>
      <c r="Y571" s="3"/>
      <c r="Z571" s="3"/>
    </row>
    <row r="572" spans="1:26" ht="14.25" customHeight="1">
      <c r="A572" s="1"/>
      <c r="B572" s="1"/>
      <c r="C572" s="1"/>
      <c r="D572" s="1"/>
      <c r="E572" s="136"/>
      <c r="F572" s="12"/>
      <c r="G572" s="145"/>
      <c r="H572" s="145"/>
      <c r="I572" s="3"/>
      <c r="J572" s="3"/>
      <c r="K572" s="3"/>
      <c r="L572" s="3"/>
      <c r="M572" s="3"/>
      <c r="N572" s="3"/>
      <c r="O572" s="3"/>
      <c r="P572" s="3"/>
      <c r="Q572" s="3"/>
      <c r="R572" s="3"/>
      <c r="S572" s="3"/>
      <c r="T572" s="3"/>
      <c r="U572" s="3"/>
      <c r="V572" s="3"/>
      <c r="W572" s="3"/>
      <c r="X572" s="3"/>
      <c r="Y572" s="3"/>
      <c r="Z572" s="3"/>
    </row>
    <row r="573" spans="1:26" ht="14.25" customHeight="1">
      <c r="A573" s="1"/>
      <c r="B573" s="1"/>
      <c r="C573" s="1"/>
      <c r="D573" s="1"/>
      <c r="E573" s="136"/>
      <c r="F573" s="12"/>
      <c r="G573" s="145"/>
      <c r="H573" s="145"/>
      <c r="I573" s="3"/>
      <c r="J573" s="3"/>
      <c r="K573" s="3"/>
      <c r="L573" s="3"/>
      <c r="M573" s="3"/>
      <c r="N573" s="3"/>
      <c r="O573" s="3"/>
      <c r="P573" s="3"/>
      <c r="Q573" s="3"/>
      <c r="R573" s="3"/>
      <c r="S573" s="3"/>
      <c r="T573" s="3"/>
      <c r="U573" s="3"/>
      <c r="V573" s="3"/>
      <c r="W573" s="3"/>
      <c r="X573" s="3"/>
      <c r="Y573" s="3"/>
      <c r="Z573" s="3"/>
    </row>
    <row r="574" spans="1:26" ht="14.25" customHeight="1">
      <c r="A574" s="1"/>
      <c r="B574" s="1"/>
      <c r="C574" s="1"/>
      <c r="D574" s="1"/>
      <c r="E574" s="136"/>
      <c r="F574" s="12"/>
      <c r="G574" s="145"/>
      <c r="H574" s="145"/>
      <c r="I574" s="3"/>
      <c r="J574" s="3"/>
      <c r="K574" s="3"/>
      <c r="L574" s="3"/>
      <c r="M574" s="3"/>
      <c r="N574" s="3"/>
      <c r="O574" s="3"/>
      <c r="P574" s="3"/>
      <c r="Q574" s="3"/>
      <c r="R574" s="3"/>
      <c r="S574" s="3"/>
      <c r="T574" s="3"/>
      <c r="U574" s="3"/>
      <c r="V574" s="3"/>
      <c r="W574" s="3"/>
      <c r="X574" s="3"/>
      <c r="Y574" s="3"/>
      <c r="Z574" s="3"/>
    </row>
    <row r="575" spans="1:26" ht="14.25" customHeight="1">
      <c r="A575" s="1"/>
      <c r="B575" s="1"/>
      <c r="C575" s="1"/>
      <c r="D575" s="1"/>
      <c r="E575" s="136"/>
      <c r="F575" s="12"/>
      <c r="G575" s="145"/>
      <c r="H575" s="145"/>
      <c r="I575" s="3"/>
      <c r="J575" s="3"/>
      <c r="K575" s="3"/>
      <c r="L575" s="3"/>
      <c r="M575" s="3"/>
      <c r="N575" s="3"/>
      <c r="O575" s="3"/>
      <c r="P575" s="3"/>
      <c r="Q575" s="3"/>
      <c r="R575" s="3"/>
      <c r="S575" s="3"/>
      <c r="T575" s="3"/>
      <c r="U575" s="3"/>
      <c r="V575" s="3"/>
      <c r="W575" s="3"/>
      <c r="X575" s="3"/>
      <c r="Y575" s="3"/>
      <c r="Z575" s="3"/>
    </row>
    <row r="576" spans="1:26" ht="14.25" customHeight="1">
      <c r="A576" s="1"/>
      <c r="B576" s="1"/>
      <c r="C576" s="1"/>
      <c r="D576" s="1"/>
      <c r="E576" s="136"/>
      <c r="F576" s="12"/>
      <c r="G576" s="145"/>
      <c r="H576" s="145"/>
      <c r="I576" s="3"/>
      <c r="J576" s="3"/>
      <c r="K576" s="3"/>
      <c r="L576" s="3"/>
      <c r="M576" s="3"/>
      <c r="N576" s="3"/>
      <c r="O576" s="3"/>
      <c r="P576" s="3"/>
      <c r="Q576" s="3"/>
      <c r="R576" s="3"/>
      <c r="S576" s="3"/>
      <c r="T576" s="3"/>
      <c r="U576" s="3"/>
      <c r="V576" s="3"/>
      <c r="W576" s="3"/>
      <c r="X576" s="3"/>
      <c r="Y576" s="3"/>
      <c r="Z576" s="3"/>
    </row>
    <row r="577" spans="1:26" ht="14.25" customHeight="1">
      <c r="A577" s="1"/>
      <c r="B577" s="1"/>
      <c r="C577" s="1"/>
      <c r="D577" s="1"/>
      <c r="E577" s="136"/>
      <c r="F577" s="12"/>
      <c r="G577" s="145"/>
      <c r="H577" s="145"/>
      <c r="I577" s="3"/>
      <c r="J577" s="3"/>
      <c r="K577" s="3"/>
      <c r="L577" s="3"/>
      <c r="M577" s="3"/>
      <c r="N577" s="3"/>
      <c r="O577" s="3"/>
      <c r="P577" s="3"/>
      <c r="Q577" s="3"/>
      <c r="R577" s="3"/>
      <c r="S577" s="3"/>
      <c r="T577" s="3"/>
      <c r="U577" s="3"/>
      <c r="V577" s="3"/>
      <c r="W577" s="3"/>
      <c r="X577" s="3"/>
      <c r="Y577" s="3"/>
      <c r="Z577" s="3"/>
    </row>
    <row r="578" spans="1:26" ht="14.25" customHeight="1">
      <c r="A578" s="1"/>
      <c r="B578" s="1"/>
      <c r="C578" s="1"/>
      <c r="D578" s="1"/>
      <c r="E578" s="136"/>
      <c r="F578" s="12"/>
      <c r="G578" s="145"/>
      <c r="H578" s="145"/>
      <c r="I578" s="3"/>
      <c r="J578" s="3"/>
      <c r="K578" s="3"/>
      <c r="L578" s="3"/>
      <c r="M578" s="3"/>
      <c r="N578" s="3"/>
      <c r="O578" s="3"/>
      <c r="P578" s="3"/>
      <c r="Q578" s="3"/>
      <c r="R578" s="3"/>
      <c r="S578" s="3"/>
      <c r="T578" s="3"/>
      <c r="U578" s="3"/>
      <c r="V578" s="3"/>
      <c r="W578" s="3"/>
      <c r="X578" s="3"/>
      <c r="Y578" s="3"/>
      <c r="Z578" s="3"/>
    </row>
    <row r="579" spans="1:26" ht="14.25" customHeight="1">
      <c r="A579" s="1"/>
      <c r="B579" s="1"/>
      <c r="C579" s="1"/>
      <c r="D579" s="1"/>
      <c r="E579" s="136"/>
      <c r="F579" s="12"/>
      <c r="G579" s="145"/>
      <c r="H579" s="145"/>
      <c r="I579" s="3"/>
      <c r="J579" s="3"/>
      <c r="K579" s="3"/>
      <c r="L579" s="3"/>
      <c r="M579" s="3"/>
      <c r="N579" s="3"/>
      <c r="O579" s="3"/>
      <c r="P579" s="3"/>
      <c r="Q579" s="3"/>
      <c r="R579" s="3"/>
      <c r="S579" s="3"/>
      <c r="T579" s="3"/>
      <c r="U579" s="3"/>
      <c r="V579" s="3"/>
      <c r="W579" s="3"/>
      <c r="X579" s="3"/>
      <c r="Y579" s="3"/>
      <c r="Z579" s="3"/>
    </row>
    <row r="580" spans="1:26" ht="14.25" customHeight="1">
      <c r="A580" s="1"/>
      <c r="B580" s="1"/>
      <c r="C580" s="1"/>
      <c r="D580" s="1"/>
      <c r="E580" s="136"/>
      <c r="F580" s="12"/>
      <c r="G580" s="145"/>
      <c r="H580" s="145"/>
      <c r="I580" s="3"/>
      <c r="J580" s="3"/>
      <c r="K580" s="3"/>
      <c r="L580" s="3"/>
      <c r="M580" s="3"/>
      <c r="N580" s="3"/>
      <c r="O580" s="3"/>
      <c r="P580" s="3"/>
      <c r="Q580" s="3"/>
      <c r="R580" s="3"/>
      <c r="S580" s="3"/>
      <c r="T580" s="3"/>
      <c r="U580" s="3"/>
      <c r="V580" s="3"/>
      <c r="W580" s="3"/>
      <c r="X580" s="3"/>
      <c r="Y580" s="3"/>
      <c r="Z580" s="3"/>
    </row>
    <row r="581" spans="1:26" ht="14.25" customHeight="1">
      <c r="A581" s="1"/>
      <c r="B581" s="1"/>
      <c r="C581" s="1"/>
      <c r="D581" s="1"/>
      <c r="E581" s="136"/>
      <c r="F581" s="12"/>
      <c r="G581" s="145"/>
      <c r="H581" s="145"/>
      <c r="I581" s="3"/>
      <c r="J581" s="3"/>
      <c r="K581" s="3"/>
      <c r="L581" s="3"/>
      <c r="M581" s="3"/>
      <c r="N581" s="3"/>
      <c r="O581" s="3"/>
      <c r="P581" s="3"/>
      <c r="Q581" s="3"/>
      <c r="R581" s="3"/>
      <c r="S581" s="3"/>
      <c r="T581" s="3"/>
      <c r="U581" s="3"/>
      <c r="V581" s="3"/>
      <c r="W581" s="3"/>
      <c r="X581" s="3"/>
      <c r="Y581" s="3"/>
      <c r="Z581" s="3"/>
    </row>
    <row r="582" spans="1:26" ht="14.25" customHeight="1">
      <c r="A582" s="1"/>
      <c r="B582" s="1"/>
      <c r="C582" s="1"/>
      <c r="D582" s="1"/>
      <c r="E582" s="136"/>
      <c r="F582" s="12"/>
      <c r="G582" s="145"/>
      <c r="H582" s="145"/>
      <c r="I582" s="3"/>
      <c r="J582" s="3"/>
      <c r="K582" s="3"/>
      <c r="L582" s="3"/>
      <c r="M582" s="3"/>
      <c r="N582" s="3"/>
      <c r="O582" s="3"/>
      <c r="P582" s="3"/>
      <c r="Q582" s="3"/>
      <c r="R582" s="3"/>
      <c r="S582" s="3"/>
      <c r="T582" s="3"/>
      <c r="U582" s="3"/>
      <c r="V582" s="3"/>
      <c r="W582" s="3"/>
      <c r="X582" s="3"/>
      <c r="Y582" s="3"/>
      <c r="Z582" s="3"/>
    </row>
    <row r="583" spans="1:26" ht="14.25" customHeight="1">
      <c r="A583" s="1"/>
      <c r="B583" s="1"/>
      <c r="C583" s="1"/>
      <c r="D583" s="1"/>
      <c r="E583" s="136"/>
      <c r="F583" s="12"/>
      <c r="G583" s="145"/>
      <c r="H583" s="145"/>
      <c r="I583" s="3"/>
      <c r="J583" s="3"/>
      <c r="K583" s="3"/>
      <c r="L583" s="3"/>
      <c r="M583" s="3"/>
      <c r="N583" s="3"/>
      <c r="O583" s="3"/>
      <c r="P583" s="3"/>
      <c r="Q583" s="3"/>
      <c r="R583" s="3"/>
      <c r="S583" s="3"/>
      <c r="T583" s="3"/>
      <c r="U583" s="3"/>
      <c r="V583" s="3"/>
      <c r="W583" s="3"/>
      <c r="X583" s="3"/>
      <c r="Y583" s="3"/>
      <c r="Z583" s="3"/>
    </row>
    <row r="584" spans="1:26" ht="14.25" customHeight="1">
      <c r="A584" s="1"/>
      <c r="B584" s="1"/>
      <c r="C584" s="1"/>
      <c r="D584" s="1"/>
      <c r="E584" s="136"/>
      <c r="F584" s="12"/>
      <c r="G584" s="145"/>
      <c r="H584" s="145"/>
      <c r="I584" s="3"/>
      <c r="J584" s="3"/>
      <c r="K584" s="3"/>
      <c r="L584" s="3"/>
      <c r="M584" s="3"/>
      <c r="N584" s="3"/>
      <c r="O584" s="3"/>
      <c r="P584" s="3"/>
      <c r="Q584" s="3"/>
      <c r="R584" s="3"/>
      <c r="S584" s="3"/>
      <c r="T584" s="3"/>
      <c r="U584" s="3"/>
      <c r="V584" s="3"/>
      <c r="W584" s="3"/>
      <c r="X584" s="3"/>
      <c r="Y584" s="3"/>
      <c r="Z584" s="3"/>
    </row>
    <row r="585" spans="1:26" ht="14.25" customHeight="1">
      <c r="A585" s="1"/>
      <c r="B585" s="1"/>
      <c r="C585" s="1"/>
      <c r="D585" s="1"/>
      <c r="E585" s="136"/>
      <c r="F585" s="12"/>
      <c r="G585" s="145"/>
      <c r="H585" s="145"/>
      <c r="I585" s="3"/>
      <c r="J585" s="3"/>
      <c r="K585" s="3"/>
      <c r="L585" s="3"/>
      <c r="M585" s="3"/>
      <c r="N585" s="3"/>
      <c r="O585" s="3"/>
      <c r="P585" s="3"/>
      <c r="Q585" s="3"/>
      <c r="R585" s="3"/>
      <c r="S585" s="3"/>
      <c r="T585" s="3"/>
      <c r="U585" s="3"/>
      <c r="V585" s="3"/>
      <c r="W585" s="3"/>
      <c r="X585" s="3"/>
      <c r="Y585" s="3"/>
      <c r="Z585" s="3"/>
    </row>
    <row r="586" spans="1:26" ht="14.25" customHeight="1">
      <c r="A586" s="1"/>
      <c r="B586" s="1"/>
      <c r="C586" s="1"/>
      <c r="D586" s="1"/>
      <c r="E586" s="136"/>
      <c r="F586" s="12"/>
      <c r="G586" s="145"/>
      <c r="H586" s="145"/>
      <c r="I586" s="3"/>
      <c r="J586" s="3"/>
      <c r="K586" s="3"/>
      <c r="L586" s="3"/>
      <c r="M586" s="3"/>
      <c r="N586" s="3"/>
      <c r="O586" s="3"/>
      <c r="P586" s="3"/>
      <c r="Q586" s="3"/>
      <c r="R586" s="3"/>
      <c r="S586" s="3"/>
      <c r="T586" s="3"/>
      <c r="U586" s="3"/>
      <c r="V586" s="3"/>
      <c r="W586" s="3"/>
      <c r="X586" s="3"/>
      <c r="Y586" s="3"/>
      <c r="Z586" s="3"/>
    </row>
    <row r="587" spans="1:26" ht="14.25" customHeight="1">
      <c r="A587" s="1"/>
      <c r="B587" s="1"/>
      <c r="C587" s="1"/>
      <c r="D587" s="1"/>
      <c r="E587" s="136"/>
      <c r="F587" s="12"/>
      <c r="G587" s="145"/>
      <c r="H587" s="145"/>
      <c r="I587" s="3"/>
      <c r="J587" s="3"/>
      <c r="K587" s="3"/>
      <c r="L587" s="3"/>
      <c r="M587" s="3"/>
      <c r="N587" s="3"/>
      <c r="O587" s="3"/>
      <c r="P587" s="3"/>
      <c r="Q587" s="3"/>
      <c r="R587" s="3"/>
      <c r="S587" s="3"/>
      <c r="T587" s="3"/>
      <c r="U587" s="3"/>
      <c r="V587" s="3"/>
      <c r="W587" s="3"/>
      <c r="X587" s="3"/>
      <c r="Y587" s="3"/>
      <c r="Z587" s="3"/>
    </row>
    <row r="588" spans="1:26" ht="14.25" customHeight="1">
      <c r="A588" s="1"/>
      <c r="B588" s="1"/>
      <c r="C588" s="1"/>
      <c r="D588" s="1"/>
      <c r="E588" s="136"/>
      <c r="F588" s="12"/>
      <c r="G588" s="145"/>
      <c r="H588" s="145"/>
      <c r="I588" s="3"/>
      <c r="J588" s="3"/>
      <c r="K588" s="3"/>
      <c r="L588" s="3"/>
      <c r="M588" s="3"/>
      <c r="N588" s="3"/>
      <c r="O588" s="3"/>
      <c r="P588" s="3"/>
      <c r="Q588" s="3"/>
      <c r="R588" s="3"/>
      <c r="S588" s="3"/>
      <c r="T588" s="3"/>
      <c r="U588" s="3"/>
      <c r="V588" s="3"/>
      <c r="W588" s="3"/>
      <c r="X588" s="3"/>
      <c r="Y588" s="3"/>
      <c r="Z588" s="3"/>
    </row>
    <row r="589" spans="1:26" ht="14.25" customHeight="1">
      <c r="A589" s="1"/>
      <c r="B589" s="1"/>
      <c r="C589" s="1"/>
      <c r="D589" s="1"/>
      <c r="E589" s="136"/>
      <c r="F589" s="12"/>
      <c r="G589" s="145"/>
      <c r="H589" s="145"/>
      <c r="I589" s="3"/>
      <c r="J589" s="3"/>
      <c r="K589" s="3"/>
      <c r="L589" s="3"/>
      <c r="M589" s="3"/>
      <c r="N589" s="3"/>
      <c r="O589" s="3"/>
      <c r="P589" s="3"/>
      <c r="Q589" s="3"/>
      <c r="R589" s="3"/>
      <c r="S589" s="3"/>
      <c r="T589" s="3"/>
      <c r="U589" s="3"/>
      <c r="V589" s="3"/>
      <c r="W589" s="3"/>
      <c r="X589" s="3"/>
      <c r="Y589" s="3"/>
      <c r="Z589" s="3"/>
    </row>
    <row r="590" spans="1:26" ht="14.25" customHeight="1">
      <c r="A590" s="1"/>
      <c r="B590" s="1"/>
      <c r="C590" s="1"/>
      <c r="D590" s="1"/>
      <c r="E590" s="136"/>
      <c r="F590" s="12"/>
      <c r="G590" s="145"/>
      <c r="H590" s="145"/>
      <c r="I590" s="3"/>
      <c r="J590" s="3"/>
      <c r="K590" s="3"/>
      <c r="L590" s="3"/>
      <c r="M590" s="3"/>
      <c r="N590" s="3"/>
      <c r="O590" s="3"/>
      <c r="P590" s="3"/>
      <c r="Q590" s="3"/>
      <c r="R590" s="3"/>
      <c r="S590" s="3"/>
      <c r="T590" s="3"/>
      <c r="U590" s="3"/>
      <c r="V590" s="3"/>
      <c r="W590" s="3"/>
      <c r="X590" s="3"/>
      <c r="Y590" s="3"/>
      <c r="Z590" s="3"/>
    </row>
    <row r="591" spans="1:26" ht="14.25" customHeight="1">
      <c r="A591" s="1"/>
      <c r="B591" s="1"/>
      <c r="C591" s="1"/>
      <c r="D591" s="1"/>
      <c r="E591" s="136"/>
      <c r="F591" s="12"/>
      <c r="G591" s="145"/>
      <c r="H591" s="145"/>
      <c r="I591" s="3"/>
      <c r="J591" s="3"/>
      <c r="K591" s="3"/>
      <c r="L591" s="3"/>
      <c r="M591" s="3"/>
      <c r="N591" s="3"/>
      <c r="O591" s="3"/>
      <c r="P591" s="3"/>
      <c r="Q591" s="3"/>
      <c r="R591" s="3"/>
      <c r="S591" s="3"/>
      <c r="T591" s="3"/>
      <c r="U591" s="3"/>
      <c r="V591" s="3"/>
      <c r="W591" s="3"/>
      <c r="X591" s="3"/>
      <c r="Y591" s="3"/>
      <c r="Z591" s="3"/>
    </row>
    <row r="592" spans="1:26" ht="14.25" customHeight="1">
      <c r="A592" s="1"/>
      <c r="B592" s="1"/>
      <c r="C592" s="1"/>
      <c r="D592" s="1"/>
      <c r="E592" s="136"/>
      <c r="F592" s="12"/>
      <c r="G592" s="145"/>
      <c r="H592" s="145"/>
      <c r="I592" s="3"/>
      <c r="J592" s="3"/>
      <c r="K592" s="3"/>
      <c r="L592" s="3"/>
      <c r="M592" s="3"/>
      <c r="N592" s="3"/>
      <c r="O592" s="3"/>
      <c r="P592" s="3"/>
      <c r="Q592" s="3"/>
      <c r="R592" s="3"/>
      <c r="S592" s="3"/>
      <c r="T592" s="3"/>
      <c r="U592" s="3"/>
      <c r="V592" s="3"/>
      <c r="W592" s="3"/>
      <c r="X592" s="3"/>
      <c r="Y592" s="3"/>
      <c r="Z592" s="3"/>
    </row>
    <row r="593" spans="1:26" ht="14.25" customHeight="1">
      <c r="A593" s="1"/>
      <c r="B593" s="1"/>
      <c r="C593" s="1"/>
      <c r="D593" s="1"/>
      <c r="E593" s="136"/>
      <c r="F593" s="12"/>
      <c r="G593" s="145"/>
      <c r="H593" s="145"/>
      <c r="I593" s="3"/>
      <c r="J593" s="3"/>
      <c r="K593" s="3"/>
      <c r="L593" s="3"/>
      <c r="M593" s="3"/>
      <c r="N593" s="3"/>
      <c r="O593" s="3"/>
      <c r="P593" s="3"/>
      <c r="Q593" s="3"/>
      <c r="R593" s="3"/>
      <c r="S593" s="3"/>
      <c r="T593" s="3"/>
      <c r="U593" s="3"/>
      <c r="V593" s="3"/>
      <c r="W593" s="3"/>
      <c r="X593" s="3"/>
      <c r="Y593" s="3"/>
      <c r="Z593" s="3"/>
    </row>
    <row r="594" spans="1:26" ht="14.25" customHeight="1">
      <c r="A594" s="1"/>
      <c r="B594" s="1"/>
      <c r="C594" s="1"/>
      <c r="D594" s="1"/>
      <c r="E594" s="136"/>
      <c r="F594" s="12"/>
      <c r="G594" s="145"/>
      <c r="H594" s="145"/>
      <c r="I594" s="3"/>
      <c r="J594" s="3"/>
      <c r="K594" s="3"/>
      <c r="L594" s="3"/>
      <c r="M594" s="3"/>
      <c r="N594" s="3"/>
      <c r="O594" s="3"/>
      <c r="P594" s="3"/>
      <c r="Q594" s="3"/>
      <c r="R594" s="3"/>
      <c r="S594" s="3"/>
      <c r="T594" s="3"/>
      <c r="U594" s="3"/>
      <c r="V594" s="3"/>
      <c r="W594" s="3"/>
      <c r="X594" s="3"/>
      <c r="Y594" s="3"/>
      <c r="Z594" s="3"/>
    </row>
    <row r="595" spans="1:26" ht="14.25" customHeight="1">
      <c r="A595" s="1"/>
      <c r="B595" s="1"/>
      <c r="C595" s="1"/>
      <c r="D595" s="1"/>
      <c r="E595" s="136"/>
      <c r="F595" s="12"/>
      <c r="G595" s="145"/>
      <c r="H595" s="145"/>
      <c r="I595" s="3"/>
      <c r="J595" s="3"/>
      <c r="K595" s="3"/>
      <c r="L595" s="3"/>
      <c r="M595" s="3"/>
      <c r="N595" s="3"/>
      <c r="O595" s="3"/>
      <c r="P595" s="3"/>
      <c r="Q595" s="3"/>
      <c r="R595" s="3"/>
      <c r="S595" s="3"/>
      <c r="T595" s="3"/>
      <c r="U595" s="3"/>
      <c r="V595" s="3"/>
      <c r="W595" s="3"/>
      <c r="X595" s="3"/>
      <c r="Y595" s="3"/>
      <c r="Z595" s="3"/>
    </row>
    <row r="596" spans="1:26" ht="14.25" customHeight="1">
      <c r="A596" s="1"/>
      <c r="B596" s="1"/>
      <c r="C596" s="1"/>
      <c r="D596" s="1"/>
      <c r="E596" s="136"/>
      <c r="F596" s="12"/>
      <c r="G596" s="145"/>
      <c r="H596" s="145"/>
      <c r="I596" s="3"/>
      <c r="J596" s="3"/>
      <c r="K596" s="3"/>
      <c r="L596" s="3"/>
      <c r="M596" s="3"/>
      <c r="N596" s="3"/>
      <c r="O596" s="3"/>
      <c r="P596" s="3"/>
      <c r="Q596" s="3"/>
      <c r="R596" s="3"/>
      <c r="S596" s="3"/>
      <c r="T596" s="3"/>
      <c r="U596" s="3"/>
      <c r="V596" s="3"/>
      <c r="W596" s="3"/>
      <c r="X596" s="3"/>
      <c r="Y596" s="3"/>
      <c r="Z596" s="3"/>
    </row>
    <row r="597" spans="1:26" ht="14.25" customHeight="1">
      <c r="A597" s="1"/>
      <c r="B597" s="1"/>
      <c r="C597" s="1"/>
      <c r="D597" s="1"/>
      <c r="E597" s="136"/>
      <c r="F597" s="12"/>
      <c r="G597" s="145"/>
      <c r="H597" s="145"/>
      <c r="I597" s="3"/>
      <c r="J597" s="3"/>
      <c r="K597" s="3"/>
      <c r="L597" s="3"/>
      <c r="M597" s="3"/>
      <c r="N597" s="3"/>
      <c r="O597" s="3"/>
      <c r="P597" s="3"/>
      <c r="Q597" s="3"/>
      <c r="R597" s="3"/>
      <c r="S597" s="3"/>
      <c r="T597" s="3"/>
      <c r="U597" s="3"/>
      <c r="V597" s="3"/>
      <c r="W597" s="3"/>
      <c r="X597" s="3"/>
      <c r="Y597" s="3"/>
      <c r="Z597" s="3"/>
    </row>
    <row r="598" spans="1:26" ht="14.25" customHeight="1">
      <c r="A598" s="1"/>
      <c r="B598" s="1"/>
      <c r="C598" s="1"/>
      <c r="D598" s="1"/>
      <c r="E598" s="136"/>
      <c r="F598" s="12"/>
      <c r="G598" s="145"/>
      <c r="H598" s="145"/>
      <c r="I598" s="3"/>
      <c r="J598" s="3"/>
      <c r="K598" s="3"/>
      <c r="L598" s="3"/>
      <c r="M598" s="3"/>
      <c r="N598" s="3"/>
      <c r="O598" s="3"/>
      <c r="P598" s="3"/>
      <c r="Q598" s="3"/>
      <c r="R598" s="3"/>
      <c r="S598" s="3"/>
      <c r="T598" s="3"/>
      <c r="U598" s="3"/>
      <c r="V598" s="3"/>
      <c r="W598" s="3"/>
      <c r="X598" s="3"/>
      <c r="Y598" s="3"/>
      <c r="Z598" s="3"/>
    </row>
    <row r="599" spans="1:26" ht="14.25" customHeight="1">
      <c r="A599" s="1"/>
      <c r="B599" s="1"/>
      <c r="C599" s="1"/>
      <c r="D599" s="1"/>
      <c r="E599" s="136"/>
      <c r="F599" s="12"/>
      <c r="G599" s="145"/>
      <c r="H599" s="145"/>
      <c r="I599" s="3"/>
      <c r="J599" s="3"/>
      <c r="K599" s="3"/>
      <c r="L599" s="3"/>
      <c r="M599" s="3"/>
      <c r="N599" s="3"/>
      <c r="O599" s="3"/>
      <c r="P599" s="3"/>
      <c r="Q599" s="3"/>
      <c r="R599" s="3"/>
      <c r="S599" s="3"/>
      <c r="T599" s="3"/>
      <c r="U599" s="3"/>
      <c r="V599" s="3"/>
      <c r="W599" s="3"/>
      <c r="X599" s="3"/>
      <c r="Y599" s="3"/>
      <c r="Z599" s="3"/>
    </row>
    <row r="600" spans="1:26" ht="14.25" customHeight="1">
      <c r="A600" s="1"/>
      <c r="B600" s="1"/>
      <c r="C600" s="1"/>
      <c r="D600" s="1"/>
      <c r="E600" s="136"/>
      <c r="F600" s="12"/>
      <c r="G600" s="145"/>
      <c r="H600" s="145"/>
      <c r="I600" s="3"/>
      <c r="J600" s="3"/>
      <c r="K600" s="3"/>
      <c r="L600" s="3"/>
      <c r="M600" s="3"/>
      <c r="N600" s="3"/>
      <c r="O600" s="3"/>
      <c r="P600" s="3"/>
      <c r="Q600" s="3"/>
      <c r="R600" s="3"/>
      <c r="S600" s="3"/>
      <c r="T600" s="3"/>
      <c r="U600" s="3"/>
      <c r="V600" s="3"/>
      <c r="W600" s="3"/>
      <c r="X600" s="3"/>
      <c r="Y600" s="3"/>
      <c r="Z600" s="3"/>
    </row>
    <row r="601" spans="1:26" ht="14.25" customHeight="1">
      <c r="A601" s="1"/>
      <c r="B601" s="1"/>
      <c r="C601" s="1"/>
      <c r="D601" s="1"/>
      <c r="E601" s="136"/>
      <c r="F601" s="12"/>
      <c r="G601" s="145"/>
      <c r="H601" s="145"/>
      <c r="I601" s="3"/>
      <c r="J601" s="3"/>
      <c r="K601" s="3"/>
      <c r="L601" s="3"/>
      <c r="M601" s="3"/>
      <c r="N601" s="3"/>
      <c r="O601" s="3"/>
      <c r="P601" s="3"/>
      <c r="Q601" s="3"/>
      <c r="R601" s="3"/>
      <c r="S601" s="3"/>
      <c r="T601" s="3"/>
      <c r="U601" s="3"/>
      <c r="V601" s="3"/>
      <c r="W601" s="3"/>
      <c r="X601" s="3"/>
      <c r="Y601" s="3"/>
      <c r="Z601" s="3"/>
    </row>
    <row r="602" spans="1:26" ht="14.25" customHeight="1">
      <c r="A602" s="1"/>
      <c r="B602" s="1"/>
      <c r="C602" s="1"/>
      <c r="D602" s="1"/>
      <c r="E602" s="136"/>
      <c r="F602" s="12"/>
      <c r="G602" s="145"/>
      <c r="H602" s="145"/>
      <c r="I602" s="3"/>
      <c r="J602" s="3"/>
      <c r="K602" s="3"/>
      <c r="L602" s="3"/>
      <c r="M602" s="3"/>
      <c r="N602" s="3"/>
      <c r="O602" s="3"/>
      <c r="P602" s="3"/>
      <c r="Q602" s="3"/>
      <c r="R602" s="3"/>
      <c r="S602" s="3"/>
      <c r="T602" s="3"/>
      <c r="U602" s="3"/>
      <c r="V602" s="3"/>
      <c r="W602" s="3"/>
      <c r="X602" s="3"/>
      <c r="Y602" s="3"/>
      <c r="Z602" s="3"/>
    </row>
    <row r="603" spans="1:26" ht="14.25" customHeight="1">
      <c r="A603" s="1"/>
      <c r="B603" s="1"/>
      <c r="C603" s="1"/>
      <c r="D603" s="1"/>
      <c r="E603" s="136"/>
      <c r="F603" s="12"/>
      <c r="G603" s="145"/>
      <c r="H603" s="145"/>
      <c r="I603" s="3"/>
      <c r="J603" s="3"/>
      <c r="K603" s="3"/>
      <c r="L603" s="3"/>
      <c r="M603" s="3"/>
      <c r="N603" s="3"/>
      <c r="O603" s="3"/>
      <c r="P603" s="3"/>
      <c r="Q603" s="3"/>
      <c r="R603" s="3"/>
      <c r="S603" s="3"/>
      <c r="T603" s="3"/>
      <c r="U603" s="3"/>
      <c r="V603" s="3"/>
      <c r="W603" s="3"/>
      <c r="X603" s="3"/>
      <c r="Y603" s="3"/>
      <c r="Z603" s="3"/>
    </row>
    <row r="604" spans="1:26" ht="14.25" customHeight="1">
      <c r="A604" s="1"/>
      <c r="B604" s="1"/>
      <c r="C604" s="1"/>
      <c r="D604" s="1"/>
      <c r="E604" s="136"/>
      <c r="F604" s="12"/>
      <c r="G604" s="145"/>
      <c r="H604" s="145"/>
      <c r="I604" s="3"/>
      <c r="J604" s="3"/>
      <c r="K604" s="3"/>
      <c r="L604" s="3"/>
      <c r="M604" s="3"/>
      <c r="N604" s="3"/>
      <c r="O604" s="3"/>
      <c r="P604" s="3"/>
      <c r="Q604" s="3"/>
      <c r="R604" s="3"/>
      <c r="S604" s="3"/>
      <c r="T604" s="3"/>
      <c r="U604" s="3"/>
      <c r="V604" s="3"/>
      <c r="W604" s="3"/>
      <c r="X604" s="3"/>
      <c r="Y604" s="3"/>
      <c r="Z604" s="3"/>
    </row>
    <row r="605" spans="1:26" ht="14.25" customHeight="1">
      <c r="A605" s="1"/>
      <c r="B605" s="1"/>
      <c r="C605" s="1"/>
      <c r="D605" s="1"/>
      <c r="E605" s="136"/>
      <c r="F605" s="12"/>
      <c r="G605" s="145"/>
      <c r="H605" s="145"/>
      <c r="I605" s="3"/>
      <c r="J605" s="3"/>
      <c r="K605" s="3"/>
      <c r="L605" s="3"/>
      <c r="M605" s="3"/>
      <c r="N605" s="3"/>
      <c r="O605" s="3"/>
      <c r="P605" s="3"/>
      <c r="Q605" s="3"/>
      <c r="R605" s="3"/>
      <c r="S605" s="3"/>
      <c r="T605" s="3"/>
      <c r="U605" s="3"/>
      <c r="V605" s="3"/>
      <c r="W605" s="3"/>
      <c r="X605" s="3"/>
      <c r="Y605" s="3"/>
      <c r="Z605" s="3"/>
    </row>
    <row r="606" spans="1:26" ht="14.25" customHeight="1">
      <c r="A606" s="1"/>
      <c r="B606" s="1"/>
      <c r="C606" s="1"/>
      <c r="D606" s="1"/>
      <c r="E606" s="136"/>
      <c r="F606" s="12"/>
      <c r="G606" s="145"/>
      <c r="H606" s="145"/>
      <c r="I606" s="3"/>
      <c r="J606" s="3"/>
      <c r="K606" s="3"/>
      <c r="L606" s="3"/>
      <c r="M606" s="3"/>
      <c r="N606" s="3"/>
      <c r="O606" s="3"/>
      <c r="P606" s="3"/>
      <c r="Q606" s="3"/>
      <c r="R606" s="3"/>
      <c r="S606" s="3"/>
      <c r="T606" s="3"/>
      <c r="U606" s="3"/>
      <c r="V606" s="3"/>
      <c r="W606" s="3"/>
      <c r="X606" s="3"/>
      <c r="Y606" s="3"/>
      <c r="Z606" s="3"/>
    </row>
    <row r="607" spans="1:26" ht="14.25" customHeight="1">
      <c r="A607" s="1"/>
      <c r="B607" s="1"/>
      <c r="C607" s="1"/>
      <c r="D607" s="1"/>
      <c r="E607" s="136"/>
      <c r="F607" s="12"/>
      <c r="G607" s="145"/>
      <c r="H607" s="145"/>
      <c r="I607" s="3"/>
      <c r="J607" s="3"/>
      <c r="K607" s="3"/>
      <c r="L607" s="3"/>
      <c r="M607" s="3"/>
      <c r="N607" s="3"/>
      <c r="O607" s="3"/>
      <c r="P607" s="3"/>
      <c r="Q607" s="3"/>
      <c r="R607" s="3"/>
      <c r="S607" s="3"/>
      <c r="T607" s="3"/>
      <c r="U607" s="3"/>
      <c r="V607" s="3"/>
      <c r="W607" s="3"/>
      <c r="X607" s="3"/>
      <c r="Y607" s="3"/>
      <c r="Z607" s="3"/>
    </row>
    <row r="608" spans="1:26" ht="14.25" customHeight="1">
      <c r="A608" s="1"/>
      <c r="B608" s="1"/>
      <c r="C608" s="1"/>
      <c r="D608" s="1"/>
      <c r="E608" s="136"/>
      <c r="F608" s="12"/>
      <c r="G608" s="145"/>
      <c r="H608" s="145"/>
      <c r="I608" s="3"/>
      <c r="J608" s="3"/>
      <c r="K608" s="3"/>
      <c r="L608" s="3"/>
      <c r="M608" s="3"/>
      <c r="N608" s="3"/>
      <c r="O608" s="3"/>
      <c r="P608" s="3"/>
      <c r="Q608" s="3"/>
      <c r="R608" s="3"/>
      <c r="S608" s="3"/>
      <c r="T608" s="3"/>
      <c r="U608" s="3"/>
      <c r="V608" s="3"/>
      <c r="W608" s="3"/>
      <c r="X608" s="3"/>
      <c r="Y608" s="3"/>
      <c r="Z608" s="3"/>
    </row>
    <row r="609" spans="1:26" ht="14.25" customHeight="1">
      <c r="A609" s="1"/>
      <c r="B609" s="1"/>
      <c r="C609" s="1"/>
      <c r="D609" s="1"/>
      <c r="E609" s="136"/>
      <c r="F609" s="12"/>
      <c r="G609" s="145"/>
      <c r="H609" s="145"/>
      <c r="I609" s="3"/>
      <c r="J609" s="3"/>
      <c r="K609" s="3"/>
      <c r="L609" s="3"/>
      <c r="M609" s="3"/>
      <c r="N609" s="3"/>
      <c r="O609" s="3"/>
      <c r="P609" s="3"/>
      <c r="Q609" s="3"/>
      <c r="R609" s="3"/>
      <c r="S609" s="3"/>
      <c r="T609" s="3"/>
      <c r="U609" s="3"/>
      <c r="V609" s="3"/>
      <c r="W609" s="3"/>
      <c r="X609" s="3"/>
      <c r="Y609" s="3"/>
      <c r="Z609" s="3"/>
    </row>
    <row r="610" spans="1:26" ht="14.25" customHeight="1">
      <c r="A610" s="1"/>
      <c r="B610" s="1"/>
      <c r="C610" s="1"/>
      <c r="D610" s="1"/>
      <c r="E610" s="136"/>
      <c r="F610" s="12"/>
      <c r="G610" s="145"/>
      <c r="H610" s="145"/>
      <c r="I610" s="3"/>
      <c r="J610" s="3"/>
      <c r="K610" s="3"/>
      <c r="L610" s="3"/>
      <c r="M610" s="3"/>
      <c r="N610" s="3"/>
      <c r="O610" s="3"/>
      <c r="P610" s="3"/>
      <c r="Q610" s="3"/>
      <c r="R610" s="3"/>
      <c r="S610" s="3"/>
      <c r="T610" s="3"/>
      <c r="U610" s="3"/>
      <c r="V610" s="3"/>
      <c r="W610" s="3"/>
      <c r="X610" s="3"/>
      <c r="Y610" s="3"/>
      <c r="Z610" s="3"/>
    </row>
    <row r="611" spans="1:26" ht="14.25" customHeight="1">
      <c r="A611" s="1"/>
      <c r="B611" s="1"/>
      <c r="C611" s="1"/>
      <c r="D611" s="1"/>
      <c r="E611" s="136"/>
      <c r="F611" s="12"/>
      <c r="G611" s="145"/>
      <c r="H611" s="145"/>
      <c r="I611" s="3"/>
      <c r="J611" s="3"/>
      <c r="K611" s="3"/>
      <c r="L611" s="3"/>
      <c r="M611" s="3"/>
      <c r="N611" s="3"/>
      <c r="O611" s="3"/>
      <c r="P611" s="3"/>
      <c r="Q611" s="3"/>
      <c r="R611" s="3"/>
      <c r="S611" s="3"/>
      <c r="T611" s="3"/>
      <c r="U611" s="3"/>
      <c r="V611" s="3"/>
      <c r="W611" s="3"/>
      <c r="X611" s="3"/>
      <c r="Y611" s="3"/>
      <c r="Z611" s="3"/>
    </row>
    <row r="612" spans="1:26" ht="14.25" customHeight="1">
      <c r="A612" s="1"/>
      <c r="B612" s="1"/>
      <c r="C612" s="1"/>
      <c r="D612" s="1"/>
      <c r="E612" s="136"/>
      <c r="F612" s="12"/>
      <c r="G612" s="145"/>
      <c r="H612" s="145"/>
      <c r="I612" s="3"/>
      <c r="J612" s="3"/>
      <c r="K612" s="3"/>
      <c r="L612" s="3"/>
      <c r="M612" s="3"/>
      <c r="N612" s="3"/>
      <c r="O612" s="3"/>
      <c r="P612" s="3"/>
      <c r="Q612" s="3"/>
      <c r="R612" s="3"/>
      <c r="S612" s="3"/>
      <c r="T612" s="3"/>
      <c r="U612" s="3"/>
      <c r="V612" s="3"/>
      <c r="W612" s="3"/>
      <c r="X612" s="3"/>
      <c r="Y612" s="3"/>
      <c r="Z612" s="3"/>
    </row>
    <row r="613" spans="1:26" ht="14.25" customHeight="1">
      <c r="A613" s="1"/>
      <c r="B613" s="1"/>
      <c r="C613" s="1"/>
      <c r="D613" s="1"/>
      <c r="E613" s="136"/>
      <c r="F613" s="12"/>
      <c r="G613" s="145"/>
      <c r="H613" s="145"/>
      <c r="I613" s="3"/>
      <c r="J613" s="3"/>
      <c r="K613" s="3"/>
      <c r="L613" s="3"/>
      <c r="M613" s="3"/>
      <c r="N613" s="3"/>
      <c r="O613" s="3"/>
      <c r="P613" s="3"/>
      <c r="Q613" s="3"/>
      <c r="R613" s="3"/>
      <c r="S613" s="3"/>
      <c r="T613" s="3"/>
      <c r="U613" s="3"/>
      <c r="V613" s="3"/>
      <c r="W613" s="3"/>
      <c r="X613" s="3"/>
      <c r="Y613" s="3"/>
      <c r="Z613" s="3"/>
    </row>
    <row r="614" spans="1:26" ht="14.25" customHeight="1">
      <c r="A614" s="1"/>
      <c r="B614" s="1"/>
      <c r="C614" s="1"/>
      <c r="D614" s="1"/>
      <c r="E614" s="136"/>
      <c r="F614" s="12"/>
      <c r="G614" s="145"/>
      <c r="H614" s="145"/>
      <c r="I614" s="3"/>
      <c r="J614" s="3"/>
      <c r="K614" s="3"/>
      <c r="L614" s="3"/>
      <c r="M614" s="3"/>
      <c r="N614" s="3"/>
      <c r="O614" s="3"/>
      <c r="P614" s="3"/>
      <c r="Q614" s="3"/>
      <c r="R614" s="3"/>
      <c r="S614" s="3"/>
      <c r="T614" s="3"/>
      <c r="U614" s="3"/>
      <c r="V614" s="3"/>
      <c r="W614" s="3"/>
      <c r="X614" s="3"/>
      <c r="Y614" s="3"/>
      <c r="Z614" s="3"/>
    </row>
    <row r="615" spans="1:26" ht="14.25" customHeight="1">
      <c r="A615" s="1"/>
      <c r="B615" s="1"/>
      <c r="C615" s="1"/>
      <c r="D615" s="1"/>
      <c r="E615" s="136"/>
      <c r="F615" s="12"/>
      <c r="G615" s="145"/>
      <c r="H615" s="145"/>
      <c r="I615" s="3"/>
      <c r="J615" s="3"/>
      <c r="K615" s="3"/>
      <c r="L615" s="3"/>
      <c r="M615" s="3"/>
      <c r="N615" s="3"/>
      <c r="O615" s="3"/>
      <c r="P615" s="3"/>
      <c r="Q615" s="3"/>
      <c r="R615" s="3"/>
      <c r="S615" s="3"/>
      <c r="T615" s="3"/>
      <c r="U615" s="3"/>
      <c r="V615" s="3"/>
      <c r="W615" s="3"/>
      <c r="X615" s="3"/>
      <c r="Y615" s="3"/>
      <c r="Z615" s="3"/>
    </row>
    <row r="616" spans="1:26" ht="14.25" customHeight="1">
      <c r="A616" s="1"/>
      <c r="B616" s="1"/>
      <c r="C616" s="1"/>
      <c r="D616" s="1"/>
      <c r="E616" s="136"/>
      <c r="F616" s="12"/>
      <c r="G616" s="145"/>
      <c r="H616" s="145"/>
      <c r="I616" s="3"/>
      <c r="J616" s="3"/>
      <c r="K616" s="3"/>
      <c r="L616" s="3"/>
      <c r="M616" s="3"/>
      <c r="N616" s="3"/>
      <c r="O616" s="3"/>
      <c r="P616" s="3"/>
      <c r="Q616" s="3"/>
      <c r="R616" s="3"/>
      <c r="S616" s="3"/>
      <c r="T616" s="3"/>
      <c r="U616" s="3"/>
      <c r="V616" s="3"/>
      <c r="W616" s="3"/>
      <c r="X616" s="3"/>
      <c r="Y616" s="3"/>
      <c r="Z616" s="3"/>
    </row>
    <row r="617" spans="1:26" ht="14.25" customHeight="1">
      <c r="A617" s="1"/>
      <c r="B617" s="1"/>
      <c r="C617" s="1"/>
      <c r="D617" s="1"/>
      <c r="E617" s="136"/>
      <c r="F617" s="12"/>
      <c r="G617" s="145"/>
      <c r="H617" s="145"/>
      <c r="I617" s="3"/>
      <c r="J617" s="3"/>
      <c r="K617" s="3"/>
      <c r="L617" s="3"/>
      <c r="M617" s="3"/>
      <c r="N617" s="3"/>
      <c r="O617" s="3"/>
      <c r="P617" s="3"/>
      <c r="Q617" s="3"/>
      <c r="R617" s="3"/>
      <c r="S617" s="3"/>
      <c r="T617" s="3"/>
      <c r="U617" s="3"/>
      <c r="V617" s="3"/>
      <c r="W617" s="3"/>
      <c r="X617" s="3"/>
      <c r="Y617" s="3"/>
      <c r="Z617" s="3"/>
    </row>
    <row r="618" spans="1:26" ht="14.25" customHeight="1">
      <c r="A618" s="1"/>
      <c r="B618" s="1"/>
      <c r="C618" s="1"/>
      <c r="D618" s="1"/>
      <c r="E618" s="136"/>
      <c r="F618" s="12"/>
      <c r="G618" s="145"/>
      <c r="H618" s="145"/>
      <c r="I618" s="3"/>
      <c r="J618" s="3"/>
      <c r="K618" s="3"/>
      <c r="L618" s="3"/>
      <c r="M618" s="3"/>
      <c r="N618" s="3"/>
      <c r="O618" s="3"/>
      <c r="P618" s="3"/>
      <c r="Q618" s="3"/>
      <c r="R618" s="3"/>
      <c r="S618" s="3"/>
      <c r="T618" s="3"/>
      <c r="U618" s="3"/>
      <c r="V618" s="3"/>
      <c r="W618" s="3"/>
      <c r="X618" s="3"/>
      <c r="Y618" s="3"/>
      <c r="Z618" s="3"/>
    </row>
    <row r="619" spans="1:26" ht="14.25" customHeight="1">
      <c r="A619" s="1"/>
      <c r="B619" s="1"/>
      <c r="C619" s="1"/>
      <c r="D619" s="1"/>
      <c r="E619" s="136"/>
      <c r="F619" s="12"/>
      <c r="G619" s="145"/>
      <c r="H619" s="145"/>
      <c r="I619" s="3"/>
      <c r="J619" s="3"/>
      <c r="K619" s="3"/>
      <c r="L619" s="3"/>
      <c r="M619" s="3"/>
      <c r="N619" s="3"/>
      <c r="O619" s="3"/>
      <c r="P619" s="3"/>
      <c r="Q619" s="3"/>
      <c r="R619" s="3"/>
      <c r="S619" s="3"/>
      <c r="T619" s="3"/>
      <c r="U619" s="3"/>
      <c r="V619" s="3"/>
      <c r="W619" s="3"/>
      <c r="X619" s="3"/>
      <c r="Y619" s="3"/>
      <c r="Z619" s="3"/>
    </row>
    <row r="620" spans="1:26" ht="14.25" customHeight="1">
      <c r="A620" s="1"/>
      <c r="B620" s="1"/>
      <c r="C620" s="1"/>
      <c r="D620" s="1"/>
      <c r="E620" s="136"/>
      <c r="F620" s="12"/>
      <c r="G620" s="145"/>
      <c r="H620" s="145"/>
      <c r="I620" s="3"/>
      <c r="J620" s="3"/>
      <c r="K620" s="3"/>
      <c r="L620" s="3"/>
      <c r="M620" s="3"/>
      <c r="N620" s="3"/>
      <c r="O620" s="3"/>
      <c r="P620" s="3"/>
      <c r="Q620" s="3"/>
      <c r="R620" s="3"/>
      <c r="S620" s="3"/>
      <c r="T620" s="3"/>
      <c r="U620" s="3"/>
      <c r="V620" s="3"/>
      <c r="W620" s="3"/>
      <c r="X620" s="3"/>
      <c r="Y620" s="3"/>
      <c r="Z620" s="3"/>
    </row>
    <row r="621" spans="1:26" ht="14.25" customHeight="1">
      <c r="A621" s="1"/>
      <c r="B621" s="1"/>
      <c r="C621" s="1"/>
      <c r="D621" s="1"/>
      <c r="E621" s="136"/>
      <c r="F621" s="12"/>
      <c r="G621" s="145"/>
      <c r="H621" s="145"/>
      <c r="I621" s="3"/>
      <c r="J621" s="3"/>
      <c r="K621" s="3"/>
      <c r="L621" s="3"/>
      <c r="M621" s="3"/>
      <c r="N621" s="3"/>
      <c r="O621" s="3"/>
      <c r="P621" s="3"/>
      <c r="Q621" s="3"/>
      <c r="R621" s="3"/>
      <c r="S621" s="3"/>
      <c r="T621" s="3"/>
      <c r="U621" s="3"/>
      <c r="V621" s="3"/>
      <c r="W621" s="3"/>
      <c r="X621" s="3"/>
      <c r="Y621" s="3"/>
      <c r="Z621" s="3"/>
    </row>
    <row r="622" spans="1:26" ht="14.25" customHeight="1">
      <c r="A622" s="1"/>
      <c r="B622" s="1"/>
      <c r="C622" s="1"/>
      <c r="D622" s="1"/>
      <c r="E622" s="136"/>
      <c r="F622" s="12"/>
      <c r="G622" s="145"/>
      <c r="H622" s="145"/>
      <c r="I622" s="3"/>
      <c r="J622" s="3"/>
      <c r="K622" s="3"/>
      <c r="L622" s="3"/>
      <c r="M622" s="3"/>
      <c r="N622" s="3"/>
      <c r="O622" s="3"/>
      <c r="P622" s="3"/>
      <c r="Q622" s="3"/>
      <c r="R622" s="3"/>
      <c r="S622" s="3"/>
      <c r="T622" s="3"/>
      <c r="U622" s="3"/>
      <c r="V622" s="3"/>
      <c r="W622" s="3"/>
      <c r="X622" s="3"/>
      <c r="Y622" s="3"/>
      <c r="Z622" s="3"/>
    </row>
    <row r="623" spans="1:26" ht="14.25" customHeight="1">
      <c r="A623" s="1"/>
      <c r="B623" s="1"/>
      <c r="C623" s="1"/>
      <c r="D623" s="1"/>
      <c r="E623" s="136"/>
      <c r="F623" s="12"/>
      <c r="G623" s="145"/>
      <c r="H623" s="145"/>
      <c r="I623" s="3"/>
      <c r="J623" s="3"/>
      <c r="K623" s="3"/>
      <c r="L623" s="3"/>
      <c r="M623" s="3"/>
      <c r="N623" s="3"/>
      <c r="O623" s="3"/>
      <c r="P623" s="3"/>
      <c r="Q623" s="3"/>
      <c r="R623" s="3"/>
      <c r="S623" s="3"/>
      <c r="T623" s="3"/>
      <c r="U623" s="3"/>
      <c r="V623" s="3"/>
      <c r="W623" s="3"/>
      <c r="X623" s="3"/>
      <c r="Y623" s="3"/>
      <c r="Z623" s="3"/>
    </row>
    <row r="624" spans="1:26" ht="14.25" customHeight="1">
      <c r="A624" s="1"/>
      <c r="B624" s="1"/>
      <c r="C624" s="1"/>
      <c r="D624" s="1"/>
      <c r="E624" s="136"/>
      <c r="F624" s="12"/>
      <c r="G624" s="145"/>
      <c r="H624" s="145"/>
      <c r="I624" s="3"/>
      <c r="J624" s="3"/>
      <c r="K624" s="3"/>
      <c r="L624" s="3"/>
      <c r="M624" s="3"/>
      <c r="N624" s="3"/>
      <c r="O624" s="3"/>
      <c r="P624" s="3"/>
      <c r="Q624" s="3"/>
      <c r="R624" s="3"/>
      <c r="S624" s="3"/>
      <c r="T624" s="3"/>
      <c r="U624" s="3"/>
      <c r="V624" s="3"/>
      <c r="W624" s="3"/>
      <c r="X624" s="3"/>
      <c r="Y624" s="3"/>
      <c r="Z624" s="3"/>
    </row>
    <row r="625" spans="1:26" ht="14.25" customHeight="1">
      <c r="A625" s="1"/>
      <c r="B625" s="1"/>
      <c r="C625" s="1"/>
      <c r="D625" s="1"/>
      <c r="E625" s="136"/>
      <c r="F625" s="12"/>
      <c r="G625" s="145"/>
      <c r="H625" s="145"/>
      <c r="I625" s="3"/>
      <c r="J625" s="3"/>
      <c r="K625" s="3"/>
      <c r="L625" s="3"/>
      <c r="M625" s="3"/>
      <c r="N625" s="3"/>
      <c r="O625" s="3"/>
      <c r="P625" s="3"/>
      <c r="Q625" s="3"/>
      <c r="R625" s="3"/>
      <c r="S625" s="3"/>
      <c r="T625" s="3"/>
      <c r="U625" s="3"/>
      <c r="V625" s="3"/>
      <c r="W625" s="3"/>
      <c r="X625" s="3"/>
      <c r="Y625" s="3"/>
      <c r="Z625" s="3"/>
    </row>
    <row r="626" spans="1:26" ht="14.25" customHeight="1">
      <c r="A626" s="1"/>
      <c r="B626" s="1"/>
      <c r="C626" s="1"/>
      <c r="D626" s="1"/>
      <c r="E626" s="136"/>
      <c r="F626" s="12"/>
      <c r="G626" s="145"/>
      <c r="H626" s="145"/>
      <c r="I626" s="3"/>
      <c r="J626" s="3"/>
      <c r="K626" s="3"/>
      <c r="L626" s="3"/>
      <c r="M626" s="3"/>
      <c r="N626" s="3"/>
      <c r="O626" s="3"/>
      <c r="P626" s="3"/>
      <c r="Q626" s="3"/>
      <c r="R626" s="3"/>
      <c r="S626" s="3"/>
      <c r="T626" s="3"/>
      <c r="U626" s="3"/>
      <c r="V626" s="3"/>
      <c r="W626" s="3"/>
      <c r="X626" s="3"/>
      <c r="Y626" s="3"/>
      <c r="Z626" s="3"/>
    </row>
    <row r="627" spans="1:26" ht="14.25" customHeight="1">
      <c r="A627" s="1"/>
      <c r="B627" s="1"/>
      <c r="C627" s="1"/>
      <c r="D627" s="1"/>
      <c r="E627" s="136"/>
      <c r="F627" s="12"/>
      <c r="G627" s="145"/>
      <c r="H627" s="145"/>
      <c r="I627" s="3"/>
      <c r="J627" s="3"/>
      <c r="K627" s="3"/>
      <c r="L627" s="3"/>
      <c r="M627" s="3"/>
      <c r="N627" s="3"/>
      <c r="O627" s="3"/>
      <c r="P627" s="3"/>
      <c r="Q627" s="3"/>
      <c r="R627" s="3"/>
      <c r="S627" s="3"/>
      <c r="T627" s="3"/>
      <c r="U627" s="3"/>
      <c r="V627" s="3"/>
      <c r="W627" s="3"/>
      <c r="X627" s="3"/>
      <c r="Y627" s="3"/>
      <c r="Z627" s="3"/>
    </row>
    <row r="628" spans="1:26" ht="14.25" customHeight="1">
      <c r="A628" s="1"/>
      <c r="B628" s="1"/>
      <c r="C628" s="1"/>
      <c r="D628" s="1"/>
      <c r="E628" s="136"/>
      <c r="F628" s="12"/>
      <c r="G628" s="145"/>
      <c r="H628" s="145"/>
      <c r="I628" s="3"/>
      <c r="J628" s="3"/>
      <c r="K628" s="3"/>
      <c r="L628" s="3"/>
      <c r="M628" s="3"/>
      <c r="N628" s="3"/>
      <c r="O628" s="3"/>
      <c r="P628" s="3"/>
      <c r="Q628" s="3"/>
      <c r="R628" s="3"/>
      <c r="S628" s="3"/>
      <c r="T628" s="3"/>
      <c r="U628" s="3"/>
      <c r="V628" s="3"/>
      <c r="W628" s="3"/>
      <c r="X628" s="3"/>
      <c r="Y628" s="3"/>
      <c r="Z628" s="3"/>
    </row>
    <row r="629" spans="1:26" ht="14.25" customHeight="1">
      <c r="A629" s="1"/>
      <c r="B629" s="1"/>
      <c r="C629" s="1"/>
      <c r="D629" s="1"/>
      <c r="E629" s="136"/>
      <c r="F629" s="12"/>
      <c r="G629" s="145"/>
      <c r="H629" s="145"/>
      <c r="I629" s="3"/>
      <c r="J629" s="3"/>
      <c r="K629" s="3"/>
      <c r="L629" s="3"/>
      <c r="M629" s="3"/>
      <c r="N629" s="3"/>
      <c r="O629" s="3"/>
      <c r="P629" s="3"/>
      <c r="Q629" s="3"/>
      <c r="R629" s="3"/>
      <c r="S629" s="3"/>
      <c r="T629" s="3"/>
      <c r="U629" s="3"/>
      <c r="V629" s="3"/>
      <c r="W629" s="3"/>
      <c r="X629" s="3"/>
      <c r="Y629" s="3"/>
      <c r="Z629" s="3"/>
    </row>
    <row r="630" spans="1:26" ht="14.25" customHeight="1">
      <c r="A630" s="1"/>
      <c r="B630" s="1"/>
      <c r="C630" s="1"/>
      <c r="D630" s="1"/>
      <c r="E630" s="136"/>
      <c r="F630" s="12"/>
      <c r="G630" s="145"/>
      <c r="H630" s="145"/>
      <c r="I630" s="3"/>
      <c r="J630" s="3"/>
      <c r="K630" s="3"/>
      <c r="L630" s="3"/>
      <c r="M630" s="3"/>
      <c r="N630" s="3"/>
      <c r="O630" s="3"/>
      <c r="P630" s="3"/>
      <c r="Q630" s="3"/>
      <c r="R630" s="3"/>
      <c r="S630" s="3"/>
      <c r="T630" s="3"/>
      <c r="U630" s="3"/>
      <c r="V630" s="3"/>
      <c r="W630" s="3"/>
      <c r="X630" s="3"/>
      <c r="Y630" s="3"/>
      <c r="Z630" s="3"/>
    </row>
    <row r="631" spans="1:26" ht="14.25" customHeight="1">
      <c r="A631" s="1"/>
      <c r="B631" s="1"/>
      <c r="C631" s="1"/>
      <c r="D631" s="1"/>
      <c r="E631" s="136"/>
      <c r="F631" s="12"/>
      <c r="G631" s="145"/>
      <c r="H631" s="145"/>
      <c r="I631" s="3"/>
      <c r="J631" s="3"/>
      <c r="K631" s="3"/>
      <c r="L631" s="3"/>
      <c r="M631" s="3"/>
      <c r="N631" s="3"/>
      <c r="O631" s="3"/>
      <c r="P631" s="3"/>
      <c r="Q631" s="3"/>
      <c r="R631" s="3"/>
      <c r="S631" s="3"/>
      <c r="T631" s="3"/>
      <c r="U631" s="3"/>
      <c r="V631" s="3"/>
      <c r="W631" s="3"/>
      <c r="X631" s="3"/>
      <c r="Y631" s="3"/>
      <c r="Z631" s="3"/>
    </row>
    <row r="632" spans="1:26" ht="14.25" customHeight="1">
      <c r="A632" s="1"/>
      <c r="B632" s="1"/>
      <c r="C632" s="1"/>
      <c r="D632" s="1"/>
      <c r="E632" s="136"/>
      <c r="F632" s="12"/>
      <c r="G632" s="145"/>
      <c r="H632" s="145"/>
      <c r="I632" s="3"/>
      <c r="J632" s="3"/>
      <c r="K632" s="3"/>
      <c r="L632" s="3"/>
      <c r="M632" s="3"/>
      <c r="N632" s="3"/>
      <c r="O632" s="3"/>
      <c r="P632" s="3"/>
      <c r="Q632" s="3"/>
      <c r="R632" s="3"/>
      <c r="S632" s="3"/>
      <c r="T632" s="3"/>
      <c r="U632" s="3"/>
      <c r="V632" s="3"/>
      <c r="W632" s="3"/>
      <c r="X632" s="3"/>
      <c r="Y632" s="3"/>
      <c r="Z632" s="3"/>
    </row>
    <row r="633" spans="1:26" ht="14.25" customHeight="1">
      <c r="A633" s="1"/>
      <c r="B633" s="1"/>
      <c r="C633" s="1"/>
      <c r="D633" s="1"/>
      <c r="E633" s="136"/>
      <c r="F633" s="12"/>
      <c r="G633" s="145"/>
      <c r="H633" s="145"/>
      <c r="I633" s="3"/>
      <c r="J633" s="3"/>
      <c r="K633" s="3"/>
      <c r="L633" s="3"/>
      <c r="M633" s="3"/>
      <c r="N633" s="3"/>
      <c r="O633" s="3"/>
      <c r="P633" s="3"/>
      <c r="Q633" s="3"/>
      <c r="R633" s="3"/>
      <c r="S633" s="3"/>
      <c r="T633" s="3"/>
      <c r="U633" s="3"/>
      <c r="V633" s="3"/>
      <c r="W633" s="3"/>
      <c r="X633" s="3"/>
      <c r="Y633" s="3"/>
      <c r="Z633" s="3"/>
    </row>
    <row r="634" spans="1:26" ht="14.25" customHeight="1">
      <c r="A634" s="1"/>
      <c r="B634" s="1"/>
      <c r="C634" s="1"/>
      <c r="D634" s="1"/>
      <c r="E634" s="136"/>
      <c r="F634" s="12"/>
      <c r="G634" s="145"/>
      <c r="H634" s="145"/>
      <c r="I634" s="3"/>
      <c r="J634" s="3"/>
      <c r="K634" s="3"/>
      <c r="L634" s="3"/>
      <c r="M634" s="3"/>
      <c r="N634" s="3"/>
      <c r="O634" s="3"/>
      <c r="P634" s="3"/>
      <c r="Q634" s="3"/>
      <c r="R634" s="3"/>
      <c r="S634" s="3"/>
      <c r="T634" s="3"/>
      <c r="U634" s="3"/>
      <c r="V634" s="3"/>
      <c r="W634" s="3"/>
      <c r="X634" s="3"/>
      <c r="Y634" s="3"/>
      <c r="Z634" s="3"/>
    </row>
    <row r="635" spans="1:26" ht="14.25" customHeight="1">
      <c r="A635" s="1"/>
      <c r="B635" s="1"/>
      <c r="C635" s="1"/>
      <c r="D635" s="1"/>
      <c r="E635" s="136"/>
      <c r="F635" s="12"/>
      <c r="G635" s="145"/>
      <c r="H635" s="145"/>
      <c r="I635" s="3"/>
      <c r="J635" s="3"/>
      <c r="K635" s="3"/>
      <c r="L635" s="3"/>
      <c r="M635" s="3"/>
      <c r="N635" s="3"/>
      <c r="O635" s="3"/>
      <c r="P635" s="3"/>
      <c r="Q635" s="3"/>
      <c r="R635" s="3"/>
      <c r="S635" s="3"/>
      <c r="T635" s="3"/>
      <c r="U635" s="3"/>
      <c r="V635" s="3"/>
      <c r="W635" s="3"/>
      <c r="X635" s="3"/>
      <c r="Y635" s="3"/>
      <c r="Z635" s="3"/>
    </row>
    <row r="636" spans="1:26" ht="14.25" customHeight="1">
      <c r="A636" s="1"/>
      <c r="B636" s="1"/>
      <c r="C636" s="1"/>
      <c r="D636" s="1"/>
      <c r="E636" s="136"/>
      <c r="F636" s="12"/>
      <c r="G636" s="145"/>
      <c r="H636" s="145"/>
      <c r="I636" s="3"/>
      <c r="J636" s="3"/>
      <c r="K636" s="3"/>
      <c r="L636" s="3"/>
      <c r="M636" s="3"/>
      <c r="N636" s="3"/>
      <c r="O636" s="3"/>
      <c r="P636" s="3"/>
      <c r="Q636" s="3"/>
      <c r="R636" s="3"/>
      <c r="S636" s="3"/>
      <c r="T636" s="3"/>
      <c r="U636" s="3"/>
      <c r="V636" s="3"/>
      <c r="W636" s="3"/>
      <c r="X636" s="3"/>
      <c r="Y636" s="3"/>
      <c r="Z636" s="3"/>
    </row>
    <row r="637" spans="1:26" ht="14.25" customHeight="1">
      <c r="A637" s="1"/>
      <c r="B637" s="1"/>
      <c r="C637" s="1"/>
      <c r="D637" s="1"/>
      <c r="E637" s="136"/>
      <c r="F637" s="12"/>
      <c r="G637" s="145"/>
      <c r="H637" s="145"/>
      <c r="I637" s="3"/>
      <c r="J637" s="3"/>
      <c r="K637" s="3"/>
      <c r="L637" s="3"/>
      <c r="M637" s="3"/>
      <c r="N637" s="3"/>
      <c r="O637" s="3"/>
      <c r="P637" s="3"/>
      <c r="Q637" s="3"/>
      <c r="R637" s="3"/>
      <c r="S637" s="3"/>
      <c r="T637" s="3"/>
      <c r="U637" s="3"/>
      <c r="V637" s="3"/>
      <c r="W637" s="3"/>
      <c r="X637" s="3"/>
      <c r="Y637" s="3"/>
      <c r="Z637" s="3"/>
    </row>
    <row r="638" spans="1:26" ht="14.25" customHeight="1">
      <c r="A638" s="1"/>
      <c r="B638" s="1"/>
      <c r="C638" s="1"/>
      <c r="D638" s="1"/>
      <c r="E638" s="136"/>
      <c r="F638" s="12"/>
      <c r="G638" s="145"/>
      <c r="H638" s="145"/>
      <c r="I638" s="3"/>
      <c r="J638" s="3"/>
      <c r="K638" s="3"/>
      <c r="L638" s="3"/>
      <c r="M638" s="3"/>
      <c r="N638" s="3"/>
      <c r="O638" s="3"/>
      <c r="P638" s="3"/>
      <c r="Q638" s="3"/>
      <c r="R638" s="3"/>
      <c r="S638" s="3"/>
      <c r="T638" s="3"/>
      <c r="U638" s="3"/>
      <c r="V638" s="3"/>
      <c r="W638" s="3"/>
      <c r="X638" s="3"/>
      <c r="Y638" s="3"/>
      <c r="Z638" s="3"/>
    </row>
    <row r="639" spans="1:26" ht="14.25" customHeight="1">
      <c r="A639" s="1"/>
      <c r="B639" s="1"/>
      <c r="C639" s="1"/>
      <c r="D639" s="1"/>
      <c r="E639" s="136"/>
      <c r="F639" s="12"/>
      <c r="G639" s="145"/>
      <c r="H639" s="145"/>
      <c r="I639" s="3"/>
      <c r="J639" s="3"/>
      <c r="K639" s="3"/>
      <c r="L639" s="3"/>
      <c r="M639" s="3"/>
      <c r="N639" s="3"/>
      <c r="O639" s="3"/>
      <c r="P639" s="3"/>
      <c r="Q639" s="3"/>
      <c r="R639" s="3"/>
      <c r="S639" s="3"/>
      <c r="T639" s="3"/>
      <c r="U639" s="3"/>
      <c r="V639" s="3"/>
      <c r="W639" s="3"/>
      <c r="X639" s="3"/>
      <c r="Y639" s="3"/>
      <c r="Z639" s="3"/>
    </row>
    <row r="640" spans="1:26" ht="14.25" customHeight="1">
      <c r="A640" s="1"/>
      <c r="B640" s="1"/>
      <c r="C640" s="1"/>
      <c r="D640" s="1"/>
      <c r="E640" s="136"/>
      <c r="F640" s="12"/>
      <c r="G640" s="145"/>
      <c r="H640" s="145"/>
      <c r="I640" s="3"/>
      <c r="J640" s="3"/>
      <c r="K640" s="3"/>
      <c r="L640" s="3"/>
      <c r="M640" s="3"/>
      <c r="N640" s="3"/>
      <c r="O640" s="3"/>
      <c r="P640" s="3"/>
      <c r="Q640" s="3"/>
      <c r="R640" s="3"/>
      <c r="S640" s="3"/>
      <c r="T640" s="3"/>
      <c r="U640" s="3"/>
      <c r="V640" s="3"/>
      <c r="W640" s="3"/>
      <c r="X640" s="3"/>
      <c r="Y640" s="3"/>
      <c r="Z640" s="3"/>
    </row>
    <row r="641" spans="1:26" ht="14.25" customHeight="1">
      <c r="A641" s="1"/>
      <c r="B641" s="1"/>
      <c r="C641" s="1"/>
      <c r="D641" s="1"/>
      <c r="E641" s="136"/>
      <c r="F641" s="12"/>
      <c r="G641" s="145"/>
      <c r="H641" s="145"/>
      <c r="I641" s="3"/>
      <c r="J641" s="3"/>
      <c r="K641" s="3"/>
      <c r="L641" s="3"/>
      <c r="M641" s="3"/>
      <c r="N641" s="3"/>
      <c r="O641" s="3"/>
      <c r="P641" s="3"/>
      <c r="Q641" s="3"/>
      <c r="R641" s="3"/>
      <c r="S641" s="3"/>
      <c r="T641" s="3"/>
      <c r="U641" s="3"/>
      <c r="V641" s="3"/>
      <c r="W641" s="3"/>
      <c r="X641" s="3"/>
      <c r="Y641" s="3"/>
      <c r="Z641" s="3"/>
    </row>
    <row r="642" spans="1:26" ht="14.25" customHeight="1">
      <c r="A642" s="1"/>
      <c r="B642" s="1"/>
      <c r="C642" s="1"/>
      <c r="D642" s="1"/>
      <c r="E642" s="136"/>
      <c r="F642" s="12"/>
      <c r="G642" s="145"/>
      <c r="H642" s="145"/>
      <c r="I642" s="3"/>
      <c r="J642" s="3"/>
      <c r="K642" s="3"/>
      <c r="L642" s="3"/>
      <c r="M642" s="3"/>
      <c r="N642" s="3"/>
      <c r="O642" s="3"/>
      <c r="P642" s="3"/>
      <c r="Q642" s="3"/>
      <c r="R642" s="3"/>
      <c r="S642" s="3"/>
      <c r="T642" s="3"/>
      <c r="U642" s="3"/>
      <c r="V642" s="3"/>
      <c r="W642" s="3"/>
      <c r="X642" s="3"/>
      <c r="Y642" s="3"/>
      <c r="Z642" s="3"/>
    </row>
    <row r="643" spans="1:26" ht="14.25" customHeight="1">
      <c r="A643" s="1"/>
      <c r="B643" s="1"/>
      <c r="C643" s="1"/>
      <c r="D643" s="1"/>
      <c r="E643" s="136"/>
      <c r="F643" s="12"/>
      <c r="G643" s="145"/>
      <c r="H643" s="145"/>
      <c r="I643" s="3"/>
      <c r="J643" s="3"/>
      <c r="K643" s="3"/>
      <c r="L643" s="3"/>
      <c r="M643" s="3"/>
      <c r="N643" s="3"/>
      <c r="O643" s="3"/>
      <c r="P643" s="3"/>
      <c r="Q643" s="3"/>
      <c r="R643" s="3"/>
      <c r="S643" s="3"/>
      <c r="T643" s="3"/>
      <c r="U643" s="3"/>
      <c r="V643" s="3"/>
      <c r="W643" s="3"/>
      <c r="X643" s="3"/>
      <c r="Y643" s="3"/>
      <c r="Z643" s="3"/>
    </row>
    <row r="644" spans="1:26" ht="14.25" customHeight="1">
      <c r="A644" s="1"/>
      <c r="B644" s="1"/>
      <c r="C644" s="1"/>
      <c r="D644" s="1"/>
      <c r="E644" s="136"/>
      <c r="F644" s="12"/>
      <c r="G644" s="145"/>
      <c r="H644" s="145"/>
      <c r="I644" s="3"/>
      <c r="J644" s="3"/>
      <c r="K644" s="3"/>
      <c r="L644" s="3"/>
      <c r="M644" s="3"/>
      <c r="N644" s="3"/>
      <c r="O644" s="3"/>
      <c r="P644" s="3"/>
      <c r="Q644" s="3"/>
      <c r="R644" s="3"/>
      <c r="S644" s="3"/>
      <c r="T644" s="3"/>
      <c r="U644" s="3"/>
      <c r="V644" s="3"/>
      <c r="W644" s="3"/>
      <c r="X644" s="3"/>
      <c r="Y644" s="3"/>
      <c r="Z644" s="3"/>
    </row>
    <row r="645" spans="1:26" ht="14.25" customHeight="1">
      <c r="A645" s="1"/>
      <c r="B645" s="1"/>
      <c r="C645" s="1"/>
      <c r="D645" s="1"/>
      <c r="E645" s="136"/>
      <c r="F645" s="12"/>
      <c r="G645" s="145"/>
      <c r="H645" s="145"/>
      <c r="I645" s="3"/>
      <c r="J645" s="3"/>
      <c r="K645" s="3"/>
      <c r="L645" s="3"/>
      <c r="M645" s="3"/>
      <c r="N645" s="3"/>
      <c r="O645" s="3"/>
      <c r="P645" s="3"/>
      <c r="Q645" s="3"/>
      <c r="R645" s="3"/>
      <c r="S645" s="3"/>
      <c r="T645" s="3"/>
      <c r="U645" s="3"/>
      <c r="V645" s="3"/>
      <c r="W645" s="3"/>
      <c r="X645" s="3"/>
      <c r="Y645" s="3"/>
      <c r="Z645" s="3"/>
    </row>
    <row r="646" spans="1:26" ht="14.25" customHeight="1">
      <c r="A646" s="1"/>
      <c r="B646" s="1"/>
      <c r="C646" s="1"/>
      <c r="D646" s="1"/>
      <c r="E646" s="136"/>
      <c r="F646" s="12"/>
      <c r="G646" s="145"/>
      <c r="H646" s="145"/>
      <c r="I646" s="3"/>
      <c r="J646" s="3"/>
      <c r="K646" s="3"/>
      <c r="L646" s="3"/>
      <c r="M646" s="3"/>
      <c r="N646" s="3"/>
      <c r="O646" s="3"/>
      <c r="P646" s="3"/>
      <c r="Q646" s="3"/>
      <c r="R646" s="3"/>
      <c r="S646" s="3"/>
      <c r="T646" s="3"/>
      <c r="U646" s="3"/>
      <c r="V646" s="3"/>
      <c r="W646" s="3"/>
      <c r="X646" s="3"/>
      <c r="Y646" s="3"/>
      <c r="Z646" s="3"/>
    </row>
    <row r="647" spans="1:26" ht="14.25" customHeight="1">
      <c r="A647" s="1"/>
      <c r="B647" s="1"/>
      <c r="C647" s="1"/>
      <c r="D647" s="1"/>
      <c r="E647" s="136"/>
      <c r="F647" s="12"/>
      <c r="G647" s="145"/>
      <c r="H647" s="145"/>
      <c r="I647" s="3"/>
      <c r="J647" s="3"/>
      <c r="K647" s="3"/>
      <c r="L647" s="3"/>
      <c r="M647" s="3"/>
      <c r="N647" s="3"/>
      <c r="O647" s="3"/>
      <c r="P647" s="3"/>
      <c r="Q647" s="3"/>
      <c r="R647" s="3"/>
      <c r="S647" s="3"/>
      <c r="T647" s="3"/>
      <c r="U647" s="3"/>
      <c r="V647" s="3"/>
      <c r="W647" s="3"/>
      <c r="X647" s="3"/>
      <c r="Y647" s="3"/>
      <c r="Z647" s="3"/>
    </row>
    <row r="648" spans="1:26" ht="14.25" customHeight="1">
      <c r="A648" s="1"/>
      <c r="B648" s="1"/>
      <c r="C648" s="1"/>
      <c r="D648" s="1"/>
      <c r="E648" s="136"/>
      <c r="F648" s="12"/>
      <c r="G648" s="145"/>
      <c r="H648" s="145"/>
      <c r="I648" s="3"/>
      <c r="J648" s="3"/>
      <c r="K648" s="3"/>
      <c r="L648" s="3"/>
      <c r="M648" s="3"/>
      <c r="N648" s="3"/>
      <c r="O648" s="3"/>
      <c r="P648" s="3"/>
      <c r="Q648" s="3"/>
      <c r="R648" s="3"/>
      <c r="S648" s="3"/>
      <c r="T648" s="3"/>
      <c r="U648" s="3"/>
      <c r="V648" s="3"/>
      <c r="W648" s="3"/>
      <c r="X648" s="3"/>
      <c r="Y648" s="3"/>
      <c r="Z648" s="3"/>
    </row>
    <row r="649" spans="1:26" ht="14.25" customHeight="1">
      <c r="A649" s="1"/>
      <c r="B649" s="1"/>
      <c r="C649" s="1"/>
      <c r="D649" s="1"/>
      <c r="E649" s="136"/>
      <c r="F649" s="12"/>
      <c r="G649" s="145"/>
      <c r="H649" s="145"/>
      <c r="I649" s="3"/>
      <c r="J649" s="3"/>
      <c r="K649" s="3"/>
      <c r="L649" s="3"/>
      <c r="M649" s="3"/>
      <c r="N649" s="3"/>
      <c r="O649" s="3"/>
      <c r="P649" s="3"/>
      <c r="Q649" s="3"/>
      <c r="R649" s="3"/>
      <c r="S649" s="3"/>
      <c r="T649" s="3"/>
      <c r="U649" s="3"/>
      <c r="V649" s="3"/>
      <c r="W649" s="3"/>
      <c r="X649" s="3"/>
      <c r="Y649" s="3"/>
      <c r="Z649" s="3"/>
    </row>
    <row r="650" spans="1:26" ht="14.25" customHeight="1">
      <c r="A650" s="1"/>
      <c r="B650" s="1"/>
      <c r="C650" s="1"/>
      <c r="D650" s="1"/>
      <c r="E650" s="136"/>
      <c r="F650" s="12"/>
      <c r="G650" s="145"/>
      <c r="H650" s="145"/>
      <c r="I650" s="3"/>
      <c r="J650" s="3"/>
      <c r="K650" s="3"/>
      <c r="L650" s="3"/>
      <c r="M650" s="3"/>
      <c r="N650" s="3"/>
      <c r="O650" s="3"/>
      <c r="P650" s="3"/>
      <c r="Q650" s="3"/>
      <c r="R650" s="3"/>
      <c r="S650" s="3"/>
      <c r="T650" s="3"/>
      <c r="U650" s="3"/>
      <c r="V650" s="3"/>
      <c r="W650" s="3"/>
      <c r="X650" s="3"/>
      <c r="Y650" s="3"/>
      <c r="Z650" s="3"/>
    </row>
    <row r="651" spans="1:26" ht="14.25" customHeight="1">
      <c r="A651" s="1"/>
      <c r="B651" s="1"/>
      <c r="C651" s="1"/>
      <c r="D651" s="1"/>
      <c r="E651" s="136"/>
      <c r="F651" s="12"/>
      <c r="G651" s="145"/>
      <c r="H651" s="145"/>
      <c r="I651" s="3"/>
      <c r="J651" s="3"/>
      <c r="K651" s="3"/>
      <c r="L651" s="3"/>
      <c r="M651" s="3"/>
      <c r="N651" s="3"/>
      <c r="O651" s="3"/>
      <c r="P651" s="3"/>
      <c r="Q651" s="3"/>
      <c r="R651" s="3"/>
      <c r="S651" s="3"/>
      <c r="T651" s="3"/>
      <c r="U651" s="3"/>
      <c r="V651" s="3"/>
      <c r="W651" s="3"/>
      <c r="X651" s="3"/>
      <c r="Y651" s="3"/>
      <c r="Z651" s="3"/>
    </row>
    <row r="652" spans="1:26" ht="14.25" customHeight="1">
      <c r="A652" s="1"/>
      <c r="B652" s="1"/>
      <c r="C652" s="1"/>
      <c r="D652" s="1"/>
      <c r="E652" s="136"/>
      <c r="F652" s="12"/>
      <c r="G652" s="145"/>
      <c r="H652" s="145"/>
      <c r="I652" s="3"/>
      <c r="J652" s="3"/>
      <c r="K652" s="3"/>
      <c r="L652" s="3"/>
      <c r="M652" s="3"/>
      <c r="N652" s="3"/>
      <c r="O652" s="3"/>
      <c r="P652" s="3"/>
      <c r="Q652" s="3"/>
      <c r="R652" s="3"/>
      <c r="S652" s="3"/>
      <c r="T652" s="3"/>
      <c r="U652" s="3"/>
      <c r="V652" s="3"/>
      <c r="W652" s="3"/>
      <c r="X652" s="3"/>
      <c r="Y652" s="3"/>
      <c r="Z652" s="3"/>
    </row>
    <row r="653" spans="1:26" ht="14.25" customHeight="1">
      <c r="A653" s="1"/>
      <c r="B653" s="1"/>
      <c r="C653" s="1"/>
      <c r="D653" s="1"/>
      <c r="E653" s="136"/>
      <c r="F653" s="12"/>
      <c r="G653" s="145"/>
      <c r="H653" s="145"/>
      <c r="I653" s="3"/>
      <c r="J653" s="3"/>
      <c r="K653" s="3"/>
      <c r="L653" s="3"/>
      <c r="M653" s="3"/>
      <c r="N653" s="3"/>
      <c r="O653" s="3"/>
      <c r="P653" s="3"/>
      <c r="Q653" s="3"/>
      <c r="R653" s="3"/>
      <c r="S653" s="3"/>
      <c r="T653" s="3"/>
      <c r="U653" s="3"/>
      <c r="V653" s="3"/>
      <c r="W653" s="3"/>
      <c r="X653" s="3"/>
      <c r="Y653" s="3"/>
      <c r="Z653" s="3"/>
    </row>
    <row r="654" spans="1:26" ht="14.25" customHeight="1">
      <c r="A654" s="1"/>
      <c r="B654" s="1"/>
      <c r="C654" s="1"/>
      <c r="D654" s="1"/>
      <c r="E654" s="136"/>
      <c r="F654" s="12"/>
      <c r="G654" s="145"/>
      <c r="H654" s="145"/>
      <c r="I654" s="3"/>
      <c r="J654" s="3"/>
      <c r="K654" s="3"/>
      <c r="L654" s="3"/>
      <c r="M654" s="3"/>
      <c r="N654" s="3"/>
      <c r="O654" s="3"/>
      <c r="P654" s="3"/>
      <c r="Q654" s="3"/>
      <c r="R654" s="3"/>
      <c r="S654" s="3"/>
      <c r="T654" s="3"/>
      <c r="U654" s="3"/>
      <c r="V654" s="3"/>
      <c r="W654" s="3"/>
      <c r="X654" s="3"/>
      <c r="Y654" s="3"/>
      <c r="Z654" s="3"/>
    </row>
    <row r="655" spans="1:26" ht="14.25" customHeight="1">
      <c r="A655" s="1"/>
      <c r="B655" s="1"/>
      <c r="C655" s="1"/>
      <c r="D655" s="1"/>
      <c r="E655" s="136"/>
      <c r="F655" s="12"/>
      <c r="G655" s="145"/>
      <c r="H655" s="145"/>
      <c r="I655" s="3"/>
      <c r="J655" s="3"/>
      <c r="K655" s="3"/>
      <c r="L655" s="3"/>
      <c r="M655" s="3"/>
      <c r="N655" s="3"/>
      <c r="O655" s="3"/>
      <c r="P655" s="3"/>
      <c r="Q655" s="3"/>
      <c r="R655" s="3"/>
      <c r="S655" s="3"/>
      <c r="T655" s="3"/>
      <c r="U655" s="3"/>
      <c r="V655" s="3"/>
      <c r="W655" s="3"/>
      <c r="X655" s="3"/>
      <c r="Y655" s="3"/>
      <c r="Z655" s="3"/>
    </row>
    <row r="656" spans="1:26" ht="14.25" customHeight="1">
      <c r="A656" s="1"/>
      <c r="B656" s="1"/>
      <c r="C656" s="1"/>
      <c r="D656" s="1"/>
      <c r="E656" s="136"/>
      <c r="F656" s="12"/>
      <c r="G656" s="145"/>
      <c r="H656" s="145"/>
      <c r="I656" s="3"/>
      <c r="J656" s="3"/>
      <c r="K656" s="3"/>
      <c r="L656" s="3"/>
      <c r="M656" s="3"/>
      <c r="N656" s="3"/>
      <c r="O656" s="3"/>
      <c r="P656" s="3"/>
      <c r="Q656" s="3"/>
      <c r="R656" s="3"/>
      <c r="S656" s="3"/>
      <c r="T656" s="3"/>
      <c r="U656" s="3"/>
      <c r="V656" s="3"/>
      <c r="W656" s="3"/>
      <c r="X656" s="3"/>
      <c r="Y656" s="3"/>
      <c r="Z656" s="3"/>
    </row>
    <row r="657" spans="1:26" ht="14.25" customHeight="1">
      <c r="A657" s="1"/>
      <c r="B657" s="1"/>
      <c r="C657" s="1"/>
      <c r="D657" s="1"/>
      <c r="E657" s="136"/>
      <c r="F657" s="12"/>
      <c r="G657" s="145"/>
      <c r="H657" s="145"/>
      <c r="I657" s="3"/>
      <c r="J657" s="3"/>
      <c r="K657" s="3"/>
      <c r="L657" s="3"/>
      <c r="M657" s="3"/>
      <c r="N657" s="3"/>
      <c r="O657" s="3"/>
      <c r="P657" s="3"/>
      <c r="Q657" s="3"/>
      <c r="R657" s="3"/>
      <c r="S657" s="3"/>
      <c r="T657" s="3"/>
      <c r="U657" s="3"/>
      <c r="V657" s="3"/>
      <c r="W657" s="3"/>
      <c r="X657" s="3"/>
      <c r="Y657" s="3"/>
      <c r="Z657" s="3"/>
    </row>
    <row r="658" spans="1:26" ht="14.25" customHeight="1">
      <c r="A658" s="1"/>
      <c r="B658" s="1"/>
      <c r="C658" s="1"/>
      <c r="D658" s="1"/>
      <c r="E658" s="136"/>
      <c r="F658" s="12"/>
      <c r="G658" s="145"/>
      <c r="H658" s="145"/>
      <c r="I658" s="3"/>
      <c r="J658" s="3"/>
      <c r="K658" s="3"/>
      <c r="L658" s="3"/>
      <c r="M658" s="3"/>
      <c r="N658" s="3"/>
      <c r="O658" s="3"/>
      <c r="P658" s="3"/>
      <c r="Q658" s="3"/>
      <c r="R658" s="3"/>
      <c r="S658" s="3"/>
      <c r="T658" s="3"/>
      <c r="U658" s="3"/>
      <c r="V658" s="3"/>
      <c r="W658" s="3"/>
      <c r="X658" s="3"/>
      <c r="Y658" s="3"/>
      <c r="Z658" s="3"/>
    </row>
    <row r="659" spans="1:26" ht="14.25" customHeight="1">
      <c r="A659" s="1"/>
      <c r="B659" s="1"/>
      <c r="C659" s="1"/>
      <c r="D659" s="1"/>
      <c r="E659" s="136"/>
      <c r="F659" s="12"/>
      <c r="G659" s="145"/>
      <c r="H659" s="145"/>
      <c r="I659" s="3"/>
      <c r="J659" s="3"/>
      <c r="K659" s="3"/>
      <c r="L659" s="3"/>
      <c r="M659" s="3"/>
      <c r="N659" s="3"/>
      <c r="O659" s="3"/>
      <c r="P659" s="3"/>
      <c r="Q659" s="3"/>
      <c r="R659" s="3"/>
      <c r="S659" s="3"/>
      <c r="T659" s="3"/>
      <c r="U659" s="3"/>
      <c r="V659" s="3"/>
      <c r="W659" s="3"/>
      <c r="X659" s="3"/>
      <c r="Y659" s="3"/>
      <c r="Z659" s="3"/>
    </row>
    <row r="660" spans="1:26" ht="14.25" customHeight="1">
      <c r="A660" s="1"/>
      <c r="B660" s="1"/>
      <c r="C660" s="1"/>
      <c r="D660" s="1"/>
      <c r="E660" s="136"/>
      <c r="F660" s="12"/>
      <c r="G660" s="145"/>
      <c r="H660" s="145"/>
      <c r="I660" s="3"/>
      <c r="J660" s="3"/>
      <c r="K660" s="3"/>
      <c r="L660" s="3"/>
      <c r="M660" s="3"/>
      <c r="N660" s="3"/>
      <c r="O660" s="3"/>
      <c r="P660" s="3"/>
      <c r="Q660" s="3"/>
      <c r="R660" s="3"/>
      <c r="S660" s="3"/>
      <c r="T660" s="3"/>
      <c r="U660" s="3"/>
      <c r="V660" s="3"/>
      <c r="W660" s="3"/>
      <c r="X660" s="3"/>
      <c r="Y660" s="3"/>
      <c r="Z660" s="3"/>
    </row>
    <row r="661" spans="1:26" ht="14.25" customHeight="1">
      <c r="A661" s="1"/>
      <c r="B661" s="1"/>
      <c r="C661" s="1"/>
      <c r="D661" s="1"/>
      <c r="E661" s="136"/>
      <c r="F661" s="12"/>
      <c r="G661" s="145"/>
      <c r="H661" s="145"/>
      <c r="I661" s="3"/>
      <c r="J661" s="3"/>
      <c r="K661" s="3"/>
      <c r="L661" s="3"/>
      <c r="M661" s="3"/>
      <c r="N661" s="3"/>
      <c r="O661" s="3"/>
      <c r="P661" s="3"/>
      <c r="Q661" s="3"/>
      <c r="R661" s="3"/>
      <c r="S661" s="3"/>
      <c r="T661" s="3"/>
      <c r="U661" s="3"/>
      <c r="V661" s="3"/>
      <c r="W661" s="3"/>
      <c r="X661" s="3"/>
      <c r="Y661" s="3"/>
      <c r="Z661" s="3"/>
    </row>
    <row r="662" spans="1:26" ht="14.25" customHeight="1">
      <c r="A662" s="1"/>
      <c r="B662" s="1"/>
      <c r="C662" s="1"/>
      <c r="D662" s="1"/>
      <c r="E662" s="136"/>
      <c r="F662" s="12"/>
      <c r="G662" s="145"/>
      <c r="H662" s="145"/>
      <c r="I662" s="3"/>
      <c r="J662" s="3"/>
      <c r="K662" s="3"/>
      <c r="L662" s="3"/>
      <c r="M662" s="3"/>
      <c r="N662" s="3"/>
      <c r="O662" s="3"/>
      <c r="P662" s="3"/>
      <c r="Q662" s="3"/>
      <c r="R662" s="3"/>
      <c r="S662" s="3"/>
      <c r="T662" s="3"/>
      <c r="U662" s="3"/>
      <c r="V662" s="3"/>
      <c r="W662" s="3"/>
      <c r="X662" s="3"/>
      <c r="Y662" s="3"/>
      <c r="Z662" s="3"/>
    </row>
    <row r="663" spans="1:26" ht="14.25" customHeight="1">
      <c r="A663" s="1"/>
      <c r="B663" s="1"/>
      <c r="C663" s="1"/>
      <c r="D663" s="1"/>
      <c r="E663" s="136"/>
      <c r="F663" s="12"/>
      <c r="G663" s="145"/>
      <c r="H663" s="145"/>
      <c r="I663" s="3"/>
      <c r="J663" s="3"/>
      <c r="K663" s="3"/>
      <c r="L663" s="3"/>
      <c r="M663" s="3"/>
      <c r="N663" s="3"/>
      <c r="O663" s="3"/>
      <c r="P663" s="3"/>
      <c r="Q663" s="3"/>
      <c r="R663" s="3"/>
      <c r="S663" s="3"/>
      <c r="T663" s="3"/>
      <c r="U663" s="3"/>
      <c r="V663" s="3"/>
      <c r="W663" s="3"/>
      <c r="X663" s="3"/>
      <c r="Y663" s="3"/>
      <c r="Z663" s="3"/>
    </row>
    <row r="664" spans="1:26" ht="14.25" customHeight="1">
      <c r="A664" s="1"/>
      <c r="B664" s="1"/>
      <c r="C664" s="1"/>
      <c r="D664" s="1"/>
      <c r="E664" s="136"/>
      <c r="F664" s="12"/>
      <c r="G664" s="145"/>
      <c r="H664" s="145"/>
      <c r="I664" s="3"/>
      <c r="J664" s="3"/>
      <c r="K664" s="3"/>
      <c r="L664" s="3"/>
      <c r="M664" s="3"/>
      <c r="N664" s="3"/>
      <c r="O664" s="3"/>
      <c r="P664" s="3"/>
      <c r="Q664" s="3"/>
      <c r="R664" s="3"/>
      <c r="S664" s="3"/>
      <c r="T664" s="3"/>
      <c r="U664" s="3"/>
      <c r="V664" s="3"/>
      <c r="W664" s="3"/>
      <c r="X664" s="3"/>
      <c r="Y664" s="3"/>
      <c r="Z664" s="3"/>
    </row>
    <row r="665" spans="1:26" ht="14.25" customHeight="1">
      <c r="A665" s="1"/>
      <c r="B665" s="1"/>
      <c r="C665" s="1"/>
      <c r="D665" s="1"/>
      <c r="E665" s="136"/>
      <c r="F665" s="12"/>
      <c r="G665" s="145"/>
      <c r="H665" s="145"/>
      <c r="I665" s="3"/>
      <c r="J665" s="3"/>
      <c r="K665" s="3"/>
      <c r="L665" s="3"/>
      <c r="M665" s="3"/>
      <c r="N665" s="3"/>
      <c r="O665" s="3"/>
      <c r="P665" s="3"/>
      <c r="Q665" s="3"/>
      <c r="R665" s="3"/>
      <c r="S665" s="3"/>
      <c r="T665" s="3"/>
      <c r="U665" s="3"/>
      <c r="V665" s="3"/>
      <c r="W665" s="3"/>
      <c r="X665" s="3"/>
      <c r="Y665" s="3"/>
      <c r="Z665" s="3"/>
    </row>
    <row r="666" spans="1:26" ht="14.25" customHeight="1">
      <c r="A666" s="1"/>
      <c r="B666" s="1"/>
      <c r="C666" s="1"/>
      <c r="D666" s="1"/>
      <c r="E666" s="136"/>
      <c r="F666" s="12"/>
      <c r="G666" s="145"/>
      <c r="H666" s="145"/>
      <c r="I666" s="3"/>
      <c r="J666" s="3"/>
      <c r="K666" s="3"/>
      <c r="L666" s="3"/>
      <c r="M666" s="3"/>
      <c r="N666" s="3"/>
      <c r="O666" s="3"/>
      <c r="P666" s="3"/>
      <c r="Q666" s="3"/>
      <c r="R666" s="3"/>
      <c r="S666" s="3"/>
      <c r="T666" s="3"/>
      <c r="U666" s="3"/>
      <c r="V666" s="3"/>
      <c r="W666" s="3"/>
      <c r="X666" s="3"/>
      <c r="Y666" s="3"/>
      <c r="Z666" s="3"/>
    </row>
    <row r="667" spans="1:26" ht="14.25" customHeight="1">
      <c r="A667" s="1"/>
      <c r="B667" s="1"/>
      <c r="C667" s="1"/>
      <c r="D667" s="1"/>
      <c r="E667" s="136"/>
      <c r="F667" s="12"/>
      <c r="G667" s="145"/>
      <c r="H667" s="145"/>
      <c r="I667" s="3"/>
      <c r="J667" s="3"/>
      <c r="K667" s="3"/>
      <c r="L667" s="3"/>
      <c r="M667" s="3"/>
      <c r="N667" s="3"/>
      <c r="O667" s="3"/>
      <c r="P667" s="3"/>
      <c r="Q667" s="3"/>
      <c r="R667" s="3"/>
      <c r="S667" s="3"/>
      <c r="T667" s="3"/>
      <c r="U667" s="3"/>
      <c r="V667" s="3"/>
      <c r="W667" s="3"/>
      <c r="X667" s="3"/>
      <c r="Y667" s="3"/>
      <c r="Z667" s="3"/>
    </row>
    <row r="668" spans="1:26" ht="14.25" customHeight="1">
      <c r="A668" s="1"/>
      <c r="B668" s="1"/>
      <c r="C668" s="1"/>
      <c r="D668" s="1"/>
      <c r="E668" s="136"/>
      <c r="F668" s="12"/>
      <c r="G668" s="145"/>
      <c r="H668" s="145"/>
      <c r="I668" s="3"/>
      <c r="J668" s="3"/>
      <c r="K668" s="3"/>
      <c r="L668" s="3"/>
      <c r="M668" s="3"/>
      <c r="N668" s="3"/>
      <c r="O668" s="3"/>
      <c r="P668" s="3"/>
      <c r="Q668" s="3"/>
      <c r="R668" s="3"/>
      <c r="S668" s="3"/>
      <c r="T668" s="3"/>
      <c r="U668" s="3"/>
      <c r="V668" s="3"/>
      <c r="W668" s="3"/>
      <c r="X668" s="3"/>
      <c r="Y668" s="3"/>
      <c r="Z668" s="3"/>
    </row>
    <row r="669" spans="1:26" ht="14.25" customHeight="1">
      <c r="A669" s="1"/>
      <c r="B669" s="1"/>
      <c r="C669" s="1"/>
      <c r="D669" s="1"/>
      <c r="E669" s="136"/>
      <c r="F669" s="12"/>
      <c r="G669" s="145"/>
      <c r="H669" s="145"/>
      <c r="I669" s="3"/>
      <c r="J669" s="3"/>
      <c r="K669" s="3"/>
      <c r="L669" s="3"/>
      <c r="M669" s="3"/>
      <c r="N669" s="3"/>
      <c r="O669" s="3"/>
      <c r="P669" s="3"/>
      <c r="Q669" s="3"/>
      <c r="R669" s="3"/>
      <c r="S669" s="3"/>
      <c r="T669" s="3"/>
      <c r="U669" s="3"/>
      <c r="V669" s="3"/>
      <c r="W669" s="3"/>
      <c r="X669" s="3"/>
      <c r="Y669" s="3"/>
      <c r="Z669" s="3"/>
    </row>
    <row r="670" spans="1:26" ht="14.25" customHeight="1">
      <c r="A670" s="1"/>
      <c r="B670" s="1"/>
      <c r="C670" s="1"/>
      <c r="D670" s="1"/>
      <c r="E670" s="136"/>
      <c r="F670" s="12"/>
      <c r="G670" s="145"/>
      <c r="H670" s="145"/>
      <c r="I670" s="3"/>
      <c r="J670" s="3"/>
      <c r="K670" s="3"/>
      <c r="L670" s="3"/>
      <c r="M670" s="3"/>
      <c r="N670" s="3"/>
      <c r="O670" s="3"/>
      <c r="P670" s="3"/>
      <c r="Q670" s="3"/>
      <c r="R670" s="3"/>
      <c r="S670" s="3"/>
      <c r="T670" s="3"/>
      <c r="U670" s="3"/>
      <c r="V670" s="3"/>
      <c r="W670" s="3"/>
      <c r="X670" s="3"/>
      <c r="Y670" s="3"/>
      <c r="Z670" s="3"/>
    </row>
    <row r="671" spans="1:26" ht="14.25" customHeight="1">
      <c r="A671" s="1"/>
      <c r="B671" s="1"/>
      <c r="C671" s="1"/>
      <c r="D671" s="1"/>
      <c r="E671" s="136"/>
      <c r="F671" s="12"/>
      <c r="G671" s="145"/>
      <c r="H671" s="145"/>
      <c r="I671" s="3"/>
      <c r="J671" s="3"/>
      <c r="K671" s="3"/>
      <c r="L671" s="3"/>
      <c r="M671" s="3"/>
      <c r="N671" s="3"/>
      <c r="O671" s="3"/>
      <c r="P671" s="3"/>
      <c r="Q671" s="3"/>
      <c r="R671" s="3"/>
      <c r="S671" s="3"/>
      <c r="T671" s="3"/>
      <c r="U671" s="3"/>
      <c r="V671" s="3"/>
      <c r="W671" s="3"/>
      <c r="X671" s="3"/>
      <c r="Y671" s="3"/>
      <c r="Z671" s="3"/>
    </row>
    <row r="672" spans="1:26" ht="14.25" customHeight="1">
      <c r="A672" s="1"/>
      <c r="B672" s="1"/>
      <c r="C672" s="1"/>
      <c r="D672" s="1"/>
      <c r="E672" s="136"/>
      <c r="F672" s="12"/>
      <c r="G672" s="145"/>
      <c r="H672" s="145"/>
      <c r="I672" s="3"/>
      <c r="J672" s="3"/>
      <c r="K672" s="3"/>
      <c r="L672" s="3"/>
      <c r="M672" s="3"/>
      <c r="N672" s="3"/>
      <c r="O672" s="3"/>
      <c r="P672" s="3"/>
      <c r="Q672" s="3"/>
      <c r="R672" s="3"/>
      <c r="S672" s="3"/>
      <c r="T672" s="3"/>
      <c r="U672" s="3"/>
      <c r="V672" s="3"/>
      <c r="W672" s="3"/>
      <c r="X672" s="3"/>
      <c r="Y672" s="3"/>
      <c r="Z672" s="3"/>
    </row>
    <row r="673" spans="1:26" ht="14.25" customHeight="1">
      <c r="A673" s="1"/>
      <c r="B673" s="1"/>
      <c r="C673" s="1"/>
      <c r="D673" s="1"/>
      <c r="E673" s="136"/>
      <c r="F673" s="12"/>
      <c r="G673" s="145"/>
      <c r="H673" s="145"/>
      <c r="I673" s="3"/>
      <c r="J673" s="3"/>
      <c r="K673" s="3"/>
      <c r="L673" s="3"/>
      <c r="M673" s="3"/>
      <c r="N673" s="3"/>
      <c r="O673" s="3"/>
      <c r="P673" s="3"/>
      <c r="Q673" s="3"/>
      <c r="R673" s="3"/>
      <c r="S673" s="3"/>
      <c r="T673" s="3"/>
      <c r="U673" s="3"/>
      <c r="V673" s="3"/>
      <c r="W673" s="3"/>
      <c r="X673" s="3"/>
      <c r="Y673" s="3"/>
      <c r="Z673" s="3"/>
    </row>
    <row r="674" spans="1:26" ht="14.25" customHeight="1">
      <c r="A674" s="1"/>
      <c r="B674" s="1"/>
      <c r="C674" s="1"/>
      <c r="D674" s="1"/>
      <c r="E674" s="136"/>
      <c r="F674" s="12"/>
      <c r="G674" s="145"/>
      <c r="H674" s="145"/>
      <c r="I674" s="3"/>
      <c r="J674" s="3"/>
      <c r="K674" s="3"/>
      <c r="L674" s="3"/>
      <c r="M674" s="3"/>
      <c r="N674" s="3"/>
      <c r="O674" s="3"/>
      <c r="P674" s="3"/>
      <c r="Q674" s="3"/>
      <c r="R674" s="3"/>
      <c r="S674" s="3"/>
      <c r="T674" s="3"/>
      <c r="U674" s="3"/>
      <c r="V674" s="3"/>
      <c r="W674" s="3"/>
      <c r="X674" s="3"/>
      <c r="Y674" s="3"/>
      <c r="Z674" s="3"/>
    </row>
    <row r="675" spans="1:26" ht="14.25" customHeight="1">
      <c r="A675" s="1"/>
      <c r="B675" s="1"/>
      <c r="C675" s="1"/>
      <c r="D675" s="1"/>
      <c r="E675" s="136"/>
      <c r="F675" s="12"/>
      <c r="G675" s="145"/>
      <c r="H675" s="145"/>
      <c r="I675" s="3"/>
      <c r="J675" s="3"/>
      <c r="K675" s="3"/>
      <c r="L675" s="3"/>
      <c r="M675" s="3"/>
      <c r="N675" s="3"/>
      <c r="O675" s="3"/>
      <c r="P675" s="3"/>
      <c r="Q675" s="3"/>
      <c r="R675" s="3"/>
      <c r="S675" s="3"/>
      <c r="T675" s="3"/>
      <c r="U675" s="3"/>
      <c r="V675" s="3"/>
      <c r="W675" s="3"/>
      <c r="X675" s="3"/>
      <c r="Y675" s="3"/>
      <c r="Z675" s="3"/>
    </row>
    <row r="676" spans="1:26" ht="14.25" customHeight="1">
      <c r="A676" s="1"/>
      <c r="B676" s="1"/>
      <c r="C676" s="1"/>
      <c r="D676" s="1"/>
      <c r="E676" s="136"/>
      <c r="F676" s="12"/>
      <c r="G676" s="145"/>
      <c r="H676" s="145"/>
      <c r="I676" s="3"/>
      <c r="J676" s="3"/>
      <c r="K676" s="3"/>
      <c r="L676" s="3"/>
      <c r="M676" s="3"/>
      <c r="N676" s="3"/>
      <c r="O676" s="3"/>
      <c r="P676" s="3"/>
      <c r="Q676" s="3"/>
      <c r="R676" s="3"/>
      <c r="S676" s="3"/>
      <c r="T676" s="3"/>
      <c r="U676" s="3"/>
      <c r="V676" s="3"/>
      <c r="W676" s="3"/>
      <c r="X676" s="3"/>
      <c r="Y676" s="3"/>
      <c r="Z676" s="3"/>
    </row>
    <row r="677" spans="1:26" ht="14.25" customHeight="1">
      <c r="A677" s="1"/>
      <c r="B677" s="1"/>
      <c r="C677" s="1"/>
      <c r="D677" s="1"/>
      <c r="E677" s="136"/>
      <c r="F677" s="12"/>
      <c r="G677" s="145"/>
      <c r="H677" s="145"/>
      <c r="I677" s="3"/>
      <c r="J677" s="3"/>
      <c r="K677" s="3"/>
      <c r="L677" s="3"/>
      <c r="M677" s="3"/>
      <c r="N677" s="3"/>
      <c r="O677" s="3"/>
      <c r="P677" s="3"/>
      <c r="Q677" s="3"/>
      <c r="R677" s="3"/>
      <c r="S677" s="3"/>
      <c r="T677" s="3"/>
      <c r="U677" s="3"/>
      <c r="V677" s="3"/>
      <c r="W677" s="3"/>
      <c r="X677" s="3"/>
      <c r="Y677" s="3"/>
      <c r="Z677" s="3"/>
    </row>
    <row r="678" spans="1:26" ht="14.25" customHeight="1">
      <c r="A678" s="1"/>
      <c r="B678" s="1"/>
      <c r="C678" s="1"/>
      <c r="D678" s="1"/>
      <c r="E678" s="136"/>
      <c r="F678" s="12"/>
      <c r="G678" s="145"/>
      <c r="H678" s="145"/>
      <c r="I678" s="3"/>
      <c r="J678" s="3"/>
      <c r="K678" s="3"/>
      <c r="L678" s="3"/>
      <c r="M678" s="3"/>
      <c r="N678" s="3"/>
      <c r="O678" s="3"/>
      <c r="P678" s="3"/>
      <c r="Q678" s="3"/>
      <c r="R678" s="3"/>
      <c r="S678" s="3"/>
      <c r="T678" s="3"/>
      <c r="U678" s="3"/>
      <c r="V678" s="3"/>
      <c r="W678" s="3"/>
      <c r="X678" s="3"/>
      <c r="Y678" s="3"/>
      <c r="Z678" s="3"/>
    </row>
    <row r="679" spans="1:26" ht="14.25" customHeight="1">
      <c r="A679" s="1"/>
      <c r="B679" s="1"/>
      <c r="C679" s="1"/>
      <c r="D679" s="1"/>
      <c r="E679" s="136"/>
      <c r="F679" s="12"/>
      <c r="G679" s="145"/>
      <c r="H679" s="145"/>
      <c r="I679" s="3"/>
      <c r="J679" s="3"/>
      <c r="K679" s="3"/>
      <c r="L679" s="3"/>
      <c r="M679" s="3"/>
      <c r="N679" s="3"/>
      <c r="O679" s="3"/>
      <c r="P679" s="3"/>
      <c r="Q679" s="3"/>
      <c r="R679" s="3"/>
      <c r="S679" s="3"/>
      <c r="T679" s="3"/>
      <c r="U679" s="3"/>
      <c r="V679" s="3"/>
      <c r="W679" s="3"/>
      <c r="X679" s="3"/>
      <c r="Y679" s="3"/>
      <c r="Z679" s="3"/>
    </row>
    <row r="680" spans="1:26" ht="14.25" customHeight="1">
      <c r="A680" s="1"/>
      <c r="B680" s="1"/>
      <c r="C680" s="1"/>
      <c r="D680" s="1"/>
      <c r="E680" s="136"/>
      <c r="F680" s="12"/>
      <c r="G680" s="145"/>
      <c r="H680" s="145"/>
      <c r="I680" s="3"/>
      <c r="J680" s="3"/>
      <c r="K680" s="3"/>
      <c r="L680" s="3"/>
      <c r="M680" s="3"/>
      <c r="N680" s="3"/>
      <c r="O680" s="3"/>
      <c r="P680" s="3"/>
      <c r="Q680" s="3"/>
      <c r="R680" s="3"/>
      <c r="S680" s="3"/>
      <c r="T680" s="3"/>
      <c r="U680" s="3"/>
      <c r="V680" s="3"/>
      <c r="W680" s="3"/>
      <c r="X680" s="3"/>
      <c r="Y680" s="3"/>
      <c r="Z680" s="3"/>
    </row>
    <row r="681" spans="1:26" ht="14.25" customHeight="1">
      <c r="A681" s="1"/>
      <c r="B681" s="1"/>
      <c r="C681" s="1"/>
      <c r="D681" s="1"/>
      <c r="E681" s="136"/>
      <c r="F681" s="12"/>
      <c r="G681" s="145"/>
      <c r="H681" s="145"/>
      <c r="I681" s="3"/>
      <c r="J681" s="3"/>
      <c r="K681" s="3"/>
      <c r="L681" s="3"/>
      <c r="M681" s="3"/>
      <c r="N681" s="3"/>
      <c r="O681" s="3"/>
      <c r="P681" s="3"/>
      <c r="Q681" s="3"/>
      <c r="R681" s="3"/>
      <c r="S681" s="3"/>
      <c r="T681" s="3"/>
      <c r="U681" s="3"/>
      <c r="V681" s="3"/>
      <c r="W681" s="3"/>
      <c r="X681" s="3"/>
      <c r="Y681" s="3"/>
      <c r="Z681" s="3"/>
    </row>
    <row r="682" spans="1:26" ht="14.25" customHeight="1">
      <c r="A682" s="1"/>
      <c r="B682" s="1"/>
      <c r="C682" s="1"/>
      <c r="D682" s="1"/>
      <c r="E682" s="136"/>
      <c r="F682" s="12"/>
      <c r="G682" s="145"/>
      <c r="H682" s="145"/>
      <c r="I682" s="3"/>
      <c r="J682" s="3"/>
      <c r="K682" s="3"/>
      <c r="L682" s="3"/>
      <c r="M682" s="3"/>
      <c r="N682" s="3"/>
      <c r="O682" s="3"/>
      <c r="P682" s="3"/>
      <c r="Q682" s="3"/>
      <c r="R682" s="3"/>
      <c r="S682" s="3"/>
      <c r="T682" s="3"/>
      <c r="U682" s="3"/>
      <c r="V682" s="3"/>
      <c r="W682" s="3"/>
      <c r="X682" s="3"/>
      <c r="Y682" s="3"/>
      <c r="Z682" s="3"/>
    </row>
    <row r="683" spans="1:26" ht="14.25" customHeight="1">
      <c r="A683" s="1"/>
      <c r="B683" s="1"/>
      <c r="C683" s="1"/>
      <c r="D683" s="1"/>
      <c r="E683" s="136"/>
      <c r="F683" s="12"/>
      <c r="G683" s="145"/>
      <c r="H683" s="145"/>
      <c r="I683" s="3"/>
      <c r="J683" s="3"/>
      <c r="K683" s="3"/>
      <c r="L683" s="3"/>
      <c r="M683" s="3"/>
      <c r="N683" s="3"/>
      <c r="O683" s="3"/>
      <c r="P683" s="3"/>
      <c r="Q683" s="3"/>
      <c r="R683" s="3"/>
      <c r="S683" s="3"/>
      <c r="T683" s="3"/>
      <c r="U683" s="3"/>
      <c r="V683" s="3"/>
      <c r="W683" s="3"/>
      <c r="X683" s="3"/>
      <c r="Y683" s="3"/>
      <c r="Z683" s="3"/>
    </row>
    <row r="684" spans="1:26" ht="14.25" customHeight="1">
      <c r="A684" s="1"/>
      <c r="B684" s="1"/>
      <c r="C684" s="1"/>
      <c r="D684" s="1"/>
      <c r="E684" s="136"/>
      <c r="F684" s="12"/>
      <c r="G684" s="145"/>
      <c r="H684" s="145"/>
      <c r="I684" s="3"/>
      <c r="J684" s="3"/>
      <c r="K684" s="3"/>
      <c r="L684" s="3"/>
      <c r="M684" s="3"/>
      <c r="N684" s="3"/>
      <c r="O684" s="3"/>
      <c r="P684" s="3"/>
      <c r="Q684" s="3"/>
      <c r="R684" s="3"/>
      <c r="S684" s="3"/>
      <c r="T684" s="3"/>
      <c r="U684" s="3"/>
      <c r="V684" s="3"/>
      <c r="W684" s="3"/>
      <c r="X684" s="3"/>
      <c r="Y684" s="3"/>
      <c r="Z684" s="3"/>
    </row>
    <row r="685" spans="1:26" ht="14.25" customHeight="1">
      <c r="A685" s="1"/>
      <c r="B685" s="1"/>
      <c r="C685" s="1"/>
      <c r="D685" s="1"/>
      <c r="E685" s="136"/>
      <c r="F685" s="12"/>
      <c r="G685" s="145"/>
      <c r="H685" s="145"/>
      <c r="I685" s="3"/>
      <c r="J685" s="3"/>
      <c r="K685" s="3"/>
      <c r="L685" s="3"/>
      <c r="M685" s="3"/>
      <c r="N685" s="3"/>
      <c r="O685" s="3"/>
      <c r="P685" s="3"/>
      <c r="Q685" s="3"/>
      <c r="R685" s="3"/>
      <c r="S685" s="3"/>
      <c r="T685" s="3"/>
      <c r="U685" s="3"/>
      <c r="V685" s="3"/>
      <c r="W685" s="3"/>
      <c r="X685" s="3"/>
      <c r="Y685" s="3"/>
      <c r="Z685" s="3"/>
    </row>
    <row r="686" spans="1:26" ht="14.25" customHeight="1">
      <c r="A686" s="1"/>
      <c r="B686" s="1"/>
      <c r="C686" s="1"/>
      <c r="D686" s="1"/>
      <c r="E686" s="136"/>
      <c r="F686" s="12"/>
      <c r="G686" s="145"/>
      <c r="H686" s="145"/>
      <c r="I686" s="3"/>
      <c r="J686" s="3"/>
      <c r="K686" s="3"/>
      <c r="L686" s="3"/>
      <c r="M686" s="3"/>
      <c r="N686" s="3"/>
      <c r="O686" s="3"/>
      <c r="P686" s="3"/>
      <c r="Q686" s="3"/>
      <c r="R686" s="3"/>
      <c r="S686" s="3"/>
      <c r="T686" s="3"/>
      <c r="U686" s="3"/>
      <c r="V686" s="3"/>
      <c r="W686" s="3"/>
      <c r="X686" s="3"/>
      <c r="Y686" s="3"/>
      <c r="Z686" s="3"/>
    </row>
    <row r="687" spans="1:26" ht="14.25" customHeight="1">
      <c r="A687" s="1"/>
      <c r="B687" s="1"/>
      <c r="C687" s="1"/>
      <c r="D687" s="1"/>
      <c r="E687" s="136"/>
      <c r="F687" s="12"/>
      <c r="G687" s="145"/>
      <c r="H687" s="145"/>
      <c r="I687" s="3"/>
      <c r="J687" s="3"/>
      <c r="K687" s="3"/>
      <c r="L687" s="3"/>
      <c r="M687" s="3"/>
      <c r="N687" s="3"/>
      <c r="O687" s="3"/>
      <c r="P687" s="3"/>
      <c r="Q687" s="3"/>
      <c r="R687" s="3"/>
      <c r="S687" s="3"/>
      <c r="T687" s="3"/>
      <c r="U687" s="3"/>
      <c r="V687" s="3"/>
      <c r="W687" s="3"/>
      <c r="X687" s="3"/>
      <c r="Y687" s="3"/>
      <c r="Z687" s="3"/>
    </row>
    <row r="688" spans="1:26" ht="14.25" customHeight="1">
      <c r="A688" s="1"/>
      <c r="B688" s="1"/>
      <c r="C688" s="1"/>
      <c r="D688" s="1"/>
      <c r="E688" s="136"/>
      <c r="F688" s="12"/>
      <c r="G688" s="145"/>
      <c r="H688" s="145"/>
      <c r="I688" s="3"/>
      <c r="J688" s="3"/>
      <c r="K688" s="3"/>
      <c r="L688" s="3"/>
      <c r="M688" s="3"/>
      <c r="N688" s="3"/>
      <c r="O688" s="3"/>
      <c r="P688" s="3"/>
      <c r="Q688" s="3"/>
      <c r="R688" s="3"/>
      <c r="S688" s="3"/>
      <c r="T688" s="3"/>
      <c r="U688" s="3"/>
      <c r="V688" s="3"/>
      <c r="W688" s="3"/>
      <c r="X688" s="3"/>
      <c r="Y688" s="3"/>
      <c r="Z688" s="3"/>
    </row>
    <row r="689" spans="1:26" ht="14.25" customHeight="1">
      <c r="A689" s="1"/>
      <c r="B689" s="1"/>
      <c r="C689" s="1"/>
      <c r="D689" s="1"/>
      <c r="E689" s="136"/>
      <c r="F689" s="12"/>
      <c r="G689" s="145"/>
      <c r="H689" s="145"/>
      <c r="I689" s="3"/>
      <c r="J689" s="3"/>
      <c r="K689" s="3"/>
      <c r="L689" s="3"/>
      <c r="M689" s="3"/>
      <c r="N689" s="3"/>
      <c r="O689" s="3"/>
      <c r="P689" s="3"/>
      <c r="Q689" s="3"/>
      <c r="R689" s="3"/>
      <c r="S689" s="3"/>
      <c r="T689" s="3"/>
      <c r="U689" s="3"/>
      <c r="V689" s="3"/>
      <c r="W689" s="3"/>
      <c r="X689" s="3"/>
      <c r="Y689" s="3"/>
      <c r="Z689" s="3"/>
    </row>
    <row r="690" spans="1:26" ht="14.25" customHeight="1">
      <c r="A690" s="1"/>
      <c r="B690" s="1"/>
      <c r="C690" s="1"/>
      <c r="D690" s="1"/>
      <c r="E690" s="136"/>
      <c r="F690" s="12"/>
      <c r="G690" s="145"/>
      <c r="H690" s="145"/>
      <c r="I690" s="3"/>
      <c r="J690" s="3"/>
      <c r="K690" s="3"/>
      <c r="L690" s="3"/>
      <c r="M690" s="3"/>
      <c r="N690" s="3"/>
      <c r="O690" s="3"/>
      <c r="P690" s="3"/>
      <c r="Q690" s="3"/>
      <c r="R690" s="3"/>
      <c r="S690" s="3"/>
      <c r="T690" s="3"/>
      <c r="U690" s="3"/>
      <c r="V690" s="3"/>
      <c r="W690" s="3"/>
      <c r="X690" s="3"/>
      <c r="Y690" s="3"/>
      <c r="Z690" s="3"/>
    </row>
    <row r="691" spans="1:26" ht="14.25" customHeight="1">
      <c r="A691" s="1"/>
      <c r="B691" s="1"/>
      <c r="C691" s="1"/>
      <c r="D691" s="1"/>
      <c r="E691" s="136"/>
      <c r="F691" s="12"/>
      <c r="G691" s="145"/>
      <c r="H691" s="145"/>
      <c r="I691" s="3"/>
      <c r="J691" s="3"/>
      <c r="K691" s="3"/>
      <c r="L691" s="3"/>
      <c r="M691" s="3"/>
      <c r="N691" s="3"/>
      <c r="O691" s="3"/>
      <c r="P691" s="3"/>
      <c r="Q691" s="3"/>
      <c r="R691" s="3"/>
      <c r="S691" s="3"/>
      <c r="T691" s="3"/>
      <c r="U691" s="3"/>
      <c r="V691" s="3"/>
      <c r="W691" s="3"/>
      <c r="X691" s="3"/>
      <c r="Y691" s="3"/>
      <c r="Z691" s="3"/>
    </row>
    <row r="692" spans="1:26" ht="14.25" customHeight="1">
      <c r="A692" s="1"/>
      <c r="B692" s="1"/>
      <c r="C692" s="1"/>
      <c r="D692" s="1"/>
      <c r="E692" s="136"/>
      <c r="F692" s="12"/>
      <c r="G692" s="145"/>
      <c r="H692" s="145"/>
      <c r="I692" s="3"/>
      <c r="J692" s="3"/>
      <c r="K692" s="3"/>
      <c r="L692" s="3"/>
      <c r="M692" s="3"/>
      <c r="N692" s="3"/>
      <c r="O692" s="3"/>
      <c r="P692" s="3"/>
      <c r="Q692" s="3"/>
      <c r="R692" s="3"/>
      <c r="S692" s="3"/>
      <c r="T692" s="3"/>
      <c r="U692" s="3"/>
      <c r="V692" s="3"/>
      <c r="W692" s="3"/>
      <c r="X692" s="3"/>
      <c r="Y692" s="3"/>
      <c r="Z692" s="3"/>
    </row>
    <row r="693" spans="1:26" ht="14.25" customHeight="1">
      <c r="A693" s="1"/>
      <c r="B693" s="1"/>
      <c r="C693" s="1"/>
      <c r="D693" s="1"/>
      <c r="E693" s="136"/>
      <c r="F693" s="12"/>
      <c r="G693" s="145"/>
      <c r="H693" s="145"/>
      <c r="I693" s="3"/>
      <c r="J693" s="3"/>
      <c r="K693" s="3"/>
      <c r="L693" s="3"/>
      <c r="M693" s="3"/>
      <c r="N693" s="3"/>
      <c r="O693" s="3"/>
      <c r="P693" s="3"/>
      <c r="Q693" s="3"/>
      <c r="R693" s="3"/>
      <c r="S693" s="3"/>
      <c r="T693" s="3"/>
      <c r="U693" s="3"/>
      <c r="V693" s="3"/>
      <c r="W693" s="3"/>
      <c r="X693" s="3"/>
      <c r="Y693" s="3"/>
      <c r="Z693" s="3"/>
    </row>
    <row r="694" spans="1:26" ht="14.25" customHeight="1">
      <c r="A694" s="1"/>
      <c r="B694" s="1"/>
      <c r="C694" s="1"/>
      <c r="D694" s="1"/>
      <c r="E694" s="136"/>
      <c r="F694" s="12"/>
      <c r="G694" s="145"/>
      <c r="H694" s="145"/>
      <c r="I694" s="3"/>
      <c r="J694" s="3"/>
      <c r="K694" s="3"/>
      <c r="L694" s="3"/>
      <c r="M694" s="3"/>
      <c r="N694" s="3"/>
      <c r="O694" s="3"/>
      <c r="P694" s="3"/>
      <c r="Q694" s="3"/>
      <c r="R694" s="3"/>
      <c r="S694" s="3"/>
      <c r="T694" s="3"/>
      <c r="U694" s="3"/>
      <c r="V694" s="3"/>
      <c r="W694" s="3"/>
      <c r="X694" s="3"/>
      <c r="Y694" s="3"/>
      <c r="Z694" s="3"/>
    </row>
    <row r="695" spans="1:26" ht="14.25" customHeight="1">
      <c r="A695" s="1"/>
      <c r="B695" s="1"/>
      <c r="C695" s="1"/>
      <c r="D695" s="1"/>
      <c r="E695" s="136"/>
      <c r="F695" s="12"/>
      <c r="G695" s="145"/>
      <c r="H695" s="145"/>
      <c r="I695" s="3"/>
      <c r="J695" s="3"/>
      <c r="K695" s="3"/>
      <c r="L695" s="3"/>
      <c r="M695" s="3"/>
      <c r="N695" s="3"/>
      <c r="O695" s="3"/>
      <c r="P695" s="3"/>
      <c r="Q695" s="3"/>
      <c r="R695" s="3"/>
      <c r="S695" s="3"/>
      <c r="T695" s="3"/>
      <c r="U695" s="3"/>
      <c r="V695" s="3"/>
      <c r="W695" s="3"/>
      <c r="X695" s="3"/>
      <c r="Y695" s="3"/>
      <c r="Z695" s="3"/>
    </row>
    <row r="696" spans="1:26" ht="14.25" customHeight="1">
      <c r="A696" s="1"/>
      <c r="B696" s="1"/>
      <c r="C696" s="1"/>
      <c r="D696" s="1"/>
      <c r="E696" s="136"/>
      <c r="F696" s="12"/>
      <c r="G696" s="145"/>
      <c r="H696" s="145"/>
      <c r="I696" s="3"/>
      <c r="J696" s="3"/>
      <c r="K696" s="3"/>
      <c r="L696" s="3"/>
      <c r="M696" s="3"/>
      <c r="N696" s="3"/>
      <c r="O696" s="3"/>
      <c r="P696" s="3"/>
      <c r="Q696" s="3"/>
      <c r="R696" s="3"/>
      <c r="S696" s="3"/>
      <c r="T696" s="3"/>
      <c r="U696" s="3"/>
      <c r="V696" s="3"/>
      <c r="W696" s="3"/>
      <c r="X696" s="3"/>
      <c r="Y696" s="3"/>
      <c r="Z696" s="3"/>
    </row>
    <row r="697" spans="1:26" ht="14.25" customHeight="1">
      <c r="A697" s="1"/>
      <c r="B697" s="1"/>
      <c r="C697" s="1"/>
      <c r="D697" s="1"/>
      <c r="E697" s="136"/>
      <c r="F697" s="12"/>
      <c r="G697" s="145"/>
      <c r="H697" s="145"/>
      <c r="I697" s="3"/>
      <c r="J697" s="3"/>
      <c r="K697" s="3"/>
      <c r="L697" s="3"/>
      <c r="M697" s="3"/>
      <c r="N697" s="3"/>
      <c r="O697" s="3"/>
      <c r="P697" s="3"/>
      <c r="Q697" s="3"/>
      <c r="R697" s="3"/>
      <c r="S697" s="3"/>
      <c r="T697" s="3"/>
      <c r="U697" s="3"/>
      <c r="V697" s="3"/>
      <c r="W697" s="3"/>
      <c r="X697" s="3"/>
      <c r="Y697" s="3"/>
      <c r="Z697" s="3"/>
    </row>
    <row r="698" spans="1:26" ht="14.25" customHeight="1">
      <c r="A698" s="1"/>
      <c r="B698" s="1"/>
      <c r="C698" s="1"/>
      <c r="D698" s="1"/>
      <c r="E698" s="136"/>
      <c r="F698" s="12"/>
      <c r="G698" s="145"/>
      <c r="H698" s="145"/>
      <c r="I698" s="3"/>
      <c r="J698" s="3"/>
      <c r="K698" s="3"/>
      <c r="L698" s="3"/>
      <c r="M698" s="3"/>
      <c r="N698" s="3"/>
      <c r="O698" s="3"/>
      <c r="P698" s="3"/>
      <c r="Q698" s="3"/>
      <c r="R698" s="3"/>
      <c r="S698" s="3"/>
      <c r="T698" s="3"/>
      <c r="U698" s="3"/>
      <c r="V698" s="3"/>
      <c r="W698" s="3"/>
      <c r="X698" s="3"/>
      <c r="Y698" s="3"/>
      <c r="Z698" s="3"/>
    </row>
    <row r="699" spans="1:26" ht="14.25" customHeight="1">
      <c r="A699" s="1"/>
      <c r="B699" s="1"/>
      <c r="C699" s="1"/>
      <c r="D699" s="1"/>
      <c r="E699" s="136"/>
      <c r="F699" s="12"/>
      <c r="G699" s="145"/>
      <c r="H699" s="145"/>
      <c r="I699" s="3"/>
      <c r="J699" s="3"/>
      <c r="K699" s="3"/>
      <c r="L699" s="3"/>
      <c r="M699" s="3"/>
      <c r="N699" s="3"/>
      <c r="O699" s="3"/>
      <c r="P699" s="3"/>
      <c r="Q699" s="3"/>
      <c r="R699" s="3"/>
      <c r="S699" s="3"/>
      <c r="T699" s="3"/>
      <c r="U699" s="3"/>
      <c r="V699" s="3"/>
      <c r="W699" s="3"/>
      <c r="X699" s="3"/>
      <c r="Y699" s="3"/>
      <c r="Z699" s="3"/>
    </row>
    <row r="700" spans="1:26" ht="14.25" customHeight="1">
      <c r="A700" s="1"/>
      <c r="B700" s="1"/>
      <c r="C700" s="1"/>
      <c r="D700" s="1"/>
      <c r="E700" s="136"/>
      <c r="F700" s="12"/>
      <c r="G700" s="145"/>
      <c r="H700" s="145"/>
      <c r="I700" s="3"/>
      <c r="J700" s="3"/>
      <c r="K700" s="3"/>
      <c r="L700" s="3"/>
      <c r="M700" s="3"/>
      <c r="N700" s="3"/>
      <c r="O700" s="3"/>
      <c r="P700" s="3"/>
      <c r="Q700" s="3"/>
      <c r="R700" s="3"/>
      <c r="S700" s="3"/>
      <c r="T700" s="3"/>
      <c r="U700" s="3"/>
      <c r="V700" s="3"/>
      <c r="W700" s="3"/>
      <c r="X700" s="3"/>
      <c r="Y700" s="3"/>
      <c r="Z700" s="3"/>
    </row>
    <row r="701" spans="1:26" ht="14.25" customHeight="1">
      <c r="A701" s="1"/>
      <c r="B701" s="1"/>
      <c r="C701" s="1"/>
      <c r="D701" s="1"/>
      <c r="E701" s="136"/>
      <c r="F701" s="12"/>
      <c r="G701" s="145"/>
      <c r="H701" s="145"/>
      <c r="I701" s="3"/>
      <c r="J701" s="3"/>
      <c r="K701" s="3"/>
      <c r="L701" s="3"/>
      <c r="M701" s="3"/>
      <c r="N701" s="3"/>
      <c r="O701" s="3"/>
      <c r="P701" s="3"/>
      <c r="Q701" s="3"/>
      <c r="R701" s="3"/>
      <c r="S701" s="3"/>
      <c r="T701" s="3"/>
      <c r="U701" s="3"/>
      <c r="V701" s="3"/>
      <c r="W701" s="3"/>
      <c r="X701" s="3"/>
      <c r="Y701" s="3"/>
      <c r="Z701" s="3"/>
    </row>
    <row r="702" spans="1:26" ht="14.25" customHeight="1">
      <c r="A702" s="1"/>
      <c r="B702" s="1"/>
      <c r="C702" s="1"/>
      <c r="D702" s="1"/>
      <c r="E702" s="136"/>
      <c r="F702" s="12"/>
      <c r="G702" s="145"/>
      <c r="H702" s="145"/>
      <c r="I702" s="3"/>
      <c r="J702" s="3"/>
      <c r="K702" s="3"/>
      <c r="L702" s="3"/>
      <c r="M702" s="3"/>
      <c r="N702" s="3"/>
      <c r="O702" s="3"/>
      <c r="P702" s="3"/>
      <c r="Q702" s="3"/>
      <c r="R702" s="3"/>
      <c r="S702" s="3"/>
      <c r="T702" s="3"/>
      <c r="U702" s="3"/>
      <c r="V702" s="3"/>
      <c r="W702" s="3"/>
      <c r="X702" s="3"/>
      <c r="Y702" s="3"/>
      <c r="Z702" s="3"/>
    </row>
    <row r="703" spans="1:26" ht="14.25" customHeight="1">
      <c r="A703" s="1"/>
      <c r="B703" s="1"/>
      <c r="C703" s="1"/>
      <c r="D703" s="1"/>
      <c r="E703" s="136"/>
      <c r="F703" s="12"/>
      <c r="G703" s="145"/>
      <c r="H703" s="145"/>
      <c r="I703" s="3"/>
      <c r="J703" s="3"/>
      <c r="K703" s="3"/>
      <c r="L703" s="3"/>
      <c r="M703" s="3"/>
      <c r="N703" s="3"/>
      <c r="O703" s="3"/>
      <c r="P703" s="3"/>
      <c r="Q703" s="3"/>
      <c r="R703" s="3"/>
      <c r="S703" s="3"/>
      <c r="T703" s="3"/>
      <c r="U703" s="3"/>
      <c r="V703" s="3"/>
      <c r="W703" s="3"/>
      <c r="X703" s="3"/>
      <c r="Y703" s="3"/>
      <c r="Z703" s="3"/>
    </row>
    <row r="704" spans="1:26" ht="14.25" customHeight="1">
      <c r="A704" s="1"/>
      <c r="B704" s="1"/>
      <c r="C704" s="1"/>
      <c r="D704" s="1"/>
      <c r="E704" s="136"/>
      <c r="F704" s="12"/>
      <c r="G704" s="145"/>
      <c r="H704" s="145"/>
      <c r="I704" s="3"/>
      <c r="J704" s="3"/>
      <c r="K704" s="3"/>
      <c r="L704" s="3"/>
      <c r="M704" s="3"/>
      <c r="N704" s="3"/>
      <c r="O704" s="3"/>
      <c r="P704" s="3"/>
      <c r="Q704" s="3"/>
      <c r="R704" s="3"/>
      <c r="S704" s="3"/>
      <c r="T704" s="3"/>
      <c r="U704" s="3"/>
      <c r="V704" s="3"/>
      <c r="W704" s="3"/>
      <c r="X704" s="3"/>
      <c r="Y704" s="3"/>
      <c r="Z704" s="3"/>
    </row>
    <row r="705" spans="1:26" ht="14.25" customHeight="1">
      <c r="A705" s="1"/>
      <c r="B705" s="1"/>
      <c r="C705" s="1"/>
      <c r="D705" s="1"/>
      <c r="E705" s="136"/>
      <c r="F705" s="12"/>
      <c r="G705" s="145"/>
      <c r="H705" s="145"/>
      <c r="I705" s="3"/>
      <c r="J705" s="3"/>
      <c r="K705" s="3"/>
      <c r="L705" s="3"/>
      <c r="M705" s="3"/>
      <c r="N705" s="3"/>
      <c r="O705" s="3"/>
      <c r="P705" s="3"/>
      <c r="Q705" s="3"/>
      <c r="R705" s="3"/>
      <c r="S705" s="3"/>
      <c r="T705" s="3"/>
      <c r="U705" s="3"/>
      <c r="V705" s="3"/>
      <c r="W705" s="3"/>
      <c r="X705" s="3"/>
      <c r="Y705" s="3"/>
      <c r="Z705" s="3"/>
    </row>
    <row r="706" spans="1:26" ht="14.25" customHeight="1">
      <c r="A706" s="1"/>
      <c r="B706" s="1"/>
      <c r="C706" s="1"/>
      <c r="D706" s="1"/>
      <c r="E706" s="136"/>
      <c r="F706" s="12"/>
      <c r="G706" s="145"/>
      <c r="H706" s="145"/>
      <c r="I706" s="3"/>
      <c r="J706" s="3"/>
      <c r="K706" s="3"/>
      <c r="L706" s="3"/>
      <c r="M706" s="3"/>
      <c r="N706" s="3"/>
      <c r="O706" s="3"/>
      <c r="P706" s="3"/>
      <c r="Q706" s="3"/>
      <c r="R706" s="3"/>
      <c r="S706" s="3"/>
      <c r="T706" s="3"/>
      <c r="U706" s="3"/>
      <c r="V706" s="3"/>
      <c r="W706" s="3"/>
      <c r="X706" s="3"/>
      <c r="Y706" s="3"/>
      <c r="Z706" s="3"/>
    </row>
    <row r="707" spans="1:26" ht="14.25" customHeight="1">
      <c r="A707" s="1"/>
      <c r="B707" s="1"/>
      <c r="C707" s="1"/>
      <c r="D707" s="1"/>
      <c r="E707" s="136"/>
      <c r="F707" s="12"/>
      <c r="G707" s="145"/>
      <c r="H707" s="145"/>
      <c r="I707" s="3"/>
      <c r="J707" s="3"/>
      <c r="K707" s="3"/>
      <c r="L707" s="3"/>
      <c r="M707" s="3"/>
      <c r="N707" s="3"/>
      <c r="O707" s="3"/>
      <c r="P707" s="3"/>
      <c r="Q707" s="3"/>
      <c r="R707" s="3"/>
      <c r="S707" s="3"/>
      <c r="T707" s="3"/>
      <c r="U707" s="3"/>
      <c r="V707" s="3"/>
      <c r="W707" s="3"/>
      <c r="X707" s="3"/>
      <c r="Y707" s="3"/>
      <c r="Z707" s="3"/>
    </row>
    <row r="708" spans="1:26" ht="14.25" customHeight="1">
      <c r="A708" s="1"/>
      <c r="B708" s="1"/>
      <c r="C708" s="1"/>
      <c r="D708" s="1"/>
      <c r="E708" s="136"/>
      <c r="F708" s="12"/>
      <c r="G708" s="145"/>
      <c r="H708" s="145"/>
      <c r="I708" s="3"/>
      <c r="J708" s="3"/>
      <c r="K708" s="3"/>
      <c r="L708" s="3"/>
      <c r="M708" s="3"/>
      <c r="N708" s="3"/>
      <c r="O708" s="3"/>
      <c r="P708" s="3"/>
      <c r="Q708" s="3"/>
      <c r="R708" s="3"/>
      <c r="S708" s="3"/>
      <c r="T708" s="3"/>
      <c r="U708" s="3"/>
      <c r="V708" s="3"/>
      <c r="W708" s="3"/>
      <c r="X708" s="3"/>
      <c r="Y708" s="3"/>
      <c r="Z708" s="3"/>
    </row>
    <row r="709" spans="1:26" ht="14.25" customHeight="1">
      <c r="A709" s="1"/>
      <c r="B709" s="1"/>
      <c r="C709" s="1"/>
      <c r="D709" s="1"/>
      <c r="E709" s="136"/>
      <c r="F709" s="12"/>
      <c r="G709" s="145"/>
      <c r="H709" s="145"/>
      <c r="I709" s="3"/>
      <c r="J709" s="3"/>
      <c r="K709" s="3"/>
      <c r="L709" s="3"/>
      <c r="M709" s="3"/>
      <c r="N709" s="3"/>
      <c r="O709" s="3"/>
      <c r="P709" s="3"/>
      <c r="Q709" s="3"/>
      <c r="R709" s="3"/>
      <c r="S709" s="3"/>
      <c r="T709" s="3"/>
      <c r="U709" s="3"/>
      <c r="V709" s="3"/>
      <c r="W709" s="3"/>
      <c r="X709" s="3"/>
      <c r="Y709" s="3"/>
      <c r="Z709" s="3"/>
    </row>
    <row r="710" spans="1:26" ht="14.25" customHeight="1">
      <c r="A710" s="1"/>
      <c r="B710" s="1"/>
      <c r="C710" s="1"/>
      <c r="D710" s="1"/>
      <c r="E710" s="136"/>
      <c r="F710" s="12"/>
      <c r="G710" s="145"/>
      <c r="H710" s="145"/>
      <c r="I710" s="3"/>
      <c r="J710" s="3"/>
      <c r="K710" s="3"/>
      <c r="L710" s="3"/>
      <c r="M710" s="3"/>
      <c r="N710" s="3"/>
      <c r="O710" s="3"/>
      <c r="P710" s="3"/>
      <c r="Q710" s="3"/>
      <c r="R710" s="3"/>
      <c r="S710" s="3"/>
      <c r="T710" s="3"/>
      <c r="U710" s="3"/>
      <c r="V710" s="3"/>
      <c r="W710" s="3"/>
      <c r="X710" s="3"/>
      <c r="Y710" s="3"/>
      <c r="Z710" s="3"/>
    </row>
    <row r="711" spans="1:26" ht="14.25" customHeight="1">
      <c r="A711" s="1"/>
      <c r="B711" s="1"/>
      <c r="C711" s="1"/>
      <c r="D711" s="1"/>
      <c r="E711" s="136"/>
      <c r="F711" s="12"/>
      <c r="G711" s="145"/>
      <c r="H711" s="145"/>
      <c r="I711" s="3"/>
      <c r="J711" s="3"/>
      <c r="K711" s="3"/>
      <c r="L711" s="3"/>
      <c r="M711" s="3"/>
      <c r="N711" s="3"/>
      <c r="O711" s="3"/>
      <c r="P711" s="3"/>
      <c r="Q711" s="3"/>
      <c r="R711" s="3"/>
      <c r="S711" s="3"/>
      <c r="T711" s="3"/>
      <c r="U711" s="3"/>
      <c r="V711" s="3"/>
      <c r="W711" s="3"/>
      <c r="X711" s="3"/>
      <c r="Y711" s="3"/>
      <c r="Z711" s="3"/>
    </row>
    <row r="712" spans="1:26" ht="14.25" customHeight="1">
      <c r="A712" s="1"/>
      <c r="B712" s="1"/>
      <c r="C712" s="1"/>
      <c r="D712" s="1"/>
      <c r="E712" s="136"/>
      <c r="F712" s="12"/>
      <c r="G712" s="145"/>
      <c r="H712" s="145"/>
      <c r="I712" s="3"/>
      <c r="J712" s="3"/>
      <c r="K712" s="3"/>
      <c r="L712" s="3"/>
      <c r="M712" s="3"/>
      <c r="N712" s="3"/>
      <c r="O712" s="3"/>
      <c r="P712" s="3"/>
      <c r="Q712" s="3"/>
      <c r="R712" s="3"/>
      <c r="S712" s="3"/>
      <c r="T712" s="3"/>
      <c r="U712" s="3"/>
      <c r="V712" s="3"/>
      <c r="W712" s="3"/>
      <c r="X712" s="3"/>
      <c r="Y712" s="3"/>
      <c r="Z712" s="3"/>
    </row>
    <row r="713" spans="1:26" ht="14.25" customHeight="1">
      <c r="A713" s="1"/>
      <c r="B713" s="1"/>
      <c r="C713" s="1"/>
      <c r="D713" s="1"/>
      <c r="E713" s="136"/>
      <c r="F713" s="12"/>
      <c r="G713" s="145"/>
      <c r="H713" s="145"/>
      <c r="I713" s="3"/>
      <c r="J713" s="3"/>
      <c r="K713" s="3"/>
      <c r="L713" s="3"/>
      <c r="M713" s="3"/>
      <c r="N713" s="3"/>
      <c r="O713" s="3"/>
      <c r="P713" s="3"/>
      <c r="Q713" s="3"/>
      <c r="R713" s="3"/>
      <c r="S713" s="3"/>
      <c r="T713" s="3"/>
      <c r="U713" s="3"/>
      <c r="V713" s="3"/>
      <c r="W713" s="3"/>
      <c r="X713" s="3"/>
      <c r="Y713" s="3"/>
      <c r="Z713" s="3"/>
    </row>
    <row r="714" spans="1:26" ht="14.25" customHeight="1">
      <c r="A714" s="1"/>
      <c r="B714" s="1"/>
      <c r="C714" s="1"/>
      <c r="D714" s="1"/>
      <c r="E714" s="136"/>
      <c r="F714" s="12"/>
      <c r="G714" s="145"/>
      <c r="H714" s="145"/>
      <c r="I714" s="3"/>
      <c r="J714" s="3"/>
      <c r="K714" s="3"/>
      <c r="L714" s="3"/>
      <c r="M714" s="3"/>
      <c r="N714" s="3"/>
      <c r="O714" s="3"/>
      <c r="P714" s="3"/>
      <c r="Q714" s="3"/>
      <c r="R714" s="3"/>
      <c r="S714" s="3"/>
      <c r="T714" s="3"/>
      <c r="U714" s="3"/>
      <c r="V714" s="3"/>
      <c r="W714" s="3"/>
      <c r="X714" s="3"/>
      <c r="Y714" s="3"/>
      <c r="Z714" s="3"/>
    </row>
    <row r="715" spans="1:26" ht="14.25" customHeight="1">
      <c r="A715" s="1"/>
      <c r="B715" s="1"/>
      <c r="C715" s="1"/>
      <c r="D715" s="1"/>
      <c r="E715" s="136"/>
      <c r="F715" s="12"/>
      <c r="G715" s="145"/>
      <c r="H715" s="145"/>
      <c r="I715" s="3"/>
      <c r="J715" s="3"/>
      <c r="K715" s="3"/>
      <c r="L715" s="3"/>
      <c r="M715" s="3"/>
      <c r="N715" s="3"/>
      <c r="O715" s="3"/>
      <c r="P715" s="3"/>
      <c r="Q715" s="3"/>
      <c r="R715" s="3"/>
      <c r="S715" s="3"/>
      <c r="T715" s="3"/>
      <c r="U715" s="3"/>
      <c r="V715" s="3"/>
      <c r="W715" s="3"/>
      <c r="X715" s="3"/>
      <c r="Y715" s="3"/>
      <c r="Z715" s="3"/>
    </row>
    <row r="716" spans="1:26" ht="14.25" customHeight="1">
      <c r="A716" s="1"/>
      <c r="B716" s="1"/>
      <c r="C716" s="1"/>
      <c r="D716" s="1"/>
      <c r="E716" s="136"/>
      <c r="F716" s="12"/>
      <c r="G716" s="145"/>
      <c r="H716" s="145"/>
      <c r="I716" s="3"/>
      <c r="J716" s="3"/>
      <c r="K716" s="3"/>
      <c r="L716" s="3"/>
      <c r="M716" s="3"/>
      <c r="N716" s="3"/>
      <c r="O716" s="3"/>
      <c r="P716" s="3"/>
      <c r="Q716" s="3"/>
      <c r="R716" s="3"/>
      <c r="S716" s="3"/>
      <c r="T716" s="3"/>
      <c r="U716" s="3"/>
      <c r="V716" s="3"/>
      <c r="W716" s="3"/>
      <c r="X716" s="3"/>
      <c r="Y716" s="3"/>
      <c r="Z716" s="3"/>
    </row>
    <row r="717" spans="1:26" ht="14.25" customHeight="1">
      <c r="A717" s="1"/>
      <c r="B717" s="1"/>
      <c r="C717" s="1"/>
      <c r="D717" s="1"/>
      <c r="E717" s="136"/>
      <c r="F717" s="12"/>
      <c r="G717" s="145"/>
      <c r="H717" s="145"/>
      <c r="I717" s="3"/>
      <c r="J717" s="3"/>
      <c r="K717" s="3"/>
      <c r="L717" s="3"/>
      <c r="M717" s="3"/>
      <c r="N717" s="3"/>
      <c r="O717" s="3"/>
      <c r="P717" s="3"/>
      <c r="Q717" s="3"/>
      <c r="R717" s="3"/>
      <c r="S717" s="3"/>
      <c r="T717" s="3"/>
      <c r="U717" s="3"/>
      <c r="V717" s="3"/>
      <c r="W717" s="3"/>
      <c r="X717" s="3"/>
      <c r="Y717" s="3"/>
      <c r="Z717" s="3"/>
    </row>
    <row r="718" spans="1:26" ht="14.25" customHeight="1">
      <c r="A718" s="1"/>
      <c r="B718" s="1"/>
      <c r="C718" s="1"/>
      <c r="D718" s="1"/>
      <c r="E718" s="136"/>
      <c r="F718" s="12"/>
      <c r="G718" s="145"/>
      <c r="H718" s="145"/>
      <c r="I718" s="3"/>
      <c r="J718" s="3"/>
      <c r="K718" s="3"/>
      <c r="L718" s="3"/>
      <c r="M718" s="3"/>
      <c r="N718" s="3"/>
      <c r="O718" s="3"/>
      <c r="P718" s="3"/>
      <c r="Q718" s="3"/>
      <c r="R718" s="3"/>
      <c r="S718" s="3"/>
      <c r="T718" s="3"/>
      <c r="U718" s="3"/>
      <c r="V718" s="3"/>
      <c r="W718" s="3"/>
      <c r="X718" s="3"/>
      <c r="Y718" s="3"/>
      <c r="Z718" s="3"/>
    </row>
    <row r="719" spans="1:26" ht="14.25" customHeight="1">
      <c r="A719" s="1"/>
      <c r="B719" s="1"/>
      <c r="C719" s="1"/>
      <c r="D719" s="1"/>
      <c r="E719" s="136"/>
      <c r="F719" s="12"/>
      <c r="G719" s="145"/>
      <c r="H719" s="145"/>
      <c r="I719" s="3"/>
      <c r="J719" s="3"/>
      <c r="K719" s="3"/>
      <c r="L719" s="3"/>
      <c r="M719" s="3"/>
      <c r="N719" s="3"/>
      <c r="O719" s="3"/>
      <c r="P719" s="3"/>
      <c r="Q719" s="3"/>
      <c r="R719" s="3"/>
      <c r="S719" s="3"/>
      <c r="T719" s="3"/>
      <c r="U719" s="3"/>
      <c r="V719" s="3"/>
      <c r="W719" s="3"/>
      <c r="X719" s="3"/>
      <c r="Y719" s="3"/>
      <c r="Z719" s="3"/>
    </row>
    <row r="720" spans="1:26" ht="14.25" customHeight="1">
      <c r="A720" s="1"/>
      <c r="B720" s="1"/>
      <c r="C720" s="1"/>
      <c r="D720" s="1"/>
      <c r="E720" s="136"/>
      <c r="F720" s="12"/>
      <c r="G720" s="145"/>
      <c r="H720" s="145"/>
      <c r="I720" s="3"/>
      <c r="J720" s="3"/>
      <c r="K720" s="3"/>
      <c r="L720" s="3"/>
      <c r="M720" s="3"/>
      <c r="N720" s="3"/>
      <c r="O720" s="3"/>
      <c r="P720" s="3"/>
      <c r="Q720" s="3"/>
      <c r="R720" s="3"/>
      <c r="S720" s="3"/>
      <c r="T720" s="3"/>
      <c r="U720" s="3"/>
      <c r="V720" s="3"/>
      <c r="W720" s="3"/>
      <c r="X720" s="3"/>
      <c r="Y720" s="3"/>
      <c r="Z720" s="3"/>
    </row>
    <row r="721" spans="1:26" ht="14.25" customHeight="1">
      <c r="A721" s="1"/>
      <c r="B721" s="1"/>
      <c r="C721" s="1"/>
      <c r="D721" s="1"/>
      <c r="E721" s="136"/>
      <c r="F721" s="12"/>
      <c r="G721" s="145"/>
      <c r="H721" s="145"/>
      <c r="I721" s="3"/>
      <c r="J721" s="3"/>
      <c r="K721" s="3"/>
      <c r="L721" s="3"/>
      <c r="M721" s="3"/>
      <c r="N721" s="3"/>
      <c r="O721" s="3"/>
      <c r="P721" s="3"/>
      <c r="Q721" s="3"/>
      <c r="R721" s="3"/>
      <c r="S721" s="3"/>
      <c r="T721" s="3"/>
      <c r="U721" s="3"/>
      <c r="V721" s="3"/>
      <c r="W721" s="3"/>
      <c r="X721" s="3"/>
      <c r="Y721" s="3"/>
      <c r="Z721" s="3"/>
    </row>
    <row r="722" spans="1:26" ht="14.25" customHeight="1">
      <c r="A722" s="1"/>
      <c r="B722" s="1"/>
      <c r="C722" s="1"/>
      <c r="D722" s="1"/>
      <c r="E722" s="136"/>
      <c r="F722" s="12"/>
      <c r="G722" s="145"/>
      <c r="H722" s="145"/>
      <c r="I722" s="3"/>
      <c r="J722" s="3"/>
      <c r="K722" s="3"/>
      <c r="L722" s="3"/>
      <c r="M722" s="3"/>
      <c r="N722" s="3"/>
      <c r="O722" s="3"/>
      <c r="P722" s="3"/>
      <c r="Q722" s="3"/>
      <c r="R722" s="3"/>
      <c r="S722" s="3"/>
      <c r="T722" s="3"/>
      <c r="U722" s="3"/>
      <c r="V722" s="3"/>
      <c r="W722" s="3"/>
      <c r="X722" s="3"/>
      <c r="Y722" s="3"/>
      <c r="Z722" s="3"/>
    </row>
    <row r="723" spans="1:26" ht="14.25" customHeight="1">
      <c r="A723" s="1"/>
      <c r="B723" s="1"/>
      <c r="C723" s="1"/>
      <c r="D723" s="1"/>
      <c r="E723" s="136"/>
      <c r="F723" s="12"/>
      <c r="G723" s="145"/>
      <c r="H723" s="145"/>
      <c r="I723" s="3"/>
      <c r="J723" s="3"/>
      <c r="K723" s="3"/>
      <c r="L723" s="3"/>
      <c r="M723" s="3"/>
      <c r="N723" s="3"/>
      <c r="O723" s="3"/>
      <c r="P723" s="3"/>
      <c r="Q723" s="3"/>
      <c r="R723" s="3"/>
      <c r="S723" s="3"/>
      <c r="T723" s="3"/>
      <c r="U723" s="3"/>
      <c r="V723" s="3"/>
      <c r="W723" s="3"/>
      <c r="X723" s="3"/>
      <c r="Y723" s="3"/>
      <c r="Z723" s="3"/>
    </row>
    <row r="724" spans="1:26" ht="14.25" customHeight="1">
      <c r="A724" s="1"/>
      <c r="B724" s="1"/>
      <c r="C724" s="1"/>
      <c r="D724" s="1"/>
      <c r="E724" s="136"/>
      <c r="F724" s="12"/>
      <c r="G724" s="145"/>
      <c r="H724" s="145"/>
      <c r="I724" s="3"/>
      <c r="J724" s="3"/>
      <c r="K724" s="3"/>
      <c r="L724" s="3"/>
      <c r="M724" s="3"/>
      <c r="N724" s="3"/>
      <c r="O724" s="3"/>
      <c r="P724" s="3"/>
      <c r="Q724" s="3"/>
      <c r="R724" s="3"/>
      <c r="S724" s="3"/>
      <c r="T724" s="3"/>
      <c r="U724" s="3"/>
      <c r="V724" s="3"/>
      <c r="W724" s="3"/>
      <c r="X724" s="3"/>
      <c r="Y724" s="3"/>
      <c r="Z724" s="3"/>
    </row>
    <row r="725" spans="1:26" ht="14.25" customHeight="1">
      <c r="A725" s="1"/>
      <c r="B725" s="1"/>
      <c r="C725" s="1"/>
      <c r="D725" s="1"/>
      <c r="E725" s="136"/>
      <c r="F725" s="12"/>
      <c r="G725" s="145"/>
      <c r="H725" s="145"/>
      <c r="I725" s="3"/>
      <c r="J725" s="3"/>
      <c r="K725" s="3"/>
      <c r="L725" s="3"/>
      <c r="M725" s="3"/>
      <c r="N725" s="3"/>
      <c r="O725" s="3"/>
      <c r="P725" s="3"/>
      <c r="Q725" s="3"/>
      <c r="R725" s="3"/>
      <c r="S725" s="3"/>
      <c r="T725" s="3"/>
      <c r="U725" s="3"/>
      <c r="V725" s="3"/>
      <c r="W725" s="3"/>
      <c r="X725" s="3"/>
      <c r="Y725" s="3"/>
      <c r="Z725" s="3"/>
    </row>
    <row r="726" spans="1:26" ht="14.25" customHeight="1">
      <c r="A726" s="1"/>
      <c r="B726" s="1"/>
      <c r="C726" s="1"/>
      <c r="D726" s="1"/>
      <c r="E726" s="136"/>
      <c r="F726" s="12"/>
      <c r="G726" s="145"/>
      <c r="H726" s="145"/>
      <c r="I726" s="3"/>
      <c r="J726" s="3"/>
      <c r="K726" s="3"/>
      <c r="L726" s="3"/>
      <c r="M726" s="3"/>
      <c r="N726" s="3"/>
      <c r="O726" s="3"/>
      <c r="P726" s="3"/>
      <c r="Q726" s="3"/>
      <c r="R726" s="3"/>
      <c r="S726" s="3"/>
      <c r="T726" s="3"/>
      <c r="U726" s="3"/>
      <c r="V726" s="3"/>
      <c r="W726" s="3"/>
      <c r="X726" s="3"/>
      <c r="Y726" s="3"/>
      <c r="Z726" s="3"/>
    </row>
    <row r="727" spans="1:26" ht="14.25" customHeight="1">
      <c r="A727" s="1"/>
      <c r="B727" s="1"/>
      <c r="C727" s="1"/>
      <c r="D727" s="1"/>
      <c r="E727" s="136"/>
      <c r="F727" s="12"/>
      <c r="G727" s="145"/>
      <c r="H727" s="145"/>
      <c r="I727" s="3"/>
      <c r="J727" s="3"/>
      <c r="K727" s="3"/>
      <c r="L727" s="3"/>
      <c r="M727" s="3"/>
      <c r="N727" s="3"/>
      <c r="O727" s="3"/>
      <c r="P727" s="3"/>
      <c r="Q727" s="3"/>
      <c r="R727" s="3"/>
      <c r="S727" s="3"/>
      <c r="T727" s="3"/>
      <c r="U727" s="3"/>
      <c r="V727" s="3"/>
      <c r="W727" s="3"/>
      <c r="X727" s="3"/>
      <c r="Y727" s="3"/>
      <c r="Z727" s="3"/>
    </row>
    <row r="728" spans="1:26" ht="14.25" customHeight="1">
      <c r="A728" s="1"/>
      <c r="B728" s="1"/>
      <c r="C728" s="1"/>
      <c r="D728" s="1"/>
      <c r="E728" s="136"/>
      <c r="F728" s="12"/>
      <c r="G728" s="145"/>
      <c r="H728" s="145"/>
      <c r="I728" s="3"/>
      <c r="J728" s="3"/>
      <c r="K728" s="3"/>
      <c r="L728" s="3"/>
      <c r="M728" s="3"/>
      <c r="N728" s="3"/>
      <c r="O728" s="3"/>
      <c r="P728" s="3"/>
      <c r="Q728" s="3"/>
      <c r="R728" s="3"/>
      <c r="S728" s="3"/>
      <c r="T728" s="3"/>
      <c r="U728" s="3"/>
      <c r="V728" s="3"/>
      <c r="W728" s="3"/>
      <c r="X728" s="3"/>
      <c r="Y728" s="3"/>
      <c r="Z728" s="3"/>
    </row>
    <row r="729" spans="1:26" ht="14.25" customHeight="1">
      <c r="A729" s="1"/>
      <c r="B729" s="1"/>
      <c r="C729" s="1"/>
      <c r="D729" s="1"/>
      <c r="E729" s="136"/>
      <c r="F729" s="12"/>
      <c r="G729" s="145"/>
      <c r="H729" s="145"/>
      <c r="I729" s="3"/>
      <c r="J729" s="3"/>
      <c r="K729" s="3"/>
      <c r="L729" s="3"/>
      <c r="M729" s="3"/>
      <c r="N729" s="3"/>
      <c r="O729" s="3"/>
      <c r="P729" s="3"/>
      <c r="Q729" s="3"/>
      <c r="R729" s="3"/>
      <c r="S729" s="3"/>
      <c r="T729" s="3"/>
      <c r="U729" s="3"/>
      <c r="V729" s="3"/>
      <c r="W729" s="3"/>
      <c r="X729" s="3"/>
      <c r="Y729" s="3"/>
      <c r="Z729" s="3"/>
    </row>
    <row r="730" spans="1:26" ht="14.25" customHeight="1">
      <c r="A730" s="1"/>
      <c r="B730" s="1"/>
      <c r="C730" s="1"/>
      <c r="D730" s="1"/>
      <c r="E730" s="136"/>
      <c r="F730" s="12"/>
      <c r="G730" s="145"/>
      <c r="H730" s="145"/>
      <c r="I730" s="3"/>
      <c r="J730" s="3"/>
      <c r="K730" s="3"/>
      <c r="L730" s="3"/>
      <c r="M730" s="3"/>
      <c r="N730" s="3"/>
      <c r="O730" s="3"/>
      <c r="P730" s="3"/>
      <c r="Q730" s="3"/>
      <c r="R730" s="3"/>
      <c r="S730" s="3"/>
      <c r="T730" s="3"/>
      <c r="U730" s="3"/>
      <c r="V730" s="3"/>
      <c r="W730" s="3"/>
      <c r="X730" s="3"/>
      <c r="Y730" s="3"/>
      <c r="Z730" s="3"/>
    </row>
    <row r="731" spans="1:26" ht="14.25" customHeight="1">
      <c r="A731" s="1"/>
      <c r="B731" s="1"/>
      <c r="C731" s="1"/>
      <c r="D731" s="1"/>
      <c r="E731" s="136"/>
      <c r="F731" s="12"/>
      <c r="G731" s="145"/>
      <c r="H731" s="145"/>
      <c r="I731" s="3"/>
      <c r="J731" s="3"/>
      <c r="K731" s="3"/>
      <c r="L731" s="3"/>
      <c r="M731" s="3"/>
      <c r="N731" s="3"/>
      <c r="O731" s="3"/>
      <c r="P731" s="3"/>
      <c r="Q731" s="3"/>
      <c r="R731" s="3"/>
      <c r="S731" s="3"/>
      <c r="T731" s="3"/>
      <c r="U731" s="3"/>
      <c r="V731" s="3"/>
      <c r="W731" s="3"/>
      <c r="X731" s="3"/>
      <c r="Y731" s="3"/>
      <c r="Z731" s="3"/>
    </row>
    <row r="732" spans="1:26" ht="14.25" customHeight="1">
      <c r="A732" s="1"/>
      <c r="B732" s="1"/>
      <c r="C732" s="1"/>
      <c r="D732" s="1"/>
      <c r="E732" s="136"/>
      <c r="F732" s="12"/>
      <c r="G732" s="145"/>
      <c r="H732" s="145"/>
      <c r="I732" s="3"/>
      <c r="J732" s="3"/>
      <c r="K732" s="3"/>
      <c r="L732" s="3"/>
      <c r="M732" s="3"/>
      <c r="N732" s="3"/>
      <c r="O732" s="3"/>
      <c r="P732" s="3"/>
      <c r="Q732" s="3"/>
      <c r="R732" s="3"/>
      <c r="S732" s="3"/>
      <c r="T732" s="3"/>
      <c r="U732" s="3"/>
      <c r="V732" s="3"/>
      <c r="W732" s="3"/>
      <c r="X732" s="3"/>
      <c r="Y732" s="3"/>
      <c r="Z732" s="3"/>
    </row>
    <row r="733" spans="1:26" ht="14.25" customHeight="1">
      <c r="A733" s="1"/>
      <c r="B733" s="1"/>
      <c r="C733" s="1"/>
      <c r="D733" s="1"/>
      <c r="E733" s="136"/>
      <c r="F733" s="12"/>
      <c r="G733" s="145"/>
      <c r="H733" s="145"/>
      <c r="I733" s="3"/>
      <c r="J733" s="3"/>
      <c r="K733" s="3"/>
      <c r="L733" s="3"/>
      <c r="M733" s="3"/>
      <c r="N733" s="3"/>
      <c r="O733" s="3"/>
      <c r="P733" s="3"/>
      <c r="Q733" s="3"/>
      <c r="R733" s="3"/>
      <c r="S733" s="3"/>
      <c r="T733" s="3"/>
      <c r="U733" s="3"/>
      <c r="V733" s="3"/>
      <c r="W733" s="3"/>
      <c r="X733" s="3"/>
      <c r="Y733" s="3"/>
      <c r="Z733" s="3"/>
    </row>
    <row r="734" spans="1:26" ht="14.25" customHeight="1">
      <c r="A734" s="1"/>
      <c r="B734" s="1"/>
      <c r="C734" s="1"/>
      <c r="D734" s="1"/>
      <c r="E734" s="136"/>
      <c r="F734" s="12"/>
      <c r="G734" s="145"/>
      <c r="H734" s="145"/>
      <c r="I734" s="3"/>
      <c r="J734" s="3"/>
      <c r="K734" s="3"/>
      <c r="L734" s="3"/>
      <c r="M734" s="3"/>
      <c r="N734" s="3"/>
      <c r="O734" s="3"/>
      <c r="P734" s="3"/>
      <c r="Q734" s="3"/>
      <c r="R734" s="3"/>
      <c r="S734" s="3"/>
      <c r="T734" s="3"/>
      <c r="U734" s="3"/>
      <c r="V734" s="3"/>
      <c r="W734" s="3"/>
      <c r="X734" s="3"/>
      <c r="Y734" s="3"/>
      <c r="Z734" s="3"/>
    </row>
    <row r="735" spans="1:26" ht="14.25" customHeight="1">
      <c r="A735" s="1"/>
      <c r="B735" s="1"/>
      <c r="C735" s="1"/>
      <c r="D735" s="1"/>
      <c r="E735" s="136"/>
      <c r="F735" s="12"/>
      <c r="G735" s="145"/>
      <c r="H735" s="145"/>
      <c r="I735" s="3"/>
      <c r="J735" s="3"/>
      <c r="K735" s="3"/>
      <c r="L735" s="3"/>
      <c r="M735" s="3"/>
      <c r="N735" s="3"/>
      <c r="O735" s="3"/>
      <c r="P735" s="3"/>
      <c r="Q735" s="3"/>
      <c r="R735" s="3"/>
      <c r="S735" s="3"/>
      <c r="T735" s="3"/>
      <c r="U735" s="3"/>
      <c r="V735" s="3"/>
      <c r="W735" s="3"/>
      <c r="X735" s="3"/>
      <c r="Y735" s="3"/>
      <c r="Z735" s="3"/>
    </row>
    <row r="736" spans="1:26" ht="14.25" customHeight="1">
      <c r="A736" s="1"/>
      <c r="B736" s="1"/>
      <c r="C736" s="1"/>
      <c r="D736" s="1"/>
      <c r="E736" s="136"/>
      <c r="F736" s="12"/>
      <c r="G736" s="145"/>
      <c r="H736" s="145"/>
      <c r="I736" s="3"/>
      <c r="J736" s="3"/>
      <c r="K736" s="3"/>
      <c r="L736" s="3"/>
      <c r="M736" s="3"/>
      <c r="N736" s="3"/>
      <c r="O736" s="3"/>
      <c r="P736" s="3"/>
      <c r="Q736" s="3"/>
      <c r="R736" s="3"/>
      <c r="S736" s="3"/>
      <c r="T736" s="3"/>
      <c r="U736" s="3"/>
      <c r="V736" s="3"/>
      <c r="W736" s="3"/>
      <c r="X736" s="3"/>
      <c r="Y736" s="3"/>
      <c r="Z736" s="3"/>
    </row>
    <row r="737" spans="1:26" ht="14.25" customHeight="1">
      <c r="A737" s="1"/>
      <c r="B737" s="1"/>
      <c r="C737" s="1"/>
      <c r="D737" s="1"/>
      <c r="E737" s="136"/>
      <c r="F737" s="12"/>
      <c r="G737" s="145"/>
      <c r="H737" s="145"/>
      <c r="I737" s="3"/>
      <c r="J737" s="3"/>
      <c r="K737" s="3"/>
      <c r="L737" s="3"/>
      <c r="M737" s="3"/>
      <c r="N737" s="3"/>
      <c r="O737" s="3"/>
      <c r="P737" s="3"/>
      <c r="Q737" s="3"/>
      <c r="R737" s="3"/>
      <c r="S737" s="3"/>
      <c r="T737" s="3"/>
      <c r="U737" s="3"/>
      <c r="V737" s="3"/>
      <c r="W737" s="3"/>
      <c r="X737" s="3"/>
      <c r="Y737" s="3"/>
      <c r="Z737" s="3"/>
    </row>
    <row r="738" spans="1:26" ht="14.25" customHeight="1">
      <c r="A738" s="1"/>
      <c r="B738" s="1"/>
      <c r="C738" s="1"/>
      <c r="D738" s="1"/>
      <c r="E738" s="136"/>
      <c r="F738" s="12"/>
      <c r="G738" s="145"/>
      <c r="H738" s="145"/>
      <c r="I738" s="3"/>
      <c r="J738" s="3"/>
      <c r="K738" s="3"/>
      <c r="L738" s="3"/>
      <c r="M738" s="3"/>
      <c r="N738" s="3"/>
      <c r="O738" s="3"/>
      <c r="P738" s="3"/>
      <c r="Q738" s="3"/>
      <c r="R738" s="3"/>
      <c r="S738" s="3"/>
      <c r="T738" s="3"/>
      <c r="U738" s="3"/>
      <c r="V738" s="3"/>
      <c r="W738" s="3"/>
      <c r="X738" s="3"/>
      <c r="Y738" s="3"/>
      <c r="Z738" s="3"/>
    </row>
    <row r="739" spans="1:26" ht="14.25" customHeight="1">
      <c r="A739" s="1"/>
      <c r="B739" s="1"/>
      <c r="C739" s="1"/>
      <c r="D739" s="1"/>
      <c r="E739" s="136"/>
      <c r="F739" s="12"/>
      <c r="G739" s="145"/>
      <c r="H739" s="145"/>
      <c r="I739" s="3"/>
      <c r="J739" s="3"/>
      <c r="K739" s="3"/>
      <c r="L739" s="3"/>
      <c r="M739" s="3"/>
      <c r="N739" s="3"/>
      <c r="O739" s="3"/>
      <c r="P739" s="3"/>
      <c r="Q739" s="3"/>
      <c r="R739" s="3"/>
      <c r="S739" s="3"/>
      <c r="T739" s="3"/>
      <c r="U739" s="3"/>
      <c r="V739" s="3"/>
      <c r="W739" s="3"/>
      <c r="X739" s="3"/>
      <c r="Y739" s="3"/>
      <c r="Z739" s="3"/>
    </row>
    <row r="740" spans="1:26" ht="14.25" customHeight="1">
      <c r="A740" s="1"/>
      <c r="B740" s="1"/>
      <c r="C740" s="1"/>
      <c r="D740" s="1"/>
      <c r="E740" s="136"/>
      <c r="F740" s="12"/>
      <c r="G740" s="145"/>
      <c r="H740" s="145"/>
      <c r="I740" s="3"/>
      <c r="J740" s="3"/>
      <c r="K740" s="3"/>
      <c r="L740" s="3"/>
      <c r="M740" s="3"/>
      <c r="N740" s="3"/>
      <c r="O740" s="3"/>
      <c r="P740" s="3"/>
      <c r="Q740" s="3"/>
      <c r="R740" s="3"/>
      <c r="S740" s="3"/>
      <c r="T740" s="3"/>
      <c r="U740" s="3"/>
      <c r="V740" s="3"/>
      <c r="W740" s="3"/>
      <c r="X740" s="3"/>
      <c r="Y740" s="3"/>
      <c r="Z740" s="3"/>
    </row>
    <row r="741" spans="1:26" ht="14.25" customHeight="1">
      <c r="A741" s="1"/>
      <c r="B741" s="1"/>
      <c r="C741" s="1"/>
      <c r="D741" s="1"/>
      <c r="E741" s="136"/>
      <c r="F741" s="12"/>
      <c r="G741" s="145"/>
      <c r="H741" s="145"/>
      <c r="I741" s="3"/>
      <c r="J741" s="3"/>
      <c r="K741" s="3"/>
      <c r="L741" s="3"/>
      <c r="M741" s="3"/>
      <c r="N741" s="3"/>
      <c r="O741" s="3"/>
      <c r="P741" s="3"/>
      <c r="Q741" s="3"/>
      <c r="R741" s="3"/>
      <c r="S741" s="3"/>
      <c r="T741" s="3"/>
      <c r="U741" s="3"/>
      <c r="V741" s="3"/>
      <c r="W741" s="3"/>
      <c r="X741" s="3"/>
      <c r="Y741" s="3"/>
      <c r="Z741" s="3"/>
    </row>
    <row r="742" spans="1:26" ht="14.25" customHeight="1">
      <c r="A742" s="1"/>
      <c r="B742" s="1"/>
      <c r="C742" s="1"/>
      <c r="D742" s="1"/>
      <c r="E742" s="136"/>
      <c r="F742" s="12"/>
      <c r="G742" s="145"/>
      <c r="H742" s="145"/>
      <c r="I742" s="3"/>
      <c r="J742" s="3"/>
      <c r="K742" s="3"/>
      <c r="L742" s="3"/>
      <c r="M742" s="3"/>
      <c r="N742" s="3"/>
      <c r="O742" s="3"/>
      <c r="P742" s="3"/>
      <c r="Q742" s="3"/>
      <c r="R742" s="3"/>
      <c r="S742" s="3"/>
      <c r="T742" s="3"/>
      <c r="U742" s="3"/>
      <c r="V742" s="3"/>
      <c r="W742" s="3"/>
      <c r="X742" s="3"/>
      <c r="Y742" s="3"/>
      <c r="Z742" s="3"/>
    </row>
    <row r="743" spans="1:26" ht="14.25" customHeight="1">
      <c r="A743" s="1"/>
      <c r="B743" s="1"/>
      <c r="C743" s="1"/>
      <c r="D743" s="1"/>
      <c r="E743" s="136"/>
      <c r="F743" s="12"/>
      <c r="G743" s="145"/>
      <c r="H743" s="145"/>
      <c r="I743" s="3"/>
      <c r="J743" s="3"/>
      <c r="K743" s="3"/>
      <c r="L743" s="3"/>
      <c r="M743" s="3"/>
      <c r="N743" s="3"/>
      <c r="O743" s="3"/>
      <c r="P743" s="3"/>
      <c r="Q743" s="3"/>
      <c r="R743" s="3"/>
      <c r="S743" s="3"/>
      <c r="T743" s="3"/>
      <c r="U743" s="3"/>
      <c r="V743" s="3"/>
      <c r="W743" s="3"/>
      <c r="X743" s="3"/>
      <c r="Y743" s="3"/>
      <c r="Z743" s="3"/>
    </row>
    <row r="744" spans="1:26" ht="14.25" customHeight="1">
      <c r="A744" s="1"/>
      <c r="B744" s="1"/>
      <c r="C744" s="1"/>
      <c r="D744" s="1"/>
      <c r="E744" s="136"/>
      <c r="F744" s="12"/>
      <c r="G744" s="145"/>
      <c r="H744" s="145"/>
      <c r="I744" s="3"/>
      <c r="J744" s="3"/>
      <c r="K744" s="3"/>
      <c r="L744" s="3"/>
      <c r="M744" s="3"/>
      <c r="N744" s="3"/>
      <c r="O744" s="3"/>
      <c r="P744" s="3"/>
      <c r="Q744" s="3"/>
      <c r="R744" s="3"/>
      <c r="S744" s="3"/>
      <c r="T744" s="3"/>
      <c r="U744" s="3"/>
      <c r="V744" s="3"/>
      <c r="W744" s="3"/>
      <c r="X744" s="3"/>
      <c r="Y744" s="3"/>
      <c r="Z744" s="3"/>
    </row>
    <row r="745" spans="1:26" ht="14.25" customHeight="1">
      <c r="A745" s="1"/>
      <c r="B745" s="1"/>
      <c r="C745" s="1"/>
      <c r="D745" s="1"/>
      <c r="E745" s="136"/>
      <c r="F745" s="12"/>
      <c r="G745" s="145"/>
      <c r="H745" s="145"/>
      <c r="I745" s="3"/>
      <c r="J745" s="3"/>
      <c r="K745" s="3"/>
      <c r="L745" s="3"/>
      <c r="M745" s="3"/>
      <c r="N745" s="3"/>
      <c r="O745" s="3"/>
      <c r="P745" s="3"/>
      <c r="Q745" s="3"/>
      <c r="R745" s="3"/>
      <c r="S745" s="3"/>
      <c r="T745" s="3"/>
      <c r="U745" s="3"/>
      <c r="V745" s="3"/>
      <c r="W745" s="3"/>
      <c r="X745" s="3"/>
      <c r="Y745" s="3"/>
      <c r="Z745" s="3"/>
    </row>
    <row r="746" spans="1:26" ht="14.25" customHeight="1">
      <c r="A746" s="1"/>
      <c r="B746" s="1"/>
      <c r="C746" s="1"/>
      <c r="D746" s="1"/>
      <c r="E746" s="136"/>
      <c r="F746" s="12"/>
      <c r="G746" s="145"/>
      <c r="H746" s="145"/>
      <c r="I746" s="3"/>
      <c r="J746" s="3"/>
      <c r="K746" s="3"/>
      <c r="L746" s="3"/>
      <c r="M746" s="3"/>
      <c r="N746" s="3"/>
      <c r="O746" s="3"/>
      <c r="P746" s="3"/>
      <c r="Q746" s="3"/>
      <c r="R746" s="3"/>
      <c r="S746" s="3"/>
      <c r="T746" s="3"/>
      <c r="U746" s="3"/>
      <c r="V746" s="3"/>
      <c r="W746" s="3"/>
      <c r="X746" s="3"/>
      <c r="Y746" s="3"/>
      <c r="Z746" s="3"/>
    </row>
    <row r="747" spans="1:26" ht="14.25" customHeight="1">
      <c r="A747" s="1"/>
      <c r="B747" s="1"/>
      <c r="C747" s="1"/>
      <c r="D747" s="1"/>
      <c r="E747" s="136"/>
      <c r="F747" s="12"/>
      <c r="G747" s="145"/>
      <c r="H747" s="145"/>
      <c r="I747" s="3"/>
      <c r="J747" s="3"/>
      <c r="K747" s="3"/>
      <c r="L747" s="3"/>
      <c r="M747" s="3"/>
      <c r="N747" s="3"/>
      <c r="O747" s="3"/>
      <c r="P747" s="3"/>
      <c r="Q747" s="3"/>
      <c r="R747" s="3"/>
      <c r="S747" s="3"/>
      <c r="T747" s="3"/>
      <c r="U747" s="3"/>
      <c r="V747" s="3"/>
      <c r="W747" s="3"/>
      <c r="X747" s="3"/>
      <c r="Y747" s="3"/>
      <c r="Z747" s="3"/>
    </row>
    <row r="748" spans="1:26" ht="14.25" customHeight="1">
      <c r="A748" s="1"/>
      <c r="B748" s="1"/>
      <c r="C748" s="1"/>
      <c r="D748" s="1"/>
      <c r="E748" s="136"/>
      <c r="F748" s="12"/>
      <c r="G748" s="145"/>
      <c r="H748" s="145"/>
      <c r="I748" s="3"/>
      <c r="J748" s="3"/>
      <c r="K748" s="3"/>
      <c r="L748" s="3"/>
      <c r="M748" s="3"/>
      <c r="N748" s="3"/>
      <c r="O748" s="3"/>
      <c r="P748" s="3"/>
      <c r="Q748" s="3"/>
      <c r="R748" s="3"/>
      <c r="S748" s="3"/>
      <c r="T748" s="3"/>
      <c r="U748" s="3"/>
      <c r="V748" s="3"/>
      <c r="W748" s="3"/>
      <c r="X748" s="3"/>
      <c r="Y748" s="3"/>
      <c r="Z748" s="3"/>
    </row>
    <row r="749" spans="1:26" ht="14.25" customHeight="1">
      <c r="A749" s="1"/>
      <c r="B749" s="1"/>
      <c r="C749" s="1"/>
      <c r="D749" s="1"/>
      <c r="E749" s="136"/>
      <c r="F749" s="12"/>
      <c r="G749" s="145"/>
      <c r="H749" s="145"/>
      <c r="I749" s="3"/>
      <c r="J749" s="3"/>
      <c r="K749" s="3"/>
      <c r="L749" s="3"/>
      <c r="M749" s="3"/>
      <c r="N749" s="3"/>
      <c r="O749" s="3"/>
      <c r="P749" s="3"/>
      <c r="Q749" s="3"/>
      <c r="R749" s="3"/>
      <c r="S749" s="3"/>
      <c r="T749" s="3"/>
      <c r="U749" s="3"/>
      <c r="V749" s="3"/>
      <c r="W749" s="3"/>
      <c r="X749" s="3"/>
      <c r="Y749" s="3"/>
      <c r="Z749" s="3"/>
    </row>
    <row r="750" spans="1:26" ht="14.25" customHeight="1">
      <c r="A750" s="1"/>
      <c r="B750" s="1"/>
      <c r="C750" s="1"/>
      <c r="D750" s="1"/>
      <c r="E750" s="136"/>
      <c r="F750" s="12"/>
      <c r="G750" s="145"/>
      <c r="H750" s="145"/>
      <c r="I750" s="3"/>
      <c r="J750" s="3"/>
      <c r="K750" s="3"/>
      <c r="L750" s="3"/>
      <c r="M750" s="3"/>
      <c r="N750" s="3"/>
      <c r="O750" s="3"/>
      <c r="P750" s="3"/>
      <c r="Q750" s="3"/>
      <c r="R750" s="3"/>
      <c r="S750" s="3"/>
      <c r="T750" s="3"/>
      <c r="U750" s="3"/>
      <c r="V750" s="3"/>
      <c r="W750" s="3"/>
      <c r="X750" s="3"/>
      <c r="Y750" s="3"/>
      <c r="Z750" s="3"/>
    </row>
    <row r="751" spans="1:26" ht="14.25" customHeight="1">
      <c r="A751" s="1"/>
      <c r="B751" s="1"/>
      <c r="C751" s="1"/>
      <c r="D751" s="1"/>
      <c r="E751" s="136"/>
      <c r="F751" s="12"/>
      <c r="G751" s="145"/>
      <c r="H751" s="145"/>
      <c r="I751" s="3"/>
      <c r="J751" s="3"/>
      <c r="K751" s="3"/>
      <c r="L751" s="3"/>
      <c r="M751" s="3"/>
      <c r="N751" s="3"/>
      <c r="O751" s="3"/>
      <c r="P751" s="3"/>
      <c r="Q751" s="3"/>
      <c r="R751" s="3"/>
      <c r="S751" s="3"/>
      <c r="T751" s="3"/>
      <c r="U751" s="3"/>
      <c r="V751" s="3"/>
      <c r="W751" s="3"/>
      <c r="X751" s="3"/>
      <c r="Y751" s="3"/>
      <c r="Z751" s="3"/>
    </row>
    <row r="752" spans="1:26" ht="14.25" customHeight="1">
      <c r="A752" s="1"/>
      <c r="B752" s="1"/>
      <c r="C752" s="1"/>
      <c r="D752" s="1"/>
      <c r="E752" s="136"/>
      <c r="F752" s="12"/>
      <c r="G752" s="145"/>
      <c r="H752" s="145"/>
      <c r="I752" s="3"/>
      <c r="J752" s="3"/>
      <c r="K752" s="3"/>
      <c r="L752" s="3"/>
      <c r="M752" s="3"/>
      <c r="N752" s="3"/>
      <c r="O752" s="3"/>
      <c r="P752" s="3"/>
      <c r="Q752" s="3"/>
      <c r="R752" s="3"/>
      <c r="S752" s="3"/>
      <c r="T752" s="3"/>
      <c r="U752" s="3"/>
      <c r="V752" s="3"/>
      <c r="W752" s="3"/>
      <c r="X752" s="3"/>
      <c r="Y752" s="3"/>
      <c r="Z752" s="3"/>
    </row>
    <row r="753" spans="1:26" ht="14.25" customHeight="1">
      <c r="A753" s="1"/>
      <c r="B753" s="1"/>
      <c r="C753" s="1"/>
      <c r="D753" s="1"/>
      <c r="E753" s="136"/>
      <c r="F753" s="12"/>
      <c r="G753" s="145"/>
      <c r="H753" s="145"/>
      <c r="I753" s="3"/>
      <c r="J753" s="3"/>
      <c r="K753" s="3"/>
      <c r="L753" s="3"/>
      <c r="M753" s="3"/>
      <c r="N753" s="3"/>
      <c r="O753" s="3"/>
      <c r="P753" s="3"/>
      <c r="Q753" s="3"/>
      <c r="R753" s="3"/>
      <c r="S753" s="3"/>
      <c r="T753" s="3"/>
      <c r="U753" s="3"/>
      <c r="V753" s="3"/>
      <c r="W753" s="3"/>
      <c r="X753" s="3"/>
      <c r="Y753" s="3"/>
      <c r="Z753" s="3"/>
    </row>
    <row r="754" spans="1:26" ht="14.25" customHeight="1">
      <c r="A754" s="1"/>
      <c r="B754" s="1"/>
      <c r="C754" s="1"/>
      <c r="D754" s="1"/>
      <c r="E754" s="136"/>
      <c r="F754" s="12"/>
      <c r="G754" s="145"/>
      <c r="H754" s="145"/>
      <c r="I754" s="3"/>
      <c r="J754" s="3"/>
      <c r="K754" s="3"/>
      <c r="L754" s="3"/>
      <c r="M754" s="3"/>
      <c r="N754" s="3"/>
      <c r="O754" s="3"/>
      <c r="P754" s="3"/>
      <c r="Q754" s="3"/>
      <c r="R754" s="3"/>
      <c r="S754" s="3"/>
      <c r="T754" s="3"/>
      <c r="U754" s="3"/>
      <c r="V754" s="3"/>
      <c r="W754" s="3"/>
      <c r="X754" s="3"/>
      <c r="Y754" s="3"/>
      <c r="Z754" s="3"/>
    </row>
    <row r="755" spans="1:26" ht="14.25" customHeight="1">
      <c r="A755" s="1"/>
      <c r="B755" s="1"/>
      <c r="C755" s="1"/>
      <c r="D755" s="1"/>
      <c r="E755" s="136"/>
      <c r="F755" s="12"/>
      <c r="G755" s="145"/>
      <c r="H755" s="145"/>
      <c r="I755" s="3"/>
      <c r="J755" s="3"/>
      <c r="K755" s="3"/>
      <c r="L755" s="3"/>
      <c r="M755" s="3"/>
      <c r="N755" s="3"/>
      <c r="O755" s="3"/>
      <c r="P755" s="3"/>
      <c r="Q755" s="3"/>
      <c r="R755" s="3"/>
      <c r="S755" s="3"/>
      <c r="T755" s="3"/>
      <c r="U755" s="3"/>
      <c r="V755" s="3"/>
      <c r="W755" s="3"/>
      <c r="X755" s="3"/>
      <c r="Y755" s="3"/>
      <c r="Z755" s="3"/>
    </row>
    <row r="756" spans="1:26" ht="14.25" customHeight="1">
      <c r="A756" s="1"/>
      <c r="B756" s="1"/>
      <c r="C756" s="1"/>
      <c r="D756" s="1"/>
      <c r="E756" s="136"/>
      <c r="F756" s="12"/>
      <c r="G756" s="145"/>
      <c r="H756" s="145"/>
      <c r="I756" s="3"/>
      <c r="J756" s="3"/>
      <c r="K756" s="3"/>
      <c r="L756" s="3"/>
      <c r="M756" s="3"/>
      <c r="N756" s="3"/>
      <c r="O756" s="3"/>
      <c r="P756" s="3"/>
      <c r="Q756" s="3"/>
      <c r="R756" s="3"/>
      <c r="S756" s="3"/>
      <c r="T756" s="3"/>
      <c r="U756" s="3"/>
      <c r="V756" s="3"/>
      <c r="W756" s="3"/>
      <c r="X756" s="3"/>
      <c r="Y756" s="3"/>
      <c r="Z756" s="3"/>
    </row>
    <row r="757" spans="1:26" ht="14.25" customHeight="1">
      <c r="A757" s="1"/>
      <c r="B757" s="1"/>
      <c r="C757" s="1"/>
      <c r="D757" s="1"/>
      <c r="E757" s="136"/>
      <c r="F757" s="12"/>
      <c r="G757" s="145"/>
      <c r="H757" s="145"/>
      <c r="I757" s="3"/>
      <c r="J757" s="3"/>
      <c r="K757" s="3"/>
      <c r="L757" s="3"/>
      <c r="M757" s="3"/>
      <c r="N757" s="3"/>
      <c r="O757" s="3"/>
      <c r="P757" s="3"/>
      <c r="Q757" s="3"/>
      <c r="R757" s="3"/>
      <c r="S757" s="3"/>
      <c r="T757" s="3"/>
      <c r="U757" s="3"/>
      <c r="V757" s="3"/>
      <c r="W757" s="3"/>
      <c r="X757" s="3"/>
      <c r="Y757" s="3"/>
      <c r="Z757" s="3"/>
    </row>
    <row r="758" spans="1:26" ht="14.25" customHeight="1">
      <c r="A758" s="1"/>
      <c r="B758" s="1"/>
      <c r="C758" s="1"/>
      <c r="D758" s="1"/>
      <c r="E758" s="136"/>
      <c r="F758" s="12"/>
      <c r="G758" s="145"/>
      <c r="H758" s="145"/>
      <c r="I758" s="3"/>
      <c r="J758" s="3"/>
      <c r="K758" s="3"/>
      <c r="L758" s="3"/>
      <c r="M758" s="3"/>
      <c r="N758" s="3"/>
      <c r="O758" s="3"/>
      <c r="P758" s="3"/>
      <c r="Q758" s="3"/>
      <c r="R758" s="3"/>
      <c r="S758" s="3"/>
      <c r="T758" s="3"/>
      <c r="U758" s="3"/>
      <c r="V758" s="3"/>
      <c r="W758" s="3"/>
      <c r="X758" s="3"/>
      <c r="Y758" s="3"/>
      <c r="Z758" s="3"/>
    </row>
    <row r="759" spans="1:26" ht="14.25" customHeight="1">
      <c r="A759" s="1"/>
      <c r="B759" s="1"/>
      <c r="C759" s="1"/>
      <c r="D759" s="1"/>
      <c r="E759" s="136"/>
      <c r="F759" s="12"/>
      <c r="G759" s="145"/>
      <c r="H759" s="145"/>
      <c r="I759" s="3"/>
      <c r="J759" s="3"/>
      <c r="K759" s="3"/>
      <c r="L759" s="3"/>
      <c r="M759" s="3"/>
      <c r="N759" s="3"/>
      <c r="O759" s="3"/>
      <c r="P759" s="3"/>
      <c r="Q759" s="3"/>
      <c r="R759" s="3"/>
      <c r="S759" s="3"/>
      <c r="T759" s="3"/>
      <c r="U759" s="3"/>
      <c r="V759" s="3"/>
      <c r="W759" s="3"/>
      <c r="X759" s="3"/>
      <c r="Y759" s="3"/>
      <c r="Z759" s="3"/>
    </row>
    <row r="760" spans="1:26" ht="14.25" customHeight="1">
      <c r="A760" s="1"/>
      <c r="B760" s="1"/>
      <c r="C760" s="1"/>
      <c r="D760" s="1"/>
      <c r="E760" s="136"/>
      <c r="F760" s="12"/>
      <c r="G760" s="145"/>
      <c r="H760" s="145"/>
      <c r="I760" s="3"/>
      <c r="J760" s="3"/>
      <c r="K760" s="3"/>
      <c r="L760" s="3"/>
      <c r="M760" s="3"/>
      <c r="N760" s="3"/>
      <c r="O760" s="3"/>
      <c r="P760" s="3"/>
      <c r="Q760" s="3"/>
      <c r="R760" s="3"/>
      <c r="S760" s="3"/>
      <c r="T760" s="3"/>
      <c r="U760" s="3"/>
      <c r="V760" s="3"/>
      <c r="W760" s="3"/>
      <c r="X760" s="3"/>
      <c r="Y760" s="3"/>
      <c r="Z760" s="3"/>
    </row>
    <row r="761" spans="1:26" ht="14.25" customHeight="1">
      <c r="A761" s="1"/>
      <c r="B761" s="1"/>
      <c r="C761" s="1"/>
      <c r="D761" s="1"/>
      <c r="E761" s="136"/>
      <c r="F761" s="12"/>
      <c r="G761" s="145"/>
      <c r="H761" s="145"/>
      <c r="I761" s="3"/>
      <c r="J761" s="3"/>
      <c r="K761" s="3"/>
      <c r="L761" s="3"/>
      <c r="M761" s="3"/>
      <c r="N761" s="3"/>
      <c r="O761" s="3"/>
      <c r="P761" s="3"/>
      <c r="Q761" s="3"/>
      <c r="R761" s="3"/>
      <c r="S761" s="3"/>
      <c r="T761" s="3"/>
      <c r="U761" s="3"/>
      <c r="V761" s="3"/>
      <c r="W761" s="3"/>
      <c r="X761" s="3"/>
      <c r="Y761" s="3"/>
      <c r="Z761" s="3"/>
    </row>
    <row r="762" spans="1:26" ht="14.25" customHeight="1">
      <c r="A762" s="1"/>
      <c r="B762" s="1"/>
      <c r="C762" s="1"/>
      <c r="D762" s="1"/>
      <c r="E762" s="136"/>
      <c r="F762" s="12"/>
      <c r="G762" s="145"/>
      <c r="H762" s="145"/>
      <c r="I762" s="3"/>
      <c r="J762" s="3"/>
      <c r="K762" s="3"/>
      <c r="L762" s="3"/>
      <c r="M762" s="3"/>
      <c r="N762" s="3"/>
      <c r="O762" s="3"/>
      <c r="P762" s="3"/>
      <c r="Q762" s="3"/>
      <c r="R762" s="3"/>
      <c r="S762" s="3"/>
      <c r="T762" s="3"/>
      <c r="U762" s="3"/>
      <c r="V762" s="3"/>
      <c r="W762" s="3"/>
      <c r="X762" s="3"/>
      <c r="Y762" s="3"/>
      <c r="Z762" s="3"/>
    </row>
    <row r="763" spans="1:26" ht="14.25" customHeight="1">
      <c r="A763" s="1"/>
      <c r="B763" s="1"/>
      <c r="C763" s="1"/>
      <c r="D763" s="1"/>
      <c r="E763" s="136"/>
      <c r="F763" s="12"/>
      <c r="G763" s="145"/>
      <c r="H763" s="145"/>
      <c r="I763" s="3"/>
      <c r="J763" s="3"/>
      <c r="K763" s="3"/>
      <c r="L763" s="3"/>
      <c r="M763" s="3"/>
      <c r="N763" s="3"/>
      <c r="O763" s="3"/>
      <c r="P763" s="3"/>
      <c r="Q763" s="3"/>
      <c r="R763" s="3"/>
      <c r="S763" s="3"/>
      <c r="T763" s="3"/>
      <c r="U763" s="3"/>
      <c r="V763" s="3"/>
      <c r="W763" s="3"/>
      <c r="X763" s="3"/>
      <c r="Y763" s="3"/>
      <c r="Z763" s="3"/>
    </row>
    <row r="764" spans="1:26" ht="14.25" customHeight="1">
      <c r="A764" s="1"/>
      <c r="B764" s="1"/>
      <c r="C764" s="1"/>
      <c r="D764" s="1"/>
      <c r="E764" s="136"/>
      <c r="F764" s="12"/>
      <c r="G764" s="145"/>
      <c r="H764" s="145"/>
      <c r="I764" s="3"/>
      <c r="J764" s="3"/>
      <c r="K764" s="3"/>
      <c r="L764" s="3"/>
      <c r="M764" s="3"/>
      <c r="N764" s="3"/>
      <c r="O764" s="3"/>
      <c r="P764" s="3"/>
      <c r="Q764" s="3"/>
      <c r="R764" s="3"/>
      <c r="S764" s="3"/>
      <c r="T764" s="3"/>
      <c r="U764" s="3"/>
      <c r="V764" s="3"/>
      <c r="W764" s="3"/>
      <c r="X764" s="3"/>
      <c r="Y764" s="3"/>
      <c r="Z764" s="3"/>
    </row>
    <row r="765" spans="1:26" ht="14.25" customHeight="1">
      <c r="A765" s="1"/>
      <c r="B765" s="1"/>
      <c r="C765" s="1"/>
      <c r="D765" s="1"/>
      <c r="E765" s="136"/>
      <c r="F765" s="12"/>
      <c r="G765" s="145"/>
      <c r="H765" s="145"/>
      <c r="I765" s="3"/>
      <c r="J765" s="3"/>
      <c r="K765" s="3"/>
      <c r="L765" s="3"/>
      <c r="M765" s="3"/>
      <c r="N765" s="3"/>
      <c r="O765" s="3"/>
      <c r="P765" s="3"/>
      <c r="Q765" s="3"/>
      <c r="R765" s="3"/>
      <c r="S765" s="3"/>
      <c r="T765" s="3"/>
      <c r="U765" s="3"/>
      <c r="V765" s="3"/>
      <c r="W765" s="3"/>
      <c r="X765" s="3"/>
      <c r="Y765" s="3"/>
      <c r="Z765" s="3"/>
    </row>
    <row r="766" spans="1:26" ht="14.25" customHeight="1">
      <c r="A766" s="1"/>
      <c r="B766" s="1"/>
      <c r="C766" s="1"/>
      <c r="D766" s="1"/>
      <c r="E766" s="136"/>
      <c r="F766" s="12"/>
      <c r="G766" s="145"/>
      <c r="H766" s="145"/>
      <c r="I766" s="3"/>
      <c r="J766" s="3"/>
      <c r="K766" s="3"/>
      <c r="L766" s="3"/>
      <c r="M766" s="3"/>
      <c r="N766" s="3"/>
      <c r="O766" s="3"/>
      <c r="P766" s="3"/>
      <c r="Q766" s="3"/>
      <c r="R766" s="3"/>
      <c r="S766" s="3"/>
      <c r="T766" s="3"/>
      <c r="U766" s="3"/>
      <c r="V766" s="3"/>
      <c r="W766" s="3"/>
      <c r="X766" s="3"/>
      <c r="Y766" s="3"/>
      <c r="Z766" s="3"/>
    </row>
    <row r="767" spans="1:26" ht="14.25" customHeight="1">
      <c r="A767" s="1"/>
      <c r="B767" s="1"/>
      <c r="C767" s="1"/>
      <c r="D767" s="1"/>
      <c r="E767" s="136"/>
      <c r="F767" s="12"/>
      <c r="G767" s="145"/>
      <c r="H767" s="145"/>
      <c r="I767" s="3"/>
      <c r="J767" s="3"/>
      <c r="K767" s="3"/>
      <c r="L767" s="3"/>
      <c r="M767" s="3"/>
      <c r="N767" s="3"/>
      <c r="O767" s="3"/>
      <c r="P767" s="3"/>
      <c r="Q767" s="3"/>
      <c r="R767" s="3"/>
      <c r="S767" s="3"/>
      <c r="T767" s="3"/>
      <c r="U767" s="3"/>
      <c r="V767" s="3"/>
      <c r="W767" s="3"/>
      <c r="X767" s="3"/>
      <c r="Y767" s="3"/>
      <c r="Z767" s="3"/>
    </row>
    <row r="768" spans="1:26" ht="14.25" customHeight="1">
      <c r="A768" s="1"/>
      <c r="B768" s="1"/>
      <c r="C768" s="1"/>
      <c r="D768" s="1"/>
      <c r="E768" s="136"/>
      <c r="F768" s="12"/>
      <c r="G768" s="145"/>
      <c r="H768" s="145"/>
      <c r="I768" s="3"/>
      <c r="J768" s="3"/>
      <c r="K768" s="3"/>
      <c r="L768" s="3"/>
      <c r="M768" s="3"/>
      <c r="N768" s="3"/>
      <c r="O768" s="3"/>
      <c r="P768" s="3"/>
      <c r="Q768" s="3"/>
      <c r="R768" s="3"/>
      <c r="S768" s="3"/>
      <c r="T768" s="3"/>
      <c r="U768" s="3"/>
      <c r="V768" s="3"/>
      <c r="W768" s="3"/>
      <c r="X768" s="3"/>
      <c r="Y768" s="3"/>
      <c r="Z768" s="3"/>
    </row>
    <row r="769" spans="1:26" ht="14.25" customHeight="1">
      <c r="A769" s="1"/>
      <c r="B769" s="1"/>
      <c r="C769" s="1"/>
      <c r="D769" s="1"/>
      <c r="E769" s="136"/>
      <c r="F769" s="12"/>
      <c r="G769" s="145"/>
      <c r="H769" s="145"/>
      <c r="I769" s="3"/>
      <c r="J769" s="3"/>
      <c r="K769" s="3"/>
      <c r="L769" s="3"/>
      <c r="M769" s="3"/>
      <c r="N769" s="3"/>
      <c r="O769" s="3"/>
      <c r="P769" s="3"/>
      <c r="Q769" s="3"/>
      <c r="R769" s="3"/>
      <c r="S769" s="3"/>
      <c r="T769" s="3"/>
      <c r="U769" s="3"/>
      <c r="V769" s="3"/>
      <c r="W769" s="3"/>
      <c r="X769" s="3"/>
      <c r="Y769" s="3"/>
      <c r="Z769" s="3"/>
    </row>
    <row r="770" spans="1:26" ht="14.25" customHeight="1">
      <c r="A770" s="1"/>
      <c r="B770" s="1"/>
      <c r="C770" s="1"/>
      <c r="D770" s="1"/>
      <c r="E770" s="136"/>
      <c r="F770" s="12"/>
      <c r="G770" s="145"/>
      <c r="H770" s="145"/>
      <c r="I770" s="3"/>
      <c r="J770" s="3"/>
      <c r="K770" s="3"/>
      <c r="L770" s="3"/>
      <c r="M770" s="3"/>
      <c r="N770" s="3"/>
      <c r="O770" s="3"/>
      <c r="P770" s="3"/>
      <c r="Q770" s="3"/>
      <c r="R770" s="3"/>
      <c r="S770" s="3"/>
      <c r="T770" s="3"/>
      <c r="U770" s="3"/>
      <c r="V770" s="3"/>
      <c r="W770" s="3"/>
      <c r="X770" s="3"/>
      <c r="Y770" s="3"/>
      <c r="Z770" s="3"/>
    </row>
    <row r="771" spans="1:26" ht="14.25" customHeight="1">
      <c r="A771" s="1"/>
      <c r="B771" s="1"/>
      <c r="C771" s="1"/>
      <c r="D771" s="1"/>
      <c r="E771" s="136"/>
      <c r="F771" s="12"/>
      <c r="G771" s="145"/>
      <c r="H771" s="145"/>
      <c r="I771" s="3"/>
      <c r="J771" s="3"/>
      <c r="K771" s="3"/>
      <c r="L771" s="3"/>
      <c r="M771" s="3"/>
      <c r="N771" s="3"/>
      <c r="O771" s="3"/>
      <c r="P771" s="3"/>
      <c r="Q771" s="3"/>
      <c r="R771" s="3"/>
      <c r="S771" s="3"/>
      <c r="T771" s="3"/>
      <c r="U771" s="3"/>
      <c r="V771" s="3"/>
      <c r="W771" s="3"/>
      <c r="X771" s="3"/>
      <c r="Y771" s="3"/>
      <c r="Z771" s="3"/>
    </row>
    <row r="772" spans="1:26" ht="14.25" customHeight="1">
      <c r="A772" s="1"/>
      <c r="B772" s="1"/>
      <c r="C772" s="1"/>
      <c r="D772" s="1"/>
      <c r="E772" s="136"/>
      <c r="F772" s="12"/>
      <c r="G772" s="145"/>
      <c r="H772" s="145"/>
      <c r="I772" s="3"/>
      <c r="J772" s="3"/>
      <c r="K772" s="3"/>
      <c r="L772" s="3"/>
      <c r="M772" s="3"/>
      <c r="N772" s="3"/>
      <c r="O772" s="3"/>
      <c r="P772" s="3"/>
      <c r="Q772" s="3"/>
      <c r="R772" s="3"/>
      <c r="S772" s="3"/>
      <c r="T772" s="3"/>
      <c r="U772" s="3"/>
      <c r="V772" s="3"/>
      <c r="W772" s="3"/>
      <c r="X772" s="3"/>
      <c r="Y772" s="3"/>
      <c r="Z772" s="3"/>
    </row>
    <row r="773" spans="1:26" ht="14.25" customHeight="1">
      <c r="A773" s="1"/>
      <c r="B773" s="1"/>
      <c r="C773" s="1"/>
      <c r="D773" s="1"/>
      <c r="E773" s="136"/>
      <c r="F773" s="12"/>
      <c r="G773" s="145"/>
      <c r="H773" s="145"/>
      <c r="I773" s="3"/>
      <c r="J773" s="3"/>
      <c r="K773" s="3"/>
      <c r="L773" s="3"/>
      <c r="M773" s="3"/>
      <c r="N773" s="3"/>
      <c r="O773" s="3"/>
      <c r="P773" s="3"/>
      <c r="Q773" s="3"/>
      <c r="R773" s="3"/>
      <c r="S773" s="3"/>
      <c r="T773" s="3"/>
      <c r="U773" s="3"/>
      <c r="V773" s="3"/>
      <c r="W773" s="3"/>
      <c r="X773" s="3"/>
      <c r="Y773" s="3"/>
      <c r="Z773" s="3"/>
    </row>
    <row r="774" spans="1:26" ht="14.25" customHeight="1">
      <c r="A774" s="1"/>
      <c r="B774" s="1"/>
      <c r="C774" s="1"/>
      <c r="D774" s="1"/>
      <c r="E774" s="136"/>
      <c r="F774" s="12"/>
      <c r="G774" s="145"/>
      <c r="H774" s="145"/>
      <c r="I774" s="3"/>
      <c r="J774" s="3"/>
      <c r="K774" s="3"/>
      <c r="L774" s="3"/>
      <c r="M774" s="3"/>
      <c r="N774" s="3"/>
      <c r="O774" s="3"/>
      <c r="P774" s="3"/>
      <c r="Q774" s="3"/>
      <c r="R774" s="3"/>
      <c r="S774" s="3"/>
      <c r="T774" s="3"/>
      <c r="U774" s="3"/>
      <c r="V774" s="3"/>
      <c r="W774" s="3"/>
      <c r="X774" s="3"/>
      <c r="Y774" s="3"/>
      <c r="Z774" s="3"/>
    </row>
    <row r="775" spans="1:26" ht="14.25" customHeight="1">
      <c r="A775" s="1"/>
      <c r="B775" s="1"/>
      <c r="C775" s="1"/>
      <c r="D775" s="1"/>
      <c r="E775" s="136"/>
      <c r="F775" s="12"/>
      <c r="G775" s="145"/>
      <c r="H775" s="145"/>
      <c r="I775" s="3"/>
      <c r="J775" s="3"/>
      <c r="K775" s="3"/>
      <c r="L775" s="3"/>
      <c r="M775" s="3"/>
      <c r="N775" s="3"/>
      <c r="O775" s="3"/>
      <c r="P775" s="3"/>
      <c r="Q775" s="3"/>
      <c r="R775" s="3"/>
      <c r="S775" s="3"/>
      <c r="T775" s="3"/>
      <c r="U775" s="3"/>
      <c r="V775" s="3"/>
      <c r="W775" s="3"/>
      <c r="X775" s="3"/>
      <c r="Y775" s="3"/>
      <c r="Z775" s="3"/>
    </row>
    <row r="776" spans="1:26" ht="14.25" customHeight="1">
      <c r="A776" s="1"/>
      <c r="B776" s="1"/>
      <c r="C776" s="1"/>
      <c r="D776" s="1"/>
      <c r="E776" s="136"/>
      <c r="F776" s="12"/>
      <c r="G776" s="145"/>
      <c r="H776" s="145"/>
      <c r="I776" s="3"/>
      <c r="J776" s="3"/>
      <c r="K776" s="3"/>
      <c r="L776" s="3"/>
      <c r="M776" s="3"/>
      <c r="N776" s="3"/>
      <c r="O776" s="3"/>
      <c r="P776" s="3"/>
      <c r="Q776" s="3"/>
      <c r="R776" s="3"/>
      <c r="S776" s="3"/>
      <c r="T776" s="3"/>
      <c r="U776" s="3"/>
      <c r="V776" s="3"/>
      <c r="W776" s="3"/>
      <c r="X776" s="3"/>
      <c r="Y776" s="3"/>
      <c r="Z776" s="3"/>
    </row>
    <row r="777" spans="1:26" ht="14.25" customHeight="1">
      <c r="A777" s="1"/>
      <c r="B777" s="1"/>
      <c r="C777" s="1"/>
      <c r="D777" s="1"/>
      <c r="E777" s="136"/>
      <c r="F777" s="12"/>
      <c r="G777" s="145"/>
      <c r="H777" s="145"/>
      <c r="I777" s="3"/>
      <c r="J777" s="3"/>
      <c r="K777" s="3"/>
      <c r="L777" s="3"/>
      <c r="M777" s="3"/>
      <c r="N777" s="3"/>
      <c r="O777" s="3"/>
      <c r="P777" s="3"/>
      <c r="Q777" s="3"/>
      <c r="R777" s="3"/>
      <c r="S777" s="3"/>
      <c r="T777" s="3"/>
      <c r="U777" s="3"/>
      <c r="V777" s="3"/>
      <c r="W777" s="3"/>
      <c r="X777" s="3"/>
      <c r="Y777" s="3"/>
      <c r="Z777" s="3"/>
    </row>
    <row r="778" spans="1:26" ht="14.25" customHeight="1">
      <c r="A778" s="1"/>
      <c r="B778" s="1"/>
      <c r="C778" s="1"/>
      <c r="D778" s="1"/>
      <c r="E778" s="136"/>
      <c r="F778" s="12"/>
      <c r="G778" s="145"/>
      <c r="H778" s="145"/>
      <c r="I778" s="3"/>
      <c r="J778" s="3"/>
      <c r="K778" s="3"/>
      <c r="L778" s="3"/>
      <c r="M778" s="3"/>
      <c r="N778" s="3"/>
      <c r="O778" s="3"/>
      <c r="P778" s="3"/>
      <c r="Q778" s="3"/>
      <c r="R778" s="3"/>
      <c r="S778" s="3"/>
      <c r="T778" s="3"/>
      <c r="U778" s="3"/>
      <c r="V778" s="3"/>
      <c r="W778" s="3"/>
      <c r="X778" s="3"/>
      <c r="Y778" s="3"/>
      <c r="Z778" s="3"/>
    </row>
    <row r="779" spans="1:26" ht="14.25" customHeight="1">
      <c r="A779" s="1"/>
      <c r="B779" s="1"/>
      <c r="C779" s="1"/>
      <c r="D779" s="1"/>
      <c r="E779" s="136"/>
      <c r="F779" s="12"/>
      <c r="G779" s="145"/>
      <c r="H779" s="145"/>
      <c r="I779" s="3"/>
      <c r="J779" s="3"/>
      <c r="K779" s="3"/>
      <c r="L779" s="3"/>
      <c r="M779" s="3"/>
      <c r="N779" s="3"/>
      <c r="O779" s="3"/>
      <c r="P779" s="3"/>
      <c r="Q779" s="3"/>
      <c r="R779" s="3"/>
      <c r="S779" s="3"/>
      <c r="T779" s="3"/>
      <c r="U779" s="3"/>
      <c r="V779" s="3"/>
      <c r="W779" s="3"/>
      <c r="X779" s="3"/>
      <c r="Y779" s="3"/>
      <c r="Z779" s="3"/>
    </row>
    <row r="780" spans="1:26" ht="14.25" customHeight="1">
      <c r="A780" s="1"/>
      <c r="B780" s="1"/>
      <c r="C780" s="1"/>
      <c r="D780" s="1"/>
      <c r="E780" s="136"/>
      <c r="F780" s="12"/>
      <c r="G780" s="145"/>
      <c r="H780" s="145"/>
      <c r="I780" s="3"/>
      <c r="J780" s="3"/>
      <c r="K780" s="3"/>
      <c r="L780" s="3"/>
      <c r="M780" s="3"/>
      <c r="N780" s="3"/>
      <c r="O780" s="3"/>
      <c r="P780" s="3"/>
      <c r="Q780" s="3"/>
      <c r="R780" s="3"/>
      <c r="S780" s="3"/>
      <c r="T780" s="3"/>
      <c r="U780" s="3"/>
      <c r="V780" s="3"/>
      <c r="W780" s="3"/>
      <c r="X780" s="3"/>
      <c r="Y780" s="3"/>
      <c r="Z780" s="3"/>
    </row>
    <row r="781" spans="1:26" ht="14.25" customHeight="1">
      <c r="A781" s="1"/>
      <c r="B781" s="1"/>
      <c r="C781" s="1"/>
      <c r="D781" s="1"/>
      <c r="E781" s="136"/>
      <c r="F781" s="12"/>
      <c r="G781" s="145"/>
      <c r="H781" s="145"/>
      <c r="I781" s="3"/>
      <c r="J781" s="3"/>
      <c r="K781" s="3"/>
      <c r="L781" s="3"/>
      <c r="M781" s="3"/>
      <c r="N781" s="3"/>
      <c r="O781" s="3"/>
      <c r="P781" s="3"/>
      <c r="Q781" s="3"/>
      <c r="R781" s="3"/>
      <c r="S781" s="3"/>
      <c r="T781" s="3"/>
      <c r="U781" s="3"/>
      <c r="V781" s="3"/>
      <c r="W781" s="3"/>
      <c r="X781" s="3"/>
      <c r="Y781" s="3"/>
      <c r="Z781" s="3"/>
    </row>
    <row r="782" spans="1:26" ht="14.25" customHeight="1">
      <c r="A782" s="1"/>
      <c r="B782" s="1"/>
      <c r="C782" s="1"/>
      <c r="D782" s="1"/>
      <c r="E782" s="136"/>
      <c r="F782" s="12"/>
      <c r="G782" s="145"/>
      <c r="H782" s="145"/>
      <c r="I782" s="3"/>
      <c r="J782" s="3"/>
      <c r="K782" s="3"/>
      <c r="L782" s="3"/>
      <c r="M782" s="3"/>
      <c r="N782" s="3"/>
      <c r="O782" s="3"/>
      <c r="P782" s="3"/>
      <c r="Q782" s="3"/>
      <c r="R782" s="3"/>
      <c r="S782" s="3"/>
      <c r="T782" s="3"/>
      <c r="U782" s="3"/>
      <c r="V782" s="3"/>
      <c r="W782" s="3"/>
      <c r="X782" s="3"/>
      <c r="Y782" s="3"/>
      <c r="Z782" s="3"/>
    </row>
    <row r="783" spans="1:26" ht="14.25" customHeight="1">
      <c r="A783" s="1"/>
      <c r="B783" s="1"/>
      <c r="C783" s="1"/>
      <c r="D783" s="1"/>
      <c r="E783" s="136"/>
      <c r="F783" s="12"/>
      <c r="G783" s="145"/>
      <c r="H783" s="145"/>
      <c r="I783" s="3"/>
      <c r="J783" s="3"/>
      <c r="K783" s="3"/>
      <c r="L783" s="3"/>
      <c r="M783" s="3"/>
      <c r="N783" s="3"/>
      <c r="O783" s="3"/>
      <c r="P783" s="3"/>
      <c r="Q783" s="3"/>
      <c r="R783" s="3"/>
      <c r="S783" s="3"/>
      <c r="T783" s="3"/>
      <c r="U783" s="3"/>
      <c r="V783" s="3"/>
      <c r="W783" s="3"/>
      <c r="X783" s="3"/>
      <c r="Y783" s="3"/>
      <c r="Z783" s="3"/>
    </row>
    <row r="784" spans="1:26" ht="14.25" customHeight="1">
      <c r="A784" s="1"/>
      <c r="B784" s="1"/>
      <c r="C784" s="1"/>
      <c r="D784" s="1"/>
      <c r="E784" s="136"/>
      <c r="F784" s="12"/>
      <c r="G784" s="145"/>
      <c r="H784" s="145"/>
      <c r="I784" s="3"/>
      <c r="J784" s="3"/>
      <c r="K784" s="3"/>
      <c r="L784" s="3"/>
      <c r="M784" s="3"/>
      <c r="N784" s="3"/>
      <c r="O784" s="3"/>
      <c r="P784" s="3"/>
      <c r="Q784" s="3"/>
      <c r="R784" s="3"/>
      <c r="S784" s="3"/>
      <c r="T784" s="3"/>
      <c r="U784" s="3"/>
      <c r="V784" s="3"/>
      <c r="W784" s="3"/>
      <c r="X784" s="3"/>
      <c r="Y784" s="3"/>
      <c r="Z784" s="3"/>
    </row>
    <row r="785" spans="1:26" ht="14.25" customHeight="1">
      <c r="A785" s="1"/>
      <c r="B785" s="1"/>
      <c r="C785" s="1"/>
      <c r="D785" s="1"/>
      <c r="E785" s="136"/>
      <c r="F785" s="12"/>
      <c r="G785" s="145"/>
      <c r="H785" s="145"/>
      <c r="I785" s="3"/>
      <c r="J785" s="3"/>
      <c r="K785" s="3"/>
      <c r="L785" s="3"/>
      <c r="M785" s="3"/>
      <c r="N785" s="3"/>
      <c r="O785" s="3"/>
      <c r="P785" s="3"/>
      <c r="Q785" s="3"/>
      <c r="R785" s="3"/>
      <c r="S785" s="3"/>
      <c r="T785" s="3"/>
      <c r="U785" s="3"/>
      <c r="V785" s="3"/>
      <c r="W785" s="3"/>
      <c r="X785" s="3"/>
      <c r="Y785" s="3"/>
      <c r="Z785" s="3"/>
    </row>
    <row r="786" spans="1:26" ht="14.25" customHeight="1">
      <c r="A786" s="1"/>
      <c r="B786" s="1"/>
      <c r="C786" s="1"/>
      <c r="D786" s="1"/>
      <c r="E786" s="136"/>
      <c r="F786" s="12"/>
      <c r="G786" s="145"/>
      <c r="H786" s="145"/>
      <c r="I786" s="3"/>
      <c r="J786" s="3"/>
      <c r="K786" s="3"/>
      <c r="L786" s="3"/>
      <c r="M786" s="3"/>
      <c r="N786" s="3"/>
      <c r="O786" s="3"/>
      <c r="P786" s="3"/>
      <c r="Q786" s="3"/>
      <c r="R786" s="3"/>
      <c r="S786" s="3"/>
      <c r="T786" s="3"/>
      <c r="U786" s="3"/>
      <c r="V786" s="3"/>
      <c r="W786" s="3"/>
      <c r="X786" s="3"/>
      <c r="Y786" s="3"/>
      <c r="Z786" s="3"/>
    </row>
    <row r="787" spans="1:26" ht="14.25" customHeight="1">
      <c r="A787" s="1"/>
      <c r="B787" s="1"/>
      <c r="C787" s="1"/>
      <c r="D787" s="1"/>
      <c r="E787" s="136"/>
      <c r="F787" s="12"/>
      <c r="G787" s="145"/>
      <c r="H787" s="145"/>
      <c r="I787" s="3"/>
      <c r="J787" s="3"/>
      <c r="K787" s="3"/>
      <c r="L787" s="3"/>
      <c r="M787" s="3"/>
      <c r="N787" s="3"/>
      <c r="O787" s="3"/>
      <c r="P787" s="3"/>
      <c r="Q787" s="3"/>
      <c r="R787" s="3"/>
      <c r="S787" s="3"/>
      <c r="T787" s="3"/>
      <c r="U787" s="3"/>
      <c r="V787" s="3"/>
      <c r="W787" s="3"/>
      <c r="X787" s="3"/>
      <c r="Y787" s="3"/>
      <c r="Z787" s="3"/>
    </row>
    <row r="788" spans="1:26" ht="14.25" customHeight="1">
      <c r="A788" s="1"/>
      <c r="B788" s="1"/>
      <c r="C788" s="1"/>
      <c r="D788" s="1"/>
      <c r="E788" s="136"/>
      <c r="F788" s="12"/>
      <c r="G788" s="145"/>
      <c r="H788" s="145"/>
      <c r="I788" s="3"/>
      <c r="J788" s="3"/>
      <c r="K788" s="3"/>
      <c r="L788" s="3"/>
      <c r="M788" s="3"/>
      <c r="N788" s="3"/>
      <c r="O788" s="3"/>
      <c r="P788" s="3"/>
      <c r="Q788" s="3"/>
      <c r="R788" s="3"/>
      <c r="S788" s="3"/>
      <c r="T788" s="3"/>
      <c r="U788" s="3"/>
      <c r="V788" s="3"/>
      <c r="W788" s="3"/>
      <c r="X788" s="3"/>
      <c r="Y788" s="3"/>
      <c r="Z788" s="3"/>
    </row>
    <row r="789" spans="1:26" ht="14.25" customHeight="1">
      <c r="A789" s="1"/>
      <c r="B789" s="1"/>
      <c r="C789" s="1"/>
      <c r="D789" s="1"/>
      <c r="E789" s="136"/>
      <c r="F789" s="12"/>
      <c r="G789" s="145"/>
      <c r="H789" s="145"/>
      <c r="I789" s="3"/>
      <c r="J789" s="3"/>
      <c r="K789" s="3"/>
      <c r="L789" s="3"/>
      <c r="M789" s="3"/>
      <c r="N789" s="3"/>
      <c r="O789" s="3"/>
      <c r="P789" s="3"/>
      <c r="Q789" s="3"/>
      <c r="R789" s="3"/>
      <c r="S789" s="3"/>
      <c r="T789" s="3"/>
      <c r="U789" s="3"/>
      <c r="V789" s="3"/>
      <c r="W789" s="3"/>
      <c r="X789" s="3"/>
      <c r="Y789" s="3"/>
      <c r="Z789" s="3"/>
    </row>
    <row r="790" spans="1:26" ht="14.25" customHeight="1">
      <c r="A790" s="1"/>
      <c r="B790" s="1"/>
      <c r="C790" s="1"/>
      <c r="D790" s="1"/>
      <c r="E790" s="136"/>
      <c r="F790" s="12"/>
      <c r="G790" s="145"/>
      <c r="H790" s="145"/>
      <c r="I790" s="3"/>
      <c r="J790" s="3"/>
      <c r="K790" s="3"/>
      <c r="L790" s="3"/>
      <c r="M790" s="3"/>
      <c r="N790" s="3"/>
      <c r="O790" s="3"/>
      <c r="P790" s="3"/>
      <c r="Q790" s="3"/>
      <c r="R790" s="3"/>
      <c r="S790" s="3"/>
      <c r="T790" s="3"/>
      <c r="U790" s="3"/>
      <c r="V790" s="3"/>
      <c r="W790" s="3"/>
      <c r="X790" s="3"/>
      <c r="Y790" s="3"/>
      <c r="Z790" s="3"/>
    </row>
    <row r="791" spans="1:26" ht="14.25" customHeight="1">
      <c r="A791" s="1"/>
      <c r="B791" s="1"/>
      <c r="C791" s="1"/>
      <c r="D791" s="1"/>
      <c r="E791" s="136"/>
      <c r="F791" s="12"/>
      <c r="G791" s="145"/>
      <c r="H791" s="145"/>
      <c r="I791" s="3"/>
      <c r="J791" s="3"/>
      <c r="K791" s="3"/>
      <c r="L791" s="3"/>
      <c r="M791" s="3"/>
      <c r="N791" s="3"/>
      <c r="O791" s="3"/>
      <c r="P791" s="3"/>
      <c r="Q791" s="3"/>
      <c r="R791" s="3"/>
      <c r="S791" s="3"/>
      <c r="T791" s="3"/>
      <c r="U791" s="3"/>
      <c r="V791" s="3"/>
      <c r="W791" s="3"/>
      <c r="X791" s="3"/>
      <c r="Y791" s="3"/>
      <c r="Z791" s="3"/>
    </row>
    <row r="792" spans="1:26" ht="14.25" customHeight="1">
      <c r="A792" s="1"/>
      <c r="B792" s="1"/>
      <c r="C792" s="1"/>
      <c r="D792" s="1"/>
      <c r="E792" s="136"/>
      <c r="F792" s="12"/>
      <c r="G792" s="145"/>
      <c r="H792" s="145"/>
      <c r="I792" s="3"/>
      <c r="J792" s="3"/>
      <c r="K792" s="3"/>
      <c r="L792" s="3"/>
      <c r="M792" s="3"/>
      <c r="N792" s="3"/>
      <c r="O792" s="3"/>
      <c r="P792" s="3"/>
      <c r="Q792" s="3"/>
      <c r="R792" s="3"/>
      <c r="S792" s="3"/>
      <c r="T792" s="3"/>
      <c r="U792" s="3"/>
      <c r="V792" s="3"/>
      <c r="W792" s="3"/>
      <c r="X792" s="3"/>
      <c r="Y792" s="3"/>
      <c r="Z792" s="3"/>
    </row>
    <row r="793" spans="1:26" ht="14.25" customHeight="1">
      <c r="A793" s="1"/>
      <c r="B793" s="1"/>
      <c r="C793" s="1"/>
      <c r="D793" s="1"/>
      <c r="E793" s="136"/>
      <c r="F793" s="12"/>
      <c r="G793" s="145"/>
      <c r="H793" s="145"/>
      <c r="I793" s="3"/>
      <c r="J793" s="3"/>
      <c r="K793" s="3"/>
      <c r="L793" s="3"/>
      <c r="M793" s="3"/>
      <c r="N793" s="3"/>
      <c r="O793" s="3"/>
      <c r="P793" s="3"/>
      <c r="Q793" s="3"/>
      <c r="R793" s="3"/>
      <c r="S793" s="3"/>
      <c r="T793" s="3"/>
      <c r="U793" s="3"/>
      <c r="V793" s="3"/>
      <c r="W793" s="3"/>
      <c r="X793" s="3"/>
      <c r="Y793" s="3"/>
      <c r="Z793" s="3"/>
    </row>
    <row r="794" spans="1:26" ht="14.25" customHeight="1">
      <c r="A794" s="1"/>
      <c r="B794" s="1"/>
      <c r="C794" s="1"/>
      <c r="D794" s="1"/>
      <c r="E794" s="136"/>
      <c r="F794" s="12"/>
      <c r="G794" s="145"/>
      <c r="H794" s="145"/>
      <c r="I794" s="3"/>
      <c r="J794" s="3"/>
      <c r="K794" s="3"/>
      <c r="L794" s="3"/>
      <c r="M794" s="3"/>
      <c r="N794" s="3"/>
      <c r="O794" s="3"/>
      <c r="P794" s="3"/>
      <c r="Q794" s="3"/>
      <c r="R794" s="3"/>
      <c r="S794" s="3"/>
      <c r="T794" s="3"/>
      <c r="U794" s="3"/>
      <c r="V794" s="3"/>
      <c r="W794" s="3"/>
      <c r="X794" s="3"/>
      <c r="Y794" s="3"/>
      <c r="Z794" s="3"/>
    </row>
    <row r="795" spans="1:26" ht="14.25" customHeight="1">
      <c r="A795" s="1"/>
      <c r="B795" s="1"/>
      <c r="C795" s="1"/>
      <c r="D795" s="1"/>
      <c r="E795" s="136"/>
      <c r="F795" s="12"/>
      <c r="G795" s="145"/>
      <c r="H795" s="145"/>
      <c r="I795" s="3"/>
      <c r="J795" s="3"/>
      <c r="K795" s="3"/>
      <c r="L795" s="3"/>
      <c r="M795" s="3"/>
      <c r="N795" s="3"/>
      <c r="O795" s="3"/>
      <c r="P795" s="3"/>
      <c r="Q795" s="3"/>
      <c r="R795" s="3"/>
      <c r="S795" s="3"/>
      <c r="T795" s="3"/>
      <c r="U795" s="3"/>
      <c r="V795" s="3"/>
      <c r="W795" s="3"/>
      <c r="X795" s="3"/>
      <c r="Y795" s="3"/>
      <c r="Z795" s="3"/>
    </row>
    <row r="796" spans="1:26" ht="14.25" customHeight="1">
      <c r="A796" s="1"/>
      <c r="B796" s="1"/>
      <c r="C796" s="1"/>
      <c r="D796" s="1"/>
      <c r="E796" s="136"/>
      <c r="F796" s="12"/>
      <c r="G796" s="145"/>
      <c r="H796" s="145"/>
      <c r="I796" s="3"/>
      <c r="J796" s="3"/>
      <c r="K796" s="3"/>
      <c r="L796" s="3"/>
      <c r="M796" s="3"/>
      <c r="N796" s="3"/>
      <c r="O796" s="3"/>
      <c r="P796" s="3"/>
      <c r="Q796" s="3"/>
      <c r="R796" s="3"/>
      <c r="S796" s="3"/>
      <c r="T796" s="3"/>
      <c r="U796" s="3"/>
      <c r="V796" s="3"/>
      <c r="W796" s="3"/>
      <c r="X796" s="3"/>
      <c r="Y796" s="3"/>
      <c r="Z796" s="3"/>
    </row>
    <row r="797" spans="1:26" ht="14.25" customHeight="1">
      <c r="A797" s="1"/>
      <c r="B797" s="1"/>
      <c r="C797" s="1"/>
      <c r="D797" s="1"/>
      <c r="E797" s="136"/>
      <c r="F797" s="12"/>
      <c r="G797" s="145"/>
      <c r="H797" s="145"/>
      <c r="I797" s="3"/>
      <c r="J797" s="3"/>
      <c r="K797" s="3"/>
      <c r="L797" s="3"/>
      <c r="M797" s="3"/>
      <c r="N797" s="3"/>
      <c r="O797" s="3"/>
      <c r="P797" s="3"/>
      <c r="Q797" s="3"/>
      <c r="R797" s="3"/>
      <c r="S797" s="3"/>
      <c r="T797" s="3"/>
      <c r="U797" s="3"/>
      <c r="V797" s="3"/>
      <c r="W797" s="3"/>
      <c r="X797" s="3"/>
      <c r="Y797" s="3"/>
      <c r="Z797" s="3"/>
    </row>
    <row r="798" spans="1:26" ht="14.25" customHeight="1">
      <c r="A798" s="1"/>
      <c r="B798" s="1"/>
      <c r="C798" s="1"/>
      <c r="D798" s="1"/>
      <c r="E798" s="136"/>
      <c r="F798" s="12"/>
      <c r="G798" s="145"/>
      <c r="H798" s="145"/>
      <c r="I798" s="3"/>
      <c r="J798" s="3"/>
      <c r="K798" s="3"/>
      <c r="L798" s="3"/>
      <c r="M798" s="3"/>
      <c r="N798" s="3"/>
      <c r="O798" s="3"/>
      <c r="P798" s="3"/>
      <c r="Q798" s="3"/>
      <c r="R798" s="3"/>
      <c r="S798" s="3"/>
      <c r="T798" s="3"/>
      <c r="U798" s="3"/>
      <c r="V798" s="3"/>
      <c r="W798" s="3"/>
      <c r="X798" s="3"/>
      <c r="Y798" s="3"/>
      <c r="Z798" s="3"/>
    </row>
    <row r="799" spans="1:26" ht="14.25" customHeight="1">
      <c r="A799" s="1"/>
      <c r="B799" s="1"/>
      <c r="C799" s="1"/>
      <c r="D799" s="1"/>
      <c r="E799" s="136"/>
      <c r="F799" s="12"/>
      <c r="G799" s="145"/>
      <c r="H799" s="145"/>
      <c r="I799" s="3"/>
      <c r="J799" s="3"/>
      <c r="K799" s="3"/>
      <c r="L799" s="3"/>
      <c r="M799" s="3"/>
      <c r="N799" s="3"/>
      <c r="O799" s="3"/>
      <c r="P799" s="3"/>
      <c r="Q799" s="3"/>
      <c r="R799" s="3"/>
      <c r="S799" s="3"/>
      <c r="T799" s="3"/>
      <c r="U799" s="3"/>
      <c r="V799" s="3"/>
      <c r="W799" s="3"/>
      <c r="X799" s="3"/>
      <c r="Y799" s="3"/>
      <c r="Z799" s="3"/>
    </row>
    <row r="800" spans="1:26" ht="14.25" customHeight="1">
      <c r="A800" s="1"/>
      <c r="B800" s="1"/>
      <c r="C800" s="1"/>
      <c r="D800" s="1"/>
      <c r="E800" s="136"/>
      <c r="F800" s="12"/>
      <c r="G800" s="145"/>
      <c r="H800" s="145"/>
      <c r="I800" s="3"/>
      <c r="J800" s="3"/>
      <c r="K800" s="3"/>
      <c r="L800" s="3"/>
      <c r="M800" s="3"/>
      <c r="N800" s="3"/>
      <c r="O800" s="3"/>
      <c r="P800" s="3"/>
      <c r="Q800" s="3"/>
      <c r="R800" s="3"/>
      <c r="S800" s="3"/>
      <c r="T800" s="3"/>
      <c r="U800" s="3"/>
      <c r="V800" s="3"/>
      <c r="W800" s="3"/>
      <c r="X800" s="3"/>
      <c r="Y800" s="3"/>
      <c r="Z800" s="3"/>
    </row>
    <row r="801" spans="1:26" ht="14.25" customHeight="1">
      <c r="A801" s="1"/>
      <c r="B801" s="1"/>
      <c r="C801" s="1"/>
      <c r="D801" s="1"/>
      <c r="E801" s="136"/>
      <c r="F801" s="12"/>
      <c r="G801" s="145"/>
      <c r="H801" s="145"/>
      <c r="I801" s="3"/>
      <c r="J801" s="3"/>
      <c r="K801" s="3"/>
      <c r="L801" s="3"/>
      <c r="M801" s="3"/>
      <c r="N801" s="3"/>
      <c r="O801" s="3"/>
      <c r="P801" s="3"/>
      <c r="Q801" s="3"/>
      <c r="R801" s="3"/>
      <c r="S801" s="3"/>
      <c r="T801" s="3"/>
      <c r="U801" s="3"/>
      <c r="V801" s="3"/>
      <c r="W801" s="3"/>
      <c r="X801" s="3"/>
      <c r="Y801" s="3"/>
      <c r="Z801" s="3"/>
    </row>
    <row r="802" spans="1:26" ht="14.25" customHeight="1">
      <c r="A802" s="1"/>
      <c r="B802" s="1"/>
      <c r="C802" s="1"/>
      <c r="D802" s="1"/>
      <c r="E802" s="136"/>
      <c r="F802" s="12"/>
      <c r="G802" s="145"/>
      <c r="H802" s="145"/>
      <c r="I802" s="3"/>
      <c r="J802" s="3"/>
      <c r="K802" s="3"/>
      <c r="L802" s="3"/>
      <c r="M802" s="3"/>
      <c r="N802" s="3"/>
      <c r="O802" s="3"/>
      <c r="P802" s="3"/>
      <c r="Q802" s="3"/>
      <c r="R802" s="3"/>
      <c r="S802" s="3"/>
      <c r="T802" s="3"/>
      <c r="U802" s="3"/>
      <c r="V802" s="3"/>
      <c r="W802" s="3"/>
      <c r="X802" s="3"/>
      <c r="Y802" s="3"/>
      <c r="Z802" s="3"/>
    </row>
    <row r="803" spans="1:26" ht="14.25" customHeight="1">
      <c r="A803" s="1"/>
      <c r="B803" s="1"/>
      <c r="C803" s="1"/>
      <c r="D803" s="1"/>
      <c r="E803" s="136"/>
      <c r="F803" s="12"/>
      <c r="G803" s="145"/>
      <c r="H803" s="145"/>
      <c r="I803" s="3"/>
      <c r="J803" s="3"/>
      <c r="K803" s="3"/>
      <c r="L803" s="3"/>
      <c r="M803" s="3"/>
      <c r="N803" s="3"/>
      <c r="O803" s="3"/>
      <c r="P803" s="3"/>
      <c r="Q803" s="3"/>
      <c r="R803" s="3"/>
      <c r="S803" s="3"/>
      <c r="T803" s="3"/>
      <c r="U803" s="3"/>
      <c r="V803" s="3"/>
      <c r="W803" s="3"/>
      <c r="X803" s="3"/>
      <c r="Y803" s="3"/>
      <c r="Z803" s="3"/>
    </row>
    <row r="804" spans="1:26" ht="14.25" customHeight="1">
      <c r="A804" s="1"/>
      <c r="B804" s="1"/>
      <c r="C804" s="1"/>
      <c r="D804" s="1"/>
      <c r="E804" s="136"/>
      <c r="F804" s="12"/>
      <c r="G804" s="145"/>
      <c r="H804" s="145"/>
      <c r="I804" s="3"/>
      <c r="J804" s="3"/>
      <c r="K804" s="3"/>
      <c r="L804" s="3"/>
      <c r="M804" s="3"/>
      <c r="N804" s="3"/>
      <c r="O804" s="3"/>
      <c r="P804" s="3"/>
      <c r="Q804" s="3"/>
      <c r="R804" s="3"/>
      <c r="S804" s="3"/>
      <c r="T804" s="3"/>
      <c r="U804" s="3"/>
      <c r="V804" s="3"/>
      <c r="W804" s="3"/>
      <c r="X804" s="3"/>
      <c r="Y804" s="3"/>
      <c r="Z804" s="3"/>
    </row>
    <row r="805" spans="1:26" ht="14.25" customHeight="1">
      <c r="A805" s="1"/>
      <c r="B805" s="1"/>
      <c r="C805" s="1"/>
      <c r="D805" s="1"/>
      <c r="E805" s="136"/>
      <c r="F805" s="12"/>
      <c r="G805" s="145"/>
      <c r="H805" s="145"/>
      <c r="I805" s="3"/>
      <c r="J805" s="3"/>
      <c r="K805" s="3"/>
      <c r="L805" s="3"/>
      <c r="M805" s="3"/>
      <c r="N805" s="3"/>
      <c r="O805" s="3"/>
      <c r="P805" s="3"/>
      <c r="Q805" s="3"/>
      <c r="R805" s="3"/>
      <c r="S805" s="3"/>
      <c r="T805" s="3"/>
      <c r="U805" s="3"/>
      <c r="V805" s="3"/>
      <c r="W805" s="3"/>
      <c r="X805" s="3"/>
      <c r="Y805" s="3"/>
      <c r="Z805" s="3"/>
    </row>
    <row r="806" spans="1:26" ht="14.25" customHeight="1">
      <c r="A806" s="1"/>
      <c r="B806" s="1"/>
      <c r="C806" s="1"/>
      <c r="D806" s="1"/>
      <c r="E806" s="136"/>
      <c r="F806" s="12"/>
      <c r="G806" s="145"/>
      <c r="H806" s="145"/>
      <c r="I806" s="3"/>
      <c r="J806" s="3"/>
      <c r="K806" s="3"/>
      <c r="L806" s="3"/>
      <c r="M806" s="3"/>
      <c r="N806" s="3"/>
      <c r="O806" s="3"/>
      <c r="P806" s="3"/>
      <c r="Q806" s="3"/>
      <c r="R806" s="3"/>
      <c r="S806" s="3"/>
      <c r="T806" s="3"/>
      <c r="U806" s="3"/>
      <c r="V806" s="3"/>
      <c r="W806" s="3"/>
      <c r="X806" s="3"/>
      <c r="Y806" s="3"/>
      <c r="Z806" s="3"/>
    </row>
    <row r="807" spans="1:26" ht="14.25" customHeight="1">
      <c r="A807" s="1"/>
      <c r="B807" s="1"/>
      <c r="C807" s="1"/>
      <c r="D807" s="1"/>
      <c r="E807" s="136"/>
      <c r="F807" s="12"/>
      <c r="G807" s="145"/>
      <c r="H807" s="145"/>
      <c r="I807" s="3"/>
      <c r="J807" s="3"/>
      <c r="K807" s="3"/>
      <c r="L807" s="3"/>
      <c r="M807" s="3"/>
      <c r="N807" s="3"/>
      <c r="O807" s="3"/>
      <c r="P807" s="3"/>
      <c r="Q807" s="3"/>
      <c r="R807" s="3"/>
      <c r="S807" s="3"/>
      <c r="T807" s="3"/>
      <c r="U807" s="3"/>
      <c r="V807" s="3"/>
      <c r="W807" s="3"/>
      <c r="X807" s="3"/>
      <c r="Y807" s="3"/>
      <c r="Z807" s="3"/>
    </row>
    <row r="808" spans="1:26" ht="14.25" customHeight="1">
      <c r="A808" s="1"/>
      <c r="B808" s="1"/>
      <c r="C808" s="1"/>
      <c r="D808" s="1"/>
      <c r="E808" s="136"/>
      <c r="F808" s="12"/>
      <c r="G808" s="145"/>
      <c r="H808" s="145"/>
      <c r="I808" s="3"/>
      <c r="J808" s="3"/>
      <c r="K808" s="3"/>
      <c r="L808" s="3"/>
      <c r="M808" s="3"/>
      <c r="N808" s="3"/>
      <c r="O808" s="3"/>
      <c r="P808" s="3"/>
      <c r="Q808" s="3"/>
      <c r="R808" s="3"/>
      <c r="S808" s="3"/>
      <c r="T808" s="3"/>
      <c r="U808" s="3"/>
      <c r="V808" s="3"/>
      <c r="W808" s="3"/>
      <c r="X808" s="3"/>
      <c r="Y808" s="3"/>
      <c r="Z808" s="3"/>
    </row>
    <row r="809" spans="1:26" ht="14.25" customHeight="1">
      <c r="A809" s="1"/>
      <c r="B809" s="1"/>
      <c r="C809" s="1"/>
      <c r="D809" s="1"/>
      <c r="E809" s="136"/>
      <c r="F809" s="12"/>
      <c r="G809" s="145"/>
      <c r="H809" s="145"/>
      <c r="I809" s="3"/>
      <c r="J809" s="3"/>
      <c r="K809" s="3"/>
      <c r="L809" s="3"/>
      <c r="M809" s="3"/>
      <c r="N809" s="3"/>
      <c r="O809" s="3"/>
      <c r="P809" s="3"/>
      <c r="Q809" s="3"/>
      <c r="R809" s="3"/>
      <c r="S809" s="3"/>
      <c r="T809" s="3"/>
      <c r="U809" s="3"/>
      <c r="V809" s="3"/>
      <c r="W809" s="3"/>
      <c r="X809" s="3"/>
      <c r="Y809" s="3"/>
      <c r="Z809" s="3"/>
    </row>
    <row r="810" spans="1:26" ht="14.25" customHeight="1">
      <c r="A810" s="1"/>
      <c r="B810" s="1"/>
      <c r="C810" s="1"/>
      <c r="D810" s="1"/>
      <c r="E810" s="136"/>
      <c r="F810" s="12"/>
      <c r="G810" s="145"/>
      <c r="H810" s="145"/>
      <c r="I810" s="3"/>
      <c r="J810" s="3"/>
      <c r="K810" s="3"/>
      <c r="L810" s="3"/>
      <c r="M810" s="3"/>
      <c r="N810" s="3"/>
      <c r="O810" s="3"/>
      <c r="P810" s="3"/>
      <c r="Q810" s="3"/>
      <c r="R810" s="3"/>
      <c r="S810" s="3"/>
      <c r="T810" s="3"/>
      <c r="U810" s="3"/>
      <c r="V810" s="3"/>
      <c r="W810" s="3"/>
      <c r="X810" s="3"/>
      <c r="Y810" s="3"/>
      <c r="Z810" s="3"/>
    </row>
    <row r="811" spans="1:26" ht="14.25" customHeight="1">
      <c r="A811" s="1"/>
      <c r="B811" s="1"/>
      <c r="C811" s="1"/>
      <c r="D811" s="1"/>
      <c r="E811" s="136"/>
      <c r="F811" s="12"/>
      <c r="G811" s="145"/>
      <c r="H811" s="145"/>
      <c r="I811" s="3"/>
      <c r="J811" s="3"/>
      <c r="K811" s="3"/>
      <c r="L811" s="3"/>
      <c r="M811" s="3"/>
      <c r="N811" s="3"/>
      <c r="O811" s="3"/>
      <c r="P811" s="3"/>
      <c r="Q811" s="3"/>
      <c r="R811" s="3"/>
      <c r="S811" s="3"/>
      <c r="T811" s="3"/>
      <c r="U811" s="3"/>
      <c r="V811" s="3"/>
      <c r="W811" s="3"/>
      <c r="X811" s="3"/>
      <c r="Y811" s="3"/>
      <c r="Z811" s="3"/>
    </row>
    <row r="812" spans="1:26" ht="14.25" customHeight="1">
      <c r="A812" s="1"/>
      <c r="B812" s="1"/>
      <c r="C812" s="1"/>
      <c r="D812" s="1"/>
      <c r="E812" s="136"/>
      <c r="F812" s="12"/>
      <c r="G812" s="145"/>
      <c r="H812" s="145"/>
      <c r="I812" s="3"/>
      <c r="J812" s="3"/>
      <c r="K812" s="3"/>
      <c r="L812" s="3"/>
      <c r="M812" s="3"/>
      <c r="N812" s="3"/>
      <c r="O812" s="3"/>
      <c r="P812" s="3"/>
      <c r="Q812" s="3"/>
      <c r="R812" s="3"/>
      <c r="S812" s="3"/>
      <c r="T812" s="3"/>
      <c r="U812" s="3"/>
      <c r="V812" s="3"/>
      <c r="W812" s="3"/>
      <c r="X812" s="3"/>
      <c r="Y812" s="3"/>
      <c r="Z812" s="3"/>
    </row>
    <row r="813" spans="1:26" ht="14.25" customHeight="1">
      <c r="A813" s="1"/>
      <c r="B813" s="1"/>
      <c r="C813" s="1"/>
      <c r="D813" s="1"/>
      <c r="E813" s="136"/>
      <c r="F813" s="12"/>
      <c r="G813" s="145"/>
      <c r="H813" s="145"/>
      <c r="I813" s="3"/>
      <c r="J813" s="3"/>
      <c r="K813" s="3"/>
      <c r="L813" s="3"/>
      <c r="M813" s="3"/>
      <c r="N813" s="3"/>
      <c r="O813" s="3"/>
      <c r="P813" s="3"/>
      <c r="Q813" s="3"/>
      <c r="R813" s="3"/>
      <c r="S813" s="3"/>
      <c r="T813" s="3"/>
      <c r="U813" s="3"/>
      <c r="V813" s="3"/>
      <c r="W813" s="3"/>
      <c r="X813" s="3"/>
      <c r="Y813" s="3"/>
      <c r="Z813" s="3"/>
    </row>
    <row r="814" spans="1:26" ht="14.25" customHeight="1">
      <c r="A814" s="1"/>
      <c r="B814" s="1"/>
      <c r="C814" s="1"/>
      <c r="D814" s="1"/>
      <c r="E814" s="136"/>
      <c r="F814" s="12"/>
      <c r="G814" s="145"/>
      <c r="H814" s="145"/>
      <c r="I814" s="3"/>
      <c r="J814" s="3"/>
      <c r="K814" s="3"/>
      <c r="L814" s="3"/>
      <c r="M814" s="3"/>
      <c r="N814" s="3"/>
      <c r="O814" s="3"/>
      <c r="P814" s="3"/>
      <c r="Q814" s="3"/>
      <c r="R814" s="3"/>
      <c r="S814" s="3"/>
      <c r="T814" s="3"/>
      <c r="U814" s="3"/>
      <c r="V814" s="3"/>
      <c r="W814" s="3"/>
      <c r="X814" s="3"/>
      <c r="Y814" s="3"/>
      <c r="Z814" s="3"/>
    </row>
    <row r="815" spans="1:26" ht="14.25" customHeight="1">
      <c r="A815" s="1"/>
      <c r="B815" s="1"/>
      <c r="C815" s="1"/>
      <c r="D815" s="1"/>
      <c r="E815" s="136"/>
      <c r="F815" s="12"/>
      <c r="G815" s="145"/>
      <c r="H815" s="145"/>
      <c r="I815" s="3"/>
      <c r="J815" s="3"/>
      <c r="K815" s="3"/>
      <c r="L815" s="3"/>
      <c r="M815" s="3"/>
      <c r="N815" s="3"/>
      <c r="O815" s="3"/>
      <c r="P815" s="3"/>
      <c r="Q815" s="3"/>
      <c r="R815" s="3"/>
      <c r="S815" s="3"/>
      <c r="T815" s="3"/>
      <c r="U815" s="3"/>
      <c r="V815" s="3"/>
      <c r="W815" s="3"/>
      <c r="X815" s="3"/>
      <c r="Y815" s="3"/>
      <c r="Z815" s="3"/>
    </row>
    <row r="816" spans="1:26" ht="14.25" customHeight="1">
      <c r="A816" s="1"/>
      <c r="B816" s="1"/>
      <c r="C816" s="1"/>
      <c r="D816" s="1"/>
      <c r="E816" s="136"/>
      <c r="F816" s="12"/>
      <c r="G816" s="145"/>
      <c r="H816" s="145"/>
      <c r="I816" s="3"/>
      <c r="J816" s="3"/>
      <c r="K816" s="3"/>
      <c r="L816" s="3"/>
      <c r="M816" s="3"/>
      <c r="N816" s="3"/>
      <c r="O816" s="3"/>
      <c r="P816" s="3"/>
      <c r="Q816" s="3"/>
      <c r="R816" s="3"/>
      <c r="S816" s="3"/>
      <c r="T816" s="3"/>
      <c r="U816" s="3"/>
      <c r="V816" s="3"/>
      <c r="W816" s="3"/>
      <c r="X816" s="3"/>
      <c r="Y816" s="3"/>
      <c r="Z816" s="3"/>
    </row>
    <row r="817" spans="1:26" ht="14.25" customHeight="1">
      <c r="A817" s="1"/>
      <c r="B817" s="1"/>
      <c r="C817" s="1"/>
      <c r="D817" s="1"/>
      <c r="E817" s="136"/>
      <c r="F817" s="12"/>
      <c r="G817" s="145"/>
      <c r="H817" s="145"/>
      <c r="I817" s="3"/>
      <c r="J817" s="3"/>
      <c r="K817" s="3"/>
      <c r="L817" s="3"/>
      <c r="M817" s="3"/>
      <c r="N817" s="3"/>
      <c r="O817" s="3"/>
      <c r="P817" s="3"/>
      <c r="Q817" s="3"/>
      <c r="R817" s="3"/>
      <c r="S817" s="3"/>
      <c r="T817" s="3"/>
      <c r="U817" s="3"/>
      <c r="V817" s="3"/>
      <c r="W817" s="3"/>
      <c r="X817" s="3"/>
      <c r="Y817" s="3"/>
      <c r="Z817" s="3"/>
    </row>
    <row r="818" spans="1:26" ht="14.25" customHeight="1">
      <c r="A818" s="1"/>
      <c r="B818" s="1"/>
      <c r="C818" s="1"/>
      <c r="D818" s="1"/>
      <c r="E818" s="136"/>
      <c r="F818" s="12"/>
      <c r="G818" s="145"/>
      <c r="H818" s="145"/>
      <c r="I818" s="3"/>
      <c r="J818" s="3"/>
      <c r="K818" s="3"/>
      <c r="L818" s="3"/>
      <c r="M818" s="3"/>
      <c r="N818" s="3"/>
      <c r="O818" s="3"/>
      <c r="P818" s="3"/>
      <c r="Q818" s="3"/>
      <c r="R818" s="3"/>
      <c r="S818" s="3"/>
      <c r="T818" s="3"/>
      <c r="U818" s="3"/>
      <c r="V818" s="3"/>
      <c r="W818" s="3"/>
      <c r="X818" s="3"/>
      <c r="Y818" s="3"/>
      <c r="Z818" s="3"/>
    </row>
    <row r="819" spans="1:26" ht="14.25" customHeight="1">
      <c r="A819" s="1"/>
      <c r="B819" s="1"/>
      <c r="C819" s="1"/>
      <c r="D819" s="1"/>
      <c r="E819" s="136"/>
      <c r="F819" s="12"/>
      <c r="G819" s="145"/>
      <c r="H819" s="145"/>
      <c r="I819" s="3"/>
      <c r="J819" s="3"/>
      <c r="K819" s="3"/>
      <c r="L819" s="3"/>
      <c r="M819" s="3"/>
      <c r="N819" s="3"/>
      <c r="O819" s="3"/>
      <c r="P819" s="3"/>
      <c r="Q819" s="3"/>
      <c r="R819" s="3"/>
      <c r="S819" s="3"/>
      <c r="T819" s="3"/>
      <c r="U819" s="3"/>
      <c r="V819" s="3"/>
      <c r="W819" s="3"/>
      <c r="X819" s="3"/>
      <c r="Y819" s="3"/>
      <c r="Z819" s="3"/>
    </row>
    <row r="820" spans="1:26" ht="14.25" customHeight="1">
      <c r="A820" s="1"/>
      <c r="B820" s="1"/>
      <c r="C820" s="1"/>
      <c r="D820" s="1"/>
      <c r="E820" s="136"/>
      <c r="F820" s="12"/>
      <c r="G820" s="145"/>
      <c r="H820" s="145"/>
      <c r="I820" s="3"/>
      <c r="J820" s="3"/>
      <c r="K820" s="3"/>
      <c r="L820" s="3"/>
      <c r="M820" s="3"/>
      <c r="N820" s="3"/>
      <c r="O820" s="3"/>
      <c r="P820" s="3"/>
      <c r="Q820" s="3"/>
      <c r="R820" s="3"/>
      <c r="S820" s="3"/>
      <c r="T820" s="3"/>
      <c r="U820" s="3"/>
      <c r="V820" s="3"/>
      <c r="W820" s="3"/>
      <c r="X820" s="3"/>
      <c r="Y820" s="3"/>
      <c r="Z820" s="3"/>
    </row>
    <row r="821" spans="1:26" ht="14.25" customHeight="1">
      <c r="A821" s="1"/>
      <c r="B821" s="1"/>
      <c r="C821" s="1"/>
      <c r="D821" s="1"/>
      <c r="E821" s="136"/>
      <c r="F821" s="12"/>
      <c r="G821" s="145"/>
      <c r="H821" s="145"/>
      <c r="I821" s="3"/>
      <c r="J821" s="3"/>
      <c r="K821" s="3"/>
      <c r="L821" s="3"/>
      <c r="M821" s="3"/>
      <c r="N821" s="3"/>
      <c r="O821" s="3"/>
      <c r="P821" s="3"/>
      <c r="Q821" s="3"/>
      <c r="R821" s="3"/>
      <c r="S821" s="3"/>
      <c r="T821" s="3"/>
      <c r="U821" s="3"/>
      <c r="V821" s="3"/>
      <c r="W821" s="3"/>
      <c r="X821" s="3"/>
      <c r="Y821" s="3"/>
      <c r="Z821" s="3"/>
    </row>
    <row r="822" spans="1:26" ht="14.25" customHeight="1">
      <c r="A822" s="1"/>
      <c r="B822" s="1"/>
      <c r="C822" s="1"/>
      <c r="D822" s="1"/>
      <c r="E822" s="136"/>
      <c r="F822" s="12"/>
      <c r="G822" s="145"/>
      <c r="H822" s="145"/>
      <c r="I822" s="3"/>
      <c r="J822" s="3"/>
      <c r="K822" s="3"/>
      <c r="L822" s="3"/>
      <c r="M822" s="3"/>
      <c r="N822" s="3"/>
      <c r="O822" s="3"/>
      <c r="P822" s="3"/>
      <c r="Q822" s="3"/>
      <c r="R822" s="3"/>
      <c r="S822" s="3"/>
      <c r="T822" s="3"/>
      <c r="U822" s="3"/>
      <c r="V822" s="3"/>
      <c r="W822" s="3"/>
      <c r="X822" s="3"/>
      <c r="Y822" s="3"/>
      <c r="Z822" s="3"/>
    </row>
    <row r="823" spans="1:26" ht="14.25" customHeight="1">
      <c r="A823" s="1"/>
      <c r="B823" s="1"/>
      <c r="C823" s="1"/>
      <c r="D823" s="1"/>
      <c r="E823" s="136"/>
      <c r="F823" s="12"/>
      <c r="G823" s="145"/>
      <c r="H823" s="145"/>
      <c r="I823" s="3"/>
      <c r="J823" s="3"/>
      <c r="K823" s="3"/>
      <c r="L823" s="3"/>
      <c r="M823" s="3"/>
      <c r="N823" s="3"/>
      <c r="O823" s="3"/>
      <c r="P823" s="3"/>
      <c r="Q823" s="3"/>
      <c r="R823" s="3"/>
      <c r="S823" s="3"/>
      <c r="T823" s="3"/>
      <c r="U823" s="3"/>
      <c r="V823" s="3"/>
      <c r="W823" s="3"/>
      <c r="X823" s="3"/>
      <c r="Y823" s="3"/>
      <c r="Z823" s="3"/>
    </row>
    <row r="824" spans="1:26" ht="14.25" customHeight="1">
      <c r="A824" s="1"/>
      <c r="B824" s="1"/>
      <c r="C824" s="1"/>
      <c r="D824" s="1"/>
      <c r="E824" s="136"/>
      <c r="F824" s="12"/>
      <c r="G824" s="145"/>
      <c r="H824" s="145"/>
      <c r="I824" s="3"/>
      <c r="J824" s="3"/>
      <c r="K824" s="3"/>
      <c r="L824" s="3"/>
      <c r="M824" s="3"/>
      <c r="N824" s="3"/>
      <c r="O824" s="3"/>
      <c r="P824" s="3"/>
      <c r="Q824" s="3"/>
      <c r="R824" s="3"/>
      <c r="S824" s="3"/>
      <c r="T824" s="3"/>
      <c r="U824" s="3"/>
      <c r="V824" s="3"/>
      <c r="W824" s="3"/>
      <c r="X824" s="3"/>
      <c r="Y824" s="3"/>
      <c r="Z824" s="3"/>
    </row>
    <row r="825" spans="1:26" ht="14.25" customHeight="1">
      <c r="A825" s="1"/>
      <c r="B825" s="1"/>
      <c r="C825" s="1"/>
      <c r="D825" s="1"/>
      <c r="E825" s="136"/>
      <c r="F825" s="12"/>
      <c r="G825" s="145"/>
      <c r="H825" s="145"/>
      <c r="I825" s="3"/>
      <c r="J825" s="3"/>
      <c r="K825" s="3"/>
      <c r="L825" s="3"/>
      <c r="M825" s="3"/>
      <c r="N825" s="3"/>
      <c r="O825" s="3"/>
      <c r="P825" s="3"/>
      <c r="Q825" s="3"/>
      <c r="R825" s="3"/>
      <c r="S825" s="3"/>
      <c r="T825" s="3"/>
      <c r="U825" s="3"/>
      <c r="V825" s="3"/>
      <c r="W825" s="3"/>
      <c r="X825" s="3"/>
      <c r="Y825" s="3"/>
      <c r="Z825" s="3"/>
    </row>
    <row r="826" spans="1:26" ht="14.25" customHeight="1">
      <c r="A826" s="1"/>
      <c r="B826" s="1"/>
      <c r="C826" s="1"/>
      <c r="D826" s="1"/>
      <c r="E826" s="136"/>
      <c r="F826" s="12"/>
      <c r="G826" s="145"/>
      <c r="H826" s="145"/>
      <c r="I826" s="3"/>
      <c r="J826" s="3"/>
      <c r="K826" s="3"/>
      <c r="L826" s="3"/>
      <c r="M826" s="3"/>
      <c r="N826" s="3"/>
      <c r="O826" s="3"/>
      <c r="P826" s="3"/>
      <c r="Q826" s="3"/>
      <c r="R826" s="3"/>
      <c r="S826" s="3"/>
      <c r="T826" s="3"/>
      <c r="U826" s="3"/>
      <c r="V826" s="3"/>
      <c r="W826" s="3"/>
      <c r="X826" s="3"/>
      <c r="Y826" s="3"/>
      <c r="Z826" s="3"/>
    </row>
    <row r="827" spans="1:26" ht="14.25" customHeight="1">
      <c r="A827" s="1"/>
      <c r="B827" s="1"/>
      <c r="C827" s="1"/>
      <c r="D827" s="1"/>
      <c r="E827" s="136"/>
      <c r="F827" s="12"/>
      <c r="G827" s="145"/>
      <c r="H827" s="145"/>
      <c r="I827" s="3"/>
      <c r="J827" s="3"/>
      <c r="K827" s="3"/>
      <c r="L827" s="3"/>
      <c r="M827" s="3"/>
      <c r="N827" s="3"/>
      <c r="O827" s="3"/>
      <c r="P827" s="3"/>
      <c r="Q827" s="3"/>
      <c r="R827" s="3"/>
      <c r="S827" s="3"/>
      <c r="T827" s="3"/>
      <c r="U827" s="3"/>
      <c r="V827" s="3"/>
      <c r="W827" s="3"/>
      <c r="X827" s="3"/>
      <c r="Y827" s="3"/>
      <c r="Z827" s="3"/>
    </row>
    <row r="828" spans="1:26" ht="14.25" customHeight="1">
      <c r="A828" s="1"/>
      <c r="B828" s="1"/>
      <c r="C828" s="1"/>
      <c r="D828" s="1"/>
      <c r="E828" s="136"/>
      <c r="F828" s="12"/>
      <c r="G828" s="145"/>
      <c r="H828" s="145"/>
      <c r="I828" s="3"/>
      <c r="J828" s="3"/>
      <c r="K828" s="3"/>
      <c r="L828" s="3"/>
      <c r="M828" s="3"/>
      <c r="N828" s="3"/>
      <c r="O828" s="3"/>
      <c r="P828" s="3"/>
      <c r="Q828" s="3"/>
      <c r="R828" s="3"/>
      <c r="S828" s="3"/>
      <c r="T828" s="3"/>
      <c r="U828" s="3"/>
      <c r="V828" s="3"/>
      <c r="W828" s="3"/>
      <c r="X828" s="3"/>
      <c r="Y828" s="3"/>
      <c r="Z828" s="3"/>
    </row>
    <row r="829" spans="1:26" ht="14.25" customHeight="1">
      <c r="A829" s="1"/>
      <c r="B829" s="1"/>
      <c r="C829" s="1"/>
      <c r="D829" s="1"/>
      <c r="E829" s="136"/>
      <c r="F829" s="12"/>
      <c r="G829" s="145"/>
      <c r="H829" s="145"/>
      <c r="I829" s="3"/>
      <c r="J829" s="3"/>
      <c r="K829" s="3"/>
      <c r="L829" s="3"/>
      <c r="M829" s="3"/>
      <c r="N829" s="3"/>
      <c r="O829" s="3"/>
      <c r="P829" s="3"/>
      <c r="Q829" s="3"/>
      <c r="R829" s="3"/>
      <c r="S829" s="3"/>
      <c r="T829" s="3"/>
      <c r="U829" s="3"/>
      <c r="V829" s="3"/>
      <c r="W829" s="3"/>
      <c r="X829" s="3"/>
      <c r="Y829" s="3"/>
      <c r="Z829" s="3"/>
    </row>
    <row r="830" spans="1:26" ht="14.25" customHeight="1">
      <c r="A830" s="1"/>
      <c r="B830" s="1"/>
      <c r="C830" s="1"/>
      <c r="D830" s="1"/>
      <c r="E830" s="136"/>
      <c r="F830" s="12"/>
      <c r="G830" s="145"/>
      <c r="H830" s="145"/>
      <c r="I830" s="3"/>
      <c r="J830" s="3"/>
      <c r="K830" s="3"/>
      <c r="L830" s="3"/>
      <c r="M830" s="3"/>
      <c r="N830" s="3"/>
      <c r="O830" s="3"/>
      <c r="P830" s="3"/>
      <c r="Q830" s="3"/>
      <c r="R830" s="3"/>
      <c r="S830" s="3"/>
      <c r="T830" s="3"/>
      <c r="U830" s="3"/>
      <c r="V830" s="3"/>
      <c r="W830" s="3"/>
      <c r="X830" s="3"/>
      <c r="Y830" s="3"/>
      <c r="Z830" s="3"/>
    </row>
    <row r="831" spans="1:26" ht="14.25" customHeight="1">
      <c r="A831" s="1"/>
      <c r="B831" s="1"/>
      <c r="C831" s="1"/>
      <c r="D831" s="1"/>
      <c r="E831" s="136"/>
      <c r="F831" s="12"/>
      <c r="G831" s="145"/>
      <c r="H831" s="145"/>
      <c r="I831" s="3"/>
      <c r="J831" s="3"/>
      <c r="K831" s="3"/>
      <c r="L831" s="3"/>
      <c r="M831" s="3"/>
      <c r="N831" s="3"/>
      <c r="O831" s="3"/>
      <c r="P831" s="3"/>
      <c r="Q831" s="3"/>
      <c r="R831" s="3"/>
      <c r="S831" s="3"/>
      <c r="T831" s="3"/>
      <c r="U831" s="3"/>
      <c r="V831" s="3"/>
      <c r="W831" s="3"/>
      <c r="X831" s="3"/>
      <c r="Y831" s="3"/>
      <c r="Z831" s="3"/>
    </row>
    <row r="832" spans="1:26" ht="14.25" customHeight="1">
      <c r="A832" s="1"/>
      <c r="B832" s="1"/>
      <c r="C832" s="1"/>
      <c r="D832" s="1"/>
      <c r="E832" s="136"/>
      <c r="F832" s="12"/>
      <c r="G832" s="145"/>
      <c r="H832" s="145"/>
      <c r="I832" s="3"/>
      <c r="J832" s="3"/>
      <c r="K832" s="3"/>
      <c r="L832" s="3"/>
      <c r="M832" s="3"/>
      <c r="N832" s="3"/>
      <c r="O832" s="3"/>
      <c r="P832" s="3"/>
      <c r="Q832" s="3"/>
      <c r="R832" s="3"/>
      <c r="S832" s="3"/>
      <c r="T832" s="3"/>
      <c r="U832" s="3"/>
      <c r="V832" s="3"/>
      <c r="W832" s="3"/>
      <c r="X832" s="3"/>
      <c r="Y832" s="3"/>
      <c r="Z832" s="3"/>
    </row>
    <row r="833" spans="1:26" ht="14.25" customHeight="1">
      <c r="A833" s="1"/>
      <c r="B833" s="1"/>
      <c r="C833" s="1"/>
      <c r="D833" s="1"/>
      <c r="E833" s="136"/>
      <c r="F833" s="12"/>
      <c r="G833" s="145"/>
      <c r="H833" s="145"/>
      <c r="I833" s="3"/>
      <c r="J833" s="3"/>
      <c r="K833" s="3"/>
      <c r="L833" s="3"/>
      <c r="M833" s="3"/>
      <c r="N833" s="3"/>
      <c r="O833" s="3"/>
      <c r="P833" s="3"/>
      <c r="Q833" s="3"/>
      <c r="R833" s="3"/>
      <c r="S833" s="3"/>
      <c r="T833" s="3"/>
      <c r="U833" s="3"/>
      <c r="V833" s="3"/>
      <c r="W833" s="3"/>
      <c r="X833" s="3"/>
      <c r="Y833" s="3"/>
      <c r="Z833" s="3"/>
    </row>
    <row r="834" spans="1:26" ht="14.25" customHeight="1">
      <c r="A834" s="1"/>
      <c r="B834" s="1"/>
      <c r="C834" s="1"/>
      <c r="D834" s="1"/>
      <c r="E834" s="136"/>
      <c r="F834" s="12"/>
      <c r="G834" s="145"/>
      <c r="H834" s="145"/>
      <c r="I834" s="3"/>
      <c r="J834" s="3"/>
      <c r="K834" s="3"/>
      <c r="L834" s="3"/>
      <c r="M834" s="3"/>
      <c r="N834" s="3"/>
      <c r="O834" s="3"/>
      <c r="P834" s="3"/>
      <c r="Q834" s="3"/>
      <c r="R834" s="3"/>
      <c r="S834" s="3"/>
      <c r="T834" s="3"/>
      <c r="U834" s="3"/>
      <c r="V834" s="3"/>
      <c r="W834" s="3"/>
      <c r="X834" s="3"/>
      <c r="Y834" s="3"/>
      <c r="Z834" s="3"/>
    </row>
    <row r="835" spans="1:26" ht="14.25" customHeight="1">
      <c r="A835" s="1"/>
      <c r="B835" s="1"/>
      <c r="C835" s="1"/>
      <c r="D835" s="1"/>
      <c r="E835" s="136"/>
      <c r="F835" s="12"/>
      <c r="G835" s="145"/>
      <c r="H835" s="145"/>
      <c r="I835" s="3"/>
      <c r="J835" s="3"/>
      <c r="K835" s="3"/>
      <c r="L835" s="3"/>
      <c r="M835" s="3"/>
      <c r="N835" s="3"/>
      <c r="O835" s="3"/>
      <c r="P835" s="3"/>
      <c r="Q835" s="3"/>
      <c r="R835" s="3"/>
      <c r="S835" s="3"/>
      <c r="T835" s="3"/>
      <c r="U835" s="3"/>
      <c r="V835" s="3"/>
      <c r="W835" s="3"/>
      <c r="X835" s="3"/>
      <c r="Y835" s="3"/>
      <c r="Z835" s="3"/>
    </row>
    <row r="836" spans="1:26" ht="14.25" customHeight="1">
      <c r="A836" s="1"/>
      <c r="B836" s="1"/>
      <c r="C836" s="1"/>
      <c r="D836" s="1"/>
      <c r="E836" s="136"/>
      <c r="F836" s="12"/>
      <c r="G836" s="145"/>
      <c r="H836" s="145"/>
      <c r="I836" s="3"/>
      <c r="J836" s="3"/>
      <c r="K836" s="3"/>
      <c r="L836" s="3"/>
      <c r="M836" s="3"/>
      <c r="N836" s="3"/>
      <c r="O836" s="3"/>
      <c r="P836" s="3"/>
      <c r="Q836" s="3"/>
      <c r="R836" s="3"/>
      <c r="S836" s="3"/>
      <c r="T836" s="3"/>
      <c r="U836" s="3"/>
      <c r="V836" s="3"/>
      <c r="W836" s="3"/>
      <c r="X836" s="3"/>
      <c r="Y836" s="3"/>
      <c r="Z836" s="3"/>
    </row>
    <row r="837" spans="1:26" ht="14.25" customHeight="1">
      <c r="A837" s="1"/>
      <c r="B837" s="1"/>
      <c r="C837" s="1"/>
      <c r="D837" s="1"/>
      <c r="E837" s="136"/>
      <c r="F837" s="12"/>
      <c r="G837" s="145"/>
      <c r="H837" s="145"/>
      <c r="I837" s="3"/>
      <c r="J837" s="3"/>
      <c r="K837" s="3"/>
      <c r="L837" s="3"/>
      <c r="M837" s="3"/>
      <c r="N837" s="3"/>
      <c r="O837" s="3"/>
      <c r="P837" s="3"/>
      <c r="Q837" s="3"/>
      <c r="R837" s="3"/>
      <c r="S837" s="3"/>
      <c r="T837" s="3"/>
      <c r="U837" s="3"/>
      <c r="V837" s="3"/>
      <c r="W837" s="3"/>
      <c r="X837" s="3"/>
      <c r="Y837" s="3"/>
      <c r="Z837" s="3"/>
    </row>
    <row r="838" spans="1:26" ht="14.25" customHeight="1">
      <c r="A838" s="1"/>
      <c r="B838" s="1"/>
      <c r="C838" s="1"/>
      <c r="D838" s="1"/>
      <c r="E838" s="136"/>
      <c r="F838" s="12"/>
      <c r="G838" s="145"/>
      <c r="H838" s="145"/>
      <c r="I838" s="3"/>
      <c r="J838" s="3"/>
      <c r="K838" s="3"/>
      <c r="L838" s="3"/>
      <c r="M838" s="3"/>
      <c r="N838" s="3"/>
      <c r="O838" s="3"/>
      <c r="P838" s="3"/>
      <c r="Q838" s="3"/>
      <c r="R838" s="3"/>
      <c r="S838" s="3"/>
      <c r="T838" s="3"/>
      <c r="U838" s="3"/>
      <c r="V838" s="3"/>
      <c r="W838" s="3"/>
      <c r="X838" s="3"/>
      <c r="Y838" s="3"/>
      <c r="Z838" s="3"/>
    </row>
    <row r="839" spans="1:26" ht="14.25" customHeight="1">
      <c r="A839" s="1"/>
      <c r="B839" s="1"/>
      <c r="C839" s="1"/>
      <c r="D839" s="1"/>
      <c r="E839" s="136"/>
      <c r="F839" s="12"/>
      <c r="G839" s="145"/>
      <c r="H839" s="145"/>
      <c r="I839" s="3"/>
      <c r="J839" s="3"/>
      <c r="K839" s="3"/>
      <c r="L839" s="3"/>
      <c r="M839" s="3"/>
      <c r="N839" s="3"/>
      <c r="O839" s="3"/>
      <c r="P839" s="3"/>
      <c r="Q839" s="3"/>
      <c r="R839" s="3"/>
      <c r="S839" s="3"/>
      <c r="T839" s="3"/>
      <c r="U839" s="3"/>
      <c r="V839" s="3"/>
      <c r="W839" s="3"/>
      <c r="X839" s="3"/>
      <c r="Y839" s="3"/>
      <c r="Z839" s="3"/>
    </row>
    <row r="840" spans="1:26" ht="14.25" customHeight="1">
      <c r="A840" s="1"/>
      <c r="B840" s="1"/>
      <c r="C840" s="1"/>
      <c r="D840" s="1"/>
      <c r="E840" s="136"/>
      <c r="F840" s="12"/>
      <c r="G840" s="145"/>
      <c r="H840" s="145"/>
      <c r="I840" s="3"/>
      <c r="J840" s="3"/>
      <c r="K840" s="3"/>
      <c r="L840" s="3"/>
      <c r="M840" s="3"/>
      <c r="N840" s="3"/>
      <c r="O840" s="3"/>
      <c r="P840" s="3"/>
      <c r="Q840" s="3"/>
      <c r="R840" s="3"/>
      <c r="S840" s="3"/>
      <c r="T840" s="3"/>
      <c r="U840" s="3"/>
      <c r="V840" s="3"/>
      <c r="W840" s="3"/>
      <c r="X840" s="3"/>
      <c r="Y840" s="3"/>
      <c r="Z840" s="3"/>
    </row>
    <row r="841" spans="1:26" ht="14.25" customHeight="1">
      <c r="A841" s="1"/>
      <c r="B841" s="1"/>
      <c r="C841" s="1"/>
      <c r="D841" s="1"/>
      <c r="E841" s="136"/>
      <c r="F841" s="12"/>
      <c r="G841" s="145"/>
      <c r="H841" s="145"/>
      <c r="I841" s="3"/>
      <c r="J841" s="3"/>
      <c r="K841" s="3"/>
      <c r="L841" s="3"/>
      <c r="M841" s="3"/>
      <c r="N841" s="3"/>
      <c r="O841" s="3"/>
      <c r="P841" s="3"/>
      <c r="Q841" s="3"/>
      <c r="R841" s="3"/>
      <c r="S841" s="3"/>
      <c r="T841" s="3"/>
      <c r="U841" s="3"/>
      <c r="V841" s="3"/>
      <c r="W841" s="3"/>
      <c r="X841" s="3"/>
      <c r="Y841" s="3"/>
      <c r="Z841" s="3"/>
    </row>
    <row r="842" spans="1:26" ht="14.25" customHeight="1">
      <c r="A842" s="1"/>
      <c r="B842" s="1"/>
      <c r="C842" s="1"/>
      <c r="D842" s="1"/>
      <c r="E842" s="136"/>
      <c r="F842" s="12"/>
      <c r="G842" s="145"/>
      <c r="H842" s="145"/>
      <c r="I842" s="3"/>
      <c r="J842" s="3"/>
      <c r="K842" s="3"/>
      <c r="L842" s="3"/>
      <c r="M842" s="3"/>
      <c r="N842" s="3"/>
      <c r="O842" s="3"/>
      <c r="P842" s="3"/>
      <c r="Q842" s="3"/>
      <c r="R842" s="3"/>
      <c r="S842" s="3"/>
      <c r="T842" s="3"/>
      <c r="U842" s="3"/>
      <c r="V842" s="3"/>
      <c r="W842" s="3"/>
      <c r="X842" s="3"/>
      <c r="Y842" s="3"/>
      <c r="Z842" s="3"/>
    </row>
    <row r="843" spans="1:26" ht="14.25" customHeight="1">
      <c r="A843" s="1"/>
      <c r="B843" s="1"/>
      <c r="C843" s="1"/>
      <c r="D843" s="1"/>
      <c r="E843" s="136"/>
      <c r="F843" s="12"/>
      <c r="G843" s="145"/>
      <c r="H843" s="145"/>
      <c r="I843" s="3"/>
      <c r="J843" s="3"/>
      <c r="K843" s="3"/>
      <c r="L843" s="3"/>
      <c r="M843" s="3"/>
      <c r="N843" s="3"/>
      <c r="O843" s="3"/>
      <c r="P843" s="3"/>
      <c r="Q843" s="3"/>
      <c r="R843" s="3"/>
      <c r="S843" s="3"/>
      <c r="T843" s="3"/>
      <c r="U843" s="3"/>
      <c r="V843" s="3"/>
      <c r="W843" s="3"/>
      <c r="X843" s="3"/>
      <c r="Y843" s="3"/>
      <c r="Z843" s="3"/>
    </row>
    <row r="844" spans="1:26" ht="14.25" customHeight="1">
      <c r="A844" s="1"/>
      <c r="B844" s="1"/>
      <c r="C844" s="1"/>
      <c r="D844" s="1"/>
      <c r="E844" s="136"/>
      <c r="F844" s="12"/>
      <c r="G844" s="145"/>
      <c r="H844" s="145"/>
      <c r="I844" s="3"/>
      <c r="J844" s="3"/>
      <c r="K844" s="3"/>
      <c r="L844" s="3"/>
      <c r="M844" s="3"/>
      <c r="N844" s="3"/>
      <c r="O844" s="3"/>
      <c r="P844" s="3"/>
      <c r="Q844" s="3"/>
      <c r="R844" s="3"/>
      <c r="S844" s="3"/>
      <c r="T844" s="3"/>
      <c r="U844" s="3"/>
      <c r="V844" s="3"/>
      <c r="W844" s="3"/>
      <c r="X844" s="3"/>
      <c r="Y844" s="3"/>
      <c r="Z844" s="3"/>
    </row>
    <row r="845" spans="1:26" ht="14.25" customHeight="1">
      <c r="A845" s="1"/>
      <c r="B845" s="1"/>
      <c r="C845" s="1"/>
      <c r="D845" s="1"/>
      <c r="E845" s="136"/>
      <c r="F845" s="12"/>
      <c r="G845" s="145"/>
      <c r="H845" s="145"/>
      <c r="I845" s="3"/>
      <c r="J845" s="3"/>
      <c r="K845" s="3"/>
      <c r="L845" s="3"/>
      <c r="M845" s="3"/>
      <c r="N845" s="3"/>
      <c r="O845" s="3"/>
      <c r="P845" s="3"/>
      <c r="Q845" s="3"/>
      <c r="R845" s="3"/>
      <c r="S845" s="3"/>
      <c r="T845" s="3"/>
      <c r="U845" s="3"/>
      <c r="V845" s="3"/>
      <c r="W845" s="3"/>
      <c r="X845" s="3"/>
      <c r="Y845" s="3"/>
      <c r="Z845" s="3"/>
    </row>
    <row r="846" spans="1:26" ht="14.25" customHeight="1">
      <c r="A846" s="1"/>
      <c r="B846" s="1"/>
      <c r="C846" s="1"/>
      <c r="D846" s="1"/>
      <c r="E846" s="136"/>
      <c r="F846" s="12"/>
      <c r="G846" s="145"/>
      <c r="H846" s="145"/>
      <c r="I846" s="3"/>
      <c r="J846" s="3"/>
      <c r="K846" s="3"/>
      <c r="L846" s="3"/>
      <c r="M846" s="3"/>
      <c r="N846" s="3"/>
      <c r="O846" s="3"/>
      <c r="P846" s="3"/>
      <c r="Q846" s="3"/>
      <c r="R846" s="3"/>
      <c r="S846" s="3"/>
      <c r="T846" s="3"/>
      <c r="U846" s="3"/>
      <c r="V846" s="3"/>
      <c r="W846" s="3"/>
      <c r="X846" s="3"/>
      <c r="Y846" s="3"/>
      <c r="Z846" s="3"/>
    </row>
    <row r="847" spans="1:26" ht="14.25" customHeight="1">
      <c r="A847" s="1"/>
      <c r="B847" s="1"/>
      <c r="C847" s="1"/>
      <c r="D847" s="1"/>
      <c r="E847" s="136"/>
      <c r="F847" s="12"/>
      <c r="G847" s="145"/>
      <c r="H847" s="145"/>
      <c r="I847" s="3"/>
      <c r="J847" s="3"/>
      <c r="K847" s="3"/>
      <c r="L847" s="3"/>
      <c r="M847" s="3"/>
      <c r="N847" s="3"/>
      <c r="O847" s="3"/>
      <c r="P847" s="3"/>
      <c r="Q847" s="3"/>
      <c r="R847" s="3"/>
      <c r="S847" s="3"/>
      <c r="T847" s="3"/>
      <c r="U847" s="3"/>
      <c r="V847" s="3"/>
      <c r="W847" s="3"/>
      <c r="X847" s="3"/>
      <c r="Y847" s="3"/>
      <c r="Z847" s="3"/>
    </row>
    <row r="848" spans="1:26" ht="14.25" customHeight="1">
      <c r="A848" s="1"/>
      <c r="B848" s="1"/>
      <c r="C848" s="1"/>
      <c r="D848" s="1"/>
      <c r="E848" s="136"/>
      <c r="F848" s="12"/>
      <c r="G848" s="145"/>
      <c r="H848" s="145"/>
      <c r="I848" s="3"/>
      <c r="J848" s="3"/>
      <c r="K848" s="3"/>
      <c r="L848" s="3"/>
      <c r="M848" s="3"/>
      <c r="N848" s="3"/>
      <c r="O848" s="3"/>
      <c r="P848" s="3"/>
      <c r="Q848" s="3"/>
      <c r="R848" s="3"/>
      <c r="S848" s="3"/>
      <c r="T848" s="3"/>
      <c r="U848" s="3"/>
      <c r="V848" s="3"/>
      <c r="W848" s="3"/>
      <c r="X848" s="3"/>
      <c r="Y848" s="3"/>
      <c r="Z848" s="3"/>
    </row>
    <row r="849" spans="1:26" ht="14.25" customHeight="1">
      <c r="A849" s="1"/>
      <c r="B849" s="1"/>
      <c r="C849" s="1"/>
      <c r="D849" s="1"/>
      <c r="E849" s="136"/>
      <c r="F849" s="12"/>
      <c r="G849" s="145"/>
      <c r="H849" s="145"/>
      <c r="I849" s="3"/>
      <c r="J849" s="3"/>
      <c r="K849" s="3"/>
      <c r="L849" s="3"/>
      <c r="M849" s="3"/>
      <c r="N849" s="3"/>
      <c r="O849" s="3"/>
      <c r="P849" s="3"/>
      <c r="Q849" s="3"/>
      <c r="R849" s="3"/>
      <c r="S849" s="3"/>
      <c r="T849" s="3"/>
      <c r="U849" s="3"/>
      <c r="V849" s="3"/>
      <c r="W849" s="3"/>
      <c r="X849" s="3"/>
      <c r="Y849" s="3"/>
      <c r="Z849" s="3"/>
    </row>
    <row r="850" spans="1:26" ht="14.25" customHeight="1">
      <c r="A850" s="1"/>
      <c r="B850" s="1"/>
      <c r="C850" s="1"/>
      <c r="D850" s="1"/>
      <c r="E850" s="136"/>
      <c r="F850" s="12"/>
      <c r="G850" s="145"/>
      <c r="H850" s="145"/>
      <c r="I850" s="3"/>
      <c r="J850" s="3"/>
      <c r="K850" s="3"/>
      <c r="L850" s="3"/>
      <c r="M850" s="3"/>
      <c r="N850" s="3"/>
      <c r="O850" s="3"/>
      <c r="P850" s="3"/>
      <c r="Q850" s="3"/>
      <c r="R850" s="3"/>
      <c r="S850" s="3"/>
      <c r="T850" s="3"/>
      <c r="U850" s="3"/>
      <c r="V850" s="3"/>
      <c r="W850" s="3"/>
      <c r="X850" s="3"/>
      <c r="Y850" s="3"/>
      <c r="Z850" s="3"/>
    </row>
    <row r="851" spans="1:26" ht="14.25" customHeight="1">
      <c r="A851" s="1"/>
      <c r="B851" s="1"/>
      <c r="C851" s="1"/>
      <c r="D851" s="1"/>
      <c r="E851" s="136"/>
      <c r="F851" s="12"/>
      <c r="G851" s="145"/>
      <c r="H851" s="145"/>
      <c r="I851" s="3"/>
      <c r="J851" s="3"/>
      <c r="K851" s="3"/>
      <c r="L851" s="3"/>
      <c r="M851" s="3"/>
      <c r="N851" s="3"/>
      <c r="O851" s="3"/>
      <c r="P851" s="3"/>
      <c r="Q851" s="3"/>
      <c r="R851" s="3"/>
      <c r="S851" s="3"/>
      <c r="T851" s="3"/>
      <c r="U851" s="3"/>
      <c r="V851" s="3"/>
      <c r="W851" s="3"/>
      <c r="X851" s="3"/>
      <c r="Y851" s="3"/>
      <c r="Z851" s="3"/>
    </row>
    <row r="852" spans="1:26" ht="14.25" customHeight="1">
      <c r="A852" s="1"/>
      <c r="B852" s="1"/>
      <c r="C852" s="1"/>
      <c r="D852" s="1"/>
      <c r="E852" s="136"/>
      <c r="F852" s="12"/>
      <c r="G852" s="145"/>
      <c r="H852" s="145"/>
      <c r="I852" s="3"/>
      <c r="J852" s="3"/>
      <c r="K852" s="3"/>
      <c r="L852" s="3"/>
      <c r="M852" s="3"/>
      <c r="N852" s="3"/>
      <c r="O852" s="3"/>
      <c r="P852" s="3"/>
      <c r="Q852" s="3"/>
      <c r="R852" s="3"/>
      <c r="S852" s="3"/>
      <c r="T852" s="3"/>
      <c r="U852" s="3"/>
      <c r="V852" s="3"/>
      <c r="W852" s="3"/>
      <c r="X852" s="3"/>
      <c r="Y852" s="3"/>
      <c r="Z852" s="3"/>
    </row>
    <row r="853" spans="1:26" ht="14.25" customHeight="1">
      <c r="A853" s="1"/>
      <c r="B853" s="1"/>
      <c r="C853" s="1"/>
      <c r="D853" s="1"/>
      <c r="E853" s="136"/>
      <c r="F853" s="12"/>
      <c r="G853" s="145"/>
      <c r="H853" s="145"/>
      <c r="I853" s="3"/>
      <c r="J853" s="3"/>
      <c r="K853" s="3"/>
      <c r="L853" s="3"/>
      <c r="M853" s="3"/>
      <c r="N853" s="3"/>
      <c r="O853" s="3"/>
      <c r="P853" s="3"/>
      <c r="Q853" s="3"/>
      <c r="R853" s="3"/>
      <c r="S853" s="3"/>
      <c r="T853" s="3"/>
      <c r="U853" s="3"/>
      <c r="V853" s="3"/>
      <c r="W853" s="3"/>
      <c r="X853" s="3"/>
      <c r="Y853" s="3"/>
      <c r="Z853" s="3"/>
    </row>
    <row r="854" spans="1:26" ht="14.25" customHeight="1">
      <c r="A854" s="1"/>
      <c r="B854" s="1"/>
      <c r="C854" s="1"/>
      <c r="D854" s="1"/>
      <c r="E854" s="136"/>
      <c r="F854" s="12"/>
      <c r="G854" s="145"/>
      <c r="H854" s="145"/>
      <c r="I854" s="3"/>
      <c r="J854" s="3"/>
      <c r="K854" s="3"/>
      <c r="L854" s="3"/>
      <c r="M854" s="3"/>
      <c r="N854" s="3"/>
      <c r="O854" s="3"/>
      <c r="P854" s="3"/>
      <c r="Q854" s="3"/>
      <c r="R854" s="3"/>
      <c r="S854" s="3"/>
      <c r="T854" s="3"/>
      <c r="U854" s="3"/>
      <c r="V854" s="3"/>
      <c r="W854" s="3"/>
      <c r="X854" s="3"/>
      <c r="Y854" s="3"/>
      <c r="Z854" s="3"/>
    </row>
    <row r="855" spans="1:26" ht="14.25" customHeight="1">
      <c r="A855" s="1"/>
      <c r="B855" s="1"/>
      <c r="C855" s="1"/>
      <c r="D855" s="1"/>
      <c r="E855" s="136"/>
      <c r="F855" s="12"/>
      <c r="G855" s="145"/>
      <c r="H855" s="145"/>
      <c r="I855" s="3"/>
      <c r="J855" s="3"/>
      <c r="K855" s="3"/>
      <c r="L855" s="3"/>
      <c r="M855" s="3"/>
      <c r="N855" s="3"/>
      <c r="O855" s="3"/>
      <c r="P855" s="3"/>
      <c r="Q855" s="3"/>
      <c r="R855" s="3"/>
      <c r="S855" s="3"/>
      <c r="T855" s="3"/>
      <c r="U855" s="3"/>
      <c r="V855" s="3"/>
      <c r="W855" s="3"/>
      <c r="X855" s="3"/>
      <c r="Y855" s="3"/>
      <c r="Z855" s="3"/>
    </row>
    <row r="856" spans="1:26" ht="14.25" customHeight="1">
      <c r="A856" s="1"/>
      <c r="B856" s="1"/>
      <c r="C856" s="1"/>
      <c r="D856" s="1"/>
      <c r="E856" s="136"/>
      <c r="F856" s="12"/>
      <c r="G856" s="145"/>
      <c r="H856" s="145"/>
      <c r="I856" s="3"/>
      <c r="J856" s="3"/>
      <c r="K856" s="3"/>
      <c r="L856" s="3"/>
      <c r="M856" s="3"/>
      <c r="N856" s="3"/>
      <c r="O856" s="3"/>
      <c r="P856" s="3"/>
      <c r="Q856" s="3"/>
      <c r="R856" s="3"/>
      <c r="S856" s="3"/>
      <c r="T856" s="3"/>
      <c r="U856" s="3"/>
      <c r="V856" s="3"/>
      <c r="W856" s="3"/>
      <c r="X856" s="3"/>
      <c r="Y856" s="3"/>
      <c r="Z856" s="3"/>
    </row>
    <row r="857" spans="1:26" ht="14.25" customHeight="1">
      <c r="A857" s="1"/>
      <c r="B857" s="1"/>
      <c r="C857" s="1"/>
      <c r="D857" s="1"/>
      <c r="E857" s="136"/>
      <c r="F857" s="12"/>
      <c r="G857" s="145"/>
      <c r="H857" s="145"/>
      <c r="I857" s="3"/>
      <c r="J857" s="3"/>
      <c r="K857" s="3"/>
      <c r="L857" s="3"/>
      <c r="M857" s="3"/>
      <c r="N857" s="3"/>
      <c r="O857" s="3"/>
      <c r="P857" s="3"/>
      <c r="Q857" s="3"/>
      <c r="R857" s="3"/>
      <c r="S857" s="3"/>
      <c r="T857" s="3"/>
      <c r="U857" s="3"/>
      <c r="V857" s="3"/>
      <c r="W857" s="3"/>
      <c r="X857" s="3"/>
      <c r="Y857" s="3"/>
      <c r="Z857" s="3"/>
    </row>
    <row r="858" spans="1:26" ht="14.25" customHeight="1">
      <c r="A858" s="1"/>
      <c r="B858" s="1"/>
      <c r="C858" s="1"/>
      <c r="D858" s="1"/>
      <c r="E858" s="136"/>
      <c r="F858" s="12"/>
      <c r="G858" s="145"/>
      <c r="H858" s="145"/>
      <c r="I858" s="3"/>
      <c r="J858" s="3"/>
      <c r="K858" s="3"/>
      <c r="L858" s="3"/>
      <c r="M858" s="3"/>
      <c r="N858" s="3"/>
      <c r="O858" s="3"/>
      <c r="P858" s="3"/>
      <c r="Q858" s="3"/>
      <c r="R858" s="3"/>
      <c r="S858" s="3"/>
      <c r="T858" s="3"/>
      <c r="U858" s="3"/>
      <c r="V858" s="3"/>
      <c r="W858" s="3"/>
      <c r="X858" s="3"/>
      <c r="Y858" s="3"/>
      <c r="Z858" s="3"/>
    </row>
    <row r="859" spans="1:26" ht="14.25" customHeight="1">
      <c r="A859" s="1"/>
      <c r="B859" s="1"/>
      <c r="C859" s="1"/>
      <c r="D859" s="1"/>
      <c r="E859" s="136"/>
      <c r="F859" s="12"/>
      <c r="G859" s="145"/>
      <c r="H859" s="145"/>
      <c r="I859" s="3"/>
      <c r="J859" s="3"/>
      <c r="K859" s="3"/>
      <c r="L859" s="3"/>
      <c r="M859" s="3"/>
      <c r="N859" s="3"/>
      <c r="O859" s="3"/>
      <c r="P859" s="3"/>
      <c r="Q859" s="3"/>
      <c r="R859" s="3"/>
      <c r="S859" s="3"/>
      <c r="T859" s="3"/>
      <c r="U859" s="3"/>
      <c r="V859" s="3"/>
      <c r="W859" s="3"/>
      <c r="X859" s="3"/>
      <c r="Y859" s="3"/>
      <c r="Z859" s="3"/>
    </row>
    <row r="860" spans="1:26" ht="14.25" customHeight="1">
      <c r="A860" s="1"/>
      <c r="B860" s="1"/>
      <c r="C860" s="1"/>
      <c r="D860" s="1"/>
      <c r="E860" s="136"/>
      <c r="F860" s="12"/>
      <c r="G860" s="145"/>
      <c r="H860" s="145"/>
      <c r="I860" s="3"/>
      <c r="J860" s="3"/>
      <c r="K860" s="3"/>
      <c r="L860" s="3"/>
      <c r="M860" s="3"/>
      <c r="N860" s="3"/>
      <c r="O860" s="3"/>
      <c r="P860" s="3"/>
      <c r="Q860" s="3"/>
      <c r="R860" s="3"/>
      <c r="S860" s="3"/>
      <c r="T860" s="3"/>
      <c r="U860" s="3"/>
      <c r="V860" s="3"/>
      <c r="W860" s="3"/>
      <c r="X860" s="3"/>
      <c r="Y860" s="3"/>
      <c r="Z860" s="3"/>
    </row>
    <row r="861" spans="1:26" ht="14.25" customHeight="1">
      <c r="A861" s="1"/>
      <c r="B861" s="1"/>
      <c r="C861" s="1"/>
      <c r="D861" s="1"/>
      <c r="E861" s="136"/>
      <c r="F861" s="12"/>
      <c r="G861" s="145"/>
      <c r="H861" s="145"/>
      <c r="I861" s="3"/>
      <c r="J861" s="3"/>
      <c r="K861" s="3"/>
      <c r="L861" s="3"/>
      <c r="M861" s="3"/>
      <c r="N861" s="3"/>
      <c r="O861" s="3"/>
      <c r="P861" s="3"/>
      <c r="Q861" s="3"/>
      <c r="R861" s="3"/>
      <c r="S861" s="3"/>
      <c r="T861" s="3"/>
      <c r="U861" s="3"/>
      <c r="V861" s="3"/>
      <c r="W861" s="3"/>
      <c r="X861" s="3"/>
      <c r="Y861" s="3"/>
      <c r="Z861" s="3"/>
    </row>
    <row r="862" spans="1:26" ht="14.25" customHeight="1">
      <c r="A862" s="1"/>
      <c r="B862" s="1"/>
      <c r="C862" s="1"/>
      <c r="D862" s="1"/>
      <c r="E862" s="136"/>
      <c r="F862" s="12"/>
      <c r="G862" s="145"/>
      <c r="H862" s="145"/>
      <c r="I862" s="3"/>
      <c r="J862" s="3"/>
      <c r="K862" s="3"/>
      <c r="L862" s="3"/>
      <c r="M862" s="3"/>
      <c r="N862" s="3"/>
      <c r="O862" s="3"/>
      <c r="P862" s="3"/>
      <c r="Q862" s="3"/>
      <c r="R862" s="3"/>
      <c r="S862" s="3"/>
      <c r="T862" s="3"/>
      <c r="U862" s="3"/>
      <c r="V862" s="3"/>
      <c r="W862" s="3"/>
      <c r="X862" s="3"/>
      <c r="Y862" s="3"/>
      <c r="Z862" s="3"/>
    </row>
    <row r="863" spans="1:26" ht="14.25" customHeight="1">
      <c r="A863" s="1"/>
      <c r="B863" s="1"/>
      <c r="C863" s="1"/>
      <c r="D863" s="1"/>
      <c r="E863" s="136"/>
      <c r="F863" s="12"/>
      <c r="G863" s="145"/>
      <c r="H863" s="145"/>
      <c r="I863" s="3"/>
      <c r="J863" s="3"/>
      <c r="K863" s="3"/>
      <c r="L863" s="3"/>
      <c r="M863" s="3"/>
      <c r="N863" s="3"/>
      <c r="O863" s="3"/>
      <c r="P863" s="3"/>
      <c r="Q863" s="3"/>
      <c r="R863" s="3"/>
      <c r="S863" s="3"/>
      <c r="T863" s="3"/>
      <c r="U863" s="3"/>
      <c r="V863" s="3"/>
      <c r="W863" s="3"/>
      <c r="X863" s="3"/>
      <c r="Y863" s="3"/>
      <c r="Z863" s="3"/>
    </row>
    <row r="864" spans="1:26" ht="14.25" customHeight="1">
      <c r="A864" s="1"/>
      <c r="B864" s="1"/>
      <c r="C864" s="1"/>
      <c r="D864" s="1"/>
      <c r="E864" s="136"/>
      <c r="F864" s="12"/>
      <c r="G864" s="145"/>
      <c r="H864" s="145"/>
      <c r="I864" s="3"/>
      <c r="J864" s="3"/>
      <c r="K864" s="3"/>
      <c r="L864" s="3"/>
      <c r="M864" s="3"/>
      <c r="N864" s="3"/>
      <c r="O864" s="3"/>
      <c r="P864" s="3"/>
      <c r="Q864" s="3"/>
      <c r="R864" s="3"/>
      <c r="S864" s="3"/>
      <c r="T864" s="3"/>
      <c r="U864" s="3"/>
      <c r="V864" s="3"/>
      <c r="W864" s="3"/>
      <c r="X864" s="3"/>
      <c r="Y864" s="3"/>
      <c r="Z864" s="3"/>
    </row>
    <row r="865" spans="1:26" ht="14.25" customHeight="1">
      <c r="A865" s="1"/>
      <c r="B865" s="1"/>
      <c r="C865" s="1"/>
      <c r="D865" s="1"/>
      <c r="E865" s="136"/>
      <c r="F865" s="12"/>
      <c r="G865" s="145"/>
      <c r="H865" s="145"/>
      <c r="I865" s="3"/>
      <c r="J865" s="3"/>
      <c r="K865" s="3"/>
      <c r="L865" s="3"/>
      <c r="M865" s="3"/>
      <c r="N865" s="3"/>
      <c r="O865" s="3"/>
      <c r="P865" s="3"/>
      <c r="Q865" s="3"/>
      <c r="R865" s="3"/>
      <c r="S865" s="3"/>
      <c r="T865" s="3"/>
      <c r="U865" s="3"/>
      <c r="V865" s="3"/>
      <c r="W865" s="3"/>
      <c r="X865" s="3"/>
      <c r="Y865" s="3"/>
      <c r="Z865" s="3"/>
    </row>
    <row r="866" spans="1:26" ht="14.25" customHeight="1">
      <c r="A866" s="1"/>
      <c r="B866" s="1"/>
      <c r="C866" s="1"/>
      <c r="D866" s="1"/>
      <c r="E866" s="136"/>
      <c r="F866" s="12"/>
      <c r="G866" s="145"/>
      <c r="H866" s="145"/>
      <c r="I866" s="3"/>
      <c r="J866" s="3"/>
      <c r="K866" s="3"/>
      <c r="L866" s="3"/>
      <c r="M866" s="3"/>
      <c r="N866" s="3"/>
      <c r="O866" s="3"/>
      <c r="P866" s="3"/>
      <c r="Q866" s="3"/>
      <c r="R866" s="3"/>
      <c r="S866" s="3"/>
      <c r="T866" s="3"/>
      <c r="U866" s="3"/>
      <c r="V866" s="3"/>
      <c r="W866" s="3"/>
      <c r="X866" s="3"/>
      <c r="Y866" s="3"/>
      <c r="Z866" s="3"/>
    </row>
    <row r="867" spans="1:26" ht="14.25" customHeight="1">
      <c r="A867" s="1"/>
      <c r="B867" s="1"/>
      <c r="C867" s="1"/>
      <c r="D867" s="1"/>
      <c r="E867" s="136"/>
      <c r="F867" s="12"/>
      <c r="G867" s="145"/>
      <c r="H867" s="145"/>
      <c r="I867" s="3"/>
      <c r="J867" s="3"/>
      <c r="K867" s="3"/>
      <c r="L867" s="3"/>
      <c r="M867" s="3"/>
      <c r="N867" s="3"/>
      <c r="O867" s="3"/>
      <c r="P867" s="3"/>
      <c r="Q867" s="3"/>
      <c r="R867" s="3"/>
      <c r="S867" s="3"/>
      <c r="T867" s="3"/>
      <c r="U867" s="3"/>
      <c r="V867" s="3"/>
      <c r="W867" s="3"/>
      <c r="X867" s="3"/>
      <c r="Y867" s="3"/>
      <c r="Z867" s="3"/>
    </row>
    <row r="868" spans="1:26" ht="14.25" customHeight="1">
      <c r="A868" s="1"/>
      <c r="B868" s="1"/>
      <c r="C868" s="1"/>
      <c r="D868" s="1"/>
      <c r="E868" s="136"/>
      <c r="F868" s="12"/>
      <c r="G868" s="145"/>
      <c r="H868" s="145"/>
      <c r="I868" s="3"/>
      <c r="J868" s="3"/>
      <c r="K868" s="3"/>
      <c r="L868" s="3"/>
      <c r="M868" s="3"/>
      <c r="N868" s="3"/>
      <c r="O868" s="3"/>
      <c r="P868" s="3"/>
      <c r="Q868" s="3"/>
      <c r="R868" s="3"/>
      <c r="S868" s="3"/>
      <c r="T868" s="3"/>
      <c r="U868" s="3"/>
      <c r="V868" s="3"/>
      <c r="W868" s="3"/>
      <c r="X868" s="3"/>
      <c r="Y868" s="3"/>
      <c r="Z868" s="3"/>
    </row>
    <row r="869" spans="1:26" ht="14.25" customHeight="1">
      <c r="A869" s="1"/>
      <c r="B869" s="1"/>
      <c r="C869" s="1"/>
      <c r="D869" s="1"/>
      <c r="E869" s="136"/>
      <c r="F869" s="12"/>
      <c r="G869" s="145"/>
      <c r="H869" s="145"/>
      <c r="I869" s="3"/>
      <c r="J869" s="3"/>
      <c r="K869" s="3"/>
      <c r="L869" s="3"/>
      <c r="M869" s="3"/>
      <c r="N869" s="3"/>
      <c r="O869" s="3"/>
      <c r="P869" s="3"/>
      <c r="Q869" s="3"/>
      <c r="R869" s="3"/>
      <c r="S869" s="3"/>
      <c r="T869" s="3"/>
      <c r="U869" s="3"/>
      <c r="V869" s="3"/>
      <c r="W869" s="3"/>
      <c r="X869" s="3"/>
      <c r="Y869" s="3"/>
      <c r="Z869" s="3"/>
    </row>
    <row r="870" spans="1:26" ht="14.25" customHeight="1">
      <c r="A870" s="1"/>
      <c r="B870" s="1"/>
      <c r="C870" s="1"/>
      <c r="D870" s="1"/>
      <c r="E870" s="136"/>
      <c r="F870" s="12"/>
      <c r="G870" s="145"/>
      <c r="H870" s="145"/>
      <c r="I870" s="3"/>
      <c r="J870" s="3"/>
      <c r="K870" s="3"/>
      <c r="L870" s="3"/>
      <c r="M870" s="3"/>
      <c r="N870" s="3"/>
      <c r="O870" s="3"/>
      <c r="P870" s="3"/>
      <c r="Q870" s="3"/>
      <c r="R870" s="3"/>
      <c r="S870" s="3"/>
      <c r="T870" s="3"/>
      <c r="U870" s="3"/>
      <c r="V870" s="3"/>
      <c r="W870" s="3"/>
      <c r="X870" s="3"/>
      <c r="Y870" s="3"/>
      <c r="Z870" s="3"/>
    </row>
    <row r="871" spans="1:26" ht="14.25" customHeight="1">
      <c r="A871" s="1"/>
      <c r="B871" s="1"/>
      <c r="C871" s="1"/>
      <c r="D871" s="1"/>
      <c r="E871" s="136"/>
      <c r="F871" s="12"/>
      <c r="G871" s="145"/>
      <c r="H871" s="145"/>
      <c r="I871" s="3"/>
      <c r="J871" s="3"/>
      <c r="K871" s="3"/>
      <c r="L871" s="3"/>
      <c r="M871" s="3"/>
      <c r="N871" s="3"/>
      <c r="O871" s="3"/>
      <c r="P871" s="3"/>
      <c r="Q871" s="3"/>
      <c r="R871" s="3"/>
      <c r="S871" s="3"/>
      <c r="T871" s="3"/>
      <c r="U871" s="3"/>
      <c r="V871" s="3"/>
      <c r="W871" s="3"/>
      <c r="X871" s="3"/>
      <c r="Y871" s="3"/>
      <c r="Z871" s="3"/>
    </row>
    <row r="872" spans="1:26" ht="14.25" customHeight="1">
      <c r="A872" s="1"/>
      <c r="B872" s="1"/>
      <c r="C872" s="1"/>
      <c r="D872" s="1"/>
      <c r="E872" s="136"/>
      <c r="F872" s="12"/>
      <c r="G872" s="145"/>
      <c r="H872" s="145"/>
      <c r="I872" s="3"/>
      <c r="J872" s="3"/>
      <c r="K872" s="3"/>
      <c r="L872" s="3"/>
      <c r="M872" s="3"/>
      <c r="N872" s="3"/>
      <c r="O872" s="3"/>
      <c r="P872" s="3"/>
      <c r="Q872" s="3"/>
      <c r="R872" s="3"/>
      <c r="S872" s="3"/>
      <c r="T872" s="3"/>
      <c r="U872" s="3"/>
      <c r="V872" s="3"/>
      <c r="W872" s="3"/>
      <c r="X872" s="3"/>
      <c r="Y872" s="3"/>
      <c r="Z872" s="3"/>
    </row>
    <row r="873" spans="1:26" ht="14.25" customHeight="1">
      <c r="A873" s="1"/>
      <c r="B873" s="1"/>
      <c r="C873" s="1"/>
      <c r="D873" s="1"/>
      <c r="E873" s="136"/>
      <c r="F873" s="12"/>
      <c r="G873" s="145"/>
      <c r="H873" s="145"/>
      <c r="I873" s="3"/>
      <c r="J873" s="3"/>
      <c r="K873" s="3"/>
      <c r="L873" s="3"/>
      <c r="M873" s="3"/>
      <c r="N873" s="3"/>
      <c r="O873" s="3"/>
      <c r="P873" s="3"/>
      <c r="Q873" s="3"/>
      <c r="R873" s="3"/>
      <c r="S873" s="3"/>
      <c r="T873" s="3"/>
      <c r="U873" s="3"/>
      <c r="V873" s="3"/>
      <c r="W873" s="3"/>
      <c r="X873" s="3"/>
      <c r="Y873" s="3"/>
      <c r="Z873" s="3"/>
    </row>
    <row r="874" spans="1:26" ht="14.25" customHeight="1">
      <c r="A874" s="1"/>
      <c r="B874" s="1"/>
      <c r="C874" s="1"/>
      <c r="D874" s="1"/>
      <c r="E874" s="136"/>
      <c r="F874" s="12"/>
      <c r="G874" s="145"/>
      <c r="H874" s="145"/>
      <c r="I874" s="3"/>
      <c r="J874" s="3"/>
      <c r="K874" s="3"/>
      <c r="L874" s="3"/>
      <c r="M874" s="3"/>
      <c r="N874" s="3"/>
      <c r="O874" s="3"/>
      <c r="P874" s="3"/>
      <c r="Q874" s="3"/>
      <c r="R874" s="3"/>
      <c r="S874" s="3"/>
      <c r="T874" s="3"/>
      <c r="U874" s="3"/>
      <c r="V874" s="3"/>
      <c r="W874" s="3"/>
      <c r="X874" s="3"/>
      <c r="Y874" s="3"/>
      <c r="Z874" s="3"/>
    </row>
    <row r="875" spans="1:26" ht="14.25" customHeight="1">
      <c r="A875" s="1"/>
      <c r="B875" s="1"/>
      <c r="C875" s="1"/>
      <c r="D875" s="1"/>
      <c r="E875" s="136"/>
      <c r="F875" s="12"/>
      <c r="G875" s="145"/>
      <c r="H875" s="145"/>
      <c r="I875" s="3"/>
      <c r="J875" s="3"/>
      <c r="K875" s="3"/>
      <c r="L875" s="3"/>
      <c r="M875" s="3"/>
      <c r="N875" s="3"/>
      <c r="O875" s="3"/>
      <c r="P875" s="3"/>
      <c r="Q875" s="3"/>
      <c r="R875" s="3"/>
      <c r="S875" s="3"/>
      <c r="T875" s="3"/>
      <c r="U875" s="3"/>
      <c r="V875" s="3"/>
      <c r="W875" s="3"/>
      <c r="X875" s="3"/>
      <c r="Y875" s="3"/>
      <c r="Z875" s="3"/>
    </row>
    <row r="876" spans="1:26" ht="14.25" customHeight="1">
      <c r="A876" s="1"/>
      <c r="B876" s="1"/>
      <c r="C876" s="1"/>
      <c r="D876" s="1"/>
      <c r="E876" s="136"/>
      <c r="F876" s="12"/>
      <c r="G876" s="145"/>
      <c r="H876" s="145"/>
      <c r="I876" s="3"/>
      <c r="J876" s="3"/>
      <c r="K876" s="3"/>
      <c r="L876" s="3"/>
      <c r="M876" s="3"/>
      <c r="N876" s="3"/>
      <c r="O876" s="3"/>
      <c r="P876" s="3"/>
      <c r="Q876" s="3"/>
      <c r="R876" s="3"/>
      <c r="S876" s="3"/>
      <c r="T876" s="3"/>
      <c r="U876" s="3"/>
      <c r="V876" s="3"/>
      <c r="W876" s="3"/>
      <c r="X876" s="3"/>
      <c r="Y876" s="3"/>
      <c r="Z876" s="3"/>
    </row>
    <row r="877" spans="1:26" ht="14.25" customHeight="1">
      <c r="A877" s="1"/>
      <c r="B877" s="1"/>
      <c r="C877" s="1"/>
      <c r="D877" s="1"/>
      <c r="E877" s="136"/>
      <c r="F877" s="12"/>
      <c r="G877" s="145"/>
      <c r="H877" s="145"/>
      <c r="I877" s="3"/>
      <c r="J877" s="3"/>
      <c r="K877" s="3"/>
      <c r="L877" s="3"/>
      <c r="M877" s="3"/>
      <c r="N877" s="3"/>
      <c r="O877" s="3"/>
      <c r="P877" s="3"/>
      <c r="Q877" s="3"/>
      <c r="R877" s="3"/>
      <c r="S877" s="3"/>
      <c r="T877" s="3"/>
      <c r="U877" s="3"/>
      <c r="V877" s="3"/>
      <c r="W877" s="3"/>
      <c r="X877" s="3"/>
      <c r="Y877" s="3"/>
      <c r="Z877" s="3"/>
    </row>
    <row r="878" spans="1:26" ht="14.25" customHeight="1">
      <c r="A878" s="1"/>
      <c r="B878" s="1"/>
      <c r="C878" s="1"/>
      <c r="D878" s="1"/>
      <c r="E878" s="136"/>
      <c r="F878" s="12"/>
      <c r="G878" s="145"/>
      <c r="H878" s="145"/>
      <c r="I878" s="3"/>
      <c r="J878" s="3"/>
      <c r="K878" s="3"/>
      <c r="L878" s="3"/>
      <c r="M878" s="3"/>
      <c r="N878" s="3"/>
      <c r="O878" s="3"/>
      <c r="P878" s="3"/>
      <c r="Q878" s="3"/>
      <c r="R878" s="3"/>
      <c r="S878" s="3"/>
      <c r="T878" s="3"/>
      <c r="U878" s="3"/>
      <c r="V878" s="3"/>
      <c r="W878" s="3"/>
      <c r="X878" s="3"/>
      <c r="Y878" s="3"/>
      <c r="Z878" s="3"/>
    </row>
    <row r="879" spans="1:26" ht="14.25" customHeight="1">
      <c r="A879" s="1"/>
      <c r="B879" s="1"/>
      <c r="C879" s="1"/>
      <c r="D879" s="1"/>
      <c r="E879" s="136"/>
      <c r="F879" s="12"/>
      <c r="G879" s="145"/>
      <c r="H879" s="145"/>
      <c r="I879" s="3"/>
      <c r="J879" s="3"/>
      <c r="K879" s="3"/>
      <c r="L879" s="3"/>
      <c r="M879" s="3"/>
      <c r="N879" s="3"/>
      <c r="O879" s="3"/>
      <c r="P879" s="3"/>
      <c r="Q879" s="3"/>
      <c r="R879" s="3"/>
      <c r="S879" s="3"/>
      <c r="T879" s="3"/>
      <c r="U879" s="3"/>
      <c r="V879" s="3"/>
      <c r="W879" s="3"/>
      <c r="X879" s="3"/>
      <c r="Y879" s="3"/>
      <c r="Z879" s="3"/>
    </row>
    <row r="880" spans="1:26" ht="14.25" customHeight="1">
      <c r="A880" s="1"/>
      <c r="B880" s="1"/>
      <c r="C880" s="1"/>
      <c r="D880" s="1"/>
      <c r="E880" s="136"/>
      <c r="F880" s="12"/>
      <c r="G880" s="145"/>
      <c r="H880" s="145"/>
      <c r="I880" s="3"/>
      <c r="J880" s="3"/>
      <c r="K880" s="3"/>
      <c r="L880" s="3"/>
      <c r="M880" s="3"/>
      <c r="N880" s="3"/>
      <c r="O880" s="3"/>
      <c r="P880" s="3"/>
      <c r="Q880" s="3"/>
      <c r="R880" s="3"/>
      <c r="S880" s="3"/>
      <c r="T880" s="3"/>
      <c r="U880" s="3"/>
      <c r="V880" s="3"/>
      <c r="W880" s="3"/>
      <c r="X880" s="3"/>
      <c r="Y880" s="3"/>
      <c r="Z880" s="3"/>
    </row>
    <row r="881" spans="1:26" ht="14.25" customHeight="1">
      <c r="A881" s="1"/>
      <c r="B881" s="1"/>
      <c r="C881" s="1"/>
      <c r="D881" s="1"/>
      <c r="E881" s="136"/>
      <c r="F881" s="12"/>
      <c r="G881" s="145"/>
      <c r="H881" s="145"/>
      <c r="I881" s="3"/>
      <c r="J881" s="3"/>
      <c r="K881" s="3"/>
      <c r="L881" s="3"/>
      <c r="M881" s="3"/>
      <c r="N881" s="3"/>
      <c r="O881" s="3"/>
      <c r="P881" s="3"/>
      <c r="Q881" s="3"/>
      <c r="R881" s="3"/>
      <c r="S881" s="3"/>
      <c r="T881" s="3"/>
      <c r="U881" s="3"/>
      <c r="V881" s="3"/>
      <c r="W881" s="3"/>
      <c r="X881" s="3"/>
      <c r="Y881" s="3"/>
      <c r="Z881" s="3"/>
    </row>
    <row r="882" spans="1:26" ht="14.25" customHeight="1">
      <c r="A882" s="1"/>
      <c r="B882" s="1"/>
      <c r="C882" s="1"/>
      <c r="D882" s="1"/>
      <c r="E882" s="136"/>
      <c r="F882" s="12"/>
      <c r="G882" s="145"/>
      <c r="H882" s="145"/>
      <c r="I882" s="3"/>
      <c r="J882" s="3"/>
      <c r="K882" s="3"/>
      <c r="L882" s="3"/>
      <c r="M882" s="3"/>
      <c r="N882" s="3"/>
      <c r="O882" s="3"/>
      <c r="P882" s="3"/>
      <c r="Q882" s="3"/>
      <c r="R882" s="3"/>
      <c r="S882" s="3"/>
      <c r="T882" s="3"/>
      <c r="U882" s="3"/>
      <c r="V882" s="3"/>
      <c r="W882" s="3"/>
      <c r="X882" s="3"/>
      <c r="Y882" s="3"/>
      <c r="Z882" s="3"/>
    </row>
    <row r="883" spans="1:26" ht="14.25" customHeight="1">
      <c r="A883" s="1"/>
      <c r="B883" s="1"/>
      <c r="C883" s="1"/>
      <c r="D883" s="1"/>
      <c r="E883" s="136"/>
      <c r="F883" s="12"/>
      <c r="G883" s="145"/>
      <c r="H883" s="145"/>
      <c r="I883" s="3"/>
      <c r="J883" s="3"/>
      <c r="K883" s="3"/>
      <c r="L883" s="3"/>
      <c r="M883" s="3"/>
      <c r="N883" s="3"/>
      <c r="O883" s="3"/>
      <c r="P883" s="3"/>
      <c r="Q883" s="3"/>
      <c r="R883" s="3"/>
      <c r="S883" s="3"/>
      <c r="T883" s="3"/>
      <c r="U883" s="3"/>
      <c r="V883" s="3"/>
      <c r="W883" s="3"/>
      <c r="X883" s="3"/>
      <c r="Y883" s="3"/>
      <c r="Z883" s="3"/>
    </row>
    <row r="884" spans="1:26" ht="14.25" customHeight="1">
      <c r="A884" s="1"/>
      <c r="B884" s="1"/>
      <c r="C884" s="1"/>
      <c r="D884" s="1"/>
      <c r="E884" s="136"/>
      <c r="F884" s="12"/>
      <c r="G884" s="145"/>
      <c r="H884" s="145"/>
      <c r="I884" s="3"/>
      <c r="J884" s="3"/>
      <c r="K884" s="3"/>
      <c r="L884" s="3"/>
      <c r="M884" s="3"/>
      <c r="N884" s="3"/>
      <c r="O884" s="3"/>
      <c r="P884" s="3"/>
      <c r="Q884" s="3"/>
      <c r="R884" s="3"/>
      <c r="S884" s="3"/>
      <c r="T884" s="3"/>
      <c r="U884" s="3"/>
      <c r="V884" s="3"/>
      <c r="W884" s="3"/>
      <c r="X884" s="3"/>
      <c r="Y884" s="3"/>
      <c r="Z884" s="3"/>
    </row>
    <row r="885" spans="1:26" ht="14.25" customHeight="1">
      <c r="A885" s="1"/>
      <c r="B885" s="1"/>
      <c r="C885" s="1"/>
      <c r="D885" s="1"/>
      <c r="E885" s="136"/>
      <c r="F885" s="12"/>
      <c r="G885" s="145"/>
      <c r="H885" s="145"/>
      <c r="I885" s="3"/>
      <c r="J885" s="3"/>
      <c r="K885" s="3"/>
      <c r="L885" s="3"/>
      <c r="M885" s="3"/>
      <c r="N885" s="3"/>
      <c r="O885" s="3"/>
      <c r="P885" s="3"/>
      <c r="Q885" s="3"/>
      <c r="R885" s="3"/>
      <c r="S885" s="3"/>
      <c r="T885" s="3"/>
      <c r="U885" s="3"/>
      <c r="V885" s="3"/>
      <c r="W885" s="3"/>
      <c r="X885" s="3"/>
      <c r="Y885" s="3"/>
      <c r="Z885" s="3"/>
    </row>
    <row r="886" spans="1:26" ht="14.25" customHeight="1">
      <c r="A886" s="1"/>
      <c r="B886" s="1"/>
      <c r="C886" s="1"/>
      <c r="D886" s="1"/>
      <c r="E886" s="136"/>
      <c r="F886" s="12"/>
      <c r="G886" s="145"/>
      <c r="H886" s="145"/>
      <c r="I886" s="3"/>
      <c r="J886" s="3"/>
      <c r="K886" s="3"/>
      <c r="L886" s="3"/>
      <c r="M886" s="3"/>
      <c r="N886" s="3"/>
      <c r="O886" s="3"/>
      <c r="P886" s="3"/>
      <c r="Q886" s="3"/>
      <c r="R886" s="3"/>
      <c r="S886" s="3"/>
      <c r="T886" s="3"/>
      <c r="U886" s="3"/>
      <c r="V886" s="3"/>
      <c r="W886" s="3"/>
      <c r="X886" s="3"/>
      <c r="Y886" s="3"/>
      <c r="Z886" s="3"/>
    </row>
    <row r="887" spans="1:26" ht="14.25" customHeight="1">
      <c r="A887" s="1"/>
      <c r="B887" s="1"/>
      <c r="C887" s="1"/>
      <c r="D887" s="1"/>
      <c r="E887" s="136"/>
      <c r="F887" s="12"/>
      <c r="G887" s="145"/>
      <c r="H887" s="145"/>
      <c r="I887" s="3"/>
      <c r="J887" s="3"/>
      <c r="K887" s="3"/>
      <c r="L887" s="3"/>
      <c r="M887" s="3"/>
      <c r="N887" s="3"/>
      <c r="O887" s="3"/>
      <c r="P887" s="3"/>
      <c r="Q887" s="3"/>
      <c r="R887" s="3"/>
      <c r="S887" s="3"/>
      <c r="T887" s="3"/>
      <c r="U887" s="3"/>
      <c r="V887" s="3"/>
      <c r="W887" s="3"/>
      <c r="X887" s="3"/>
      <c r="Y887" s="3"/>
      <c r="Z887" s="3"/>
    </row>
    <row r="888" spans="1:26" ht="14.25" customHeight="1">
      <c r="A888" s="1"/>
      <c r="B888" s="1"/>
      <c r="C888" s="1"/>
      <c r="D888" s="1"/>
      <c r="E888" s="136"/>
      <c r="F888" s="12"/>
      <c r="G888" s="145"/>
      <c r="H888" s="145"/>
      <c r="I888" s="3"/>
      <c r="J888" s="3"/>
      <c r="K888" s="3"/>
      <c r="L888" s="3"/>
      <c r="M888" s="3"/>
      <c r="N888" s="3"/>
      <c r="O888" s="3"/>
      <c r="P888" s="3"/>
      <c r="Q888" s="3"/>
      <c r="R888" s="3"/>
      <c r="S888" s="3"/>
      <c r="T888" s="3"/>
      <c r="U888" s="3"/>
      <c r="V888" s="3"/>
      <c r="W888" s="3"/>
      <c r="X888" s="3"/>
      <c r="Y888" s="3"/>
      <c r="Z888" s="3"/>
    </row>
    <row r="889" spans="1:26" ht="14.25" customHeight="1">
      <c r="A889" s="1"/>
      <c r="B889" s="1"/>
      <c r="C889" s="1"/>
      <c r="D889" s="1"/>
      <c r="E889" s="136"/>
      <c r="F889" s="12"/>
      <c r="G889" s="145"/>
      <c r="H889" s="145"/>
      <c r="I889" s="3"/>
      <c r="J889" s="3"/>
      <c r="K889" s="3"/>
      <c r="L889" s="3"/>
      <c r="M889" s="3"/>
      <c r="N889" s="3"/>
      <c r="O889" s="3"/>
      <c r="P889" s="3"/>
      <c r="Q889" s="3"/>
      <c r="R889" s="3"/>
      <c r="S889" s="3"/>
      <c r="T889" s="3"/>
      <c r="U889" s="3"/>
      <c r="V889" s="3"/>
      <c r="W889" s="3"/>
      <c r="X889" s="3"/>
      <c r="Y889" s="3"/>
      <c r="Z889" s="3"/>
    </row>
    <row r="890" spans="1:26" ht="14.25" customHeight="1">
      <c r="A890" s="1"/>
      <c r="B890" s="1"/>
      <c r="C890" s="1"/>
      <c r="D890" s="1"/>
      <c r="E890" s="136"/>
      <c r="F890" s="12"/>
      <c r="G890" s="145"/>
      <c r="H890" s="145"/>
      <c r="I890" s="3"/>
      <c r="J890" s="3"/>
      <c r="K890" s="3"/>
      <c r="L890" s="3"/>
      <c r="M890" s="3"/>
      <c r="N890" s="3"/>
      <c r="O890" s="3"/>
      <c r="P890" s="3"/>
      <c r="Q890" s="3"/>
      <c r="R890" s="3"/>
      <c r="S890" s="3"/>
      <c r="T890" s="3"/>
      <c r="U890" s="3"/>
      <c r="V890" s="3"/>
      <c r="W890" s="3"/>
      <c r="X890" s="3"/>
      <c r="Y890" s="3"/>
      <c r="Z890" s="3"/>
    </row>
    <row r="891" spans="1:26" ht="14.25" customHeight="1">
      <c r="A891" s="1"/>
      <c r="B891" s="1"/>
      <c r="C891" s="1"/>
      <c r="D891" s="1"/>
      <c r="E891" s="136"/>
      <c r="F891" s="12"/>
      <c r="G891" s="145"/>
      <c r="H891" s="145"/>
      <c r="I891" s="3"/>
      <c r="J891" s="3"/>
      <c r="K891" s="3"/>
      <c r="L891" s="3"/>
      <c r="M891" s="3"/>
      <c r="N891" s="3"/>
      <c r="O891" s="3"/>
      <c r="P891" s="3"/>
      <c r="Q891" s="3"/>
      <c r="R891" s="3"/>
      <c r="S891" s="3"/>
      <c r="T891" s="3"/>
      <c r="U891" s="3"/>
      <c r="V891" s="3"/>
      <c r="W891" s="3"/>
      <c r="X891" s="3"/>
      <c r="Y891" s="3"/>
      <c r="Z891" s="3"/>
    </row>
    <row r="892" spans="1:26" ht="14.25" customHeight="1">
      <c r="A892" s="1"/>
      <c r="B892" s="1"/>
      <c r="C892" s="1"/>
      <c r="D892" s="1"/>
      <c r="E892" s="136"/>
      <c r="F892" s="12"/>
      <c r="G892" s="145"/>
      <c r="H892" s="145"/>
      <c r="I892" s="3"/>
      <c r="J892" s="3"/>
      <c r="K892" s="3"/>
      <c r="L892" s="3"/>
      <c r="M892" s="3"/>
      <c r="N892" s="3"/>
      <c r="O892" s="3"/>
      <c r="P892" s="3"/>
      <c r="Q892" s="3"/>
      <c r="R892" s="3"/>
      <c r="S892" s="3"/>
      <c r="T892" s="3"/>
      <c r="U892" s="3"/>
      <c r="V892" s="3"/>
      <c r="W892" s="3"/>
      <c r="X892" s="3"/>
      <c r="Y892" s="3"/>
      <c r="Z892" s="3"/>
    </row>
    <row r="893" spans="1:26" ht="14.25" customHeight="1">
      <c r="A893" s="1"/>
      <c r="B893" s="1"/>
      <c r="C893" s="1"/>
      <c r="D893" s="1"/>
      <c r="E893" s="136"/>
      <c r="F893" s="12"/>
      <c r="G893" s="145"/>
      <c r="H893" s="145"/>
      <c r="I893" s="3"/>
      <c r="J893" s="3"/>
      <c r="K893" s="3"/>
      <c r="L893" s="3"/>
      <c r="M893" s="3"/>
      <c r="N893" s="3"/>
      <c r="O893" s="3"/>
      <c r="P893" s="3"/>
      <c r="Q893" s="3"/>
      <c r="R893" s="3"/>
      <c r="S893" s="3"/>
      <c r="T893" s="3"/>
      <c r="U893" s="3"/>
      <c r="V893" s="3"/>
      <c r="W893" s="3"/>
      <c r="X893" s="3"/>
      <c r="Y893" s="3"/>
      <c r="Z893" s="3"/>
    </row>
    <row r="894" spans="1:26" ht="14.25" customHeight="1">
      <c r="A894" s="1"/>
      <c r="B894" s="1"/>
      <c r="C894" s="1"/>
      <c r="D894" s="1"/>
      <c r="E894" s="136"/>
      <c r="F894" s="12"/>
      <c r="G894" s="145"/>
      <c r="H894" s="145"/>
      <c r="I894" s="3"/>
      <c r="J894" s="3"/>
      <c r="K894" s="3"/>
      <c r="L894" s="3"/>
      <c r="M894" s="3"/>
      <c r="N894" s="3"/>
      <c r="O894" s="3"/>
      <c r="P894" s="3"/>
      <c r="Q894" s="3"/>
      <c r="R894" s="3"/>
      <c r="S894" s="3"/>
      <c r="T894" s="3"/>
      <c r="U894" s="3"/>
      <c r="V894" s="3"/>
      <c r="W894" s="3"/>
      <c r="X894" s="3"/>
      <c r="Y894" s="3"/>
      <c r="Z894" s="3"/>
    </row>
    <row r="895" spans="1:26" ht="14.25" customHeight="1">
      <c r="A895" s="1"/>
      <c r="B895" s="1"/>
      <c r="C895" s="1"/>
      <c r="D895" s="1"/>
      <c r="E895" s="136"/>
      <c r="F895" s="12"/>
      <c r="G895" s="145"/>
      <c r="H895" s="145"/>
      <c r="I895" s="3"/>
      <c r="J895" s="3"/>
      <c r="K895" s="3"/>
      <c r="L895" s="3"/>
      <c r="M895" s="3"/>
      <c r="N895" s="3"/>
      <c r="O895" s="3"/>
      <c r="P895" s="3"/>
      <c r="Q895" s="3"/>
      <c r="R895" s="3"/>
      <c r="S895" s="3"/>
      <c r="T895" s="3"/>
      <c r="U895" s="3"/>
      <c r="V895" s="3"/>
      <c r="W895" s="3"/>
      <c r="X895" s="3"/>
      <c r="Y895" s="3"/>
      <c r="Z895" s="3"/>
    </row>
    <row r="896" spans="1:26" ht="14.25" customHeight="1">
      <c r="A896" s="1"/>
      <c r="B896" s="1"/>
      <c r="C896" s="1"/>
      <c r="D896" s="1"/>
      <c r="E896" s="136"/>
      <c r="F896" s="12"/>
      <c r="G896" s="145"/>
      <c r="H896" s="145"/>
      <c r="I896" s="3"/>
      <c r="J896" s="3"/>
      <c r="K896" s="3"/>
      <c r="L896" s="3"/>
      <c r="M896" s="3"/>
      <c r="N896" s="3"/>
      <c r="O896" s="3"/>
      <c r="P896" s="3"/>
      <c r="Q896" s="3"/>
      <c r="R896" s="3"/>
      <c r="S896" s="3"/>
      <c r="T896" s="3"/>
      <c r="U896" s="3"/>
      <c r="V896" s="3"/>
      <c r="W896" s="3"/>
      <c r="X896" s="3"/>
      <c r="Y896" s="3"/>
      <c r="Z896" s="3"/>
    </row>
    <row r="897" spans="1:26" ht="14.25" customHeight="1">
      <c r="A897" s="1"/>
      <c r="B897" s="1"/>
      <c r="C897" s="1"/>
      <c r="D897" s="1"/>
      <c r="E897" s="136"/>
      <c r="F897" s="12"/>
      <c r="G897" s="145"/>
      <c r="H897" s="145"/>
      <c r="I897" s="3"/>
      <c r="J897" s="3"/>
      <c r="K897" s="3"/>
      <c r="L897" s="3"/>
      <c r="M897" s="3"/>
      <c r="N897" s="3"/>
      <c r="O897" s="3"/>
      <c r="P897" s="3"/>
      <c r="Q897" s="3"/>
      <c r="R897" s="3"/>
      <c r="S897" s="3"/>
      <c r="T897" s="3"/>
      <c r="U897" s="3"/>
      <c r="V897" s="3"/>
      <c r="W897" s="3"/>
      <c r="X897" s="3"/>
      <c r="Y897" s="3"/>
      <c r="Z897" s="3"/>
    </row>
    <row r="898" spans="1:26" ht="14.25" customHeight="1">
      <c r="A898" s="1"/>
      <c r="B898" s="1"/>
      <c r="C898" s="1"/>
      <c r="D898" s="1"/>
      <c r="E898" s="136"/>
      <c r="F898" s="12"/>
      <c r="G898" s="145"/>
      <c r="H898" s="145"/>
      <c r="I898" s="3"/>
      <c r="J898" s="3"/>
      <c r="K898" s="3"/>
      <c r="L898" s="3"/>
      <c r="M898" s="3"/>
      <c r="N898" s="3"/>
      <c r="O898" s="3"/>
      <c r="P898" s="3"/>
      <c r="Q898" s="3"/>
      <c r="R898" s="3"/>
      <c r="S898" s="3"/>
      <c r="T898" s="3"/>
      <c r="U898" s="3"/>
      <c r="V898" s="3"/>
      <c r="W898" s="3"/>
      <c r="X898" s="3"/>
      <c r="Y898" s="3"/>
      <c r="Z898" s="3"/>
    </row>
    <row r="899" spans="1:26" ht="14.25" customHeight="1">
      <c r="A899" s="1"/>
      <c r="B899" s="1"/>
      <c r="C899" s="1"/>
      <c r="D899" s="1"/>
      <c r="E899" s="136"/>
      <c r="F899" s="12"/>
      <c r="G899" s="145"/>
      <c r="H899" s="145"/>
      <c r="I899" s="3"/>
      <c r="J899" s="3"/>
      <c r="K899" s="3"/>
      <c r="L899" s="3"/>
      <c r="M899" s="3"/>
      <c r="N899" s="3"/>
      <c r="O899" s="3"/>
      <c r="P899" s="3"/>
      <c r="Q899" s="3"/>
      <c r="R899" s="3"/>
      <c r="S899" s="3"/>
      <c r="T899" s="3"/>
      <c r="U899" s="3"/>
      <c r="V899" s="3"/>
      <c r="W899" s="3"/>
      <c r="X899" s="3"/>
      <c r="Y899" s="3"/>
      <c r="Z899" s="3"/>
    </row>
    <row r="900" spans="1:26" ht="14.25" customHeight="1">
      <c r="A900" s="1"/>
      <c r="B900" s="1"/>
      <c r="C900" s="1"/>
      <c r="D900" s="1"/>
      <c r="E900" s="136"/>
      <c r="F900" s="12"/>
      <c r="G900" s="145"/>
      <c r="H900" s="145"/>
      <c r="I900" s="3"/>
      <c r="J900" s="3"/>
      <c r="K900" s="3"/>
      <c r="L900" s="3"/>
      <c r="M900" s="3"/>
      <c r="N900" s="3"/>
      <c r="O900" s="3"/>
      <c r="P900" s="3"/>
      <c r="Q900" s="3"/>
      <c r="R900" s="3"/>
      <c r="S900" s="3"/>
      <c r="T900" s="3"/>
      <c r="U900" s="3"/>
      <c r="V900" s="3"/>
      <c r="W900" s="3"/>
      <c r="X900" s="3"/>
      <c r="Y900" s="3"/>
      <c r="Z900" s="3"/>
    </row>
    <row r="901" spans="1:26" ht="14.25" customHeight="1">
      <c r="A901" s="1"/>
      <c r="B901" s="1"/>
      <c r="C901" s="1"/>
      <c r="D901" s="1"/>
      <c r="E901" s="136"/>
      <c r="F901" s="12"/>
      <c r="G901" s="145"/>
      <c r="H901" s="145"/>
      <c r="I901" s="3"/>
      <c r="J901" s="3"/>
      <c r="K901" s="3"/>
      <c r="L901" s="3"/>
      <c r="M901" s="3"/>
      <c r="N901" s="3"/>
      <c r="O901" s="3"/>
      <c r="P901" s="3"/>
      <c r="Q901" s="3"/>
      <c r="R901" s="3"/>
      <c r="S901" s="3"/>
      <c r="T901" s="3"/>
      <c r="U901" s="3"/>
      <c r="V901" s="3"/>
      <c r="W901" s="3"/>
      <c r="X901" s="3"/>
      <c r="Y901" s="3"/>
      <c r="Z901" s="3"/>
    </row>
    <row r="902" spans="1:26" ht="14.25" customHeight="1">
      <c r="A902" s="1"/>
      <c r="B902" s="1"/>
      <c r="C902" s="1"/>
      <c r="D902" s="1"/>
      <c r="E902" s="136"/>
      <c r="F902" s="12"/>
      <c r="G902" s="145"/>
      <c r="H902" s="145"/>
      <c r="I902" s="3"/>
      <c r="J902" s="3"/>
      <c r="K902" s="3"/>
      <c r="L902" s="3"/>
      <c r="M902" s="3"/>
      <c r="N902" s="3"/>
      <c r="O902" s="3"/>
      <c r="P902" s="3"/>
      <c r="Q902" s="3"/>
      <c r="R902" s="3"/>
      <c r="S902" s="3"/>
      <c r="T902" s="3"/>
      <c r="U902" s="3"/>
      <c r="V902" s="3"/>
      <c r="W902" s="3"/>
      <c r="X902" s="3"/>
      <c r="Y902" s="3"/>
      <c r="Z902" s="3"/>
    </row>
    <row r="903" spans="1:26" ht="14.25" customHeight="1">
      <c r="A903" s="1"/>
      <c r="B903" s="1"/>
      <c r="C903" s="1"/>
      <c r="D903" s="1"/>
      <c r="E903" s="136"/>
      <c r="F903" s="12"/>
      <c r="G903" s="145"/>
      <c r="H903" s="145"/>
      <c r="I903" s="3"/>
      <c r="J903" s="3"/>
      <c r="K903" s="3"/>
      <c r="L903" s="3"/>
      <c r="M903" s="3"/>
      <c r="N903" s="3"/>
      <c r="O903" s="3"/>
      <c r="P903" s="3"/>
      <c r="Q903" s="3"/>
      <c r="R903" s="3"/>
      <c r="S903" s="3"/>
      <c r="T903" s="3"/>
      <c r="U903" s="3"/>
      <c r="V903" s="3"/>
      <c r="W903" s="3"/>
      <c r="X903" s="3"/>
      <c r="Y903" s="3"/>
      <c r="Z903" s="3"/>
    </row>
    <row r="904" spans="1:26" ht="14.25" customHeight="1">
      <c r="A904" s="1"/>
      <c r="B904" s="1"/>
      <c r="C904" s="1"/>
      <c r="D904" s="1"/>
      <c r="E904" s="136"/>
      <c r="F904" s="12"/>
      <c r="G904" s="145"/>
      <c r="H904" s="145"/>
      <c r="I904" s="3"/>
      <c r="J904" s="3"/>
      <c r="K904" s="3"/>
      <c r="L904" s="3"/>
      <c r="M904" s="3"/>
      <c r="N904" s="3"/>
      <c r="O904" s="3"/>
      <c r="P904" s="3"/>
      <c r="Q904" s="3"/>
      <c r="R904" s="3"/>
      <c r="S904" s="3"/>
      <c r="T904" s="3"/>
      <c r="U904" s="3"/>
      <c r="V904" s="3"/>
      <c r="W904" s="3"/>
      <c r="X904" s="3"/>
      <c r="Y904" s="3"/>
      <c r="Z904" s="3"/>
    </row>
  </sheetData>
  <mergeCells count="9">
    <mergeCell ref="J4:J5"/>
    <mergeCell ref="C32:C33"/>
    <mergeCell ref="G32:G33"/>
    <mergeCell ref="C34:C35"/>
    <mergeCell ref="G34:G35"/>
    <mergeCell ref="B4:C5"/>
    <mergeCell ref="E4:E5"/>
    <mergeCell ref="F4:F5"/>
    <mergeCell ref="G4:G5"/>
  </mergeCells>
  <printOptions horizontalCentered="1"/>
  <pageMargins left="0.66929133858267698" right="0.23622047244094499" top="0.70866141732283505" bottom="0.70866141732283505" header="0" footer="0"/>
  <pageSetup paperSize="9" scale="95" orientation="portrait" r:id="rId1"/>
  <headerFooter>
    <oddHeader>&amp;LCONSTRUCTION OF RESIDENTAL/COMMERCIAL BUILDING</oddHeader>
    <oddFooter>&amp;C6/&amp;P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997"/>
  <sheetViews>
    <sheetView view="pageBreakPreview" zoomScale="60" zoomScaleNormal="100" workbookViewId="0">
      <pane ySplit="1" topLeftCell="A416" activePane="bottomLeft" state="frozen"/>
      <selection pane="bottomLeft" activeCell="K442" sqref="K442"/>
    </sheetView>
  </sheetViews>
  <sheetFormatPr defaultColWidth="9.33203125" defaultRowHeight="15" customHeight="1"/>
  <cols>
    <col min="1" max="1" width="7.44140625" customWidth="1"/>
    <col min="2" max="2" width="0.6640625" customWidth="1"/>
    <col min="3" max="3" width="40.44140625" customWidth="1"/>
    <col min="4" max="4" width="0.6640625" customWidth="1"/>
    <col min="5" max="5" width="11.6640625" style="271" bestFit="1" customWidth="1"/>
    <col min="6" max="6" width="7.33203125" style="272" customWidth="1"/>
    <col min="7" max="7" width="12.6640625" style="272" customWidth="1"/>
    <col min="8" max="8" width="16.33203125" style="272" customWidth="1"/>
    <col min="9" max="9" width="5.33203125" customWidth="1"/>
  </cols>
  <sheetData>
    <row r="1" spans="1:9" s="225" customFormat="1" ht="13.8">
      <c r="A1" s="656"/>
      <c r="B1" s="657"/>
      <c r="C1" s="658"/>
      <c r="D1" s="657"/>
      <c r="E1" s="433"/>
      <c r="F1" s="659"/>
      <c r="G1" s="660"/>
      <c r="H1" s="661"/>
    </row>
    <row r="2" spans="1:9" s="225" customFormat="1" ht="13.8">
      <c r="A2" s="662" t="s">
        <v>576</v>
      </c>
      <c r="B2" s="663"/>
      <c r="C2" s="664"/>
      <c r="D2" s="665"/>
      <c r="E2" s="226"/>
      <c r="F2" s="666"/>
      <c r="G2" s="667"/>
      <c r="H2" s="668"/>
    </row>
    <row r="3" spans="1:9" s="225" customFormat="1" ht="13.8">
      <c r="A3" s="669"/>
      <c r="B3" s="665"/>
      <c r="C3" s="664"/>
      <c r="D3" s="665"/>
      <c r="E3" s="227"/>
      <c r="F3" s="227"/>
      <c r="G3" s="667"/>
      <c r="H3" s="668"/>
    </row>
    <row r="4" spans="1:9" s="230" customFormat="1" ht="14.25" customHeight="1">
      <c r="A4" s="228" t="s">
        <v>1</v>
      </c>
      <c r="B4" s="822" t="s">
        <v>2</v>
      </c>
      <c r="C4" s="823"/>
      <c r="D4" s="229"/>
      <c r="E4" s="826" t="s">
        <v>14</v>
      </c>
      <c r="F4" s="828" t="s">
        <v>15</v>
      </c>
      <c r="G4" s="830" t="s">
        <v>16</v>
      </c>
      <c r="H4" s="418" t="s">
        <v>3</v>
      </c>
      <c r="I4" s="225"/>
    </row>
    <row r="5" spans="1:9" s="230" customFormat="1" ht="13.8">
      <c r="A5" s="231" t="s">
        <v>4</v>
      </c>
      <c r="B5" s="824"/>
      <c r="C5" s="825"/>
      <c r="D5" s="232"/>
      <c r="E5" s="827"/>
      <c r="F5" s="829"/>
      <c r="G5" s="831"/>
      <c r="H5" s="419" t="s">
        <v>5</v>
      </c>
      <c r="I5" s="225"/>
    </row>
    <row r="6" spans="1:9" s="241" customFormat="1" ht="13.8">
      <c r="A6" s="233"/>
      <c r="B6" s="233"/>
      <c r="C6" s="234"/>
      <c r="D6" s="235"/>
      <c r="E6" s="236"/>
      <c r="F6" s="237"/>
      <c r="G6" s="238"/>
      <c r="H6" s="239"/>
      <c r="I6" s="240"/>
    </row>
    <row r="7" spans="1:9" s="249" customFormat="1" ht="13.8">
      <c r="A7" s="242"/>
      <c r="B7" s="242"/>
      <c r="C7" s="637" t="s">
        <v>577</v>
      </c>
      <c r="D7" s="243"/>
      <c r="E7" s="244"/>
      <c r="F7" s="245"/>
      <c r="G7" s="246"/>
      <c r="H7" s="247"/>
      <c r="I7" s="248"/>
    </row>
    <row r="8" spans="1:9" s="249" customFormat="1" ht="13.8">
      <c r="A8" s="250"/>
      <c r="B8" s="242"/>
      <c r="C8" s="638"/>
      <c r="D8" s="243"/>
      <c r="E8" s="251"/>
      <c r="F8" s="252"/>
      <c r="G8" s="247"/>
      <c r="H8" s="247"/>
      <c r="I8" s="248"/>
    </row>
    <row r="9" spans="1:9" s="249" customFormat="1" ht="13.8">
      <c r="A9" s="250"/>
      <c r="B9" s="242"/>
      <c r="C9" s="638" t="s">
        <v>578</v>
      </c>
      <c r="D9" s="243"/>
      <c r="E9" s="251"/>
      <c r="F9" s="252"/>
      <c r="G9" s="247"/>
      <c r="H9" s="247"/>
      <c r="I9" s="248"/>
    </row>
    <row r="10" spans="1:9" s="249" customFormat="1" ht="13.8">
      <c r="A10" s="250"/>
      <c r="B10" s="242"/>
      <c r="C10" s="638"/>
      <c r="D10" s="243"/>
      <c r="E10" s="251"/>
      <c r="F10" s="252"/>
      <c r="G10" s="247"/>
      <c r="H10" s="247"/>
      <c r="I10" s="248"/>
    </row>
    <row r="11" spans="1:9" s="249" customFormat="1" ht="13.8">
      <c r="A11" s="250"/>
      <c r="B11" s="242"/>
      <c r="C11" s="638" t="s">
        <v>579</v>
      </c>
      <c r="D11" s="243"/>
      <c r="E11" s="253"/>
      <c r="F11" s="252"/>
      <c r="G11" s="254"/>
      <c r="H11" s="254"/>
      <c r="I11" s="248"/>
    </row>
    <row r="12" spans="1:9" s="249" customFormat="1" ht="13.8">
      <c r="A12" s="250"/>
      <c r="B12" s="242"/>
      <c r="C12" s="638"/>
      <c r="D12" s="243"/>
      <c r="E12" s="253"/>
      <c r="F12" s="252"/>
      <c r="G12" s="254"/>
      <c r="H12" s="254"/>
      <c r="I12" s="248"/>
    </row>
    <row r="13" spans="1:9" s="249" customFormat="1" ht="82.8">
      <c r="A13" s="250"/>
      <c r="B13" s="242"/>
      <c r="C13" s="638" t="s">
        <v>580</v>
      </c>
      <c r="D13" s="243"/>
      <c r="E13" s="255"/>
      <c r="F13" s="252"/>
      <c r="G13" s="247"/>
      <c r="H13" s="247"/>
      <c r="I13" s="248"/>
    </row>
    <row r="14" spans="1:9" s="249" customFormat="1" ht="13.8">
      <c r="A14" s="250"/>
      <c r="B14" s="242"/>
      <c r="C14" s="638"/>
      <c r="D14" s="243"/>
      <c r="E14" s="253"/>
      <c r="F14" s="252"/>
      <c r="G14" s="254"/>
      <c r="H14" s="254"/>
      <c r="I14" s="248"/>
    </row>
    <row r="15" spans="1:9" s="249" customFormat="1" ht="13.8">
      <c r="A15" s="256">
        <v>1</v>
      </c>
      <c r="B15" s="242"/>
      <c r="C15" s="638" t="s">
        <v>969</v>
      </c>
      <c r="D15" s="243"/>
      <c r="E15" s="253">
        <v>1</v>
      </c>
      <c r="F15" s="252" t="s">
        <v>581</v>
      </c>
      <c r="G15" s="247"/>
      <c r="H15" s="247">
        <f>G15*E15</f>
        <v>0</v>
      </c>
      <c r="I15" s="248"/>
    </row>
    <row r="16" spans="1:9" s="249" customFormat="1" ht="13.8">
      <c r="A16" s="250"/>
      <c r="B16" s="242"/>
      <c r="C16" s="638"/>
      <c r="D16" s="243"/>
      <c r="E16" s="251"/>
      <c r="F16" s="252"/>
      <c r="G16" s="247"/>
      <c r="H16" s="247"/>
      <c r="I16" s="248"/>
    </row>
    <row r="17" spans="1:9" s="249" customFormat="1" ht="13.8">
      <c r="A17" s="250">
        <v>2</v>
      </c>
      <c r="B17" s="242"/>
      <c r="C17" s="638" t="s">
        <v>970</v>
      </c>
      <c r="D17" s="243"/>
      <c r="E17" s="253">
        <v>1</v>
      </c>
      <c r="F17" s="252" t="s">
        <v>581</v>
      </c>
      <c r="G17" s="247">
        <v>1857</v>
      </c>
      <c r="H17" s="247">
        <f>G17*E17</f>
        <v>1857</v>
      </c>
      <c r="I17" s="248"/>
    </row>
    <row r="18" spans="1:9" s="249" customFormat="1" ht="13.8">
      <c r="A18" s="257"/>
      <c r="B18" s="242"/>
      <c r="C18" s="638"/>
      <c r="D18" s="243"/>
      <c r="E18" s="251"/>
      <c r="F18" s="252"/>
      <c r="G18" s="247"/>
      <c r="H18" s="247"/>
      <c r="I18" s="248"/>
    </row>
    <row r="19" spans="1:9" s="249" customFormat="1" ht="13.8">
      <c r="A19" s="250">
        <v>3</v>
      </c>
      <c r="B19" s="242"/>
      <c r="C19" s="638" t="s">
        <v>971</v>
      </c>
      <c r="D19" s="243"/>
      <c r="E19" s="253">
        <v>1</v>
      </c>
      <c r="F19" s="252" t="s">
        <v>581</v>
      </c>
      <c r="G19" s="247">
        <v>1307</v>
      </c>
      <c r="H19" s="254">
        <f t="shared" ref="H19:H27" si="0">G19*E19</f>
        <v>1307</v>
      </c>
      <c r="I19" s="248"/>
    </row>
    <row r="20" spans="1:9" s="249" customFormat="1" ht="13.8">
      <c r="A20" s="257"/>
      <c r="B20" s="242"/>
      <c r="C20" s="638"/>
      <c r="D20" s="243"/>
      <c r="E20" s="251"/>
      <c r="F20" s="252"/>
      <c r="G20" s="247"/>
      <c r="H20" s="247"/>
      <c r="I20" s="248"/>
    </row>
    <row r="21" spans="1:9" s="249" customFormat="1" ht="13.8">
      <c r="A21" s="250">
        <v>4</v>
      </c>
      <c r="B21" s="242"/>
      <c r="C21" s="638" t="s">
        <v>972</v>
      </c>
      <c r="D21" s="243"/>
      <c r="E21" s="253">
        <v>1</v>
      </c>
      <c r="F21" s="252" t="s">
        <v>581</v>
      </c>
      <c r="G21" s="247">
        <v>1203</v>
      </c>
      <c r="H21" s="247">
        <f t="shared" si="0"/>
        <v>1203</v>
      </c>
      <c r="I21" s="248"/>
    </row>
    <row r="22" spans="1:9" s="249" customFormat="1" ht="13.8">
      <c r="A22" s="250"/>
      <c r="B22" s="242"/>
      <c r="C22" s="670"/>
      <c r="D22" s="243"/>
      <c r="E22" s="253"/>
      <c r="F22" s="252"/>
      <c r="G22" s="254"/>
      <c r="H22" s="254"/>
      <c r="I22" s="248"/>
    </row>
    <row r="23" spans="1:9" s="249" customFormat="1" ht="13.8">
      <c r="A23" s="250"/>
      <c r="B23" s="242"/>
      <c r="C23" s="637" t="s">
        <v>582</v>
      </c>
      <c r="D23" s="243"/>
      <c r="E23" s="258"/>
      <c r="F23" s="252"/>
      <c r="G23" s="247"/>
      <c r="H23" s="247"/>
      <c r="I23" s="248"/>
    </row>
    <row r="24" spans="1:9" s="249" customFormat="1" ht="13.8">
      <c r="A24" s="250"/>
      <c r="B24" s="242"/>
      <c r="C24" s="638"/>
      <c r="D24" s="243"/>
      <c r="E24" s="253"/>
      <c r="F24" s="252"/>
      <c r="G24" s="254"/>
      <c r="H24" s="254"/>
      <c r="I24" s="248"/>
    </row>
    <row r="25" spans="1:9" s="249" customFormat="1" ht="55.2">
      <c r="A25" s="250">
        <v>1</v>
      </c>
      <c r="B25" s="242"/>
      <c r="C25" s="638" t="s">
        <v>583</v>
      </c>
      <c r="D25" s="243"/>
      <c r="E25" s="253">
        <v>1</v>
      </c>
      <c r="F25" s="252" t="s">
        <v>584</v>
      </c>
      <c r="G25" s="247">
        <v>150</v>
      </c>
      <c r="H25" s="247">
        <f t="shared" si="0"/>
        <v>150</v>
      </c>
      <c r="I25" s="248"/>
    </row>
    <row r="26" spans="1:9" s="249" customFormat="1" ht="13.8">
      <c r="A26" s="250"/>
      <c r="B26" s="242"/>
      <c r="C26" s="670"/>
      <c r="D26" s="243"/>
      <c r="E26" s="258"/>
      <c r="F26" s="252"/>
      <c r="G26" s="247"/>
      <c r="H26" s="247"/>
      <c r="I26" s="248"/>
    </row>
    <row r="27" spans="1:9" s="249" customFormat="1" ht="13.8">
      <c r="A27" s="250">
        <v>2</v>
      </c>
      <c r="B27" s="242"/>
      <c r="C27" s="638" t="s">
        <v>585</v>
      </c>
      <c r="D27" s="243"/>
      <c r="E27" s="253">
        <v>1</v>
      </c>
      <c r="F27" s="252" t="s">
        <v>584</v>
      </c>
      <c r="G27" s="247">
        <v>80</v>
      </c>
      <c r="H27" s="254">
        <f t="shared" si="0"/>
        <v>80</v>
      </c>
      <c r="I27" s="248"/>
    </row>
    <row r="28" spans="1:9" s="264" customFormat="1" ht="13.8">
      <c r="A28" s="259"/>
      <c r="B28" s="233"/>
      <c r="C28" s="816" t="s">
        <v>35</v>
      </c>
      <c r="D28" s="427"/>
      <c r="E28" s="261"/>
      <c r="F28" s="428"/>
      <c r="G28" s="818"/>
      <c r="H28" s="263"/>
    </row>
    <row r="29" spans="1:9" s="264" customFormat="1" ht="13.8">
      <c r="A29" s="265"/>
      <c r="B29" s="266"/>
      <c r="C29" s="817" t="s">
        <v>35</v>
      </c>
      <c r="D29" s="429"/>
      <c r="E29" s="430"/>
      <c r="F29" s="431"/>
      <c r="G29" s="819" t="s">
        <v>36</v>
      </c>
      <c r="H29" s="432">
        <f>SUM(H14:H28)</f>
        <v>4597</v>
      </c>
    </row>
    <row r="30" spans="1:9" s="249" customFormat="1" ht="8.25" customHeight="1">
      <c r="A30" s="633"/>
      <c r="B30" s="233"/>
      <c r="C30" s="234"/>
      <c r="D30" s="235"/>
      <c r="E30" s="634"/>
      <c r="F30" s="635"/>
      <c r="G30" s="636"/>
      <c r="H30" s="636"/>
      <c r="I30" s="248"/>
    </row>
    <row r="31" spans="1:9" s="249" customFormat="1" ht="27.6">
      <c r="A31" s="250"/>
      <c r="B31" s="242"/>
      <c r="C31" s="637" t="s">
        <v>586</v>
      </c>
      <c r="D31" s="243"/>
      <c r="E31" s="253"/>
      <c r="F31" s="252"/>
      <c r="G31" s="254"/>
      <c r="H31" s="254"/>
      <c r="I31" s="248"/>
    </row>
    <row r="32" spans="1:9" s="249" customFormat="1" ht="96.6">
      <c r="A32" s="250"/>
      <c r="B32" s="242"/>
      <c r="C32" s="638" t="s">
        <v>973</v>
      </c>
      <c r="D32" s="243"/>
      <c r="E32" s="253"/>
      <c r="F32" s="252"/>
      <c r="G32" s="254"/>
      <c r="H32" s="254"/>
      <c r="I32" s="248"/>
    </row>
    <row r="33" spans="1:9" s="249" customFormat="1" ht="13.8">
      <c r="A33" s="250"/>
      <c r="B33" s="242"/>
      <c r="C33" s="637" t="s">
        <v>587</v>
      </c>
      <c r="D33" s="243"/>
      <c r="E33" s="253"/>
      <c r="F33" s="252"/>
      <c r="G33" s="254"/>
      <c r="H33" s="254"/>
      <c r="I33" s="248"/>
    </row>
    <row r="34" spans="1:9" s="249" customFormat="1" ht="13.8">
      <c r="A34" s="250"/>
      <c r="B34" s="242"/>
      <c r="C34" s="637" t="s">
        <v>588</v>
      </c>
      <c r="D34" s="243"/>
      <c r="E34" s="253"/>
      <c r="F34" s="252"/>
      <c r="G34" s="254"/>
      <c r="H34" s="254"/>
      <c r="I34" s="248"/>
    </row>
    <row r="35" spans="1:9" s="249" customFormat="1" ht="8.25" customHeight="1">
      <c r="A35" s="250"/>
      <c r="B35" s="242"/>
      <c r="C35" s="638"/>
      <c r="D35" s="243"/>
      <c r="E35" s="253"/>
      <c r="F35" s="252"/>
      <c r="G35" s="254"/>
      <c r="H35" s="254"/>
      <c r="I35" s="248"/>
    </row>
    <row r="36" spans="1:9" s="249" customFormat="1" ht="13.8">
      <c r="A36" s="250">
        <v>1</v>
      </c>
      <c r="B36" s="242"/>
      <c r="C36" s="638" t="s">
        <v>974</v>
      </c>
      <c r="D36" s="243"/>
      <c r="E36" s="253">
        <v>1</v>
      </c>
      <c r="F36" s="252" t="s">
        <v>581</v>
      </c>
      <c r="G36" s="247"/>
      <c r="H36" s="254">
        <f t="shared" ref="H36:H70" si="1">G36*E36</f>
        <v>0</v>
      </c>
      <c r="I36" s="248"/>
    </row>
    <row r="37" spans="1:9" s="249" customFormat="1" ht="8.25" customHeight="1">
      <c r="A37" s="250"/>
      <c r="B37" s="242"/>
      <c r="C37" s="638"/>
      <c r="D37" s="243"/>
      <c r="E37" s="253"/>
      <c r="F37" s="252"/>
      <c r="G37" s="254"/>
      <c r="H37" s="254"/>
      <c r="I37" s="248"/>
    </row>
    <row r="38" spans="1:9" s="249" customFormat="1" ht="13.8">
      <c r="A38" s="250">
        <v>2</v>
      </c>
      <c r="B38" s="242"/>
      <c r="C38" s="638" t="s">
        <v>975</v>
      </c>
      <c r="D38" s="243"/>
      <c r="E38" s="253">
        <v>1</v>
      </c>
      <c r="F38" s="252" t="s">
        <v>581</v>
      </c>
      <c r="G38" s="247"/>
      <c r="H38" s="254">
        <f t="shared" ref="H38" si="2">G38*E38</f>
        <v>0</v>
      </c>
      <c r="I38" s="248"/>
    </row>
    <row r="39" spans="1:9" s="249" customFormat="1" ht="8.25" customHeight="1">
      <c r="A39" s="250"/>
      <c r="B39" s="242"/>
      <c r="C39" s="638"/>
      <c r="D39" s="243"/>
      <c r="E39" s="253"/>
      <c r="F39" s="252"/>
      <c r="G39" s="254"/>
      <c r="H39" s="254"/>
      <c r="I39" s="248"/>
    </row>
    <row r="40" spans="1:9" s="249" customFormat="1" ht="13.8">
      <c r="A40" s="250">
        <v>3</v>
      </c>
      <c r="B40" s="242"/>
      <c r="C40" s="638" t="s">
        <v>976</v>
      </c>
      <c r="D40" s="243"/>
      <c r="E40" s="253">
        <v>1</v>
      </c>
      <c r="F40" s="252" t="s">
        <v>581</v>
      </c>
      <c r="G40" s="247"/>
      <c r="H40" s="254">
        <f t="shared" ref="H40" si="3">G40*E40</f>
        <v>0</v>
      </c>
      <c r="I40" s="248"/>
    </row>
    <row r="41" spans="1:9" s="249" customFormat="1" ht="8.25" customHeight="1">
      <c r="A41" s="250"/>
      <c r="B41" s="242"/>
      <c r="C41" s="638"/>
      <c r="D41" s="243"/>
      <c r="E41" s="253"/>
      <c r="F41" s="252"/>
      <c r="G41" s="254"/>
      <c r="H41" s="254"/>
      <c r="I41" s="248"/>
    </row>
    <row r="42" spans="1:9" s="249" customFormat="1" ht="13.8">
      <c r="A42" s="250">
        <v>4</v>
      </c>
      <c r="B42" s="242"/>
      <c r="C42" s="638" t="s">
        <v>977</v>
      </c>
      <c r="D42" s="243"/>
      <c r="E42" s="253">
        <v>1</v>
      </c>
      <c r="F42" s="252" t="s">
        <v>581</v>
      </c>
      <c r="G42" s="247"/>
      <c r="H42" s="254">
        <f t="shared" ref="H42" si="4">G42*E42</f>
        <v>0</v>
      </c>
      <c r="I42" s="248"/>
    </row>
    <row r="43" spans="1:9" s="249" customFormat="1" ht="8.25" customHeight="1">
      <c r="A43" s="250"/>
      <c r="B43" s="242"/>
      <c r="C43" s="638"/>
      <c r="D43" s="243"/>
      <c r="E43" s="253"/>
      <c r="F43" s="252"/>
      <c r="G43" s="254"/>
      <c r="H43" s="254"/>
      <c r="I43" s="248"/>
    </row>
    <row r="44" spans="1:9" s="249" customFormat="1" ht="13.8">
      <c r="A44" s="250">
        <v>5</v>
      </c>
      <c r="B44" s="242"/>
      <c r="C44" s="638" t="s">
        <v>978</v>
      </c>
      <c r="D44" s="243"/>
      <c r="E44" s="253">
        <v>1</v>
      </c>
      <c r="F44" s="252" t="s">
        <v>581</v>
      </c>
      <c r="G44" s="247"/>
      <c r="H44" s="254">
        <f t="shared" ref="H44" si="5">G44*E44</f>
        <v>0</v>
      </c>
      <c r="I44" s="248"/>
    </row>
    <row r="45" spans="1:9" s="249" customFormat="1" ht="8.25" customHeight="1">
      <c r="A45" s="250"/>
      <c r="B45" s="242"/>
      <c r="C45" s="638"/>
      <c r="D45" s="243"/>
      <c r="E45" s="253"/>
      <c r="F45" s="252"/>
      <c r="G45" s="254"/>
      <c r="H45" s="254"/>
      <c r="I45" s="248"/>
    </row>
    <row r="46" spans="1:9" s="249" customFormat="1" ht="13.8">
      <c r="A46" s="250">
        <v>6</v>
      </c>
      <c r="B46" s="242"/>
      <c r="C46" s="638" t="s">
        <v>979</v>
      </c>
      <c r="D46" s="243"/>
      <c r="E46" s="253">
        <v>1</v>
      </c>
      <c r="F46" s="252" t="s">
        <v>581</v>
      </c>
      <c r="G46" s="247"/>
      <c r="H46" s="254">
        <f t="shared" ref="H46" si="6">G46*E46</f>
        <v>0</v>
      </c>
      <c r="I46" s="248"/>
    </row>
    <row r="47" spans="1:9" s="249" customFormat="1" ht="8.25" customHeight="1">
      <c r="A47" s="250"/>
      <c r="B47" s="242"/>
      <c r="C47" s="638"/>
      <c r="D47" s="243"/>
      <c r="E47" s="253"/>
      <c r="F47" s="252"/>
      <c r="G47" s="254"/>
      <c r="H47" s="254"/>
      <c r="I47" s="248"/>
    </row>
    <row r="48" spans="1:9" s="249" customFormat="1" ht="13.8">
      <c r="A48" s="250">
        <v>7</v>
      </c>
      <c r="B48" s="242"/>
      <c r="C48" s="638" t="s">
        <v>980</v>
      </c>
      <c r="D48" s="243"/>
      <c r="E48" s="253">
        <v>1</v>
      </c>
      <c r="F48" s="252" t="s">
        <v>581</v>
      </c>
      <c r="G48" s="247"/>
      <c r="H48" s="254">
        <f t="shared" ref="H48" si="7">G48*E48</f>
        <v>0</v>
      </c>
      <c r="I48" s="248"/>
    </row>
    <row r="49" spans="1:9" s="249" customFormat="1" ht="8.25" customHeight="1">
      <c r="A49" s="250"/>
      <c r="B49" s="242"/>
      <c r="C49" s="638"/>
      <c r="D49" s="243"/>
      <c r="E49" s="253"/>
      <c r="F49" s="252"/>
      <c r="G49" s="254"/>
      <c r="H49" s="254"/>
      <c r="I49" s="248"/>
    </row>
    <row r="50" spans="1:9" s="249" customFormat="1" ht="13.8">
      <c r="A50" s="250">
        <v>8</v>
      </c>
      <c r="B50" s="242"/>
      <c r="C50" s="638" t="s">
        <v>981</v>
      </c>
      <c r="D50" s="243"/>
      <c r="E50" s="253">
        <v>1</v>
      </c>
      <c r="F50" s="252" t="s">
        <v>581</v>
      </c>
      <c r="G50" s="247"/>
      <c r="H50" s="254">
        <f t="shared" ref="H50" si="8">G50*E50</f>
        <v>0</v>
      </c>
      <c r="I50" s="248"/>
    </row>
    <row r="51" spans="1:9" s="249" customFormat="1" ht="8.25" customHeight="1">
      <c r="A51" s="250"/>
      <c r="B51" s="242"/>
      <c r="C51" s="638"/>
      <c r="D51" s="243"/>
      <c r="E51" s="253"/>
      <c r="F51" s="252"/>
      <c r="G51" s="254"/>
      <c r="H51" s="254"/>
      <c r="I51" s="248"/>
    </row>
    <row r="52" spans="1:9" s="249" customFormat="1" ht="13.8">
      <c r="A52" s="250">
        <v>9</v>
      </c>
      <c r="B52" s="242"/>
      <c r="C52" s="638" t="s">
        <v>982</v>
      </c>
      <c r="D52" s="243"/>
      <c r="E52" s="253">
        <v>1</v>
      </c>
      <c r="F52" s="252" t="s">
        <v>581</v>
      </c>
      <c r="G52" s="247"/>
      <c r="H52" s="254">
        <f t="shared" ref="H52" si="9">G52*E52</f>
        <v>0</v>
      </c>
      <c r="I52" s="248"/>
    </row>
    <row r="53" spans="1:9" s="249" customFormat="1" ht="8.25" customHeight="1">
      <c r="A53" s="250"/>
      <c r="B53" s="242"/>
      <c r="C53" s="638"/>
      <c r="D53" s="243"/>
      <c r="E53" s="253"/>
      <c r="F53" s="252"/>
      <c r="G53" s="254"/>
      <c r="H53" s="254"/>
      <c r="I53" s="248"/>
    </row>
    <row r="54" spans="1:9" s="249" customFormat="1" ht="13.8">
      <c r="A54" s="250">
        <v>10</v>
      </c>
      <c r="B54" s="242"/>
      <c r="C54" s="638" t="s">
        <v>983</v>
      </c>
      <c r="D54" s="243"/>
      <c r="E54" s="253">
        <v>1</v>
      </c>
      <c r="F54" s="252" t="s">
        <v>581</v>
      </c>
      <c r="G54" s="247"/>
      <c r="H54" s="254">
        <f t="shared" ref="H54" si="10">G54*E54</f>
        <v>0</v>
      </c>
      <c r="I54" s="248"/>
    </row>
    <row r="55" spans="1:9" s="249" customFormat="1" ht="8.25" customHeight="1">
      <c r="A55" s="250"/>
      <c r="B55" s="242"/>
      <c r="C55" s="638"/>
      <c r="D55" s="243"/>
      <c r="E55" s="253"/>
      <c r="F55" s="252"/>
      <c r="G55" s="254"/>
      <c r="H55" s="254"/>
      <c r="I55" s="248"/>
    </row>
    <row r="56" spans="1:9" s="249" customFormat="1" ht="13.8">
      <c r="A56" s="250">
        <v>11</v>
      </c>
      <c r="B56" s="242"/>
      <c r="C56" s="638" t="s">
        <v>984</v>
      </c>
      <c r="D56" s="243"/>
      <c r="E56" s="253">
        <v>1</v>
      </c>
      <c r="F56" s="252" t="s">
        <v>581</v>
      </c>
      <c r="G56" s="247"/>
      <c r="H56" s="254">
        <f t="shared" ref="H56" si="11">G56*E56</f>
        <v>0</v>
      </c>
      <c r="I56" s="248"/>
    </row>
    <row r="57" spans="1:9" s="249" customFormat="1" ht="8.25" customHeight="1">
      <c r="A57" s="250"/>
      <c r="B57" s="242"/>
      <c r="C57" s="638"/>
      <c r="D57" s="243"/>
      <c r="E57" s="253"/>
      <c r="F57" s="252"/>
      <c r="G57" s="254"/>
      <c r="H57" s="254"/>
      <c r="I57" s="248"/>
    </row>
    <row r="58" spans="1:9" s="249" customFormat="1" ht="13.8">
      <c r="A58" s="250">
        <v>12</v>
      </c>
      <c r="B58" s="242"/>
      <c r="C58" s="638" t="s">
        <v>985</v>
      </c>
      <c r="D58" s="243"/>
      <c r="E58" s="253">
        <v>1</v>
      </c>
      <c r="F58" s="252" t="s">
        <v>581</v>
      </c>
      <c r="G58" s="247"/>
      <c r="H58" s="254">
        <f t="shared" ref="H58" si="12">G58*E58</f>
        <v>0</v>
      </c>
      <c r="I58" s="248"/>
    </row>
    <row r="59" spans="1:9" s="249" customFormat="1" ht="8.25" customHeight="1">
      <c r="A59" s="250"/>
      <c r="B59" s="242"/>
      <c r="C59" s="638"/>
      <c r="D59" s="243"/>
      <c r="E59" s="253"/>
      <c r="F59" s="252"/>
      <c r="G59" s="254"/>
      <c r="H59" s="254"/>
      <c r="I59" s="248"/>
    </row>
    <row r="60" spans="1:9" s="249" customFormat="1" ht="13.8">
      <c r="A60" s="250">
        <v>13</v>
      </c>
      <c r="B60" s="242"/>
      <c r="C60" s="638" t="s">
        <v>986</v>
      </c>
      <c r="D60" s="243"/>
      <c r="E60" s="253">
        <v>1</v>
      </c>
      <c r="F60" s="252" t="s">
        <v>581</v>
      </c>
      <c r="G60" s="247"/>
      <c r="H60" s="254">
        <f t="shared" ref="H60" si="13">G60*E60</f>
        <v>0</v>
      </c>
      <c r="I60" s="248"/>
    </row>
    <row r="61" spans="1:9" s="249" customFormat="1" ht="8.25" customHeight="1">
      <c r="A61" s="250"/>
      <c r="B61" s="242"/>
      <c r="C61" s="638"/>
      <c r="D61" s="243"/>
      <c r="E61" s="253"/>
      <c r="F61" s="252"/>
      <c r="G61" s="254"/>
      <c r="H61" s="254"/>
      <c r="I61" s="248"/>
    </row>
    <row r="62" spans="1:9" s="249" customFormat="1" ht="13.8">
      <c r="A62" s="250">
        <v>14</v>
      </c>
      <c r="B62" s="242"/>
      <c r="C62" s="638" t="s">
        <v>987</v>
      </c>
      <c r="D62" s="243"/>
      <c r="E62" s="253">
        <v>1</v>
      </c>
      <c r="F62" s="252" t="s">
        <v>581</v>
      </c>
      <c r="G62" s="247"/>
      <c r="H62" s="254">
        <f t="shared" si="1"/>
        <v>0</v>
      </c>
      <c r="I62" s="248"/>
    </row>
    <row r="63" spans="1:9" s="249" customFormat="1" ht="8.25" customHeight="1">
      <c r="A63" s="250"/>
      <c r="B63" s="242"/>
      <c r="C63" s="638"/>
      <c r="D63" s="243"/>
      <c r="E63" s="253"/>
      <c r="F63" s="252"/>
      <c r="G63" s="254"/>
      <c r="H63" s="254"/>
      <c r="I63" s="248"/>
    </row>
    <row r="64" spans="1:9" s="249" customFormat="1" ht="13.8">
      <c r="A64" s="250">
        <v>15</v>
      </c>
      <c r="B64" s="242"/>
      <c r="C64" s="638" t="s">
        <v>988</v>
      </c>
      <c r="D64" s="243"/>
      <c r="E64" s="253">
        <v>1</v>
      </c>
      <c r="F64" s="252" t="s">
        <v>581</v>
      </c>
      <c r="G64" s="247"/>
      <c r="H64" s="254">
        <f t="shared" si="1"/>
        <v>0</v>
      </c>
      <c r="I64" s="248"/>
    </row>
    <row r="65" spans="1:9" s="249" customFormat="1" ht="8.25" customHeight="1">
      <c r="A65" s="250"/>
      <c r="B65" s="242"/>
      <c r="C65" s="638"/>
      <c r="D65" s="243"/>
      <c r="E65" s="253"/>
      <c r="F65" s="252"/>
      <c r="G65" s="254"/>
      <c r="H65" s="254"/>
      <c r="I65" s="248"/>
    </row>
    <row r="66" spans="1:9" s="249" customFormat="1" ht="13.8">
      <c r="A66" s="250">
        <v>16</v>
      </c>
      <c r="B66" s="242"/>
      <c r="C66" s="638" t="s">
        <v>989</v>
      </c>
      <c r="D66" s="243"/>
      <c r="E66" s="253">
        <v>1</v>
      </c>
      <c r="F66" s="252" t="s">
        <v>581</v>
      </c>
      <c r="G66" s="247"/>
      <c r="H66" s="254">
        <f t="shared" si="1"/>
        <v>0</v>
      </c>
      <c r="I66" s="248"/>
    </row>
    <row r="67" spans="1:9" s="249" customFormat="1" ht="8.25" customHeight="1">
      <c r="A67" s="250"/>
      <c r="B67" s="242"/>
      <c r="C67" s="638"/>
      <c r="D67" s="243"/>
      <c r="E67" s="253"/>
      <c r="F67" s="252"/>
      <c r="G67" s="254"/>
      <c r="H67" s="254"/>
      <c r="I67" s="248"/>
    </row>
    <row r="68" spans="1:9" s="249" customFormat="1" ht="13.8">
      <c r="A68" s="250">
        <v>17</v>
      </c>
      <c r="B68" s="242"/>
      <c r="C68" s="638" t="s">
        <v>990</v>
      </c>
      <c r="D68" s="243"/>
      <c r="E68" s="253">
        <v>1</v>
      </c>
      <c r="F68" s="252" t="s">
        <v>581</v>
      </c>
      <c r="G68" s="247"/>
      <c r="H68" s="254">
        <f t="shared" si="1"/>
        <v>0</v>
      </c>
      <c r="I68" s="248"/>
    </row>
    <row r="69" spans="1:9" s="249" customFormat="1" ht="8.25" customHeight="1">
      <c r="A69" s="250"/>
      <c r="B69" s="242"/>
      <c r="C69" s="638"/>
      <c r="D69" s="243"/>
      <c r="E69" s="253"/>
      <c r="F69" s="252"/>
      <c r="G69" s="254"/>
      <c r="H69" s="254"/>
      <c r="I69" s="248"/>
    </row>
    <row r="70" spans="1:9" s="249" customFormat="1" ht="13.8">
      <c r="A70" s="250">
        <v>18</v>
      </c>
      <c r="B70" s="242"/>
      <c r="C70" s="638" t="s">
        <v>991</v>
      </c>
      <c r="D70" s="243"/>
      <c r="E70" s="253">
        <v>1</v>
      </c>
      <c r="F70" s="252" t="s">
        <v>581</v>
      </c>
      <c r="G70" s="247"/>
      <c r="H70" s="254">
        <f t="shared" si="1"/>
        <v>0</v>
      </c>
      <c r="I70" s="248"/>
    </row>
    <row r="71" spans="1:9" s="249" customFormat="1" ht="8.25" customHeight="1">
      <c r="A71" s="250"/>
      <c r="B71" s="242"/>
      <c r="C71" s="638"/>
      <c r="D71" s="243"/>
      <c r="E71" s="253"/>
      <c r="F71" s="252"/>
      <c r="G71" s="254"/>
      <c r="H71" s="254"/>
      <c r="I71" s="248"/>
    </row>
    <row r="72" spans="1:9" s="249" customFormat="1" ht="13.8">
      <c r="A72" s="250"/>
      <c r="B72" s="242"/>
      <c r="C72" s="637" t="s">
        <v>589</v>
      </c>
      <c r="D72" s="243"/>
      <c r="E72" s="253"/>
      <c r="F72" s="252"/>
      <c r="G72" s="254"/>
      <c r="H72" s="254"/>
      <c r="I72" s="248"/>
    </row>
    <row r="73" spans="1:9" s="249" customFormat="1" ht="8.25" customHeight="1">
      <c r="A73" s="250"/>
      <c r="B73" s="242"/>
      <c r="C73" s="638"/>
      <c r="D73" s="243"/>
      <c r="E73" s="253"/>
      <c r="F73" s="252"/>
      <c r="G73" s="254"/>
      <c r="H73" s="254"/>
      <c r="I73" s="248"/>
    </row>
    <row r="74" spans="1:9" s="249" customFormat="1" ht="13.8">
      <c r="A74" s="250">
        <v>1</v>
      </c>
      <c r="B74" s="242"/>
      <c r="C74" s="638" t="s">
        <v>992</v>
      </c>
      <c r="D74" s="243"/>
      <c r="E74" s="253">
        <v>5</v>
      </c>
      <c r="F74" s="252" t="s">
        <v>581</v>
      </c>
      <c r="G74" s="247"/>
      <c r="H74" s="254">
        <f>SUM(G74*E74)</f>
        <v>0</v>
      </c>
      <c r="I74" s="248"/>
    </row>
    <row r="75" spans="1:9" s="249" customFormat="1" ht="8.25" customHeight="1">
      <c r="A75" s="250"/>
      <c r="B75" s="242"/>
      <c r="C75" s="638"/>
      <c r="D75" s="243"/>
      <c r="E75" s="253"/>
      <c r="F75" s="252"/>
      <c r="G75" s="254"/>
      <c r="H75" s="254"/>
      <c r="I75" s="248"/>
    </row>
    <row r="76" spans="1:9" s="249" customFormat="1" ht="13.8">
      <c r="A76" s="250">
        <v>2</v>
      </c>
      <c r="B76" s="242"/>
      <c r="C76" s="638" t="s">
        <v>993</v>
      </c>
      <c r="D76" s="243"/>
      <c r="E76" s="253">
        <v>5</v>
      </c>
      <c r="F76" s="252" t="s">
        <v>581</v>
      </c>
      <c r="G76" s="247"/>
      <c r="H76" s="254">
        <f>SUM(G76*E76)</f>
        <v>0</v>
      </c>
      <c r="I76" s="248"/>
    </row>
    <row r="77" spans="1:9" s="249" customFormat="1" ht="8.25" customHeight="1">
      <c r="A77" s="250"/>
      <c r="B77" s="242"/>
      <c r="C77" s="638"/>
      <c r="D77" s="243"/>
      <c r="E77" s="253"/>
      <c r="F77" s="252"/>
      <c r="G77" s="254"/>
      <c r="H77" s="254"/>
      <c r="I77" s="248"/>
    </row>
    <row r="78" spans="1:9" s="249" customFormat="1" ht="13.8">
      <c r="A78" s="250">
        <v>3</v>
      </c>
      <c r="B78" s="242"/>
      <c r="C78" s="638" t="s">
        <v>994</v>
      </c>
      <c r="D78" s="243"/>
      <c r="E78" s="253">
        <v>5</v>
      </c>
      <c r="F78" s="252" t="s">
        <v>581</v>
      </c>
      <c r="G78" s="247"/>
      <c r="H78" s="254">
        <f>SUM(G78*E78)</f>
        <v>0</v>
      </c>
      <c r="I78" s="248"/>
    </row>
    <row r="79" spans="1:9" s="249" customFormat="1" ht="8.25" customHeight="1">
      <c r="A79" s="250"/>
      <c r="B79" s="242"/>
      <c r="C79" s="638"/>
      <c r="D79" s="243"/>
      <c r="E79" s="253"/>
      <c r="F79" s="252"/>
      <c r="G79" s="254"/>
      <c r="H79" s="254"/>
      <c r="I79" s="248"/>
    </row>
    <row r="80" spans="1:9" s="249" customFormat="1" ht="13.8">
      <c r="A80" s="250">
        <v>4</v>
      </c>
      <c r="B80" s="242"/>
      <c r="C80" s="638" t="s">
        <v>995</v>
      </c>
      <c r="D80" s="243"/>
      <c r="E80" s="253">
        <v>5</v>
      </c>
      <c r="F80" s="252" t="s">
        <v>581</v>
      </c>
      <c r="G80" s="247"/>
      <c r="H80" s="254">
        <f>SUM(G80*E80)</f>
        <v>0</v>
      </c>
      <c r="I80" s="248"/>
    </row>
    <row r="81" spans="1:9" s="249" customFormat="1" ht="8.25" customHeight="1">
      <c r="A81" s="250"/>
      <c r="B81" s="242"/>
      <c r="C81" s="638"/>
      <c r="D81" s="243"/>
      <c r="E81" s="253"/>
      <c r="F81" s="252"/>
      <c r="G81" s="254"/>
      <c r="H81" s="254"/>
      <c r="I81" s="248"/>
    </row>
    <row r="82" spans="1:9" s="249" customFormat="1" ht="13.8">
      <c r="A82" s="250">
        <v>5</v>
      </c>
      <c r="B82" s="242"/>
      <c r="C82" s="638" t="s">
        <v>996</v>
      </c>
      <c r="D82" s="243"/>
      <c r="E82" s="253">
        <v>5</v>
      </c>
      <c r="F82" s="252" t="s">
        <v>581</v>
      </c>
      <c r="G82" s="247"/>
      <c r="H82" s="254">
        <f>SUM(G82*E82)</f>
        <v>0</v>
      </c>
      <c r="I82" s="248"/>
    </row>
    <row r="83" spans="1:9" s="249" customFormat="1" ht="8.25" customHeight="1">
      <c r="A83" s="250"/>
      <c r="B83" s="242"/>
      <c r="C83" s="638"/>
      <c r="D83" s="243"/>
      <c r="E83" s="253"/>
      <c r="F83" s="252"/>
      <c r="G83" s="254"/>
      <c r="H83" s="254"/>
      <c r="I83" s="248"/>
    </row>
    <row r="84" spans="1:9" s="249" customFormat="1" ht="13.8">
      <c r="A84" s="250">
        <v>6</v>
      </c>
      <c r="B84" s="242"/>
      <c r="C84" s="638" t="s">
        <v>997</v>
      </c>
      <c r="D84" s="243"/>
      <c r="E84" s="253">
        <v>5</v>
      </c>
      <c r="F84" s="252" t="s">
        <v>581</v>
      </c>
      <c r="G84" s="247"/>
      <c r="H84" s="254">
        <f>SUM(G84*E84)</f>
        <v>0</v>
      </c>
      <c r="I84" s="248"/>
    </row>
    <row r="85" spans="1:9" s="249" customFormat="1" ht="8.25" customHeight="1">
      <c r="A85" s="250"/>
      <c r="B85" s="242"/>
      <c r="C85" s="638"/>
      <c r="D85" s="243"/>
      <c r="E85" s="253"/>
      <c r="F85" s="252"/>
      <c r="G85" s="254"/>
      <c r="H85" s="254"/>
      <c r="I85" s="248"/>
    </row>
    <row r="86" spans="1:9" s="249" customFormat="1" ht="13.8">
      <c r="A86" s="250">
        <v>7</v>
      </c>
      <c r="B86" s="242"/>
      <c r="C86" s="638" t="s">
        <v>998</v>
      </c>
      <c r="D86" s="243"/>
      <c r="E86" s="253">
        <v>5</v>
      </c>
      <c r="F86" s="252" t="s">
        <v>581</v>
      </c>
      <c r="G86" s="247"/>
      <c r="H86" s="254">
        <f>SUM(G86*E86)</f>
        <v>0</v>
      </c>
      <c r="I86" s="248"/>
    </row>
    <row r="87" spans="1:9" s="249" customFormat="1" ht="8.25" customHeight="1">
      <c r="A87" s="250"/>
      <c r="B87" s="242"/>
      <c r="C87" s="638"/>
      <c r="D87" s="243"/>
      <c r="E87" s="253"/>
      <c r="F87" s="252"/>
      <c r="G87" s="254"/>
      <c r="H87" s="254"/>
      <c r="I87" s="248"/>
    </row>
    <row r="88" spans="1:9" s="249" customFormat="1" ht="13.8">
      <c r="A88" s="250">
        <v>8</v>
      </c>
      <c r="B88" s="242"/>
      <c r="C88" s="638" t="s">
        <v>999</v>
      </c>
      <c r="D88" s="243"/>
      <c r="E88" s="253">
        <v>5</v>
      </c>
      <c r="F88" s="252" t="s">
        <v>581</v>
      </c>
      <c r="G88" s="247"/>
      <c r="H88" s="254">
        <f>SUM(G88*E88)</f>
        <v>0</v>
      </c>
      <c r="I88" s="248"/>
    </row>
    <row r="89" spans="1:9" s="249" customFormat="1" ht="8.25" customHeight="1">
      <c r="A89" s="250"/>
      <c r="B89" s="242"/>
      <c r="C89" s="638"/>
      <c r="D89" s="243"/>
      <c r="E89" s="253"/>
      <c r="F89" s="252"/>
      <c r="G89" s="254"/>
      <c r="H89" s="254"/>
      <c r="I89" s="248"/>
    </row>
    <row r="90" spans="1:9" s="249" customFormat="1" ht="13.8">
      <c r="A90" s="250">
        <v>9</v>
      </c>
      <c r="B90" s="242"/>
      <c r="C90" s="638" t="s">
        <v>1000</v>
      </c>
      <c r="D90" s="243"/>
      <c r="E90" s="253">
        <v>5</v>
      </c>
      <c r="F90" s="252" t="s">
        <v>581</v>
      </c>
      <c r="G90" s="247"/>
      <c r="H90" s="254">
        <f>SUM(G90*E90)</f>
        <v>0</v>
      </c>
      <c r="I90" s="248"/>
    </row>
    <row r="91" spans="1:9" s="249" customFormat="1" ht="8.25" customHeight="1">
      <c r="A91" s="250"/>
      <c r="B91" s="242"/>
      <c r="C91" s="638"/>
      <c r="D91" s="243"/>
      <c r="E91" s="253"/>
      <c r="F91" s="252"/>
      <c r="G91" s="254"/>
      <c r="H91" s="254"/>
      <c r="I91" s="248"/>
    </row>
    <row r="92" spans="1:9" s="264" customFormat="1" ht="13.8">
      <c r="A92" s="259"/>
      <c r="B92" s="233"/>
      <c r="C92" s="820" t="s">
        <v>35</v>
      </c>
      <c r="D92" s="260"/>
      <c r="E92" s="261"/>
      <c r="F92" s="262"/>
      <c r="G92" s="818"/>
      <c r="H92" s="263"/>
    </row>
    <row r="93" spans="1:9" s="264" customFormat="1" ht="13.8">
      <c r="A93" s="265"/>
      <c r="B93" s="266"/>
      <c r="C93" s="821" t="s">
        <v>35</v>
      </c>
      <c r="D93" s="267"/>
      <c r="E93" s="268"/>
      <c r="F93" s="269"/>
      <c r="G93" s="819" t="s">
        <v>36</v>
      </c>
      <c r="H93" s="270">
        <f>SUM(H34:H92)</f>
        <v>0</v>
      </c>
    </row>
    <row r="94" spans="1:9" s="249" customFormat="1" ht="13.8">
      <c r="A94" s="250"/>
      <c r="B94" s="242"/>
      <c r="C94" s="637" t="s">
        <v>590</v>
      </c>
      <c r="D94" s="243"/>
      <c r="E94" s="253"/>
      <c r="F94" s="252"/>
      <c r="G94" s="254"/>
      <c r="H94" s="254"/>
      <c r="I94" s="248"/>
    </row>
    <row r="95" spans="1:9" s="249" customFormat="1" ht="13.8">
      <c r="A95" s="250"/>
      <c r="B95" s="242"/>
      <c r="C95" s="638"/>
      <c r="D95" s="243"/>
      <c r="E95" s="253"/>
      <c r="F95" s="252"/>
      <c r="G95" s="254"/>
      <c r="H95" s="254"/>
      <c r="I95" s="248"/>
    </row>
    <row r="96" spans="1:9" s="249" customFormat="1" ht="13.8">
      <c r="A96" s="250">
        <v>1</v>
      </c>
      <c r="B96" s="242"/>
      <c r="C96" s="638" t="s">
        <v>1001</v>
      </c>
      <c r="D96" s="243"/>
      <c r="E96" s="253">
        <v>1</v>
      </c>
      <c r="F96" s="252" t="s">
        <v>581</v>
      </c>
      <c r="G96" s="247"/>
      <c r="H96" s="254">
        <f>SUM(G96*E96)</f>
        <v>0</v>
      </c>
      <c r="I96" s="248"/>
    </row>
    <row r="97" spans="1:9" s="249" customFormat="1" ht="13.8">
      <c r="A97" s="250"/>
      <c r="B97" s="242"/>
      <c r="C97" s="638"/>
      <c r="D97" s="243"/>
      <c r="E97" s="253"/>
      <c r="F97" s="252"/>
      <c r="G97" s="254"/>
      <c r="H97" s="254"/>
      <c r="I97" s="248"/>
    </row>
    <row r="98" spans="1:9" s="249" customFormat="1" ht="13.8">
      <c r="A98" s="250">
        <v>2</v>
      </c>
      <c r="B98" s="242"/>
      <c r="C98" s="638" t="s">
        <v>1002</v>
      </c>
      <c r="D98" s="243"/>
      <c r="E98" s="253">
        <v>1</v>
      </c>
      <c r="F98" s="252" t="s">
        <v>581</v>
      </c>
      <c r="G98" s="247"/>
      <c r="H98" s="254">
        <f>SUM(G98*E98)</f>
        <v>0</v>
      </c>
      <c r="I98" s="248"/>
    </row>
    <row r="99" spans="1:9" s="249" customFormat="1" ht="13.8">
      <c r="A99" s="250"/>
      <c r="B99" s="242"/>
      <c r="C99" s="638"/>
      <c r="D99" s="243"/>
      <c r="E99" s="253"/>
      <c r="F99" s="252"/>
      <c r="G99" s="254"/>
      <c r="H99" s="254"/>
      <c r="I99" s="248"/>
    </row>
    <row r="100" spans="1:9" s="249" customFormat="1" ht="13.8">
      <c r="A100" s="250">
        <v>3</v>
      </c>
      <c r="B100" s="242"/>
      <c r="C100" s="638" t="s">
        <v>1003</v>
      </c>
      <c r="D100" s="243"/>
      <c r="E100" s="253">
        <v>1</v>
      </c>
      <c r="F100" s="252" t="s">
        <v>581</v>
      </c>
      <c r="G100" s="247"/>
      <c r="H100" s="254">
        <f>SUM(G100*E100)</f>
        <v>0</v>
      </c>
      <c r="I100" s="248"/>
    </row>
    <row r="101" spans="1:9" s="249" customFormat="1" ht="13.8">
      <c r="A101" s="250"/>
      <c r="B101" s="242"/>
      <c r="C101" s="638"/>
      <c r="D101" s="243"/>
      <c r="E101" s="253"/>
      <c r="F101" s="252"/>
      <c r="G101" s="254"/>
      <c r="H101" s="254"/>
      <c r="I101" s="248"/>
    </row>
    <row r="102" spans="1:9" s="249" customFormat="1" ht="13.8">
      <c r="A102" s="250">
        <v>4</v>
      </c>
      <c r="B102" s="242"/>
      <c r="C102" s="638" t="s">
        <v>1004</v>
      </c>
      <c r="D102" s="243"/>
      <c r="E102" s="253">
        <v>1</v>
      </c>
      <c r="F102" s="252" t="s">
        <v>581</v>
      </c>
      <c r="G102" s="247"/>
      <c r="H102" s="254">
        <f>SUM(G102*E102)</f>
        <v>0</v>
      </c>
      <c r="I102" s="248"/>
    </row>
    <row r="103" spans="1:9" s="249" customFormat="1" ht="13.8">
      <c r="A103" s="250"/>
      <c r="B103" s="242"/>
      <c r="C103" s="638"/>
      <c r="D103" s="243"/>
      <c r="E103" s="253"/>
      <c r="F103" s="252"/>
      <c r="G103" s="254"/>
      <c r="H103" s="254"/>
      <c r="I103" s="248"/>
    </row>
    <row r="104" spans="1:9" s="249" customFormat="1" ht="13.8">
      <c r="A104" s="250">
        <v>5</v>
      </c>
      <c r="B104" s="242"/>
      <c r="C104" s="638" t="s">
        <v>1005</v>
      </c>
      <c r="D104" s="243"/>
      <c r="E104" s="253">
        <v>1</v>
      </c>
      <c r="F104" s="252" t="s">
        <v>581</v>
      </c>
      <c r="G104" s="247"/>
      <c r="H104" s="254">
        <f>SUM(G104*E104)</f>
        <v>0</v>
      </c>
      <c r="I104" s="248"/>
    </row>
    <row r="105" spans="1:9" s="249" customFormat="1" ht="13.8">
      <c r="A105" s="250"/>
      <c r="B105" s="242"/>
      <c r="C105" s="638"/>
      <c r="D105" s="243"/>
      <c r="E105" s="253"/>
      <c r="F105" s="252"/>
      <c r="G105" s="254"/>
      <c r="H105" s="254"/>
      <c r="I105" s="248"/>
    </row>
    <row r="106" spans="1:9" s="249" customFormat="1" ht="13.8">
      <c r="A106" s="250">
        <v>6</v>
      </c>
      <c r="B106" s="242"/>
      <c r="C106" s="638" t="s">
        <v>1006</v>
      </c>
      <c r="D106" s="243"/>
      <c r="E106" s="253">
        <v>1</v>
      </c>
      <c r="F106" s="252" t="s">
        <v>581</v>
      </c>
      <c r="G106" s="247"/>
      <c r="H106" s="254">
        <f>SUM(G106*E106)</f>
        <v>0</v>
      </c>
      <c r="I106" s="248"/>
    </row>
    <row r="107" spans="1:9" s="249" customFormat="1" ht="13.8">
      <c r="A107" s="250"/>
      <c r="B107" s="242"/>
      <c r="C107" s="638"/>
      <c r="D107" s="243"/>
      <c r="E107" s="253"/>
      <c r="F107" s="252"/>
      <c r="G107" s="254"/>
      <c r="H107" s="254"/>
      <c r="I107" s="248"/>
    </row>
    <row r="108" spans="1:9" s="249" customFormat="1" ht="13.8">
      <c r="A108" s="250">
        <v>7</v>
      </c>
      <c r="B108" s="242"/>
      <c r="C108" s="638" t="s">
        <v>1007</v>
      </c>
      <c r="D108" s="243"/>
      <c r="E108" s="253">
        <v>1</v>
      </c>
      <c r="F108" s="252" t="s">
        <v>581</v>
      </c>
      <c r="G108" s="247"/>
      <c r="H108" s="254">
        <f>SUM(G108*E108)</f>
        <v>0</v>
      </c>
      <c r="I108" s="248"/>
    </row>
    <row r="109" spans="1:9" s="249" customFormat="1" ht="13.8">
      <c r="A109" s="250">
        <v>8</v>
      </c>
      <c r="B109" s="242"/>
      <c r="C109" s="638" t="s">
        <v>1008</v>
      </c>
      <c r="D109" s="243"/>
      <c r="E109" s="253">
        <v>1</v>
      </c>
      <c r="F109" s="252" t="s">
        <v>581</v>
      </c>
      <c r="G109" s="247"/>
      <c r="H109" s="254">
        <f>SUM(G109*E109)</f>
        <v>0</v>
      </c>
      <c r="I109" s="248"/>
    </row>
    <row r="110" spans="1:9" s="249" customFormat="1" ht="13.8">
      <c r="A110" s="250">
        <v>9</v>
      </c>
      <c r="B110" s="242"/>
      <c r="C110" s="638" t="s">
        <v>1009</v>
      </c>
      <c r="D110" s="243"/>
      <c r="E110" s="253">
        <v>1</v>
      </c>
      <c r="F110" s="252" t="s">
        <v>581</v>
      </c>
      <c r="G110" s="247"/>
      <c r="H110" s="254">
        <f>SUM(G110*E110)</f>
        <v>0</v>
      </c>
      <c r="I110" s="248"/>
    </row>
    <row r="111" spans="1:9" s="264" customFormat="1" ht="13.8">
      <c r="A111" s="259"/>
      <c r="B111" s="233"/>
      <c r="C111" s="816" t="s">
        <v>35</v>
      </c>
      <c r="D111" s="427"/>
      <c r="E111" s="261"/>
      <c r="F111" s="428"/>
      <c r="G111" s="818"/>
      <c r="H111" s="263"/>
    </row>
    <row r="112" spans="1:9" s="264" customFormat="1" ht="13.8">
      <c r="A112" s="265"/>
      <c r="B112" s="266"/>
      <c r="C112" s="817" t="s">
        <v>35</v>
      </c>
      <c r="D112" s="429"/>
      <c r="E112" s="430"/>
      <c r="F112" s="431"/>
      <c r="G112" s="819" t="s">
        <v>36</v>
      </c>
      <c r="H112" s="432">
        <v>7337</v>
      </c>
    </row>
    <row r="113" spans="1:9" s="249" customFormat="1" ht="13.8">
      <c r="A113" s="633"/>
      <c r="B113" s="233"/>
      <c r="C113" s="234"/>
      <c r="D113" s="235"/>
      <c r="E113" s="634"/>
      <c r="F113" s="635"/>
      <c r="G113" s="636"/>
      <c r="H113" s="636"/>
      <c r="I113" s="248"/>
    </row>
    <row r="114" spans="1:9" s="249" customFormat="1" ht="27.6">
      <c r="A114" s="250"/>
      <c r="B114" s="242"/>
      <c r="C114" s="637" t="s">
        <v>586</v>
      </c>
      <c r="D114" s="243"/>
      <c r="E114" s="253"/>
      <c r="F114" s="252"/>
      <c r="G114" s="254"/>
      <c r="H114" s="254"/>
      <c r="I114" s="248"/>
    </row>
    <row r="115" spans="1:9" s="249" customFormat="1" ht="13.8">
      <c r="A115" s="250"/>
      <c r="B115" s="242"/>
      <c r="C115" s="637"/>
      <c r="D115" s="243"/>
      <c r="E115" s="253"/>
      <c r="F115" s="252"/>
      <c r="G115" s="254"/>
      <c r="H115" s="254"/>
      <c r="I115" s="248"/>
    </row>
    <row r="116" spans="1:9" s="249" customFormat="1" ht="13.8">
      <c r="A116" s="250"/>
      <c r="B116" s="242"/>
      <c r="C116" s="637" t="s">
        <v>591</v>
      </c>
      <c r="D116" s="243"/>
      <c r="E116" s="253"/>
      <c r="F116" s="252"/>
      <c r="G116" s="254"/>
      <c r="H116" s="254"/>
      <c r="I116" s="248"/>
    </row>
    <row r="117" spans="1:9" s="249" customFormat="1" ht="13.8">
      <c r="A117" s="250"/>
      <c r="B117" s="242"/>
      <c r="C117" s="637"/>
      <c r="D117" s="243"/>
      <c r="E117" s="253"/>
      <c r="F117" s="252"/>
      <c r="G117" s="254"/>
      <c r="H117" s="254"/>
      <c r="I117" s="248"/>
    </row>
    <row r="118" spans="1:9" s="249" customFormat="1" ht="13.8">
      <c r="A118" s="250"/>
      <c r="B118" s="242"/>
      <c r="C118" s="637" t="s">
        <v>592</v>
      </c>
      <c r="D118" s="243"/>
      <c r="E118" s="253"/>
      <c r="F118" s="252"/>
      <c r="G118" s="254"/>
      <c r="H118" s="254"/>
      <c r="I118" s="248"/>
    </row>
    <row r="119" spans="1:9" s="249" customFormat="1" ht="13.8">
      <c r="A119" s="250"/>
      <c r="B119" s="242"/>
      <c r="C119" s="638"/>
      <c r="D119" s="243"/>
      <c r="E119" s="253"/>
      <c r="F119" s="252"/>
      <c r="G119" s="254"/>
      <c r="H119" s="254"/>
      <c r="I119" s="248"/>
    </row>
    <row r="120" spans="1:9" s="249" customFormat="1" ht="124.2">
      <c r="A120" s="250"/>
      <c r="B120" s="242"/>
      <c r="C120" s="638" t="s">
        <v>593</v>
      </c>
      <c r="D120" s="243"/>
      <c r="E120" s="253"/>
      <c r="F120" s="252"/>
      <c r="G120" s="254"/>
      <c r="H120" s="254"/>
      <c r="I120" s="248"/>
    </row>
    <row r="121" spans="1:9" s="249" customFormat="1" ht="13.8">
      <c r="A121" s="250"/>
      <c r="B121" s="242"/>
      <c r="C121" s="637" t="s">
        <v>1010</v>
      </c>
      <c r="D121" s="243"/>
      <c r="E121" s="253"/>
      <c r="F121" s="252"/>
      <c r="G121" s="254"/>
      <c r="H121" s="254"/>
      <c r="I121" s="248"/>
    </row>
    <row r="122" spans="1:9" s="249" customFormat="1" ht="41.4">
      <c r="A122" s="250">
        <v>1</v>
      </c>
      <c r="B122" s="242"/>
      <c r="C122" s="638" t="s">
        <v>1011</v>
      </c>
      <c r="D122" s="243"/>
      <c r="E122" s="253">
        <v>200</v>
      </c>
      <c r="F122" s="252" t="s">
        <v>58</v>
      </c>
      <c r="G122" s="247">
        <v>38</v>
      </c>
      <c r="H122" s="254">
        <f>G122*E122</f>
        <v>7600</v>
      </c>
      <c r="I122" s="248"/>
    </row>
    <row r="123" spans="1:9" s="249" customFormat="1" ht="13.8">
      <c r="A123" s="250"/>
      <c r="B123" s="242"/>
      <c r="C123" s="638"/>
      <c r="D123" s="243"/>
      <c r="E123" s="253"/>
      <c r="F123" s="252"/>
      <c r="G123" s="254"/>
      <c r="H123" s="254"/>
      <c r="I123" s="248"/>
    </row>
    <row r="124" spans="1:9" s="249" customFormat="1" ht="13.8">
      <c r="A124" s="250"/>
      <c r="B124" s="242"/>
      <c r="C124" s="637" t="s">
        <v>594</v>
      </c>
      <c r="D124" s="243"/>
      <c r="E124" s="253"/>
      <c r="F124" s="252"/>
      <c r="G124" s="254"/>
      <c r="H124" s="254"/>
      <c r="I124" s="248"/>
    </row>
    <row r="125" spans="1:9" s="249" customFormat="1" ht="13.8">
      <c r="A125" s="250"/>
      <c r="B125" s="242"/>
      <c r="C125" s="637" t="s">
        <v>1012</v>
      </c>
      <c r="D125" s="243"/>
      <c r="E125" s="253"/>
      <c r="F125" s="252"/>
      <c r="G125" s="254"/>
      <c r="H125" s="254"/>
      <c r="I125" s="248"/>
    </row>
    <row r="126" spans="1:9" s="249" customFormat="1" ht="27.6">
      <c r="A126" s="250">
        <v>1</v>
      </c>
      <c r="B126" s="242"/>
      <c r="C126" s="638" t="s">
        <v>1013</v>
      </c>
      <c r="D126" s="243"/>
      <c r="E126" s="253">
        <f>5+3+5</f>
        <v>13</v>
      </c>
      <c r="F126" s="252" t="s">
        <v>58</v>
      </c>
      <c r="G126" s="247">
        <v>8.6999999999999993</v>
      </c>
      <c r="H126" s="254">
        <f>G126*E126</f>
        <v>113.1</v>
      </c>
      <c r="I126" s="248"/>
    </row>
    <row r="127" spans="1:9" s="249" customFormat="1" ht="13.8">
      <c r="A127" s="250"/>
      <c r="B127" s="242"/>
      <c r="C127" s="638"/>
      <c r="D127" s="243"/>
      <c r="E127" s="253"/>
      <c r="F127" s="252"/>
      <c r="G127" s="254"/>
      <c r="H127" s="254"/>
      <c r="I127" s="248"/>
    </row>
    <row r="128" spans="1:9" s="249" customFormat="1" ht="27.6">
      <c r="A128" s="250">
        <v>2</v>
      </c>
      <c r="B128" s="242"/>
      <c r="C128" s="638" t="s">
        <v>1014</v>
      </c>
      <c r="D128" s="243"/>
      <c r="E128" s="253">
        <f>9+5+20</f>
        <v>34</v>
      </c>
      <c r="F128" s="252" t="s">
        <v>58</v>
      </c>
      <c r="G128" s="247">
        <v>8.6999999999999993</v>
      </c>
      <c r="H128" s="254">
        <f>G128*E128</f>
        <v>295.79999999999995</v>
      </c>
      <c r="I128" s="248"/>
    </row>
    <row r="129" spans="1:9" s="249" customFormat="1" ht="13.8">
      <c r="A129" s="250"/>
      <c r="B129" s="242"/>
      <c r="C129" s="638"/>
      <c r="D129" s="243"/>
      <c r="E129" s="253"/>
      <c r="F129" s="252"/>
      <c r="G129" s="254"/>
      <c r="H129" s="254"/>
      <c r="I129" s="248"/>
    </row>
    <row r="130" spans="1:9" s="249" customFormat="1" ht="27.6">
      <c r="A130" s="250">
        <v>3</v>
      </c>
      <c r="B130" s="242"/>
      <c r="C130" s="638" t="s">
        <v>1015</v>
      </c>
      <c r="D130" s="243"/>
      <c r="E130" s="253">
        <f>(23+5+2+5+5+5+5+5+5+5)*2</f>
        <v>130</v>
      </c>
      <c r="F130" s="252" t="s">
        <v>58</v>
      </c>
      <c r="G130" s="247">
        <v>4.5</v>
      </c>
      <c r="H130" s="254">
        <f>G130*E130</f>
        <v>585</v>
      </c>
      <c r="I130" s="248"/>
    </row>
    <row r="131" spans="1:9" s="249" customFormat="1" ht="13.8">
      <c r="A131" s="250"/>
      <c r="B131" s="242"/>
      <c r="C131" s="638"/>
      <c r="D131" s="243"/>
      <c r="E131" s="253"/>
      <c r="F131" s="252"/>
      <c r="G131" s="254"/>
      <c r="H131" s="254"/>
      <c r="I131" s="248"/>
    </row>
    <row r="132" spans="1:9" s="249" customFormat="1" ht="27.6">
      <c r="A132" s="250">
        <v>4</v>
      </c>
      <c r="B132" s="242"/>
      <c r="C132" s="638" t="s">
        <v>1016</v>
      </c>
      <c r="D132" s="243"/>
      <c r="E132" s="253">
        <f>5+5+5</f>
        <v>15</v>
      </c>
      <c r="F132" s="252" t="s">
        <v>58</v>
      </c>
      <c r="G132" s="247">
        <v>3.5</v>
      </c>
      <c r="H132" s="254">
        <f>G132*E132</f>
        <v>52.5</v>
      </c>
      <c r="I132" s="248"/>
    </row>
    <row r="133" spans="1:9" s="249" customFormat="1" ht="13.8">
      <c r="A133" s="250"/>
      <c r="B133" s="242"/>
      <c r="C133" s="638"/>
      <c r="D133" s="243"/>
      <c r="E133" s="253"/>
      <c r="F133" s="252"/>
      <c r="G133" s="254"/>
      <c r="H133" s="254"/>
      <c r="I133" s="248"/>
    </row>
    <row r="134" spans="1:9" s="249" customFormat="1" ht="27.6">
      <c r="A134" s="250">
        <v>5</v>
      </c>
      <c r="B134" s="242"/>
      <c r="C134" s="638" t="s">
        <v>1017</v>
      </c>
      <c r="D134" s="243"/>
      <c r="E134" s="253">
        <f>5+5+5+5</f>
        <v>20</v>
      </c>
      <c r="F134" s="252" t="s">
        <v>58</v>
      </c>
      <c r="G134" s="247">
        <v>3.27</v>
      </c>
      <c r="H134" s="254">
        <f>G134*E134</f>
        <v>65.400000000000006</v>
      </c>
      <c r="I134" s="248"/>
    </row>
    <row r="135" spans="1:9" s="249" customFormat="1" ht="13.8">
      <c r="A135" s="250"/>
      <c r="B135" s="242"/>
      <c r="C135" s="638"/>
      <c r="D135" s="243"/>
      <c r="E135" s="253"/>
      <c r="F135" s="252"/>
      <c r="G135" s="254"/>
      <c r="H135" s="254"/>
      <c r="I135" s="248"/>
    </row>
    <row r="136" spans="1:9" s="249" customFormat="1" ht="27.6">
      <c r="A136" s="250">
        <v>6</v>
      </c>
      <c r="B136" s="242"/>
      <c r="C136" s="638" t="s">
        <v>1018</v>
      </c>
      <c r="D136" s="243"/>
      <c r="E136" s="253">
        <f>18+5+5+5+5+5+5+5+5+5</f>
        <v>63</v>
      </c>
      <c r="F136" s="252" t="s">
        <v>58</v>
      </c>
      <c r="G136" s="247">
        <v>2.56</v>
      </c>
      <c r="H136" s="254">
        <f>G136*E136</f>
        <v>161.28</v>
      </c>
      <c r="I136" s="248"/>
    </row>
    <row r="137" spans="1:9" s="249" customFormat="1" ht="13.8">
      <c r="A137" s="250"/>
      <c r="B137" s="242"/>
      <c r="C137" s="638"/>
      <c r="D137" s="243"/>
      <c r="E137" s="253"/>
      <c r="F137" s="252"/>
      <c r="G137" s="254"/>
      <c r="H137" s="254"/>
      <c r="I137" s="248"/>
    </row>
    <row r="138" spans="1:9" s="249" customFormat="1" ht="27.6">
      <c r="A138" s="250">
        <v>7</v>
      </c>
      <c r="B138" s="242"/>
      <c r="C138" s="638" t="s">
        <v>1019</v>
      </c>
      <c r="D138" s="243"/>
      <c r="E138" s="253">
        <f>8+5</f>
        <v>13</v>
      </c>
      <c r="F138" s="252" t="s">
        <v>58</v>
      </c>
      <c r="G138" s="247">
        <v>6.65</v>
      </c>
      <c r="H138" s="254">
        <f>G138*E138</f>
        <v>86.45</v>
      </c>
      <c r="I138" s="248"/>
    </row>
    <row r="139" spans="1:9" s="249" customFormat="1" ht="13.8">
      <c r="A139" s="250"/>
      <c r="B139" s="242"/>
      <c r="C139" s="638"/>
      <c r="D139" s="243"/>
      <c r="E139" s="253"/>
      <c r="F139" s="252"/>
      <c r="G139" s="254"/>
      <c r="H139" s="254"/>
      <c r="I139" s="248"/>
    </row>
    <row r="140" spans="1:9" s="249" customFormat="1" ht="27.6">
      <c r="A140" s="250">
        <v>8</v>
      </c>
      <c r="B140" s="242"/>
      <c r="C140" s="638" t="s">
        <v>1020</v>
      </c>
      <c r="D140" s="243"/>
      <c r="E140" s="253">
        <f>15+5</f>
        <v>20</v>
      </c>
      <c r="F140" s="252" t="s">
        <v>58</v>
      </c>
      <c r="G140" s="247">
        <v>6.65</v>
      </c>
      <c r="H140" s="254">
        <f>G140*E140</f>
        <v>133</v>
      </c>
      <c r="I140" s="248"/>
    </row>
    <row r="141" spans="1:9" s="249" customFormat="1" ht="13.8">
      <c r="A141" s="250"/>
      <c r="B141" s="242"/>
      <c r="C141" s="638"/>
      <c r="D141" s="243"/>
      <c r="E141" s="253"/>
      <c r="F141" s="252"/>
      <c r="G141" s="254"/>
      <c r="H141" s="254"/>
      <c r="I141" s="248"/>
    </row>
    <row r="142" spans="1:9" s="249" customFormat="1" ht="27.6">
      <c r="A142" s="250">
        <v>9</v>
      </c>
      <c r="B142" s="242"/>
      <c r="C142" s="638" t="s">
        <v>1021</v>
      </c>
      <c r="D142" s="243"/>
      <c r="E142" s="253">
        <f>9+5</f>
        <v>14</v>
      </c>
      <c r="F142" s="252" t="s">
        <v>58</v>
      </c>
      <c r="G142" s="247">
        <v>6.65</v>
      </c>
      <c r="H142" s="254">
        <f>G142*E142</f>
        <v>93.100000000000009</v>
      </c>
      <c r="I142" s="248"/>
    </row>
    <row r="143" spans="1:9" s="249" customFormat="1" ht="13.8">
      <c r="A143" s="250"/>
      <c r="B143" s="242"/>
      <c r="C143" s="638"/>
      <c r="D143" s="243"/>
      <c r="E143" s="253"/>
      <c r="F143" s="252"/>
      <c r="G143" s="254"/>
      <c r="H143" s="254"/>
      <c r="I143" s="248"/>
    </row>
    <row r="144" spans="1:9" s="249" customFormat="1" ht="27.6">
      <c r="A144" s="250">
        <v>10</v>
      </c>
      <c r="B144" s="242"/>
      <c r="C144" s="638" t="s">
        <v>1022</v>
      </c>
      <c r="D144" s="243"/>
      <c r="E144" s="253">
        <f>13+5</f>
        <v>18</v>
      </c>
      <c r="F144" s="252" t="s">
        <v>58</v>
      </c>
      <c r="G144" s="247">
        <v>6.65</v>
      </c>
      <c r="H144" s="254">
        <f>G144*E144</f>
        <v>119.7</v>
      </c>
      <c r="I144" s="248"/>
    </row>
    <row r="145" spans="1:9" s="249" customFormat="1" ht="13.8">
      <c r="A145" s="250"/>
      <c r="B145" s="242"/>
      <c r="C145" s="638"/>
      <c r="D145" s="243"/>
      <c r="E145" s="253"/>
      <c r="F145" s="252"/>
      <c r="G145" s="254"/>
      <c r="H145" s="254"/>
      <c r="I145" s="248"/>
    </row>
    <row r="146" spans="1:9" s="249" customFormat="1" ht="27.6">
      <c r="A146" s="250">
        <v>11</v>
      </c>
      <c r="B146" s="242"/>
      <c r="C146" s="638" t="s">
        <v>1023</v>
      </c>
      <c r="D146" s="243"/>
      <c r="E146" s="253">
        <f>16+5</f>
        <v>21</v>
      </c>
      <c r="F146" s="252" t="s">
        <v>58</v>
      </c>
      <c r="G146" s="247">
        <v>6.65</v>
      </c>
      <c r="H146" s="254">
        <f>G146*E146</f>
        <v>139.65</v>
      </c>
      <c r="I146" s="248"/>
    </row>
    <row r="147" spans="1:9" s="249" customFormat="1" ht="13.8">
      <c r="A147" s="250"/>
      <c r="B147" s="242"/>
      <c r="C147" s="638"/>
      <c r="D147" s="243"/>
      <c r="E147" s="253"/>
      <c r="F147" s="252"/>
      <c r="G147" s="254"/>
      <c r="H147" s="254"/>
      <c r="I147" s="248"/>
    </row>
    <row r="148" spans="1:9" s="249" customFormat="1" ht="27.6">
      <c r="A148" s="250">
        <v>12</v>
      </c>
      <c r="B148" s="242"/>
      <c r="C148" s="638" t="s">
        <v>1024</v>
      </c>
      <c r="D148" s="243"/>
      <c r="E148" s="253">
        <f>19+5</f>
        <v>24</v>
      </c>
      <c r="F148" s="252" t="s">
        <v>58</v>
      </c>
      <c r="G148" s="247">
        <v>6.65</v>
      </c>
      <c r="H148" s="254">
        <f>G148*E148</f>
        <v>159.60000000000002</v>
      </c>
      <c r="I148" s="248"/>
    </row>
    <row r="149" spans="1:9" s="249" customFormat="1" ht="13.8">
      <c r="A149" s="650"/>
      <c r="B149" s="266"/>
      <c r="C149" s="651"/>
      <c r="D149" s="652"/>
      <c r="E149" s="653"/>
      <c r="F149" s="654"/>
      <c r="G149" s="655"/>
      <c r="H149" s="655"/>
      <c r="I149" s="248"/>
    </row>
    <row r="150" spans="1:9" s="249" customFormat="1" ht="27.6">
      <c r="A150" s="633">
        <v>13</v>
      </c>
      <c r="B150" s="233"/>
      <c r="C150" s="234" t="s">
        <v>1025</v>
      </c>
      <c r="D150" s="235"/>
      <c r="E150" s="634">
        <f>22+5</f>
        <v>27</v>
      </c>
      <c r="F150" s="635" t="s">
        <v>58</v>
      </c>
      <c r="G150" s="239">
        <v>6.65</v>
      </c>
      <c r="H150" s="636">
        <f>G150*E150</f>
        <v>179.55</v>
      </c>
      <c r="I150" s="248"/>
    </row>
    <row r="151" spans="1:9" s="249" customFormat="1" ht="13.8">
      <c r="A151" s="250"/>
      <c r="B151" s="242"/>
      <c r="C151" s="638"/>
      <c r="D151" s="243"/>
      <c r="E151" s="253"/>
      <c r="F151" s="252"/>
      <c r="G151" s="254"/>
      <c r="H151" s="254"/>
      <c r="I151" s="248"/>
    </row>
    <row r="152" spans="1:9" s="249" customFormat="1" ht="27.6">
      <c r="A152" s="250">
        <v>14</v>
      </c>
      <c r="B152" s="242"/>
      <c r="C152" s="638" t="s">
        <v>1026</v>
      </c>
      <c r="D152" s="243"/>
      <c r="E152" s="253">
        <f>28+5</f>
        <v>33</v>
      </c>
      <c r="F152" s="252" t="s">
        <v>58</v>
      </c>
      <c r="G152" s="247">
        <v>6.65</v>
      </c>
      <c r="H152" s="254">
        <f>G152*E152</f>
        <v>219.45000000000002</v>
      </c>
      <c r="I152" s="248"/>
    </row>
    <row r="153" spans="1:9" s="249" customFormat="1" ht="13.8">
      <c r="A153" s="250"/>
      <c r="B153" s="242"/>
      <c r="C153" s="638"/>
      <c r="D153" s="243"/>
      <c r="E153" s="253"/>
      <c r="F153" s="252"/>
      <c r="G153" s="254"/>
      <c r="H153" s="254"/>
      <c r="I153" s="248"/>
    </row>
    <row r="154" spans="1:9" s="249" customFormat="1" ht="27.6">
      <c r="A154" s="250">
        <v>15</v>
      </c>
      <c r="B154" s="242"/>
      <c r="C154" s="638" t="s">
        <v>1027</v>
      </c>
      <c r="D154" s="243"/>
      <c r="E154" s="253">
        <f>35+5</f>
        <v>40</v>
      </c>
      <c r="F154" s="252" t="s">
        <v>58</v>
      </c>
      <c r="G154" s="247">
        <v>6.65</v>
      </c>
      <c r="H154" s="254">
        <f>G154*E154</f>
        <v>266</v>
      </c>
      <c r="I154" s="248"/>
    </row>
    <row r="155" spans="1:9" s="249" customFormat="1" ht="13.8">
      <c r="A155" s="250"/>
      <c r="B155" s="242"/>
      <c r="C155" s="638"/>
      <c r="D155" s="243"/>
      <c r="E155" s="253"/>
      <c r="F155" s="252"/>
      <c r="G155" s="254"/>
      <c r="H155" s="254"/>
      <c r="I155" s="248"/>
    </row>
    <row r="156" spans="1:9" s="249" customFormat="1" ht="27.6">
      <c r="A156" s="250">
        <v>16</v>
      </c>
      <c r="B156" s="242"/>
      <c r="C156" s="638" t="s">
        <v>1028</v>
      </c>
      <c r="D156" s="243"/>
      <c r="E156" s="253">
        <f>25+5</f>
        <v>30</v>
      </c>
      <c r="F156" s="252" t="s">
        <v>58</v>
      </c>
      <c r="G156" s="247">
        <v>6.65</v>
      </c>
      <c r="H156" s="254">
        <f>G156*E156</f>
        <v>199.5</v>
      </c>
      <c r="I156" s="248"/>
    </row>
    <row r="157" spans="1:9" s="249" customFormat="1" ht="13.8">
      <c r="A157" s="250"/>
      <c r="B157" s="242"/>
      <c r="C157" s="638"/>
      <c r="D157" s="243"/>
      <c r="E157" s="253"/>
      <c r="F157" s="252"/>
      <c r="G157" s="254"/>
      <c r="H157" s="254"/>
      <c r="I157" s="248"/>
    </row>
    <row r="158" spans="1:9" s="249" customFormat="1" ht="27.6">
      <c r="A158" s="250">
        <v>17</v>
      </c>
      <c r="B158" s="242"/>
      <c r="C158" s="638" t="s">
        <v>1029</v>
      </c>
      <c r="D158" s="243"/>
      <c r="E158" s="253">
        <f>30+5</f>
        <v>35</v>
      </c>
      <c r="F158" s="252" t="s">
        <v>58</v>
      </c>
      <c r="G158" s="247">
        <v>6.65</v>
      </c>
      <c r="H158" s="254">
        <f>G158*E158</f>
        <v>232.75</v>
      </c>
      <c r="I158" s="248"/>
    </row>
    <row r="159" spans="1:9" s="249" customFormat="1" ht="13.8">
      <c r="A159" s="250"/>
      <c r="B159" s="242"/>
      <c r="C159" s="638"/>
      <c r="D159" s="243"/>
      <c r="E159" s="253"/>
      <c r="F159" s="252"/>
      <c r="G159" s="254"/>
      <c r="H159" s="254"/>
      <c r="I159" s="248"/>
    </row>
    <row r="160" spans="1:9" s="249" customFormat="1" ht="27.6">
      <c r="A160" s="250">
        <v>18</v>
      </c>
      <c r="B160" s="242"/>
      <c r="C160" s="638" t="s">
        <v>1030</v>
      </c>
      <c r="D160" s="243"/>
      <c r="E160" s="253">
        <f>27+5</f>
        <v>32</v>
      </c>
      <c r="F160" s="252" t="s">
        <v>58</v>
      </c>
      <c r="G160" s="247">
        <v>6.65</v>
      </c>
      <c r="H160" s="254">
        <f>G160*E160</f>
        <v>212.8</v>
      </c>
      <c r="I160" s="248"/>
    </row>
    <row r="161" spans="1:9" s="249" customFormat="1" ht="13.8">
      <c r="A161" s="250"/>
      <c r="B161" s="242"/>
      <c r="C161" s="638"/>
      <c r="D161" s="243"/>
      <c r="E161" s="253"/>
      <c r="F161" s="252"/>
      <c r="G161" s="254"/>
      <c r="H161" s="254"/>
      <c r="I161" s="248"/>
    </row>
    <row r="162" spans="1:9" s="249" customFormat="1" ht="27.6">
      <c r="A162" s="250">
        <v>19</v>
      </c>
      <c r="B162" s="242"/>
      <c r="C162" s="638" t="s">
        <v>1031</v>
      </c>
      <c r="D162" s="243"/>
      <c r="E162" s="253">
        <f>27+5</f>
        <v>32</v>
      </c>
      <c r="F162" s="252" t="s">
        <v>58</v>
      </c>
      <c r="G162" s="247">
        <v>6.65</v>
      </c>
      <c r="H162" s="254">
        <f>G162*E162</f>
        <v>212.8</v>
      </c>
      <c r="I162" s="248"/>
    </row>
    <row r="163" spans="1:9" s="249" customFormat="1" ht="13.8">
      <c r="A163" s="250"/>
      <c r="B163" s="242"/>
      <c r="C163" s="638"/>
      <c r="D163" s="243"/>
      <c r="E163" s="253"/>
      <c r="F163" s="252"/>
      <c r="G163" s="254"/>
      <c r="H163" s="254"/>
      <c r="I163" s="248"/>
    </row>
    <row r="164" spans="1:9" s="249" customFormat="1" ht="27.6">
      <c r="A164" s="250">
        <v>20</v>
      </c>
      <c r="B164" s="242"/>
      <c r="C164" s="638" t="s">
        <v>1032</v>
      </c>
      <c r="D164" s="243"/>
      <c r="E164" s="253">
        <f>23+5</f>
        <v>28</v>
      </c>
      <c r="F164" s="252" t="s">
        <v>58</v>
      </c>
      <c r="G164" s="247">
        <v>6.65</v>
      </c>
      <c r="H164" s="254">
        <f>G164*E164</f>
        <v>186.20000000000002</v>
      </c>
      <c r="I164" s="248"/>
    </row>
    <row r="165" spans="1:9" s="249" customFormat="1" ht="13.8">
      <c r="A165" s="250"/>
      <c r="B165" s="242"/>
      <c r="C165" s="638"/>
      <c r="D165" s="243"/>
      <c r="E165" s="253"/>
      <c r="F165" s="252"/>
      <c r="G165" s="254"/>
      <c r="H165" s="254"/>
      <c r="I165" s="248"/>
    </row>
    <row r="166" spans="1:9" s="249" customFormat="1" ht="27.6">
      <c r="A166" s="250">
        <v>21</v>
      </c>
      <c r="B166" s="242"/>
      <c r="C166" s="638" t="s">
        <v>1033</v>
      </c>
      <c r="D166" s="243"/>
      <c r="E166" s="253">
        <f>18+5</f>
        <v>23</v>
      </c>
      <c r="F166" s="252" t="s">
        <v>58</v>
      </c>
      <c r="G166" s="247">
        <v>6.65</v>
      </c>
      <c r="H166" s="254">
        <f>G166*E166</f>
        <v>152.95000000000002</v>
      </c>
      <c r="I166" s="248"/>
    </row>
    <row r="167" spans="1:9" s="249" customFormat="1" ht="13.8">
      <c r="A167" s="250"/>
      <c r="B167" s="242"/>
      <c r="C167" s="638"/>
      <c r="D167" s="243"/>
      <c r="E167" s="253"/>
      <c r="F167" s="252"/>
      <c r="G167" s="254"/>
      <c r="H167" s="254"/>
      <c r="I167" s="248"/>
    </row>
    <row r="168" spans="1:9" s="249" customFormat="1" ht="27.6">
      <c r="A168" s="250">
        <v>22</v>
      </c>
      <c r="B168" s="242"/>
      <c r="C168" s="638" t="s">
        <v>1034</v>
      </c>
      <c r="D168" s="243"/>
      <c r="E168" s="253">
        <f>15+5</f>
        <v>20</v>
      </c>
      <c r="F168" s="252" t="s">
        <v>58</v>
      </c>
      <c r="G168" s="247">
        <v>6.65</v>
      </c>
      <c r="H168" s="254">
        <f>G168*E168</f>
        <v>133</v>
      </c>
      <c r="I168" s="248"/>
    </row>
    <row r="169" spans="1:9" s="249" customFormat="1" ht="13.8">
      <c r="A169" s="250"/>
      <c r="B169" s="242"/>
      <c r="C169" s="638"/>
      <c r="D169" s="243"/>
      <c r="E169" s="253"/>
      <c r="F169" s="252"/>
      <c r="G169" s="254"/>
      <c r="H169" s="254"/>
      <c r="I169" s="248"/>
    </row>
    <row r="170" spans="1:9" s="249" customFormat="1" ht="27.6">
      <c r="A170" s="250">
        <v>23</v>
      </c>
      <c r="B170" s="242"/>
      <c r="C170" s="638" t="s">
        <v>1035</v>
      </c>
      <c r="D170" s="243"/>
      <c r="E170" s="253">
        <f>11+5</f>
        <v>16</v>
      </c>
      <c r="F170" s="252" t="s">
        <v>58</v>
      </c>
      <c r="G170" s="247">
        <v>6.65</v>
      </c>
      <c r="H170" s="254">
        <f>G170*E170</f>
        <v>106.4</v>
      </c>
      <c r="I170" s="248"/>
    </row>
    <row r="171" spans="1:9" s="249" customFormat="1" ht="13.8">
      <c r="A171" s="250"/>
      <c r="B171" s="242"/>
      <c r="C171" s="638"/>
      <c r="D171" s="243"/>
      <c r="E171" s="253"/>
      <c r="F171" s="252"/>
      <c r="G171" s="254"/>
      <c r="H171" s="254"/>
      <c r="I171" s="248"/>
    </row>
    <row r="172" spans="1:9" s="249" customFormat="1" ht="27.6">
      <c r="A172" s="250">
        <v>24</v>
      </c>
      <c r="B172" s="242"/>
      <c r="C172" s="638" t="s">
        <v>1036</v>
      </c>
      <c r="D172" s="243"/>
      <c r="E172" s="253">
        <f>11+5+5</f>
        <v>21</v>
      </c>
      <c r="F172" s="252" t="s">
        <v>58</v>
      </c>
      <c r="G172" s="247">
        <v>6.65</v>
      </c>
      <c r="H172" s="254">
        <f>G172*E172</f>
        <v>139.65</v>
      </c>
      <c r="I172" s="248"/>
    </row>
    <row r="173" spans="1:9" s="249" customFormat="1" ht="13.8">
      <c r="A173" s="250"/>
      <c r="B173" s="242"/>
      <c r="C173" s="638"/>
      <c r="D173" s="243"/>
      <c r="E173" s="253"/>
      <c r="F173" s="252"/>
      <c r="G173" s="254"/>
      <c r="H173" s="254"/>
      <c r="I173" s="248"/>
    </row>
    <row r="174" spans="1:9" s="249" customFormat="1" ht="27.6">
      <c r="A174" s="250">
        <v>25</v>
      </c>
      <c r="B174" s="242"/>
      <c r="C174" s="638" t="s">
        <v>1037</v>
      </c>
      <c r="D174" s="243"/>
      <c r="E174" s="253">
        <f>11+5+5</f>
        <v>21</v>
      </c>
      <c r="F174" s="252" t="s">
        <v>58</v>
      </c>
      <c r="G174" s="247">
        <v>6.65</v>
      </c>
      <c r="H174" s="254">
        <f>G174*E174</f>
        <v>139.65</v>
      </c>
      <c r="I174" s="248"/>
    </row>
    <row r="175" spans="1:9" s="249" customFormat="1" ht="13.8">
      <c r="A175" s="250"/>
      <c r="B175" s="242"/>
      <c r="C175" s="638"/>
      <c r="D175" s="243"/>
      <c r="E175" s="253"/>
      <c r="F175" s="252"/>
      <c r="G175" s="254"/>
      <c r="H175" s="254"/>
      <c r="I175" s="248"/>
    </row>
    <row r="176" spans="1:9" s="249" customFormat="1" ht="27.6">
      <c r="A176" s="250">
        <v>26</v>
      </c>
      <c r="B176" s="242"/>
      <c r="C176" s="638" t="s">
        <v>1038</v>
      </c>
      <c r="D176" s="243"/>
      <c r="E176" s="253">
        <f>23+5+2+5</f>
        <v>35</v>
      </c>
      <c r="F176" s="252" t="s">
        <v>58</v>
      </c>
      <c r="G176" s="247">
        <v>6.65</v>
      </c>
      <c r="H176" s="254">
        <f>G176*E176</f>
        <v>232.75</v>
      </c>
      <c r="I176" s="248"/>
    </row>
    <row r="177" spans="1:9" s="249" customFormat="1" ht="13.8">
      <c r="A177" s="250"/>
      <c r="B177" s="242"/>
      <c r="C177" s="638"/>
      <c r="D177" s="243"/>
      <c r="E177" s="253"/>
      <c r="F177" s="252"/>
      <c r="G177" s="254"/>
      <c r="H177" s="254"/>
      <c r="I177" s="248"/>
    </row>
    <row r="178" spans="1:9" s="249" customFormat="1" ht="27.6">
      <c r="A178" s="250">
        <v>27</v>
      </c>
      <c r="B178" s="242"/>
      <c r="C178" s="638" t="s">
        <v>1039</v>
      </c>
      <c r="D178" s="243"/>
      <c r="E178" s="253">
        <f>28+5+5</f>
        <v>38</v>
      </c>
      <c r="F178" s="252" t="s">
        <v>58</v>
      </c>
      <c r="G178" s="247">
        <v>6.65</v>
      </c>
      <c r="H178" s="254">
        <f>G178*E178</f>
        <v>252.70000000000002</v>
      </c>
      <c r="I178" s="248"/>
    </row>
    <row r="179" spans="1:9" s="249" customFormat="1" ht="13.8">
      <c r="A179" s="250"/>
      <c r="B179" s="242"/>
      <c r="C179" s="638"/>
      <c r="D179" s="243"/>
      <c r="E179" s="253"/>
      <c r="F179" s="252"/>
      <c r="G179" s="254"/>
      <c r="H179" s="254"/>
      <c r="I179" s="248"/>
    </row>
    <row r="180" spans="1:9" s="249" customFormat="1" ht="27.6">
      <c r="A180" s="250">
        <v>28</v>
      </c>
      <c r="B180" s="242"/>
      <c r="C180" s="638" t="s">
        <v>1040</v>
      </c>
      <c r="D180" s="243"/>
      <c r="E180" s="253">
        <f>28+5+5</f>
        <v>38</v>
      </c>
      <c r="F180" s="252" t="s">
        <v>58</v>
      </c>
      <c r="G180" s="247">
        <v>6.65</v>
      </c>
      <c r="H180" s="254">
        <f>G180*E180</f>
        <v>252.70000000000002</v>
      </c>
      <c r="I180" s="248"/>
    </row>
    <row r="181" spans="1:9" s="249" customFormat="1" ht="13.8">
      <c r="A181" s="250"/>
      <c r="B181" s="242"/>
      <c r="C181" s="638"/>
      <c r="D181" s="243"/>
      <c r="E181" s="253"/>
      <c r="F181" s="252"/>
      <c r="G181" s="254"/>
      <c r="H181" s="254"/>
      <c r="I181" s="248"/>
    </row>
    <row r="182" spans="1:9" s="249" customFormat="1" ht="27.6">
      <c r="A182" s="250">
        <v>29</v>
      </c>
      <c r="B182" s="242"/>
      <c r="C182" s="638" t="s">
        <v>1041</v>
      </c>
      <c r="D182" s="243"/>
      <c r="E182" s="253">
        <f>28+5+5</f>
        <v>38</v>
      </c>
      <c r="F182" s="252" t="s">
        <v>58</v>
      </c>
      <c r="G182" s="247">
        <v>6.65</v>
      </c>
      <c r="H182" s="254">
        <f>G182*E182</f>
        <v>252.70000000000002</v>
      </c>
      <c r="I182" s="248"/>
    </row>
    <row r="183" spans="1:9" s="249" customFormat="1" ht="13.8">
      <c r="A183" s="250"/>
      <c r="B183" s="242"/>
      <c r="C183" s="638"/>
      <c r="D183" s="243"/>
      <c r="E183" s="253"/>
      <c r="F183" s="252"/>
      <c r="G183" s="254"/>
      <c r="H183" s="254"/>
      <c r="I183" s="248"/>
    </row>
    <row r="184" spans="1:9" s="249" customFormat="1" ht="27.6">
      <c r="A184" s="250">
        <v>30</v>
      </c>
      <c r="B184" s="242"/>
      <c r="C184" s="638" t="s">
        <v>1042</v>
      </c>
      <c r="D184" s="243"/>
      <c r="E184" s="253">
        <f>31+5+5</f>
        <v>41</v>
      </c>
      <c r="F184" s="252" t="s">
        <v>58</v>
      </c>
      <c r="G184" s="247">
        <v>8.6999999999999993</v>
      </c>
      <c r="H184" s="254">
        <f>G184*E184</f>
        <v>356.7</v>
      </c>
      <c r="I184" s="248"/>
    </row>
    <row r="185" spans="1:9" s="249" customFormat="1" ht="13.8">
      <c r="A185" s="250"/>
      <c r="B185" s="242"/>
      <c r="C185" s="638"/>
      <c r="D185" s="243"/>
      <c r="E185" s="253"/>
      <c r="F185" s="252"/>
      <c r="G185" s="254"/>
      <c r="H185" s="254"/>
      <c r="I185" s="248"/>
    </row>
    <row r="186" spans="1:9" s="249" customFormat="1" ht="27.6">
      <c r="A186" s="250">
        <v>31</v>
      </c>
      <c r="B186" s="242"/>
      <c r="C186" s="638" t="s">
        <v>1043</v>
      </c>
      <c r="D186" s="243"/>
      <c r="E186" s="253">
        <f>22+5+4+5</f>
        <v>36</v>
      </c>
      <c r="F186" s="252" t="s">
        <v>58</v>
      </c>
      <c r="G186" s="247">
        <v>8.6999999999999993</v>
      </c>
      <c r="H186" s="254">
        <f>G186*E186</f>
        <v>313.2</v>
      </c>
      <c r="I186" s="248"/>
    </row>
    <row r="187" spans="1:9" s="249" customFormat="1" ht="13.8">
      <c r="A187" s="250"/>
      <c r="B187" s="242"/>
      <c r="C187" s="638"/>
      <c r="D187" s="243"/>
      <c r="E187" s="253"/>
      <c r="F187" s="252"/>
      <c r="G187" s="254"/>
      <c r="H187" s="254"/>
      <c r="I187" s="248"/>
    </row>
    <row r="188" spans="1:9" s="249" customFormat="1" ht="27.6">
      <c r="A188" s="250">
        <v>32</v>
      </c>
      <c r="B188" s="242"/>
      <c r="C188" s="638" t="s">
        <v>1044</v>
      </c>
      <c r="D188" s="243"/>
      <c r="E188" s="253">
        <f>18+5+5</f>
        <v>28</v>
      </c>
      <c r="F188" s="252" t="s">
        <v>58</v>
      </c>
      <c r="G188" s="247">
        <v>8.6999999999999993</v>
      </c>
      <c r="H188" s="254">
        <f>G188*E188</f>
        <v>243.59999999999997</v>
      </c>
      <c r="I188" s="248"/>
    </row>
    <row r="189" spans="1:9" s="249" customFormat="1" ht="13.8">
      <c r="A189" s="250"/>
      <c r="B189" s="242"/>
      <c r="C189" s="638"/>
      <c r="D189" s="243"/>
      <c r="E189" s="253"/>
      <c r="F189" s="252"/>
      <c r="G189" s="254"/>
      <c r="H189" s="254"/>
      <c r="I189" s="248"/>
    </row>
    <row r="190" spans="1:9" s="249" customFormat="1" ht="27.6">
      <c r="A190" s="250">
        <v>33</v>
      </c>
      <c r="B190" s="242"/>
      <c r="C190" s="638" t="s">
        <v>1045</v>
      </c>
      <c r="D190" s="243"/>
      <c r="E190" s="253">
        <f>11+5+5+5</f>
        <v>26</v>
      </c>
      <c r="F190" s="252" t="s">
        <v>58</v>
      </c>
      <c r="G190" s="247">
        <v>6.65</v>
      </c>
      <c r="H190" s="254">
        <f>G190*E190</f>
        <v>172.9</v>
      </c>
      <c r="I190" s="248"/>
    </row>
    <row r="191" spans="1:9" s="249" customFormat="1" ht="13.8">
      <c r="A191" s="250"/>
      <c r="B191" s="242"/>
      <c r="C191" s="638"/>
      <c r="D191" s="243"/>
      <c r="E191" s="253"/>
      <c r="F191" s="252"/>
      <c r="G191" s="254"/>
      <c r="H191" s="254"/>
      <c r="I191" s="248"/>
    </row>
    <row r="192" spans="1:9" s="249" customFormat="1" ht="27.6">
      <c r="A192" s="250">
        <v>34</v>
      </c>
      <c r="B192" s="242"/>
      <c r="C192" s="638" t="s">
        <v>1046</v>
      </c>
      <c r="D192" s="243"/>
      <c r="E192" s="253">
        <f>11+5+5+5</f>
        <v>26</v>
      </c>
      <c r="F192" s="252" t="s">
        <v>58</v>
      </c>
      <c r="G192" s="247">
        <v>6.65</v>
      </c>
      <c r="H192" s="254">
        <f>G192*E192</f>
        <v>172.9</v>
      </c>
      <c r="I192" s="248"/>
    </row>
    <row r="193" spans="1:9" s="264" customFormat="1" ht="13.8">
      <c r="A193" s="259"/>
      <c r="B193" s="233"/>
      <c r="C193" s="816" t="s">
        <v>35</v>
      </c>
      <c r="D193" s="427"/>
      <c r="E193" s="261"/>
      <c r="F193" s="428"/>
      <c r="G193" s="818"/>
      <c r="H193" s="263"/>
    </row>
    <row r="194" spans="1:9" s="264" customFormat="1" ht="13.8">
      <c r="A194" s="265"/>
      <c r="B194" s="266"/>
      <c r="C194" s="817" t="s">
        <v>35</v>
      </c>
      <c r="D194" s="429"/>
      <c r="E194" s="430"/>
      <c r="F194" s="431"/>
      <c r="G194" s="819" t="s">
        <v>36</v>
      </c>
      <c r="H194" s="432">
        <f>SUM(H113:H193)</f>
        <v>14235.430000000006</v>
      </c>
    </row>
    <row r="195" spans="1:9" s="249" customFormat="1" ht="13.8">
      <c r="A195" s="633"/>
      <c r="B195" s="233"/>
      <c r="C195" s="649" t="s">
        <v>1047</v>
      </c>
      <c r="D195" s="235"/>
      <c r="E195" s="634"/>
      <c r="F195" s="635"/>
      <c r="G195" s="636"/>
      <c r="H195" s="636"/>
      <c r="I195" s="248"/>
    </row>
    <row r="196" spans="1:9" s="249" customFormat="1" ht="13.8">
      <c r="A196" s="250"/>
      <c r="B196" s="242"/>
      <c r="C196" s="638"/>
      <c r="D196" s="243"/>
      <c r="E196" s="253"/>
      <c r="F196" s="252"/>
      <c r="G196" s="254"/>
      <c r="H196" s="254"/>
      <c r="I196" s="248"/>
    </row>
    <row r="197" spans="1:9" s="249" customFormat="1" ht="27.6">
      <c r="A197" s="250">
        <v>1</v>
      </c>
      <c r="B197" s="242"/>
      <c r="C197" s="638" t="s">
        <v>1048</v>
      </c>
      <c r="D197" s="243"/>
      <c r="E197" s="253">
        <f>23+5+2+5+5</f>
        <v>40</v>
      </c>
      <c r="F197" s="252" t="s">
        <v>58</v>
      </c>
      <c r="G197" s="247">
        <v>6.65</v>
      </c>
      <c r="H197" s="254">
        <f>G197*E197</f>
        <v>266</v>
      </c>
      <c r="I197" s="248"/>
    </row>
    <row r="198" spans="1:9" s="249" customFormat="1" ht="13.8">
      <c r="A198" s="250"/>
      <c r="B198" s="242"/>
      <c r="C198" s="638"/>
      <c r="D198" s="243"/>
      <c r="E198" s="253"/>
      <c r="F198" s="252"/>
      <c r="G198" s="254"/>
      <c r="H198" s="254"/>
      <c r="I198" s="248"/>
    </row>
    <row r="199" spans="1:9" s="249" customFormat="1" ht="27.6">
      <c r="A199" s="250">
        <v>2</v>
      </c>
      <c r="B199" s="242"/>
      <c r="C199" s="638" t="s">
        <v>1049</v>
      </c>
      <c r="D199" s="243"/>
      <c r="E199" s="253">
        <f>28+5+5+5</f>
        <v>43</v>
      </c>
      <c r="F199" s="252" t="s">
        <v>58</v>
      </c>
      <c r="G199" s="247">
        <v>6.65</v>
      </c>
      <c r="H199" s="254">
        <f>G199*E199</f>
        <v>285.95</v>
      </c>
      <c r="I199" s="248"/>
    </row>
    <row r="200" spans="1:9" s="249" customFormat="1" ht="13.8">
      <c r="A200" s="250"/>
      <c r="B200" s="242"/>
      <c r="C200" s="638"/>
      <c r="D200" s="243"/>
      <c r="E200" s="253"/>
      <c r="F200" s="252"/>
      <c r="G200" s="254"/>
      <c r="H200" s="254"/>
      <c r="I200" s="248"/>
    </row>
    <row r="201" spans="1:9" s="249" customFormat="1" ht="27.6">
      <c r="A201" s="250">
        <v>3</v>
      </c>
      <c r="B201" s="242"/>
      <c r="C201" s="638" t="s">
        <v>1050</v>
      </c>
      <c r="D201" s="243"/>
      <c r="E201" s="253">
        <f>28+5+5+5</f>
        <v>43</v>
      </c>
      <c r="F201" s="252" t="s">
        <v>58</v>
      </c>
      <c r="G201" s="247">
        <v>6.65</v>
      </c>
      <c r="H201" s="254">
        <f>G201*E201</f>
        <v>285.95</v>
      </c>
      <c r="I201" s="248"/>
    </row>
    <row r="202" spans="1:9" s="249" customFormat="1" ht="13.8">
      <c r="A202" s="250"/>
      <c r="B202" s="242"/>
      <c r="C202" s="638"/>
      <c r="D202" s="243"/>
      <c r="E202" s="253"/>
      <c r="F202" s="252"/>
      <c r="G202" s="254"/>
      <c r="H202" s="254"/>
      <c r="I202" s="248"/>
    </row>
    <row r="203" spans="1:9" s="249" customFormat="1" ht="27.6">
      <c r="A203" s="250">
        <v>4</v>
      </c>
      <c r="B203" s="242"/>
      <c r="C203" s="638" t="s">
        <v>1051</v>
      </c>
      <c r="D203" s="243"/>
      <c r="E203" s="253">
        <f>28+5+5+5</f>
        <v>43</v>
      </c>
      <c r="F203" s="252" t="s">
        <v>58</v>
      </c>
      <c r="G203" s="247">
        <v>6.65</v>
      </c>
      <c r="H203" s="254">
        <f>G203*E203</f>
        <v>285.95</v>
      </c>
      <c r="I203" s="248"/>
    </row>
    <row r="204" spans="1:9" s="249" customFormat="1" ht="13.8">
      <c r="A204" s="250"/>
      <c r="B204" s="242"/>
      <c r="C204" s="638"/>
      <c r="D204" s="243"/>
      <c r="E204" s="253"/>
      <c r="F204" s="252"/>
      <c r="G204" s="254"/>
      <c r="H204" s="254"/>
      <c r="I204" s="248"/>
    </row>
    <row r="205" spans="1:9" s="249" customFormat="1" ht="27.6">
      <c r="A205" s="250">
        <v>5</v>
      </c>
      <c r="B205" s="242"/>
      <c r="C205" s="638" t="s">
        <v>1052</v>
      </c>
      <c r="D205" s="243"/>
      <c r="E205" s="253">
        <f>31+5+5+5</f>
        <v>46</v>
      </c>
      <c r="F205" s="252" t="s">
        <v>58</v>
      </c>
      <c r="G205" s="247">
        <v>8.6999999999999993</v>
      </c>
      <c r="H205" s="254">
        <f>G205*E205</f>
        <v>400.2</v>
      </c>
      <c r="I205" s="248"/>
    </row>
    <row r="206" spans="1:9" s="249" customFormat="1" ht="13.8">
      <c r="A206" s="250"/>
      <c r="B206" s="242"/>
      <c r="C206" s="638"/>
      <c r="D206" s="243"/>
      <c r="E206" s="253"/>
      <c r="F206" s="252"/>
      <c r="G206" s="254"/>
      <c r="H206" s="254"/>
      <c r="I206" s="248"/>
    </row>
    <row r="207" spans="1:9" s="249" customFormat="1" ht="27.6">
      <c r="A207" s="250">
        <v>6</v>
      </c>
      <c r="B207" s="242"/>
      <c r="C207" s="638" t="s">
        <v>1053</v>
      </c>
      <c r="D207" s="243"/>
      <c r="E207" s="253">
        <f>22+5+4+5+5</f>
        <v>41</v>
      </c>
      <c r="F207" s="252" t="s">
        <v>58</v>
      </c>
      <c r="G207" s="247">
        <v>8.6999999999999993</v>
      </c>
      <c r="H207" s="254">
        <f>G207*E207</f>
        <v>356.7</v>
      </c>
      <c r="I207" s="248"/>
    </row>
    <row r="208" spans="1:9" s="249" customFormat="1" ht="13.8">
      <c r="A208" s="250"/>
      <c r="B208" s="242"/>
      <c r="C208" s="638"/>
      <c r="D208" s="243"/>
      <c r="E208" s="253"/>
      <c r="F208" s="252"/>
      <c r="G208" s="254"/>
      <c r="H208" s="254"/>
      <c r="I208" s="248"/>
    </row>
    <row r="209" spans="1:9" s="249" customFormat="1" ht="27.6">
      <c r="A209" s="250">
        <v>7</v>
      </c>
      <c r="B209" s="242"/>
      <c r="C209" s="638" t="s">
        <v>1054</v>
      </c>
      <c r="D209" s="243"/>
      <c r="E209" s="253">
        <f>18+5+5+5</f>
        <v>33</v>
      </c>
      <c r="F209" s="252" t="s">
        <v>58</v>
      </c>
      <c r="G209" s="247">
        <v>8.6999999999999993</v>
      </c>
      <c r="H209" s="254">
        <f>G209*E209</f>
        <v>287.09999999999997</v>
      </c>
      <c r="I209" s="248"/>
    </row>
    <row r="210" spans="1:9" s="249" customFormat="1" ht="13.8">
      <c r="A210" s="250"/>
      <c r="B210" s="242"/>
      <c r="C210" s="638"/>
      <c r="D210" s="243"/>
      <c r="E210" s="253"/>
      <c r="F210" s="252"/>
      <c r="G210" s="254"/>
      <c r="H210" s="254"/>
      <c r="I210" s="248"/>
    </row>
    <row r="211" spans="1:9" s="249" customFormat="1" ht="27.6">
      <c r="A211" s="250">
        <v>8</v>
      </c>
      <c r="B211" s="242"/>
      <c r="C211" s="638" t="s">
        <v>1055</v>
      </c>
      <c r="D211" s="243"/>
      <c r="E211" s="253">
        <f>11+5+5+5+5</f>
        <v>31</v>
      </c>
      <c r="F211" s="252" t="s">
        <v>58</v>
      </c>
      <c r="G211" s="247">
        <v>6.65</v>
      </c>
      <c r="H211" s="254">
        <f>G211*E211</f>
        <v>206.15</v>
      </c>
      <c r="I211" s="248"/>
    </row>
    <row r="212" spans="1:9" s="249" customFormat="1" ht="13.8">
      <c r="A212" s="250"/>
      <c r="B212" s="242"/>
      <c r="C212" s="638"/>
      <c r="D212" s="243"/>
      <c r="E212" s="253"/>
      <c r="F212" s="252"/>
      <c r="G212" s="254"/>
      <c r="H212" s="254"/>
      <c r="I212" s="248"/>
    </row>
    <row r="213" spans="1:9" s="249" customFormat="1" ht="27.6">
      <c r="A213" s="250">
        <v>9</v>
      </c>
      <c r="B213" s="242"/>
      <c r="C213" s="638" t="s">
        <v>1056</v>
      </c>
      <c r="D213" s="243"/>
      <c r="E213" s="253">
        <f>11+5+5+5+5</f>
        <v>31</v>
      </c>
      <c r="F213" s="252" t="s">
        <v>58</v>
      </c>
      <c r="G213" s="247">
        <v>6.65</v>
      </c>
      <c r="H213" s="254">
        <f>G213*E213</f>
        <v>206.15</v>
      </c>
      <c r="I213" s="248"/>
    </row>
    <row r="214" spans="1:9" s="249" customFormat="1" ht="13.8">
      <c r="A214" s="250"/>
      <c r="B214" s="242"/>
      <c r="C214" s="638"/>
      <c r="D214" s="243"/>
      <c r="E214" s="253"/>
      <c r="F214" s="252"/>
      <c r="G214" s="254"/>
      <c r="H214" s="254"/>
      <c r="I214" s="248"/>
    </row>
    <row r="215" spans="1:9" s="249" customFormat="1" ht="27.6">
      <c r="A215" s="250">
        <v>10</v>
      </c>
      <c r="B215" s="242"/>
      <c r="C215" s="638" t="s">
        <v>1057</v>
      </c>
      <c r="D215" s="243"/>
      <c r="E215" s="253">
        <f>23+5+2+5+5+5</f>
        <v>45</v>
      </c>
      <c r="F215" s="252" t="s">
        <v>58</v>
      </c>
      <c r="G215" s="247">
        <v>6.65</v>
      </c>
      <c r="H215" s="254">
        <f>G215*E215</f>
        <v>299.25</v>
      </c>
      <c r="I215" s="248"/>
    </row>
    <row r="216" spans="1:9" s="249" customFormat="1" ht="13.8">
      <c r="A216" s="250"/>
      <c r="B216" s="242"/>
      <c r="C216" s="638"/>
      <c r="D216" s="243"/>
      <c r="E216" s="253"/>
      <c r="F216" s="252"/>
      <c r="G216" s="254"/>
      <c r="H216" s="254"/>
      <c r="I216" s="248"/>
    </row>
    <row r="217" spans="1:9" s="249" customFormat="1" ht="27.6">
      <c r="A217" s="250">
        <v>11</v>
      </c>
      <c r="B217" s="242"/>
      <c r="C217" s="638" t="s">
        <v>1058</v>
      </c>
      <c r="D217" s="243"/>
      <c r="E217" s="253">
        <f>28+5+5+5+5</f>
        <v>48</v>
      </c>
      <c r="F217" s="252" t="s">
        <v>58</v>
      </c>
      <c r="G217" s="247">
        <v>6.65</v>
      </c>
      <c r="H217" s="254">
        <f>G217*E217</f>
        <v>319.20000000000005</v>
      </c>
      <c r="I217" s="248"/>
    </row>
    <row r="218" spans="1:9" s="249" customFormat="1" ht="13.8">
      <c r="A218" s="250"/>
      <c r="B218" s="242"/>
      <c r="C218" s="638"/>
      <c r="D218" s="243"/>
      <c r="E218" s="253"/>
      <c r="F218" s="252"/>
      <c r="G218" s="254"/>
      <c r="H218" s="254"/>
      <c r="I218" s="248"/>
    </row>
    <row r="219" spans="1:9" s="249" customFormat="1" ht="27.6">
      <c r="A219" s="250">
        <v>12</v>
      </c>
      <c r="B219" s="242"/>
      <c r="C219" s="638" t="s">
        <v>1059</v>
      </c>
      <c r="D219" s="243"/>
      <c r="E219" s="253">
        <f>28+5+5+5+5</f>
        <v>48</v>
      </c>
      <c r="F219" s="252" t="s">
        <v>58</v>
      </c>
      <c r="G219" s="247">
        <v>6.65</v>
      </c>
      <c r="H219" s="254">
        <f>G219*E219</f>
        <v>319.20000000000005</v>
      </c>
      <c r="I219" s="248"/>
    </row>
    <row r="220" spans="1:9" s="249" customFormat="1" ht="13.8">
      <c r="A220" s="250"/>
      <c r="B220" s="242"/>
      <c r="C220" s="638"/>
      <c r="D220" s="243"/>
      <c r="E220" s="253"/>
      <c r="F220" s="252"/>
      <c r="G220" s="254"/>
      <c r="H220" s="254"/>
      <c r="I220" s="248"/>
    </row>
    <row r="221" spans="1:9" s="249" customFormat="1" ht="27.6">
      <c r="A221" s="250">
        <v>13</v>
      </c>
      <c r="B221" s="242"/>
      <c r="C221" s="638" t="s">
        <v>1060</v>
      </c>
      <c r="D221" s="243"/>
      <c r="E221" s="253">
        <f>28+5+5+5+5</f>
        <v>48</v>
      </c>
      <c r="F221" s="252" t="s">
        <v>58</v>
      </c>
      <c r="G221" s="247">
        <v>6.65</v>
      </c>
      <c r="H221" s="254">
        <f>G221*E221</f>
        <v>319.20000000000005</v>
      </c>
      <c r="I221" s="248"/>
    </row>
    <row r="222" spans="1:9" s="249" customFormat="1" ht="13.8">
      <c r="A222" s="250"/>
      <c r="B222" s="242"/>
      <c r="C222" s="638"/>
      <c r="D222" s="243"/>
      <c r="E222" s="253"/>
      <c r="F222" s="252"/>
      <c r="G222" s="254"/>
      <c r="H222" s="254"/>
      <c r="I222" s="248"/>
    </row>
    <row r="223" spans="1:9" s="249" customFormat="1" ht="27.6">
      <c r="A223" s="250">
        <v>14</v>
      </c>
      <c r="B223" s="242"/>
      <c r="C223" s="638" t="s">
        <v>1061</v>
      </c>
      <c r="D223" s="243"/>
      <c r="E223" s="253">
        <f>31+5+5+5+5</f>
        <v>51</v>
      </c>
      <c r="F223" s="252" t="s">
        <v>58</v>
      </c>
      <c r="G223" s="247">
        <v>8.6999999999999993</v>
      </c>
      <c r="H223" s="254">
        <f>G223*E223</f>
        <v>443.7</v>
      </c>
      <c r="I223" s="248"/>
    </row>
    <row r="224" spans="1:9" s="249" customFormat="1" ht="13.8">
      <c r="A224" s="250"/>
      <c r="B224" s="242"/>
      <c r="C224" s="638"/>
      <c r="D224" s="243"/>
      <c r="E224" s="253"/>
      <c r="F224" s="252"/>
      <c r="G224" s="254"/>
      <c r="H224" s="254"/>
      <c r="I224" s="248"/>
    </row>
    <row r="225" spans="1:9" s="249" customFormat="1" ht="27.6">
      <c r="A225" s="250">
        <v>15</v>
      </c>
      <c r="B225" s="242"/>
      <c r="C225" s="638" t="s">
        <v>1062</v>
      </c>
      <c r="D225" s="243"/>
      <c r="E225" s="253">
        <f>22+5+4+5+5+5</f>
        <v>46</v>
      </c>
      <c r="F225" s="252" t="s">
        <v>58</v>
      </c>
      <c r="G225" s="247">
        <v>8.6999999999999993</v>
      </c>
      <c r="H225" s="254">
        <f>G225*E225</f>
        <v>400.2</v>
      </c>
      <c r="I225" s="248"/>
    </row>
    <row r="226" spans="1:9" s="249" customFormat="1" ht="13.8">
      <c r="A226" s="250"/>
      <c r="B226" s="242"/>
      <c r="C226" s="638"/>
      <c r="D226" s="243"/>
      <c r="E226" s="253"/>
      <c r="F226" s="252"/>
      <c r="G226" s="254"/>
      <c r="H226" s="254"/>
      <c r="I226" s="248"/>
    </row>
    <row r="227" spans="1:9" s="249" customFormat="1" ht="27.6">
      <c r="A227" s="250">
        <v>16</v>
      </c>
      <c r="B227" s="242"/>
      <c r="C227" s="638" t="s">
        <v>1063</v>
      </c>
      <c r="D227" s="243"/>
      <c r="E227" s="253">
        <f>18+5+5+5+5</f>
        <v>38</v>
      </c>
      <c r="F227" s="252" t="s">
        <v>58</v>
      </c>
      <c r="G227" s="247">
        <v>8.6999999999999993</v>
      </c>
      <c r="H227" s="254">
        <f>G227*E227</f>
        <v>330.59999999999997</v>
      </c>
      <c r="I227" s="248"/>
    </row>
    <row r="228" spans="1:9" s="249" customFormat="1" ht="13.8">
      <c r="A228" s="250"/>
      <c r="B228" s="242"/>
      <c r="C228" s="638"/>
      <c r="D228" s="243"/>
      <c r="E228" s="253"/>
      <c r="F228" s="252"/>
      <c r="G228" s="254"/>
      <c r="H228" s="254"/>
      <c r="I228" s="248"/>
    </row>
    <row r="229" spans="1:9" s="249" customFormat="1" ht="27.6">
      <c r="A229" s="250">
        <v>17</v>
      </c>
      <c r="B229" s="242"/>
      <c r="C229" s="638" t="s">
        <v>1064</v>
      </c>
      <c r="D229" s="243"/>
      <c r="E229" s="253">
        <f>11+5+5+5+5+5</f>
        <v>36</v>
      </c>
      <c r="F229" s="252" t="s">
        <v>58</v>
      </c>
      <c r="G229" s="247">
        <v>6.65</v>
      </c>
      <c r="H229" s="254">
        <f>G229*E229</f>
        <v>239.4</v>
      </c>
      <c r="I229" s="248"/>
    </row>
    <row r="230" spans="1:9" s="249" customFormat="1" ht="13.8">
      <c r="A230" s="250"/>
      <c r="B230" s="242"/>
      <c r="C230" s="638"/>
      <c r="D230" s="243"/>
      <c r="E230" s="253"/>
      <c r="F230" s="252"/>
      <c r="G230" s="254"/>
      <c r="H230" s="254"/>
      <c r="I230" s="248"/>
    </row>
    <row r="231" spans="1:9" s="249" customFormat="1" ht="27.6">
      <c r="A231" s="250">
        <v>18</v>
      </c>
      <c r="B231" s="242"/>
      <c r="C231" s="638" t="s">
        <v>1065</v>
      </c>
      <c r="D231" s="243"/>
      <c r="E231" s="253">
        <f>11+5+5+5+5+5</f>
        <v>36</v>
      </c>
      <c r="F231" s="252" t="s">
        <v>58</v>
      </c>
      <c r="G231" s="247">
        <v>6.65</v>
      </c>
      <c r="H231" s="254">
        <f>G231*E231</f>
        <v>239.4</v>
      </c>
      <c r="I231" s="248"/>
    </row>
    <row r="232" spans="1:9" s="249" customFormat="1" ht="13.8">
      <c r="A232" s="250"/>
      <c r="B232" s="242"/>
      <c r="C232" s="638"/>
      <c r="D232" s="243"/>
      <c r="E232" s="253"/>
      <c r="F232" s="252"/>
      <c r="G232" s="254"/>
      <c r="H232" s="254"/>
      <c r="I232" s="248"/>
    </row>
    <row r="233" spans="1:9" s="249" customFormat="1" ht="27.6">
      <c r="A233" s="250">
        <v>19</v>
      </c>
      <c r="B233" s="242"/>
      <c r="C233" s="638" t="s">
        <v>1066</v>
      </c>
      <c r="D233" s="243"/>
      <c r="E233" s="253">
        <f>23+5+2+5+5+5+5</f>
        <v>50</v>
      </c>
      <c r="F233" s="252" t="s">
        <v>58</v>
      </c>
      <c r="G233" s="247">
        <v>6.65</v>
      </c>
      <c r="H233" s="254">
        <f>G233*E233</f>
        <v>332.5</v>
      </c>
      <c r="I233" s="248"/>
    </row>
    <row r="234" spans="1:9" s="249" customFormat="1" ht="13.8">
      <c r="A234" s="250"/>
      <c r="B234" s="242"/>
      <c r="C234" s="638"/>
      <c r="D234" s="243"/>
      <c r="E234" s="253"/>
      <c r="F234" s="252"/>
      <c r="G234" s="254"/>
      <c r="H234" s="254"/>
      <c r="I234" s="248"/>
    </row>
    <row r="235" spans="1:9" s="249" customFormat="1" ht="27.6">
      <c r="A235" s="250">
        <v>20</v>
      </c>
      <c r="B235" s="242"/>
      <c r="C235" s="638" t="s">
        <v>1067</v>
      </c>
      <c r="D235" s="243"/>
      <c r="E235" s="253">
        <f>28+5+5+5+5+5</f>
        <v>53</v>
      </c>
      <c r="F235" s="252" t="s">
        <v>58</v>
      </c>
      <c r="G235" s="247">
        <v>6.65</v>
      </c>
      <c r="H235" s="254">
        <f>G235*E235</f>
        <v>352.45000000000005</v>
      </c>
      <c r="I235" s="248"/>
    </row>
    <row r="236" spans="1:9" s="249" customFormat="1" ht="13.8">
      <c r="A236" s="250"/>
      <c r="B236" s="242"/>
      <c r="C236" s="638"/>
      <c r="D236" s="243"/>
      <c r="E236" s="253"/>
      <c r="F236" s="252"/>
      <c r="G236" s="254"/>
      <c r="H236" s="254"/>
      <c r="I236" s="248"/>
    </row>
    <row r="237" spans="1:9" s="249" customFormat="1" ht="27.6">
      <c r="A237" s="250">
        <v>21</v>
      </c>
      <c r="B237" s="242"/>
      <c r="C237" s="638" t="s">
        <v>1068</v>
      </c>
      <c r="D237" s="243"/>
      <c r="E237" s="253">
        <f>28+5+5+5+5+5</f>
        <v>53</v>
      </c>
      <c r="F237" s="252" t="s">
        <v>58</v>
      </c>
      <c r="G237" s="247">
        <v>6.65</v>
      </c>
      <c r="H237" s="254">
        <f>G237*E237</f>
        <v>352.45000000000005</v>
      </c>
      <c r="I237" s="248"/>
    </row>
    <row r="238" spans="1:9" s="249" customFormat="1" ht="13.8">
      <c r="A238" s="250"/>
      <c r="B238" s="242"/>
      <c r="C238" s="638"/>
      <c r="D238" s="243"/>
      <c r="E238" s="253"/>
      <c r="F238" s="252"/>
      <c r="G238" s="254"/>
      <c r="H238" s="254"/>
      <c r="I238" s="248"/>
    </row>
    <row r="239" spans="1:9" s="249" customFormat="1" ht="27.6">
      <c r="A239" s="250">
        <v>22</v>
      </c>
      <c r="B239" s="242"/>
      <c r="C239" s="638" t="s">
        <v>1069</v>
      </c>
      <c r="D239" s="243"/>
      <c r="E239" s="253">
        <f>28+5+5+5+5+5</f>
        <v>53</v>
      </c>
      <c r="F239" s="252" t="s">
        <v>58</v>
      </c>
      <c r="G239" s="247">
        <v>6.65</v>
      </c>
      <c r="H239" s="254">
        <f>G239*E239</f>
        <v>352.45000000000005</v>
      </c>
      <c r="I239" s="248"/>
    </row>
    <row r="240" spans="1:9" s="249" customFormat="1" ht="13.8">
      <c r="A240" s="250"/>
      <c r="B240" s="242"/>
      <c r="C240" s="638"/>
      <c r="D240" s="243"/>
      <c r="E240" s="253"/>
      <c r="F240" s="252"/>
      <c r="G240" s="254"/>
      <c r="H240" s="254"/>
      <c r="I240" s="248"/>
    </row>
    <row r="241" spans="1:9" s="249" customFormat="1" ht="27.6">
      <c r="A241" s="250">
        <v>23</v>
      </c>
      <c r="B241" s="242"/>
      <c r="C241" s="638" t="s">
        <v>1070</v>
      </c>
      <c r="D241" s="243"/>
      <c r="E241" s="253">
        <f>31+5+5+5+5+5</f>
        <v>56</v>
      </c>
      <c r="F241" s="252" t="s">
        <v>58</v>
      </c>
      <c r="G241" s="247">
        <v>8.6999999999999993</v>
      </c>
      <c r="H241" s="254">
        <f>G241*E241</f>
        <v>487.19999999999993</v>
      </c>
      <c r="I241" s="248"/>
    </row>
    <row r="242" spans="1:9" s="264" customFormat="1" ht="13.8">
      <c r="A242" s="259"/>
      <c r="B242" s="233"/>
      <c r="C242" s="816" t="s">
        <v>35</v>
      </c>
      <c r="D242" s="427"/>
      <c r="E242" s="261"/>
      <c r="F242" s="428"/>
      <c r="G242" s="818"/>
      <c r="H242" s="263"/>
    </row>
    <row r="243" spans="1:9" s="264" customFormat="1" ht="13.8">
      <c r="A243" s="265"/>
      <c r="B243" s="266"/>
      <c r="C243" s="817" t="s">
        <v>35</v>
      </c>
      <c r="D243" s="429"/>
      <c r="E243" s="430"/>
      <c r="F243" s="431"/>
      <c r="G243" s="819" t="s">
        <v>36</v>
      </c>
      <c r="H243" s="432">
        <f>SUM(H195:H242)</f>
        <v>7367.3499999999985</v>
      </c>
    </row>
    <row r="244" spans="1:9" s="249" customFormat="1" ht="13.8">
      <c r="A244" s="633"/>
      <c r="B244" s="233"/>
      <c r="C244" s="649" t="s">
        <v>595</v>
      </c>
      <c r="D244" s="235"/>
      <c r="E244" s="634"/>
      <c r="F244" s="635"/>
      <c r="G244" s="636"/>
      <c r="H244" s="636"/>
      <c r="I244" s="248"/>
    </row>
    <row r="245" spans="1:9" s="249" customFormat="1" ht="27.6">
      <c r="A245" s="250">
        <v>1</v>
      </c>
      <c r="B245" s="242"/>
      <c r="C245" s="638" t="s">
        <v>1071</v>
      </c>
      <c r="D245" s="243"/>
      <c r="E245" s="253">
        <f>22+5+4+5+5+5+5</f>
        <v>51</v>
      </c>
      <c r="F245" s="252" t="s">
        <v>58</v>
      </c>
      <c r="G245" s="247">
        <v>8.6999999999999993</v>
      </c>
      <c r="H245" s="254">
        <f>G245*E245</f>
        <v>443.7</v>
      </c>
      <c r="I245" s="248"/>
    </row>
    <row r="246" spans="1:9" s="249" customFormat="1" ht="13.8">
      <c r="A246" s="250"/>
      <c r="B246" s="242"/>
      <c r="C246" s="638"/>
      <c r="D246" s="243"/>
      <c r="E246" s="253"/>
      <c r="F246" s="252"/>
      <c r="G246" s="254"/>
      <c r="H246" s="254"/>
      <c r="I246" s="248"/>
    </row>
    <row r="247" spans="1:9" s="249" customFormat="1" ht="27.6">
      <c r="A247" s="250">
        <v>2</v>
      </c>
      <c r="B247" s="242"/>
      <c r="C247" s="638" t="s">
        <v>1072</v>
      </c>
      <c r="D247" s="243"/>
      <c r="E247" s="253">
        <f>18+5+5+5+5+5</f>
        <v>43</v>
      </c>
      <c r="F247" s="252" t="s">
        <v>58</v>
      </c>
      <c r="G247" s="247">
        <v>8.6999999999999993</v>
      </c>
      <c r="H247" s="254">
        <f>G247*E247</f>
        <v>374.09999999999997</v>
      </c>
      <c r="I247" s="248"/>
    </row>
    <row r="248" spans="1:9" s="249" customFormat="1" ht="13.8">
      <c r="A248" s="250"/>
      <c r="B248" s="242"/>
      <c r="C248" s="638"/>
      <c r="D248" s="243"/>
      <c r="E248" s="253"/>
      <c r="F248" s="252"/>
      <c r="G248" s="254"/>
      <c r="H248" s="254"/>
      <c r="I248" s="248"/>
    </row>
    <row r="249" spans="1:9" s="249" customFormat="1" ht="27.6">
      <c r="A249" s="250">
        <v>3</v>
      </c>
      <c r="B249" s="242"/>
      <c r="C249" s="638" t="s">
        <v>1073</v>
      </c>
      <c r="D249" s="243"/>
      <c r="E249" s="253">
        <f>11+5+5+5+5+5+5</f>
        <v>41</v>
      </c>
      <c r="F249" s="252" t="s">
        <v>58</v>
      </c>
      <c r="G249" s="247">
        <v>6.65</v>
      </c>
      <c r="H249" s="254">
        <f>G249*E249</f>
        <v>272.65000000000003</v>
      </c>
      <c r="I249" s="248"/>
    </row>
    <row r="250" spans="1:9" s="249" customFormat="1" ht="13.8">
      <c r="A250" s="250"/>
      <c r="B250" s="242"/>
      <c r="C250" s="638"/>
      <c r="D250" s="243"/>
      <c r="E250" s="253"/>
      <c r="F250" s="252"/>
      <c r="G250" s="254"/>
      <c r="H250" s="254"/>
      <c r="I250" s="248"/>
    </row>
    <row r="251" spans="1:9" s="249" customFormat="1" ht="27.6">
      <c r="A251" s="250">
        <v>4</v>
      </c>
      <c r="B251" s="242"/>
      <c r="C251" s="638" t="s">
        <v>1074</v>
      </c>
      <c r="D251" s="243"/>
      <c r="E251" s="253">
        <f>11+5+5+5+5+5+5</f>
        <v>41</v>
      </c>
      <c r="F251" s="252" t="s">
        <v>58</v>
      </c>
      <c r="G251" s="247">
        <v>6.65</v>
      </c>
      <c r="H251" s="254">
        <f>G251*E251</f>
        <v>272.65000000000003</v>
      </c>
      <c r="I251" s="248"/>
    </row>
    <row r="252" spans="1:9" s="249" customFormat="1" ht="13.8">
      <c r="A252" s="250"/>
      <c r="B252" s="242"/>
      <c r="C252" s="638"/>
      <c r="D252" s="243"/>
      <c r="E252" s="253"/>
      <c r="F252" s="252"/>
      <c r="G252" s="254"/>
      <c r="H252" s="254"/>
      <c r="I252" s="248"/>
    </row>
    <row r="253" spans="1:9" s="249" customFormat="1" ht="27.6">
      <c r="A253" s="250">
        <v>5</v>
      </c>
      <c r="B253" s="242"/>
      <c r="C253" s="638" t="s">
        <v>1075</v>
      </c>
      <c r="D253" s="243"/>
      <c r="E253" s="253">
        <f>23+5+2+5+5+5+5+5</f>
        <v>55</v>
      </c>
      <c r="F253" s="252" t="s">
        <v>58</v>
      </c>
      <c r="G253" s="247">
        <v>6.65</v>
      </c>
      <c r="H253" s="254">
        <f>G253*E253</f>
        <v>365.75</v>
      </c>
      <c r="I253" s="248"/>
    </row>
    <row r="254" spans="1:9" s="249" customFormat="1" ht="13.8">
      <c r="A254" s="250"/>
      <c r="B254" s="242"/>
      <c r="C254" s="638"/>
      <c r="D254" s="243"/>
      <c r="E254" s="253"/>
      <c r="F254" s="252"/>
      <c r="G254" s="254"/>
      <c r="H254" s="254"/>
      <c r="I254" s="248"/>
    </row>
    <row r="255" spans="1:9" s="249" customFormat="1" ht="27.6">
      <c r="A255" s="250">
        <v>6</v>
      </c>
      <c r="B255" s="242"/>
      <c r="C255" s="638" t="s">
        <v>1076</v>
      </c>
      <c r="D255" s="243"/>
      <c r="E255" s="253">
        <f>28+5+5+5+5+5+5</f>
        <v>58</v>
      </c>
      <c r="F255" s="252" t="s">
        <v>58</v>
      </c>
      <c r="G255" s="247">
        <v>6.65</v>
      </c>
      <c r="H255" s="254">
        <f>G255*E255</f>
        <v>385.70000000000005</v>
      </c>
      <c r="I255" s="248"/>
    </row>
    <row r="256" spans="1:9" s="249" customFormat="1" ht="13.8">
      <c r="A256" s="250"/>
      <c r="B256" s="242"/>
      <c r="C256" s="638"/>
      <c r="D256" s="243"/>
      <c r="E256" s="253"/>
      <c r="F256" s="252"/>
      <c r="G256" s="254"/>
      <c r="H256" s="254"/>
      <c r="I256" s="248"/>
    </row>
    <row r="257" spans="1:9" s="249" customFormat="1" ht="27.6">
      <c r="A257" s="250">
        <v>7</v>
      </c>
      <c r="B257" s="242"/>
      <c r="C257" s="638" t="s">
        <v>1077</v>
      </c>
      <c r="D257" s="243"/>
      <c r="E257" s="253">
        <f>28+5+5+5+5+5+5</f>
        <v>58</v>
      </c>
      <c r="F257" s="252" t="s">
        <v>58</v>
      </c>
      <c r="G257" s="247">
        <v>6.65</v>
      </c>
      <c r="H257" s="254">
        <f>G257*E257</f>
        <v>385.70000000000005</v>
      </c>
      <c r="I257" s="248"/>
    </row>
    <row r="258" spans="1:9" s="249" customFormat="1" ht="13.8">
      <c r="A258" s="250"/>
      <c r="B258" s="242"/>
      <c r="C258" s="638"/>
      <c r="D258" s="243"/>
      <c r="E258" s="253"/>
      <c r="F258" s="252"/>
      <c r="G258" s="254"/>
      <c r="H258" s="254"/>
      <c r="I258" s="248"/>
    </row>
    <row r="259" spans="1:9" s="249" customFormat="1" ht="27.6">
      <c r="A259" s="250">
        <v>8</v>
      </c>
      <c r="B259" s="242"/>
      <c r="C259" s="638" t="s">
        <v>1078</v>
      </c>
      <c r="D259" s="243"/>
      <c r="E259" s="253">
        <f>28+5+5+5+5+5+5</f>
        <v>58</v>
      </c>
      <c r="F259" s="252" t="s">
        <v>58</v>
      </c>
      <c r="G259" s="247">
        <v>6.65</v>
      </c>
      <c r="H259" s="254">
        <f>G259*E259</f>
        <v>385.70000000000005</v>
      </c>
      <c r="I259" s="248"/>
    </row>
    <row r="260" spans="1:9" s="249" customFormat="1" ht="13.8">
      <c r="A260" s="250"/>
      <c r="B260" s="242"/>
      <c r="C260" s="638"/>
      <c r="D260" s="243"/>
      <c r="E260" s="253"/>
      <c r="F260" s="252"/>
      <c r="G260" s="254"/>
      <c r="H260" s="254"/>
      <c r="I260" s="248"/>
    </row>
    <row r="261" spans="1:9" s="249" customFormat="1" ht="27.6">
      <c r="A261" s="250">
        <v>9</v>
      </c>
      <c r="B261" s="242"/>
      <c r="C261" s="638" t="s">
        <v>1079</v>
      </c>
      <c r="D261" s="243"/>
      <c r="E261" s="253">
        <f>31+5+5+5+5+5+5</f>
        <v>61</v>
      </c>
      <c r="F261" s="252" t="s">
        <v>58</v>
      </c>
      <c r="G261" s="247">
        <v>8.6999999999999993</v>
      </c>
      <c r="H261" s="254">
        <f>G261*E261</f>
        <v>530.69999999999993</v>
      </c>
      <c r="I261" s="248"/>
    </row>
    <row r="262" spans="1:9" s="249" customFormat="1" ht="13.8">
      <c r="A262" s="250"/>
      <c r="B262" s="242"/>
      <c r="C262" s="638"/>
      <c r="D262" s="243"/>
      <c r="E262" s="253"/>
      <c r="F262" s="252"/>
      <c r="G262" s="254"/>
      <c r="H262" s="254"/>
      <c r="I262" s="248"/>
    </row>
    <row r="263" spans="1:9" s="249" customFormat="1" ht="27.6">
      <c r="A263" s="250">
        <v>10</v>
      </c>
      <c r="B263" s="242"/>
      <c r="C263" s="638" t="s">
        <v>1080</v>
      </c>
      <c r="D263" s="243"/>
      <c r="E263" s="253">
        <f>22+5+4+5+5+5+5+5</f>
        <v>56</v>
      </c>
      <c r="F263" s="252" t="s">
        <v>58</v>
      </c>
      <c r="G263" s="247">
        <v>8.6999999999999993</v>
      </c>
      <c r="H263" s="254">
        <f>G263*E263</f>
        <v>487.19999999999993</v>
      </c>
      <c r="I263" s="248"/>
    </row>
    <row r="264" spans="1:9" s="249" customFormat="1" ht="13.8">
      <c r="A264" s="250"/>
      <c r="B264" s="242"/>
      <c r="C264" s="638"/>
      <c r="D264" s="243"/>
      <c r="E264" s="253"/>
      <c r="F264" s="252"/>
      <c r="G264" s="254"/>
      <c r="H264" s="254"/>
      <c r="I264" s="248"/>
    </row>
    <row r="265" spans="1:9" s="249" customFormat="1" ht="27.6">
      <c r="A265" s="250">
        <v>11</v>
      </c>
      <c r="B265" s="242"/>
      <c r="C265" s="638" t="s">
        <v>1081</v>
      </c>
      <c r="D265" s="243"/>
      <c r="E265" s="253">
        <f>18+5+5+5+5+5+5</f>
        <v>48</v>
      </c>
      <c r="F265" s="252" t="s">
        <v>58</v>
      </c>
      <c r="G265" s="247">
        <v>8.6999999999999993</v>
      </c>
      <c r="H265" s="254">
        <f>G265*E265</f>
        <v>417.59999999999997</v>
      </c>
      <c r="I265" s="248"/>
    </row>
    <row r="266" spans="1:9" s="249" customFormat="1" ht="13.8">
      <c r="A266" s="250"/>
      <c r="B266" s="242"/>
      <c r="C266" s="638"/>
      <c r="D266" s="243"/>
      <c r="E266" s="253"/>
      <c r="F266" s="252"/>
      <c r="G266" s="254"/>
      <c r="H266" s="254"/>
      <c r="I266" s="248"/>
    </row>
    <row r="267" spans="1:9" s="249" customFormat="1" ht="27.6">
      <c r="A267" s="250">
        <v>12</v>
      </c>
      <c r="B267" s="242"/>
      <c r="C267" s="638" t="s">
        <v>1082</v>
      </c>
      <c r="D267" s="243"/>
      <c r="E267" s="253">
        <f>11+5+5+5+5+5+5+5</f>
        <v>46</v>
      </c>
      <c r="F267" s="252" t="s">
        <v>58</v>
      </c>
      <c r="G267" s="247">
        <v>6.65</v>
      </c>
      <c r="H267" s="254">
        <f>G267*E267</f>
        <v>305.90000000000003</v>
      </c>
      <c r="I267" s="248"/>
    </row>
    <row r="268" spans="1:9" s="249" customFormat="1" ht="27.6">
      <c r="A268" s="250">
        <v>13</v>
      </c>
      <c r="B268" s="242"/>
      <c r="C268" s="638" t="s">
        <v>1083</v>
      </c>
      <c r="D268" s="243"/>
      <c r="E268" s="253">
        <f>11+5+5+5+5+5+5+5</f>
        <v>46</v>
      </c>
      <c r="F268" s="252" t="s">
        <v>58</v>
      </c>
      <c r="G268" s="247">
        <v>6.65</v>
      </c>
      <c r="H268" s="254">
        <f>G268*E268</f>
        <v>305.90000000000003</v>
      </c>
      <c r="I268" s="248"/>
    </row>
    <row r="269" spans="1:9" s="249" customFormat="1" ht="13.8">
      <c r="A269" s="250"/>
      <c r="B269" s="242"/>
      <c r="C269" s="638"/>
      <c r="D269" s="243"/>
      <c r="E269" s="253"/>
      <c r="F269" s="252"/>
      <c r="G269" s="254"/>
      <c r="H269" s="254"/>
      <c r="I269" s="248"/>
    </row>
    <row r="270" spans="1:9" s="249" customFormat="1" ht="27.6">
      <c r="A270" s="250">
        <v>14</v>
      </c>
      <c r="B270" s="242"/>
      <c r="C270" s="638" t="s">
        <v>1084</v>
      </c>
      <c r="D270" s="243"/>
      <c r="E270" s="253">
        <f>23+5+2+5+5+5+5+5+5</f>
        <v>60</v>
      </c>
      <c r="F270" s="252" t="s">
        <v>58</v>
      </c>
      <c r="G270" s="247">
        <v>6.65</v>
      </c>
      <c r="H270" s="254">
        <f>G270*E270</f>
        <v>399</v>
      </c>
      <c r="I270" s="248"/>
    </row>
    <row r="271" spans="1:9" s="249" customFormat="1" ht="13.8">
      <c r="A271" s="250"/>
      <c r="B271" s="242"/>
      <c r="C271" s="638"/>
      <c r="D271" s="243"/>
      <c r="E271" s="253"/>
      <c r="F271" s="252"/>
      <c r="G271" s="254"/>
      <c r="H271" s="254"/>
      <c r="I271" s="248"/>
    </row>
    <row r="272" spans="1:9" s="249" customFormat="1" ht="27.6">
      <c r="A272" s="250">
        <v>15</v>
      </c>
      <c r="B272" s="242"/>
      <c r="C272" s="638" t="s">
        <v>1085</v>
      </c>
      <c r="D272" s="243"/>
      <c r="E272" s="253">
        <f>28+5+5+5+5+5+5+5</f>
        <v>63</v>
      </c>
      <c r="F272" s="252" t="s">
        <v>58</v>
      </c>
      <c r="G272" s="247">
        <v>6.65</v>
      </c>
      <c r="H272" s="254">
        <f>G272*E272</f>
        <v>418.95000000000005</v>
      </c>
      <c r="I272" s="248"/>
    </row>
    <row r="273" spans="1:9" s="249" customFormat="1" ht="13.8">
      <c r="A273" s="250"/>
      <c r="B273" s="242"/>
      <c r="C273" s="638"/>
      <c r="D273" s="243"/>
      <c r="E273" s="253"/>
      <c r="F273" s="252"/>
      <c r="G273" s="254"/>
      <c r="H273" s="254"/>
      <c r="I273" s="248"/>
    </row>
    <row r="274" spans="1:9" s="249" customFormat="1" ht="27.6">
      <c r="A274" s="250">
        <v>16</v>
      </c>
      <c r="B274" s="242"/>
      <c r="C274" s="638" t="s">
        <v>1086</v>
      </c>
      <c r="D274" s="243"/>
      <c r="E274" s="253">
        <f>28+5+5+5+5+5+5+5</f>
        <v>63</v>
      </c>
      <c r="F274" s="252" t="s">
        <v>58</v>
      </c>
      <c r="G274" s="247">
        <v>6.65</v>
      </c>
      <c r="H274" s="254">
        <f>G274*E274</f>
        <v>418.95000000000005</v>
      </c>
      <c r="I274" s="248"/>
    </row>
    <row r="275" spans="1:9" s="249" customFormat="1" ht="13.8">
      <c r="A275" s="250"/>
      <c r="B275" s="242"/>
      <c r="C275" s="638"/>
      <c r="D275" s="243"/>
      <c r="E275" s="253"/>
      <c r="F275" s="252"/>
      <c r="G275" s="254"/>
      <c r="H275" s="254"/>
      <c r="I275" s="248"/>
    </row>
    <row r="276" spans="1:9" s="249" customFormat="1" ht="27.6">
      <c r="A276" s="250">
        <v>17</v>
      </c>
      <c r="B276" s="242"/>
      <c r="C276" s="638" t="s">
        <v>1087</v>
      </c>
      <c r="D276" s="243"/>
      <c r="E276" s="253">
        <f>28+5+5+5+5+5+5+5</f>
        <v>63</v>
      </c>
      <c r="F276" s="252" t="s">
        <v>58</v>
      </c>
      <c r="G276" s="247">
        <v>6.65</v>
      </c>
      <c r="H276" s="254">
        <f>G276*E276</f>
        <v>418.95000000000005</v>
      </c>
      <c r="I276" s="248"/>
    </row>
    <row r="277" spans="1:9" s="249" customFormat="1" ht="13.8">
      <c r="A277" s="250"/>
      <c r="B277" s="242"/>
      <c r="C277" s="638"/>
      <c r="D277" s="243"/>
      <c r="E277" s="253"/>
      <c r="F277" s="252"/>
      <c r="G277" s="254"/>
      <c r="H277" s="254"/>
      <c r="I277" s="248"/>
    </row>
    <row r="278" spans="1:9" s="249" customFormat="1" ht="27.6">
      <c r="A278" s="250">
        <v>18</v>
      </c>
      <c r="B278" s="242"/>
      <c r="C278" s="638" t="s">
        <v>1088</v>
      </c>
      <c r="D278" s="243"/>
      <c r="E278" s="253">
        <f>31+5+5+5+5+5+5+5</f>
        <v>66</v>
      </c>
      <c r="F278" s="252" t="s">
        <v>58</v>
      </c>
      <c r="G278" s="247">
        <v>8.6999999999999993</v>
      </c>
      <c r="H278" s="254">
        <f>G278*E278</f>
        <v>574.19999999999993</v>
      </c>
      <c r="I278" s="248"/>
    </row>
    <row r="279" spans="1:9" s="249" customFormat="1" ht="13.8">
      <c r="A279" s="250"/>
      <c r="B279" s="242"/>
      <c r="C279" s="638"/>
      <c r="D279" s="243"/>
      <c r="E279" s="253"/>
      <c r="F279" s="252"/>
      <c r="G279" s="254"/>
      <c r="H279" s="254"/>
      <c r="I279" s="248"/>
    </row>
    <row r="280" spans="1:9" s="249" customFormat="1" ht="27.6">
      <c r="A280" s="250">
        <v>19</v>
      </c>
      <c r="B280" s="242"/>
      <c r="C280" s="638" t="s">
        <v>1089</v>
      </c>
      <c r="D280" s="243"/>
      <c r="E280" s="253">
        <f>22+5+4+5+5+5+5+5+5</f>
        <v>61</v>
      </c>
      <c r="F280" s="252" t="s">
        <v>58</v>
      </c>
      <c r="G280" s="247">
        <v>8.6999999999999993</v>
      </c>
      <c r="H280" s="254">
        <f>G280*E280</f>
        <v>530.69999999999993</v>
      </c>
      <c r="I280" s="248"/>
    </row>
    <row r="281" spans="1:9" s="249" customFormat="1" ht="13.8">
      <c r="A281" s="250"/>
      <c r="B281" s="242"/>
      <c r="C281" s="638"/>
      <c r="D281" s="243"/>
      <c r="E281" s="253"/>
      <c r="F281" s="252"/>
      <c r="G281" s="254"/>
      <c r="H281" s="254"/>
      <c r="I281" s="248"/>
    </row>
    <row r="282" spans="1:9" s="249" customFormat="1" ht="27.6">
      <c r="A282" s="250">
        <v>20</v>
      </c>
      <c r="B282" s="242"/>
      <c r="C282" s="638" t="s">
        <v>1090</v>
      </c>
      <c r="D282" s="243"/>
      <c r="E282" s="253">
        <f>18+5+5+5+5+5+5+5</f>
        <v>53</v>
      </c>
      <c r="F282" s="252" t="s">
        <v>58</v>
      </c>
      <c r="G282" s="247">
        <v>8.6999999999999993</v>
      </c>
      <c r="H282" s="254">
        <f>G282*E282</f>
        <v>461.09999999999997</v>
      </c>
      <c r="I282" s="248"/>
    </row>
    <row r="283" spans="1:9" s="264" customFormat="1" ht="13.8">
      <c r="A283" s="259"/>
      <c r="B283" s="233"/>
      <c r="C283" s="816" t="s">
        <v>35</v>
      </c>
      <c r="D283" s="427"/>
      <c r="E283" s="261"/>
      <c r="F283" s="428"/>
      <c r="G283" s="818"/>
      <c r="H283" s="263"/>
    </row>
    <row r="284" spans="1:9" s="264" customFormat="1" ht="13.8">
      <c r="A284" s="265"/>
      <c r="B284" s="266"/>
      <c r="C284" s="817" t="s">
        <v>35</v>
      </c>
      <c r="D284" s="429"/>
      <c r="E284" s="430"/>
      <c r="F284" s="431"/>
      <c r="G284" s="819" t="s">
        <v>36</v>
      </c>
      <c r="H284" s="432">
        <f>SUM(H244:H283)</f>
        <v>8155.0999999999985</v>
      </c>
    </row>
    <row r="285" spans="1:9" s="249" customFormat="1" ht="13.8">
      <c r="A285" s="633"/>
      <c r="B285" s="233"/>
      <c r="C285" s="649" t="s">
        <v>596</v>
      </c>
      <c r="D285" s="235"/>
      <c r="E285" s="634"/>
      <c r="F285" s="635"/>
      <c r="G285" s="636"/>
      <c r="H285" s="636"/>
      <c r="I285" s="248"/>
    </row>
    <row r="286" spans="1:9" s="249" customFormat="1" ht="13.8">
      <c r="A286" s="250"/>
      <c r="B286" s="242"/>
      <c r="C286" s="638"/>
      <c r="D286" s="243"/>
      <c r="E286" s="253"/>
      <c r="F286" s="252"/>
      <c r="G286" s="254"/>
      <c r="H286" s="254"/>
      <c r="I286" s="248"/>
    </row>
    <row r="287" spans="1:9" s="249" customFormat="1" ht="27.6">
      <c r="A287" s="250"/>
      <c r="B287" s="242"/>
      <c r="C287" s="637" t="s">
        <v>597</v>
      </c>
      <c r="D287" s="243"/>
      <c r="E287" s="253"/>
      <c r="F287" s="252"/>
      <c r="G287" s="254"/>
      <c r="H287" s="254"/>
      <c r="I287" s="248"/>
    </row>
    <row r="288" spans="1:9" s="249" customFormat="1" ht="27.6">
      <c r="A288" s="250">
        <v>1</v>
      </c>
      <c r="B288" s="242"/>
      <c r="C288" s="638" t="s">
        <v>1091</v>
      </c>
      <c r="D288" s="243"/>
      <c r="E288" s="253">
        <f>14+7</f>
        <v>21</v>
      </c>
      <c r="F288" s="252" t="s">
        <v>598</v>
      </c>
      <c r="G288" s="247"/>
      <c r="H288" s="254">
        <f>G288*E288</f>
        <v>0</v>
      </c>
      <c r="I288" s="248"/>
    </row>
    <row r="289" spans="1:9" s="249" customFormat="1" ht="13.8">
      <c r="A289" s="250"/>
      <c r="B289" s="242"/>
      <c r="C289" s="638"/>
      <c r="D289" s="243"/>
      <c r="E289" s="253"/>
      <c r="F289" s="252"/>
      <c r="G289" s="254"/>
      <c r="H289" s="254"/>
      <c r="I289" s="248"/>
    </row>
    <row r="290" spans="1:9" s="249" customFormat="1" ht="27.6">
      <c r="A290" s="250">
        <v>2</v>
      </c>
      <c r="B290" s="242"/>
      <c r="C290" s="638" t="s">
        <v>1092</v>
      </c>
      <c r="D290" s="243"/>
      <c r="E290" s="253">
        <f>60+20</f>
        <v>80</v>
      </c>
      <c r="F290" s="252" t="s">
        <v>598</v>
      </c>
      <c r="G290" s="247"/>
      <c r="H290" s="254">
        <f>G290*E290</f>
        <v>0</v>
      </c>
      <c r="I290" s="248"/>
    </row>
    <row r="291" spans="1:9" s="249" customFormat="1" ht="13.8">
      <c r="A291" s="250"/>
      <c r="B291" s="242"/>
      <c r="C291" s="638"/>
      <c r="D291" s="243"/>
      <c r="E291" s="253"/>
      <c r="F291" s="252"/>
      <c r="G291" s="254"/>
      <c r="H291" s="254"/>
      <c r="I291" s="248"/>
    </row>
    <row r="292" spans="1:9" s="249" customFormat="1" ht="27.6">
      <c r="A292" s="250">
        <v>3</v>
      </c>
      <c r="B292" s="242"/>
      <c r="C292" s="638" t="s">
        <v>1093</v>
      </c>
      <c r="D292" s="243"/>
      <c r="E292" s="253">
        <f>20*5*2+20</f>
        <v>220</v>
      </c>
      <c r="F292" s="252" t="s">
        <v>598</v>
      </c>
      <c r="G292" s="247"/>
      <c r="H292" s="254">
        <f>G292*E292</f>
        <v>0</v>
      </c>
      <c r="I292" s="248"/>
    </row>
    <row r="293" spans="1:9" s="249" customFormat="1" ht="13.8">
      <c r="A293" s="250"/>
      <c r="B293" s="242"/>
      <c r="C293" s="638"/>
      <c r="D293" s="243"/>
      <c r="E293" s="253"/>
      <c r="F293" s="252"/>
      <c r="G293" s="254"/>
      <c r="H293" s="254"/>
      <c r="I293" s="248"/>
    </row>
    <row r="294" spans="1:9" s="249" customFormat="1" ht="27.6">
      <c r="A294" s="250">
        <v>4</v>
      </c>
      <c r="B294" s="242"/>
      <c r="C294" s="638" t="s">
        <v>1094</v>
      </c>
      <c r="D294" s="243"/>
      <c r="E294" s="253">
        <f>20+10</f>
        <v>30</v>
      </c>
      <c r="F294" s="252" t="s">
        <v>598</v>
      </c>
      <c r="G294" s="247"/>
      <c r="H294" s="254">
        <f>G294*E294</f>
        <v>0</v>
      </c>
      <c r="I294" s="248"/>
    </row>
    <row r="295" spans="1:9" s="249" customFormat="1" ht="13.8">
      <c r="A295" s="250"/>
      <c r="B295" s="242"/>
      <c r="C295" s="638"/>
      <c r="D295" s="243"/>
      <c r="E295" s="253"/>
      <c r="F295" s="252"/>
      <c r="G295" s="254"/>
      <c r="H295" s="254"/>
      <c r="I295" s="248"/>
    </row>
    <row r="296" spans="1:9" s="249" customFormat="1" ht="27.6">
      <c r="A296" s="250">
        <v>5</v>
      </c>
      <c r="B296" s="242"/>
      <c r="C296" s="638" t="s">
        <v>1095</v>
      </c>
      <c r="D296" s="243"/>
      <c r="E296" s="253">
        <f>10+10</f>
        <v>20</v>
      </c>
      <c r="F296" s="252" t="s">
        <v>598</v>
      </c>
      <c r="G296" s="247"/>
      <c r="H296" s="254">
        <f>G296*E296</f>
        <v>0</v>
      </c>
      <c r="I296" s="248"/>
    </row>
    <row r="297" spans="1:9" s="249" customFormat="1" ht="13.8">
      <c r="A297" s="250"/>
      <c r="B297" s="242"/>
      <c r="C297" s="638"/>
      <c r="D297" s="243"/>
      <c r="E297" s="253"/>
      <c r="F297" s="252"/>
      <c r="G297" s="254"/>
      <c r="H297" s="254"/>
      <c r="I297" s="248"/>
    </row>
    <row r="298" spans="1:9" s="249" customFormat="1" ht="27.6">
      <c r="A298" s="250">
        <v>6</v>
      </c>
      <c r="B298" s="242"/>
      <c r="C298" s="638" t="s">
        <v>1096</v>
      </c>
      <c r="D298" s="243"/>
      <c r="E298" s="253">
        <f>10+10</f>
        <v>20</v>
      </c>
      <c r="F298" s="252" t="s">
        <v>598</v>
      </c>
      <c r="G298" s="247"/>
      <c r="H298" s="254">
        <f>G298*E298</f>
        <v>0</v>
      </c>
      <c r="I298" s="248"/>
    </row>
    <row r="299" spans="1:9" s="249" customFormat="1" ht="13.8">
      <c r="A299" s="250"/>
      <c r="B299" s="242"/>
      <c r="C299" s="638"/>
      <c r="D299" s="243"/>
      <c r="E299" s="253"/>
      <c r="F299" s="252"/>
      <c r="G299" s="254"/>
      <c r="H299" s="254"/>
      <c r="I299" s="248"/>
    </row>
    <row r="300" spans="1:9" s="249" customFormat="1" ht="27.6">
      <c r="A300" s="250">
        <v>7</v>
      </c>
      <c r="B300" s="242"/>
      <c r="C300" s="638" t="s">
        <v>1097</v>
      </c>
      <c r="D300" s="243"/>
      <c r="E300" s="253">
        <f>10+10</f>
        <v>20</v>
      </c>
      <c r="F300" s="252" t="s">
        <v>598</v>
      </c>
      <c r="G300" s="247"/>
      <c r="H300" s="254">
        <f>G300*E300</f>
        <v>0</v>
      </c>
      <c r="I300" s="248"/>
    </row>
    <row r="301" spans="1:9" s="249" customFormat="1" ht="13.8">
      <c r="A301" s="250"/>
      <c r="B301" s="242"/>
      <c r="C301" s="638"/>
      <c r="D301" s="243"/>
      <c r="E301" s="253"/>
      <c r="F301" s="252"/>
      <c r="G301" s="254"/>
      <c r="H301" s="254"/>
      <c r="I301" s="248"/>
    </row>
    <row r="302" spans="1:9" s="249" customFormat="1" ht="27.6">
      <c r="A302" s="250">
        <v>8</v>
      </c>
      <c r="B302" s="242"/>
      <c r="C302" s="638" t="s">
        <v>1098</v>
      </c>
      <c r="D302" s="243"/>
      <c r="E302" s="253">
        <f>57*3*2+20</f>
        <v>362</v>
      </c>
      <c r="F302" s="252" t="s">
        <v>598</v>
      </c>
      <c r="G302" s="247"/>
      <c r="H302" s="254">
        <v>500</v>
      </c>
      <c r="I302" s="248"/>
    </row>
    <row r="303" spans="1:9" s="249" customFormat="1" ht="13.8">
      <c r="A303" s="250"/>
      <c r="B303" s="242"/>
      <c r="C303" s="637" t="s">
        <v>599</v>
      </c>
      <c r="D303" s="243"/>
      <c r="E303" s="253"/>
      <c r="F303" s="252"/>
      <c r="G303" s="254"/>
      <c r="H303" s="254"/>
      <c r="I303" s="248"/>
    </row>
    <row r="304" spans="1:9" s="249" customFormat="1" ht="55.2">
      <c r="A304" s="250"/>
      <c r="B304" s="242"/>
      <c r="C304" s="637" t="s">
        <v>600</v>
      </c>
      <c r="D304" s="243"/>
      <c r="E304" s="253"/>
      <c r="F304" s="252"/>
      <c r="G304" s="254"/>
      <c r="H304" s="254"/>
      <c r="I304" s="248"/>
    </row>
    <row r="305" spans="1:9" s="249" customFormat="1" ht="13.8">
      <c r="A305" s="250"/>
      <c r="B305" s="242"/>
      <c r="C305" s="638"/>
      <c r="D305" s="243"/>
      <c r="E305" s="253"/>
      <c r="F305" s="252"/>
      <c r="G305" s="254"/>
      <c r="H305" s="254"/>
      <c r="I305" s="248"/>
    </row>
    <row r="306" spans="1:9" s="249" customFormat="1" ht="13.8">
      <c r="A306" s="250">
        <v>1</v>
      </c>
      <c r="B306" s="242"/>
      <c r="C306" s="638" t="s">
        <v>601</v>
      </c>
      <c r="D306" s="243"/>
      <c r="E306" s="253">
        <f>12+75*2+10</f>
        <v>172</v>
      </c>
      <c r="F306" s="252" t="s">
        <v>58</v>
      </c>
      <c r="G306" s="247">
        <v>16.3</v>
      </c>
      <c r="H306" s="254">
        <f>G306*E306</f>
        <v>2803.6</v>
      </c>
      <c r="I306" s="248"/>
    </row>
    <row r="307" spans="1:9" s="249" customFormat="1" ht="13.8">
      <c r="A307" s="250"/>
      <c r="B307" s="242"/>
      <c r="C307" s="638"/>
      <c r="D307" s="243"/>
      <c r="E307" s="253"/>
      <c r="F307" s="252"/>
      <c r="G307" s="254"/>
      <c r="H307" s="254"/>
      <c r="I307" s="248"/>
    </row>
    <row r="308" spans="1:9" s="249" customFormat="1" ht="13.8">
      <c r="A308" s="250">
        <v>1</v>
      </c>
      <c r="B308" s="242"/>
      <c r="C308" s="638" t="s">
        <v>1099</v>
      </c>
      <c r="D308" s="243"/>
      <c r="E308" s="253">
        <f>12+5</f>
        <v>17</v>
      </c>
      <c r="F308" s="252" t="s">
        <v>58</v>
      </c>
      <c r="G308" s="247">
        <v>8.5</v>
      </c>
      <c r="H308" s="254">
        <f>G308*E308</f>
        <v>144.5</v>
      </c>
      <c r="I308" s="248"/>
    </row>
    <row r="309" spans="1:9" s="264" customFormat="1" ht="13.8">
      <c r="A309" s="259"/>
      <c r="B309" s="233"/>
      <c r="C309" s="816" t="s">
        <v>35</v>
      </c>
      <c r="D309" s="427"/>
      <c r="E309" s="261"/>
      <c r="F309" s="428"/>
      <c r="G309" s="818"/>
      <c r="H309" s="263"/>
    </row>
    <row r="310" spans="1:9" s="264" customFormat="1" ht="13.8">
      <c r="A310" s="265"/>
      <c r="B310" s="266"/>
      <c r="C310" s="817" t="s">
        <v>35</v>
      </c>
      <c r="D310" s="429"/>
      <c r="E310" s="430"/>
      <c r="F310" s="431"/>
      <c r="G310" s="819" t="s">
        <v>36</v>
      </c>
      <c r="H310" s="432">
        <f>SUM(H288:H309)</f>
        <v>3448.1</v>
      </c>
    </row>
    <row r="311" spans="1:9" s="249" customFormat="1" ht="13.8">
      <c r="A311" s="250"/>
      <c r="B311" s="242"/>
      <c r="C311" s="637" t="s">
        <v>602</v>
      </c>
      <c r="D311" s="243"/>
      <c r="E311" s="253"/>
      <c r="F311" s="252"/>
      <c r="G311" s="254"/>
      <c r="H311" s="254"/>
      <c r="I311" s="248"/>
    </row>
    <row r="312" spans="1:9" s="249" customFormat="1" ht="13.8">
      <c r="A312" s="250"/>
      <c r="B312" s="242"/>
      <c r="C312" s="638"/>
      <c r="D312" s="243"/>
      <c r="E312" s="253"/>
      <c r="F312" s="252"/>
      <c r="G312" s="254"/>
      <c r="H312" s="254"/>
      <c r="I312" s="248"/>
    </row>
    <row r="313" spans="1:9" s="249" customFormat="1" ht="27.6">
      <c r="A313" s="250"/>
      <c r="B313" s="242"/>
      <c r="C313" s="637" t="s">
        <v>603</v>
      </c>
      <c r="D313" s="243"/>
      <c r="E313" s="253"/>
      <c r="F313" s="252"/>
      <c r="G313" s="254"/>
      <c r="H313" s="254"/>
      <c r="I313" s="248"/>
    </row>
    <row r="314" spans="1:9" s="249" customFormat="1" ht="27.6">
      <c r="A314" s="250">
        <v>1</v>
      </c>
      <c r="B314" s="242"/>
      <c r="C314" s="638" t="s">
        <v>1100</v>
      </c>
      <c r="D314" s="243"/>
      <c r="E314" s="253">
        <f>198+10</f>
        <v>208</v>
      </c>
      <c r="F314" s="252" t="s">
        <v>598</v>
      </c>
      <c r="G314" s="247">
        <v>10</v>
      </c>
      <c r="H314" s="254">
        <f>G314*E314</f>
        <v>2080</v>
      </c>
      <c r="I314" s="248"/>
    </row>
    <row r="315" spans="1:9" s="249" customFormat="1" ht="13.8">
      <c r="A315" s="250"/>
      <c r="B315" s="242"/>
      <c r="C315" s="638"/>
      <c r="D315" s="243"/>
      <c r="E315" s="253"/>
      <c r="F315" s="252"/>
      <c r="G315" s="254"/>
      <c r="H315" s="254"/>
      <c r="I315" s="248"/>
    </row>
    <row r="316" spans="1:9" s="249" customFormat="1" ht="13.8">
      <c r="A316" s="250">
        <v>2</v>
      </c>
      <c r="B316" s="242"/>
      <c r="C316" s="638" t="s">
        <v>1101</v>
      </c>
      <c r="D316" s="243"/>
      <c r="E316" s="253">
        <f>35+6+4*6+5</f>
        <v>70</v>
      </c>
      <c r="F316" s="252" t="s">
        <v>598</v>
      </c>
      <c r="G316" s="247">
        <v>10</v>
      </c>
      <c r="H316" s="254">
        <f t="shared" ref="H316" si="14">G316*E316</f>
        <v>700</v>
      </c>
      <c r="I316" s="248"/>
    </row>
    <row r="317" spans="1:9" s="249" customFormat="1" ht="13.8">
      <c r="A317" s="250"/>
      <c r="B317" s="242"/>
      <c r="C317" s="638"/>
      <c r="D317" s="243"/>
      <c r="E317" s="253"/>
      <c r="F317" s="252"/>
      <c r="G317" s="254"/>
      <c r="H317" s="254"/>
      <c r="I317" s="248"/>
    </row>
    <row r="318" spans="1:9" s="249" customFormat="1" ht="27.6">
      <c r="A318" s="250">
        <v>3</v>
      </c>
      <c r="B318" s="242"/>
      <c r="C318" s="638" t="s">
        <v>1102</v>
      </c>
      <c r="D318" s="243"/>
      <c r="E318" s="253">
        <f>3+9+5</f>
        <v>17</v>
      </c>
      <c r="F318" s="252" t="s">
        <v>598</v>
      </c>
      <c r="G318" s="247">
        <v>13</v>
      </c>
      <c r="H318" s="254">
        <f t="shared" ref="H318" si="15">G318*E318</f>
        <v>221</v>
      </c>
      <c r="I318" s="248"/>
    </row>
    <row r="319" spans="1:9" s="249" customFormat="1" ht="13.8">
      <c r="A319" s="250"/>
      <c r="B319" s="242"/>
      <c r="C319" s="638"/>
      <c r="D319" s="243"/>
      <c r="E319" s="253"/>
      <c r="F319" s="252"/>
      <c r="G319" s="254"/>
      <c r="H319" s="254"/>
      <c r="I319" s="248"/>
    </row>
    <row r="320" spans="1:9" s="249" customFormat="1" ht="27.6">
      <c r="A320" s="250">
        <v>4</v>
      </c>
      <c r="B320" s="242"/>
      <c r="C320" s="638" t="s">
        <v>1103</v>
      </c>
      <c r="D320" s="243"/>
      <c r="E320" s="253">
        <f>4+15+74*6+10</f>
        <v>473</v>
      </c>
      <c r="F320" s="252" t="s">
        <v>598</v>
      </c>
      <c r="G320" s="247">
        <v>14</v>
      </c>
      <c r="H320" s="254">
        <f t="shared" ref="H320" si="16">G320*E320</f>
        <v>6622</v>
      </c>
      <c r="I320" s="248"/>
    </row>
    <row r="321" spans="1:9" s="249" customFormat="1" ht="13.8">
      <c r="A321" s="250"/>
      <c r="B321" s="242"/>
      <c r="C321" s="638"/>
      <c r="D321" s="243"/>
      <c r="E321" s="253"/>
      <c r="F321" s="252"/>
      <c r="G321" s="254"/>
      <c r="H321" s="254"/>
      <c r="I321" s="248"/>
    </row>
    <row r="322" spans="1:9" s="249" customFormat="1" ht="31.95" customHeight="1">
      <c r="A322" s="250">
        <v>5</v>
      </c>
      <c r="B322" s="242"/>
      <c r="C322" s="638" t="s">
        <v>1104</v>
      </c>
      <c r="D322" s="243"/>
      <c r="E322" s="253">
        <f>24+5</f>
        <v>29</v>
      </c>
      <c r="F322" s="252" t="s">
        <v>598</v>
      </c>
      <c r="G322" s="247">
        <v>14</v>
      </c>
      <c r="H322" s="254">
        <f t="shared" ref="H322" si="17">G322*E322</f>
        <v>406</v>
      </c>
      <c r="I322" s="248"/>
    </row>
    <row r="323" spans="1:9" s="249" customFormat="1" ht="13.8">
      <c r="A323" s="250"/>
      <c r="B323" s="242"/>
      <c r="C323" s="638"/>
      <c r="D323" s="243"/>
      <c r="E323" s="253"/>
      <c r="F323" s="252"/>
      <c r="G323" s="254"/>
      <c r="H323" s="254"/>
      <c r="I323" s="248"/>
    </row>
    <row r="324" spans="1:9" s="249" customFormat="1" ht="13.8">
      <c r="A324" s="250">
        <v>6</v>
      </c>
      <c r="B324" s="242"/>
      <c r="C324" s="638" t="s">
        <v>1105</v>
      </c>
      <c r="D324" s="243"/>
      <c r="E324" s="253">
        <f>18*6+5</f>
        <v>113</v>
      </c>
      <c r="F324" s="252" t="s">
        <v>598</v>
      </c>
      <c r="G324" s="247">
        <v>12</v>
      </c>
      <c r="H324" s="254">
        <f t="shared" ref="H324" si="18">G324*E324</f>
        <v>1356</v>
      </c>
      <c r="I324" s="248"/>
    </row>
    <row r="325" spans="1:9" s="249" customFormat="1" ht="13.8">
      <c r="A325" s="250"/>
      <c r="B325" s="242"/>
      <c r="C325" s="638"/>
      <c r="D325" s="243"/>
      <c r="E325" s="253"/>
      <c r="F325" s="252"/>
      <c r="G325" s="254"/>
      <c r="H325" s="254"/>
      <c r="I325" s="248"/>
    </row>
    <row r="326" spans="1:9" s="249" customFormat="1" ht="13.8">
      <c r="A326" s="250">
        <v>7</v>
      </c>
      <c r="B326" s="242"/>
      <c r="C326" s="638" t="s">
        <v>1106</v>
      </c>
      <c r="D326" s="243"/>
      <c r="E326" s="253">
        <f>42*6+5</f>
        <v>257</v>
      </c>
      <c r="F326" s="252" t="s">
        <v>598</v>
      </c>
      <c r="G326" s="247">
        <v>17</v>
      </c>
      <c r="H326" s="254">
        <f>G326*E326</f>
        <v>4369</v>
      </c>
      <c r="I326" s="248"/>
    </row>
    <row r="327" spans="1:9" s="249" customFormat="1" ht="13.8">
      <c r="A327" s="250"/>
      <c r="B327" s="242"/>
      <c r="C327" s="638"/>
      <c r="D327" s="243"/>
      <c r="E327" s="253"/>
      <c r="F327" s="252"/>
      <c r="G327" s="254"/>
      <c r="H327" s="254"/>
      <c r="I327" s="248"/>
    </row>
    <row r="328" spans="1:9" s="249" customFormat="1" ht="30" customHeight="1">
      <c r="A328" s="250">
        <v>8</v>
      </c>
      <c r="B328" s="242"/>
      <c r="C328" s="638" t="s">
        <v>1107</v>
      </c>
      <c r="D328" s="243"/>
      <c r="E328" s="253">
        <f>3+22*6+5</f>
        <v>140</v>
      </c>
      <c r="F328" s="252" t="s">
        <v>598</v>
      </c>
      <c r="G328" s="247">
        <v>11</v>
      </c>
      <c r="H328" s="254">
        <f>G328*E328</f>
        <v>1540</v>
      </c>
      <c r="I328" s="248"/>
    </row>
    <row r="329" spans="1:9" s="249" customFormat="1" ht="13.8">
      <c r="A329" s="250"/>
      <c r="B329" s="242"/>
      <c r="C329" s="638"/>
      <c r="D329" s="243"/>
      <c r="E329" s="253"/>
      <c r="F329" s="252"/>
      <c r="G329" s="254"/>
      <c r="H329" s="254"/>
      <c r="I329" s="248"/>
    </row>
    <row r="330" spans="1:9" s="249" customFormat="1" ht="13.8">
      <c r="A330" s="250">
        <v>9</v>
      </c>
      <c r="B330" s="242"/>
      <c r="C330" s="638" t="s">
        <v>604</v>
      </c>
      <c r="D330" s="243"/>
      <c r="E330" s="253">
        <f>9*6+5</f>
        <v>59</v>
      </c>
      <c r="F330" s="252" t="s">
        <v>598</v>
      </c>
      <c r="G330" s="247">
        <v>2.0499999999999998</v>
      </c>
      <c r="H330" s="254">
        <f t="shared" ref="H330" si="19">G330*E330</f>
        <v>120.94999999999999</v>
      </c>
      <c r="I330" s="248"/>
    </row>
    <row r="331" spans="1:9" s="264" customFormat="1" ht="13.8">
      <c r="A331" s="259"/>
      <c r="B331" s="233"/>
      <c r="C331" s="816" t="s">
        <v>35</v>
      </c>
      <c r="D331" s="427"/>
      <c r="E331" s="261"/>
      <c r="F331" s="428"/>
      <c r="G331" s="818"/>
      <c r="H331" s="263"/>
    </row>
    <row r="332" spans="1:9" s="264" customFormat="1" ht="13.8">
      <c r="A332" s="265"/>
      <c r="B332" s="266"/>
      <c r="C332" s="817" t="s">
        <v>35</v>
      </c>
      <c r="D332" s="429"/>
      <c r="E332" s="430"/>
      <c r="F332" s="431"/>
      <c r="G332" s="819" t="s">
        <v>36</v>
      </c>
      <c r="H332" s="432">
        <f>SUM(H313:H331)</f>
        <v>17414.95</v>
      </c>
    </row>
    <row r="333" spans="1:9" s="249" customFormat="1" ht="13.8">
      <c r="A333" s="633"/>
      <c r="B333" s="233"/>
      <c r="C333" s="234"/>
      <c r="D333" s="235"/>
      <c r="E333" s="634"/>
      <c r="F333" s="635"/>
      <c r="G333" s="636"/>
      <c r="H333" s="636"/>
      <c r="I333" s="248"/>
    </row>
    <row r="334" spans="1:9" s="249" customFormat="1" ht="27.6">
      <c r="A334" s="250"/>
      <c r="B334" s="242"/>
      <c r="C334" s="637" t="s">
        <v>605</v>
      </c>
      <c r="D334" s="243"/>
      <c r="E334" s="253"/>
      <c r="F334" s="252"/>
      <c r="G334" s="254"/>
      <c r="H334" s="254"/>
      <c r="I334" s="248"/>
    </row>
    <row r="335" spans="1:9" s="249" customFormat="1" ht="13.8">
      <c r="A335" s="250"/>
      <c r="B335" s="242"/>
      <c r="C335" s="638"/>
      <c r="D335" s="243"/>
      <c r="E335" s="253"/>
      <c r="F335" s="252"/>
      <c r="G335" s="254"/>
      <c r="H335" s="254"/>
      <c r="I335" s="248"/>
    </row>
    <row r="336" spans="1:9" s="249" customFormat="1" ht="82.8">
      <c r="A336" s="250"/>
      <c r="B336" s="242"/>
      <c r="C336" s="637" t="s">
        <v>606</v>
      </c>
      <c r="D336" s="243"/>
      <c r="E336" s="253"/>
      <c r="F336" s="252"/>
      <c r="G336" s="254"/>
      <c r="H336" s="254"/>
      <c r="I336" s="248"/>
    </row>
    <row r="337" spans="1:9" s="249" customFormat="1" ht="27.6">
      <c r="A337" s="250">
        <v>1</v>
      </c>
      <c r="B337" s="242"/>
      <c r="C337" s="638" t="s">
        <v>1100</v>
      </c>
      <c r="D337" s="243"/>
      <c r="E337" s="253">
        <f>198+10</f>
        <v>208</v>
      </c>
      <c r="F337" s="252" t="s">
        <v>598</v>
      </c>
      <c r="G337" s="247"/>
      <c r="H337" s="254">
        <f>G337*E337</f>
        <v>0</v>
      </c>
      <c r="I337" s="248"/>
    </row>
    <row r="338" spans="1:9" s="249" customFormat="1" ht="13.8">
      <c r="A338" s="250"/>
      <c r="B338" s="242"/>
      <c r="C338" s="638"/>
      <c r="D338" s="243"/>
      <c r="E338" s="253"/>
      <c r="F338" s="252"/>
      <c r="G338" s="254"/>
      <c r="H338" s="254"/>
      <c r="I338" s="248"/>
    </row>
    <row r="339" spans="1:9" s="249" customFormat="1" ht="13.8">
      <c r="A339" s="250">
        <v>2</v>
      </c>
      <c r="B339" s="242"/>
      <c r="C339" s="638" t="s">
        <v>1101</v>
      </c>
      <c r="D339" s="243"/>
      <c r="E339" s="253">
        <f>35+6+4*6+5</f>
        <v>70</v>
      </c>
      <c r="F339" s="252" t="s">
        <v>598</v>
      </c>
      <c r="G339" s="247"/>
      <c r="H339" s="254">
        <f t="shared" ref="H339" si="20">G339*E339</f>
        <v>0</v>
      </c>
      <c r="I339" s="248"/>
    </row>
    <row r="340" spans="1:9" s="249" customFormat="1" ht="13.8">
      <c r="A340" s="250"/>
      <c r="B340" s="242"/>
      <c r="C340" s="638"/>
      <c r="D340" s="243"/>
      <c r="E340" s="253"/>
      <c r="F340" s="252"/>
      <c r="G340" s="254"/>
      <c r="H340" s="254"/>
      <c r="I340" s="248"/>
    </row>
    <row r="341" spans="1:9" s="249" customFormat="1" ht="27.6">
      <c r="A341" s="250">
        <v>3</v>
      </c>
      <c r="B341" s="242"/>
      <c r="C341" s="638" t="s">
        <v>1102</v>
      </c>
      <c r="D341" s="243"/>
      <c r="E341" s="253">
        <f>3+9+5</f>
        <v>17</v>
      </c>
      <c r="F341" s="252" t="s">
        <v>598</v>
      </c>
      <c r="G341" s="247"/>
      <c r="H341" s="254">
        <f t="shared" ref="H341" si="21">G341*E341</f>
        <v>0</v>
      </c>
      <c r="I341" s="248"/>
    </row>
    <row r="342" spans="1:9" s="249" customFormat="1" ht="13.8">
      <c r="A342" s="250"/>
      <c r="B342" s="242"/>
      <c r="C342" s="638"/>
      <c r="D342" s="243"/>
      <c r="E342" s="253"/>
      <c r="F342" s="252"/>
      <c r="G342" s="254"/>
      <c r="H342" s="254"/>
      <c r="I342" s="248"/>
    </row>
    <row r="343" spans="1:9" s="249" customFormat="1" ht="27.6">
      <c r="A343" s="250">
        <v>4</v>
      </c>
      <c r="B343" s="242"/>
      <c r="C343" s="638" t="s">
        <v>1103</v>
      </c>
      <c r="D343" s="243"/>
      <c r="E343" s="253">
        <f>4+15+74*6+10</f>
        <v>473</v>
      </c>
      <c r="F343" s="252" t="s">
        <v>598</v>
      </c>
      <c r="G343" s="247"/>
      <c r="H343" s="254">
        <f t="shared" ref="H343" si="22">G343*E343</f>
        <v>0</v>
      </c>
      <c r="I343" s="248"/>
    </row>
    <row r="344" spans="1:9" s="249" customFormat="1" ht="13.8">
      <c r="A344" s="250"/>
      <c r="B344" s="242"/>
      <c r="C344" s="638"/>
      <c r="D344" s="243"/>
      <c r="E344" s="253"/>
      <c r="F344" s="252"/>
      <c r="G344" s="254"/>
      <c r="H344" s="254"/>
      <c r="I344" s="248"/>
    </row>
    <row r="345" spans="1:9" s="249" customFormat="1" ht="27.6">
      <c r="A345" s="250">
        <v>5</v>
      </c>
      <c r="B345" s="242"/>
      <c r="C345" s="638" t="s">
        <v>1104</v>
      </c>
      <c r="D345" s="243"/>
      <c r="E345" s="253">
        <f>24+5</f>
        <v>29</v>
      </c>
      <c r="F345" s="252" t="s">
        <v>598</v>
      </c>
      <c r="G345" s="247"/>
      <c r="H345" s="254">
        <f t="shared" ref="H345" si="23">G345*E345</f>
        <v>0</v>
      </c>
      <c r="I345" s="248"/>
    </row>
    <row r="346" spans="1:9" s="249" customFormat="1" ht="13.8">
      <c r="A346" s="250"/>
      <c r="B346" s="242"/>
      <c r="C346" s="638"/>
      <c r="D346" s="243"/>
      <c r="E346" s="253"/>
      <c r="F346" s="252"/>
      <c r="G346" s="254"/>
      <c r="H346" s="254"/>
      <c r="I346" s="248"/>
    </row>
    <row r="347" spans="1:9" s="249" customFormat="1" ht="13.8">
      <c r="A347" s="250">
        <v>6</v>
      </c>
      <c r="B347" s="242"/>
      <c r="C347" s="638" t="s">
        <v>1105</v>
      </c>
      <c r="D347" s="243"/>
      <c r="E347" s="253">
        <f>18*6+5</f>
        <v>113</v>
      </c>
      <c r="F347" s="252" t="s">
        <v>598</v>
      </c>
      <c r="G347" s="247"/>
      <c r="H347" s="254">
        <f t="shared" ref="H347:H372" si="24">G347*E347</f>
        <v>0</v>
      </c>
      <c r="I347" s="248"/>
    </row>
    <row r="348" spans="1:9" s="249" customFormat="1" ht="13.8">
      <c r="A348" s="250"/>
      <c r="B348" s="242"/>
      <c r="C348" s="638"/>
      <c r="D348" s="243"/>
      <c r="E348" s="253"/>
      <c r="F348" s="252"/>
      <c r="G348" s="254"/>
      <c r="H348" s="254"/>
      <c r="I348" s="248"/>
    </row>
    <row r="349" spans="1:9" s="249" customFormat="1" ht="13.8">
      <c r="A349" s="250">
        <v>7</v>
      </c>
      <c r="B349" s="242"/>
      <c r="C349" s="638" t="s">
        <v>1106</v>
      </c>
      <c r="D349" s="243"/>
      <c r="E349" s="253">
        <f>42*6+5</f>
        <v>257</v>
      </c>
      <c r="F349" s="252" t="s">
        <v>598</v>
      </c>
      <c r="G349" s="247"/>
      <c r="H349" s="254">
        <f>G349*E349</f>
        <v>0</v>
      </c>
      <c r="I349" s="248"/>
    </row>
    <row r="350" spans="1:9" s="249" customFormat="1" ht="13.8">
      <c r="A350" s="250"/>
      <c r="B350" s="242"/>
      <c r="C350" s="638"/>
      <c r="D350" s="243"/>
      <c r="E350" s="253"/>
      <c r="F350" s="252"/>
      <c r="G350" s="254"/>
      <c r="H350" s="254"/>
      <c r="I350" s="248"/>
    </row>
    <row r="351" spans="1:9" s="249" customFormat="1" ht="30.6" customHeight="1">
      <c r="A351" s="250">
        <v>8</v>
      </c>
      <c r="B351" s="242"/>
      <c r="C351" s="638" t="s">
        <v>1107</v>
      </c>
      <c r="D351" s="243"/>
      <c r="E351" s="253">
        <f>3+22*6+5</f>
        <v>140</v>
      </c>
      <c r="F351" s="252" t="s">
        <v>598</v>
      </c>
      <c r="G351" s="247"/>
      <c r="H351" s="254">
        <f>G351*E351</f>
        <v>0</v>
      </c>
      <c r="I351" s="248"/>
    </row>
    <row r="352" spans="1:9" s="249" customFormat="1" ht="13.8">
      <c r="A352" s="250"/>
      <c r="B352" s="242"/>
      <c r="C352" s="638"/>
      <c r="D352" s="243"/>
      <c r="E352" s="253"/>
      <c r="F352" s="252"/>
      <c r="G352" s="254"/>
      <c r="H352" s="254"/>
      <c r="I352" s="248"/>
    </row>
    <row r="353" spans="1:9" s="249" customFormat="1" ht="13.8">
      <c r="A353" s="250">
        <v>9</v>
      </c>
      <c r="B353" s="242"/>
      <c r="C353" s="638" t="s">
        <v>604</v>
      </c>
      <c r="D353" s="243"/>
      <c r="E353" s="253">
        <f>9*6+5</f>
        <v>59</v>
      </c>
      <c r="F353" s="252" t="s">
        <v>598</v>
      </c>
      <c r="G353" s="247"/>
      <c r="H353" s="254">
        <f t="shared" ref="H353" si="25">G353*E353</f>
        <v>0</v>
      </c>
      <c r="I353" s="248"/>
    </row>
    <row r="354" spans="1:9" s="249" customFormat="1" ht="13.8">
      <c r="A354" s="250"/>
      <c r="B354" s="242"/>
      <c r="C354" s="638"/>
      <c r="D354" s="243"/>
      <c r="E354" s="253"/>
      <c r="F354" s="252"/>
      <c r="G354" s="254"/>
      <c r="H354" s="254"/>
      <c r="I354" s="248"/>
    </row>
    <row r="355" spans="1:9" s="264" customFormat="1" ht="13.8">
      <c r="A355" s="259"/>
      <c r="B355" s="233"/>
      <c r="C355" s="820" t="s">
        <v>35</v>
      </c>
      <c r="D355" s="260"/>
      <c r="E355" s="261"/>
      <c r="F355" s="262"/>
      <c r="G355" s="818"/>
      <c r="H355" s="263"/>
    </row>
    <row r="356" spans="1:9" s="264" customFormat="1" ht="13.8">
      <c r="A356" s="265"/>
      <c r="B356" s="266"/>
      <c r="C356" s="821" t="s">
        <v>35</v>
      </c>
      <c r="D356" s="267"/>
      <c r="E356" s="268"/>
      <c r="F356" s="269"/>
      <c r="G356" s="819" t="s">
        <v>36</v>
      </c>
      <c r="H356" s="270">
        <f>SUM(H335:H355)</f>
        <v>0</v>
      </c>
    </row>
    <row r="357" spans="1:9" s="249" customFormat="1" ht="13.8">
      <c r="A357" s="250"/>
      <c r="B357" s="242"/>
      <c r="C357" s="638"/>
      <c r="D357" s="243"/>
      <c r="E357" s="253"/>
      <c r="F357" s="252"/>
      <c r="G357" s="254"/>
      <c r="H357" s="254"/>
      <c r="I357" s="248"/>
    </row>
    <row r="358" spans="1:9" s="249" customFormat="1" ht="13.8">
      <c r="A358" s="250">
        <v>10</v>
      </c>
      <c r="B358" s="242"/>
      <c r="C358" s="638" t="s">
        <v>607</v>
      </c>
      <c r="D358" s="243"/>
      <c r="E358" s="253">
        <f>1+4+9*3*6+5</f>
        <v>172</v>
      </c>
      <c r="F358" s="252" t="s">
        <v>581</v>
      </c>
      <c r="G358" s="247"/>
      <c r="H358" s="254">
        <f t="shared" si="24"/>
        <v>0</v>
      </c>
      <c r="I358" s="248"/>
    </row>
    <row r="359" spans="1:9" s="249" customFormat="1" ht="13.8">
      <c r="A359" s="250"/>
      <c r="B359" s="242"/>
      <c r="C359" s="638"/>
      <c r="D359" s="243"/>
      <c r="E359" s="253"/>
      <c r="F359" s="252"/>
      <c r="G359" s="254"/>
      <c r="H359" s="254"/>
      <c r="I359" s="248"/>
    </row>
    <row r="360" spans="1:9" s="249" customFormat="1" ht="13.8">
      <c r="A360" s="250">
        <v>11</v>
      </c>
      <c r="B360" s="242"/>
      <c r="C360" s="638" t="s">
        <v>608</v>
      </c>
      <c r="D360" s="243"/>
      <c r="E360" s="253">
        <f>3+10+26*6+5</f>
        <v>174</v>
      </c>
      <c r="F360" s="252" t="s">
        <v>581</v>
      </c>
      <c r="G360" s="247"/>
      <c r="H360" s="254">
        <f t="shared" si="24"/>
        <v>0</v>
      </c>
      <c r="I360" s="248"/>
    </row>
    <row r="361" spans="1:9" s="249" customFormat="1" ht="13.8">
      <c r="A361" s="250"/>
      <c r="B361" s="242"/>
      <c r="C361" s="638"/>
      <c r="D361" s="243"/>
      <c r="E361" s="253"/>
      <c r="F361" s="252"/>
      <c r="G361" s="254"/>
      <c r="H361" s="254"/>
      <c r="I361" s="248"/>
    </row>
    <row r="362" spans="1:9" s="249" customFormat="1" ht="13.8">
      <c r="A362" s="250">
        <v>12</v>
      </c>
      <c r="B362" s="242"/>
      <c r="C362" s="638" t="s">
        <v>609</v>
      </c>
      <c r="D362" s="243"/>
      <c r="E362" s="253">
        <f>2+17+31*6+5</f>
        <v>210</v>
      </c>
      <c r="F362" s="252" t="s">
        <v>581</v>
      </c>
      <c r="G362" s="247"/>
      <c r="H362" s="254">
        <f t="shared" si="24"/>
        <v>0</v>
      </c>
      <c r="I362" s="248"/>
    </row>
    <row r="363" spans="1:9" s="249" customFormat="1" ht="13.8">
      <c r="A363" s="250"/>
      <c r="B363" s="242"/>
      <c r="C363" s="638"/>
      <c r="D363" s="243"/>
      <c r="E363" s="253"/>
      <c r="F363" s="252"/>
      <c r="G363" s="254"/>
      <c r="H363" s="254"/>
      <c r="I363" s="248"/>
    </row>
    <row r="364" spans="1:9" s="249" customFormat="1" ht="13.8">
      <c r="A364" s="250">
        <v>13</v>
      </c>
      <c r="B364" s="242"/>
      <c r="C364" s="638" t="s">
        <v>610</v>
      </c>
      <c r="D364" s="243"/>
      <c r="E364" s="253">
        <f>2+4+6*6+5</f>
        <v>47</v>
      </c>
      <c r="F364" s="252" t="s">
        <v>581</v>
      </c>
      <c r="G364" s="254"/>
      <c r="H364" s="254">
        <f t="shared" si="24"/>
        <v>0</v>
      </c>
      <c r="I364" s="248"/>
    </row>
    <row r="365" spans="1:9" s="249" customFormat="1" ht="13.8">
      <c r="A365" s="250"/>
      <c r="B365" s="242"/>
      <c r="C365" s="638"/>
      <c r="D365" s="243"/>
      <c r="E365" s="253"/>
      <c r="F365" s="252"/>
      <c r="G365" s="254"/>
      <c r="H365" s="254"/>
      <c r="I365" s="248"/>
    </row>
    <row r="366" spans="1:9" s="249" customFormat="1" ht="13.8">
      <c r="A366" s="250">
        <v>14</v>
      </c>
      <c r="B366" s="242"/>
      <c r="C366" s="638" t="s">
        <v>611</v>
      </c>
      <c r="D366" s="243"/>
      <c r="E366" s="253">
        <f>9*6+5</f>
        <v>59</v>
      </c>
      <c r="F366" s="252" t="s">
        <v>581</v>
      </c>
      <c r="G366" s="247"/>
      <c r="H366" s="254">
        <f t="shared" ref="H366" si="26">G366*E366</f>
        <v>0</v>
      </c>
      <c r="I366" s="248"/>
    </row>
    <row r="367" spans="1:9" s="249" customFormat="1" ht="13.8">
      <c r="A367" s="250"/>
      <c r="B367" s="242"/>
      <c r="C367" s="638"/>
      <c r="D367" s="243"/>
      <c r="E367" s="253"/>
      <c r="F367" s="252"/>
      <c r="G367" s="254"/>
      <c r="H367" s="254"/>
      <c r="I367" s="248"/>
    </row>
    <row r="368" spans="1:9" s="249" customFormat="1" ht="13.8">
      <c r="A368" s="250">
        <v>15</v>
      </c>
      <c r="B368" s="242"/>
      <c r="C368" s="638" t="s">
        <v>612</v>
      </c>
      <c r="D368" s="243"/>
      <c r="E368" s="253">
        <v>130</v>
      </c>
      <c r="F368" s="252" t="s">
        <v>581</v>
      </c>
      <c r="G368" s="247"/>
      <c r="H368" s="254">
        <f t="shared" si="24"/>
        <v>0</v>
      </c>
      <c r="I368" s="248"/>
    </row>
    <row r="369" spans="1:9" s="249" customFormat="1" ht="13.8">
      <c r="A369" s="250"/>
      <c r="B369" s="242"/>
      <c r="C369" s="638"/>
      <c r="D369" s="243"/>
      <c r="E369" s="253"/>
      <c r="F369" s="252"/>
      <c r="G369" s="254"/>
      <c r="H369" s="254"/>
      <c r="I369" s="248"/>
    </row>
    <row r="370" spans="1:9" s="249" customFormat="1" ht="13.8">
      <c r="A370" s="250">
        <v>16</v>
      </c>
      <c r="B370" s="242"/>
      <c r="C370" s="638" t="s">
        <v>613</v>
      </c>
      <c r="D370" s="243"/>
      <c r="E370" s="253">
        <f>318+2+5</f>
        <v>325</v>
      </c>
      <c r="F370" s="252" t="s">
        <v>581</v>
      </c>
      <c r="G370" s="247"/>
      <c r="H370" s="254">
        <f t="shared" si="24"/>
        <v>0</v>
      </c>
      <c r="I370" s="248"/>
    </row>
    <row r="371" spans="1:9" s="249" customFormat="1" ht="13.8">
      <c r="A371" s="250"/>
      <c r="B371" s="242"/>
      <c r="C371" s="638"/>
      <c r="D371" s="243"/>
      <c r="E371" s="253"/>
      <c r="F371" s="252"/>
      <c r="G371" s="254"/>
      <c r="H371" s="254"/>
      <c r="I371" s="248"/>
    </row>
    <row r="372" spans="1:9" s="249" customFormat="1" ht="13.8">
      <c r="A372" s="250">
        <v>17</v>
      </c>
      <c r="B372" s="242"/>
      <c r="C372" s="638" t="s">
        <v>614</v>
      </c>
      <c r="D372" s="243"/>
      <c r="E372" s="253">
        <f>66+78+2+5</f>
        <v>151</v>
      </c>
      <c r="F372" s="252" t="s">
        <v>581</v>
      </c>
      <c r="G372" s="247"/>
      <c r="H372" s="254">
        <f t="shared" si="24"/>
        <v>0</v>
      </c>
      <c r="I372" s="248"/>
    </row>
    <row r="373" spans="1:9" s="249" customFormat="1" ht="13.8">
      <c r="A373" s="250"/>
      <c r="B373" s="242"/>
      <c r="C373" s="638"/>
      <c r="D373" s="243"/>
      <c r="E373" s="253"/>
      <c r="F373" s="252"/>
      <c r="G373" s="254"/>
      <c r="H373" s="254"/>
      <c r="I373" s="248"/>
    </row>
    <row r="374" spans="1:9" s="249" customFormat="1" ht="27.6">
      <c r="A374" s="250">
        <v>18</v>
      </c>
      <c r="B374" s="242"/>
      <c r="C374" s="638" t="s">
        <v>615</v>
      </c>
      <c r="D374" s="243"/>
      <c r="E374" s="253">
        <f>59+92</f>
        <v>151</v>
      </c>
      <c r="F374" s="252" t="s">
        <v>581</v>
      </c>
      <c r="G374" s="247"/>
      <c r="H374" s="254">
        <f t="shared" ref="H374" si="27">G374*E374</f>
        <v>0</v>
      </c>
      <c r="I374" s="248"/>
    </row>
    <row r="375" spans="1:9" s="249" customFormat="1" ht="12" customHeight="1">
      <c r="A375" s="250"/>
      <c r="B375" s="242"/>
      <c r="C375" s="638"/>
      <c r="D375" s="243"/>
      <c r="E375" s="253"/>
      <c r="F375" s="252"/>
      <c r="G375" s="254"/>
      <c r="H375" s="254"/>
      <c r="I375" s="248"/>
    </row>
    <row r="376" spans="1:9" s="249" customFormat="1" ht="27.6">
      <c r="A376" s="250">
        <v>19</v>
      </c>
      <c r="B376" s="242"/>
      <c r="C376" s="638" t="s">
        <v>616</v>
      </c>
      <c r="D376" s="243"/>
      <c r="E376" s="253">
        <f>34+140</f>
        <v>174</v>
      </c>
      <c r="F376" s="252" t="s">
        <v>581</v>
      </c>
      <c r="G376" s="247"/>
      <c r="H376" s="254">
        <f t="shared" ref="H376" si="28">G376*E376</f>
        <v>0</v>
      </c>
      <c r="I376" s="248"/>
    </row>
    <row r="377" spans="1:9" s="249" customFormat="1" ht="12" customHeight="1">
      <c r="A377" s="250"/>
      <c r="B377" s="242"/>
      <c r="C377" s="638"/>
      <c r="D377" s="243"/>
      <c r="E377" s="253"/>
      <c r="F377" s="252"/>
      <c r="G377" s="254"/>
      <c r="H377" s="254"/>
      <c r="I377" s="248"/>
    </row>
    <row r="378" spans="1:9" s="249" customFormat="1" ht="13.8">
      <c r="A378" s="250">
        <v>20</v>
      </c>
      <c r="B378" s="242"/>
      <c r="C378" s="638" t="s">
        <v>1108</v>
      </c>
      <c r="D378" s="243"/>
      <c r="E378" s="253">
        <f>30*6+3+5</f>
        <v>188</v>
      </c>
      <c r="F378" s="252" t="s">
        <v>581</v>
      </c>
      <c r="G378" s="247"/>
      <c r="H378" s="254">
        <f t="shared" ref="H378" si="29">G378*E378</f>
        <v>0</v>
      </c>
      <c r="I378" s="248"/>
    </row>
    <row r="379" spans="1:9" s="249" customFormat="1" ht="12" customHeight="1">
      <c r="A379" s="250"/>
      <c r="B379" s="242"/>
      <c r="C379" s="638"/>
      <c r="D379" s="243"/>
      <c r="E379" s="253"/>
      <c r="F379" s="252"/>
      <c r="G379" s="254"/>
      <c r="H379" s="254"/>
      <c r="I379" s="248"/>
    </row>
    <row r="380" spans="1:9" s="249" customFormat="1" ht="27.6">
      <c r="A380" s="250">
        <v>21</v>
      </c>
      <c r="B380" s="242"/>
      <c r="C380" s="638" t="s">
        <v>1109</v>
      </c>
      <c r="D380" s="243"/>
      <c r="E380" s="253">
        <f>29+5</f>
        <v>34</v>
      </c>
      <c r="F380" s="252" t="s">
        <v>581</v>
      </c>
      <c r="G380" s="247"/>
      <c r="H380" s="254">
        <f t="shared" ref="H380" si="30">G380*E380</f>
        <v>0</v>
      </c>
      <c r="I380" s="248"/>
    </row>
    <row r="381" spans="1:9" s="249" customFormat="1" ht="12" customHeight="1">
      <c r="A381" s="250"/>
      <c r="B381" s="242"/>
      <c r="C381" s="638"/>
      <c r="D381" s="243"/>
      <c r="E381" s="253"/>
      <c r="F381" s="252"/>
      <c r="G381" s="254"/>
      <c r="H381" s="254"/>
      <c r="I381" s="248"/>
    </row>
    <row r="382" spans="1:9" s="249" customFormat="1" ht="27.6">
      <c r="A382" s="250">
        <v>22</v>
      </c>
      <c r="B382" s="242"/>
      <c r="C382" s="638" t="s">
        <v>619</v>
      </c>
      <c r="D382" s="243"/>
      <c r="E382" s="253">
        <f>130+10</f>
        <v>140</v>
      </c>
      <c r="F382" s="252" t="s">
        <v>581</v>
      </c>
      <c r="G382" s="247"/>
      <c r="H382" s="254">
        <f t="shared" ref="H382" si="31">G382*E382</f>
        <v>0</v>
      </c>
      <c r="I382" s="248"/>
    </row>
    <row r="383" spans="1:9" s="249" customFormat="1" ht="12" customHeight="1">
      <c r="A383" s="250"/>
      <c r="B383" s="242"/>
      <c r="C383" s="638"/>
      <c r="D383" s="243"/>
      <c r="E383" s="253"/>
      <c r="F383" s="252"/>
      <c r="G383" s="254"/>
      <c r="H383" s="254"/>
      <c r="I383" s="248"/>
    </row>
    <row r="384" spans="1:9" s="249" customFormat="1" ht="27.6">
      <c r="A384" s="250">
        <v>23</v>
      </c>
      <c r="B384" s="242"/>
      <c r="C384" s="638" t="s">
        <v>1110</v>
      </c>
      <c r="D384" s="243"/>
      <c r="E384" s="253">
        <v>1</v>
      </c>
      <c r="F384" s="252" t="s">
        <v>581</v>
      </c>
      <c r="G384" s="247"/>
      <c r="H384" s="254">
        <f t="shared" ref="H384" si="32">G384*E384</f>
        <v>0</v>
      </c>
      <c r="I384" s="248"/>
    </row>
    <row r="385" spans="1:9" s="249" customFormat="1" ht="12" customHeight="1">
      <c r="A385" s="250"/>
      <c r="B385" s="242"/>
      <c r="C385" s="638"/>
      <c r="D385" s="243"/>
      <c r="E385" s="253"/>
      <c r="F385" s="252"/>
      <c r="G385" s="254"/>
      <c r="H385" s="254"/>
      <c r="I385" s="248"/>
    </row>
    <row r="386" spans="1:9" s="249" customFormat="1" ht="13.8">
      <c r="A386" s="250">
        <v>24</v>
      </c>
      <c r="B386" s="242"/>
      <c r="C386" s="638" t="s">
        <v>1111</v>
      </c>
      <c r="D386" s="243"/>
      <c r="E386" s="253">
        <v>1</v>
      </c>
      <c r="F386" s="252" t="s">
        <v>581</v>
      </c>
      <c r="G386" s="247"/>
      <c r="H386" s="254">
        <f t="shared" ref="H386" si="33">G386*E386</f>
        <v>0</v>
      </c>
      <c r="I386" s="248"/>
    </row>
    <row r="387" spans="1:9" s="249" customFormat="1" ht="12" customHeight="1">
      <c r="A387" s="250"/>
      <c r="B387" s="242"/>
      <c r="C387" s="638"/>
      <c r="D387" s="243"/>
      <c r="E387" s="253"/>
      <c r="F387" s="252"/>
      <c r="G387" s="254"/>
      <c r="H387" s="254"/>
      <c r="I387" s="248"/>
    </row>
    <row r="388" spans="1:9" s="249" customFormat="1" ht="13.8">
      <c r="A388" s="250">
        <v>25</v>
      </c>
      <c r="B388" s="242"/>
      <c r="C388" s="638" t="s">
        <v>1112</v>
      </c>
      <c r="D388" s="243"/>
      <c r="E388" s="253">
        <v>1</v>
      </c>
      <c r="F388" s="252" t="s">
        <v>581</v>
      </c>
      <c r="G388" s="247"/>
      <c r="H388" s="254">
        <f t="shared" ref="H388" si="34">G388*E388</f>
        <v>0</v>
      </c>
      <c r="I388" s="248"/>
    </row>
    <row r="389" spans="1:9" s="249" customFormat="1" ht="12" customHeight="1">
      <c r="A389" s="250"/>
      <c r="B389" s="242"/>
      <c r="C389" s="638"/>
      <c r="D389" s="243"/>
      <c r="E389" s="253"/>
      <c r="F389" s="252"/>
      <c r="G389" s="254"/>
      <c r="H389" s="254"/>
      <c r="I389" s="248"/>
    </row>
    <row r="390" spans="1:9" s="249" customFormat="1" ht="13.8">
      <c r="A390" s="250">
        <v>26</v>
      </c>
      <c r="B390" s="242"/>
      <c r="C390" s="638" t="s">
        <v>620</v>
      </c>
      <c r="D390" s="243"/>
      <c r="E390" s="253">
        <v>2</v>
      </c>
      <c r="F390" s="252" t="s">
        <v>581</v>
      </c>
      <c r="G390" s="247"/>
      <c r="H390" s="254">
        <f t="shared" ref="H390" si="35">G390*E390</f>
        <v>0</v>
      </c>
      <c r="I390" s="248"/>
    </row>
    <row r="391" spans="1:9" s="249" customFormat="1" ht="12" customHeight="1">
      <c r="A391" s="250"/>
      <c r="B391" s="242"/>
      <c r="C391" s="638"/>
      <c r="D391" s="243"/>
      <c r="E391" s="253"/>
      <c r="F391" s="252"/>
      <c r="G391" s="254"/>
      <c r="H391" s="254"/>
      <c r="I391" s="248"/>
    </row>
    <row r="392" spans="1:9" s="249" customFormat="1" ht="13.8">
      <c r="A392" s="250">
        <v>27</v>
      </c>
      <c r="B392" s="242"/>
      <c r="C392" s="638" t="s">
        <v>1113</v>
      </c>
      <c r="D392" s="243"/>
      <c r="E392" s="253">
        <v>1</v>
      </c>
      <c r="F392" s="252" t="s">
        <v>581</v>
      </c>
      <c r="G392" s="247"/>
      <c r="H392" s="254">
        <f t="shared" ref="H392" si="36">G392*E392</f>
        <v>0</v>
      </c>
      <c r="I392" s="248"/>
    </row>
    <row r="393" spans="1:9" s="264" customFormat="1" ht="13.8">
      <c r="A393" s="259"/>
      <c r="B393" s="233"/>
      <c r="C393" s="820" t="s">
        <v>35</v>
      </c>
      <c r="D393" s="260"/>
      <c r="E393" s="261"/>
      <c r="F393" s="262"/>
      <c r="G393" s="818"/>
      <c r="H393" s="263"/>
    </row>
    <row r="394" spans="1:9" s="264" customFormat="1" ht="13.8">
      <c r="A394" s="265"/>
      <c r="B394" s="266"/>
      <c r="C394" s="821" t="s">
        <v>35</v>
      </c>
      <c r="D394" s="267"/>
      <c r="E394" s="268"/>
      <c r="F394" s="269"/>
      <c r="G394" s="819" t="s">
        <v>36</v>
      </c>
      <c r="H394" s="270">
        <f>SUM(H358:H393)</f>
        <v>0</v>
      </c>
    </row>
    <row r="395" spans="1:9" s="249" customFormat="1" ht="13.8">
      <c r="A395" s="633"/>
      <c r="B395" s="233"/>
      <c r="C395" s="234"/>
      <c r="D395" s="235"/>
      <c r="E395" s="634"/>
      <c r="F395" s="635"/>
      <c r="G395" s="636"/>
      <c r="H395" s="636"/>
      <c r="I395" s="248"/>
    </row>
    <row r="396" spans="1:9" s="249" customFormat="1" ht="13.8">
      <c r="A396" s="250"/>
      <c r="B396" s="242"/>
      <c r="C396" s="637" t="s">
        <v>617</v>
      </c>
      <c r="D396" s="243"/>
      <c r="E396" s="253"/>
      <c r="F396" s="252"/>
      <c r="G396" s="254"/>
      <c r="H396" s="254"/>
      <c r="I396" s="248"/>
    </row>
    <row r="397" spans="1:9" s="249" customFormat="1" ht="27.6">
      <c r="A397" s="250"/>
      <c r="B397" s="242"/>
      <c r="C397" s="637" t="s">
        <v>618</v>
      </c>
      <c r="D397" s="243"/>
      <c r="E397" s="253"/>
      <c r="F397" s="252"/>
      <c r="G397" s="254"/>
      <c r="H397" s="254"/>
      <c r="I397" s="248"/>
    </row>
    <row r="398" spans="1:9" s="249" customFormat="1" ht="13.8">
      <c r="A398" s="250">
        <v>1</v>
      </c>
      <c r="B398" s="242"/>
      <c r="C398" s="638" t="s">
        <v>607</v>
      </c>
      <c r="D398" s="243"/>
      <c r="E398" s="253">
        <f>1+4+9*3*6+5</f>
        <v>172</v>
      </c>
      <c r="F398" s="252" t="s">
        <v>581</v>
      </c>
      <c r="G398" s="247">
        <v>0.5</v>
      </c>
      <c r="H398" s="254">
        <f t="shared" ref="H398" si="37">G398*E398</f>
        <v>86</v>
      </c>
      <c r="I398" s="248"/>
    </row>
    <row r="399" spans="1:9" s="249" customFormat="1" ht="12" customHeight="1">
      <c r="A399" s="250"/>
      <c r="B399" s="242"/>
      <c r="C399" s="638"/>
      <c r="D399" s="243"/>
      <c r="E399" s="253"/>
      <c r="F399" s="252"/>
      <c r="G399" s="254"/>
      <c r="H399" s="254"/>
      <c r="I399" s="248"/>
    </row>
    <row r="400" spans="1:9" s="249" customFormat="1" ht="13.8">
      <c r="A400" s="250">
        <v>2</v>
      </c>
      <c r="B400" s="242"/>
      <c r="C400" s="638" t="s">
        <v>608</v>
      </c>
      <c r="D400" s="243"/>
      <c r="E400" s="253">
        <f>3+10+26*6+5</f>
        <v>174</v>
      </c>
      <c r="F400" s="252" t="s">
        <v>581</v>
      </c>
      <c r="G400" s="247">
        <v>0.7</v>
      </c>
      <c r="H400" s="254">
        <f t="shared" ref="H400" si="38">G400*E400</f>
        <v>121.8</v>
      </c>
      <c r="I400" s="248"/>
    </row>
    <row r="401" spans="1:9" s="249" customFormat="1" ht="12" customHeight="1">
      <c r="A401" s="250"/>
      <c r="B401" s="242"/>
      <c r="C401" s="638"/>
      <c r="D401" s="243"/>
      <c r="E401" s="253"/>
      <c r="F401" s="252"/>
      <c r="G401" s="254"/>
      <c r="H401" s="254"/>
      <c r="I401" s="248"/>
    </row>
    <row r="402" spans="1:9" s="249" customFormat="1" ht="13.8">
      <c r="A402" s="250">
        <v>3</v>
      </c>
      <c r="B402" s="242"/>
      <c r="C402" s="638" t="s">
        <v>609</v>
      </c>
      <c r="D402" s="243"/>
      <c r="E402" s="253">
        <f>2+17+31*6+5</f>
        <v>210</v>
      </c>
      <c r="F402" s="252" t="s">
        <v>581</v>
      </c>
      <c r="G402" s="247">
        <v>1.1000000000000001</v>
      </c>
      <c r="H402" s="254">
        <f t="shared" ref="H402" si="39">G402*E402</f>
        <v>231.00000000000003</v>
      </c>
      <c r="I402" s="248"/>
    </row>
    <row r="403" spans="1:9" s="249" customFormat="1" ht="12" customHeight="1">
      <c r="A403" s="250"/>
      <c r="B403" s="242"/>
      <c r="C403" s="638"/>
      <c r="D403" s="243"/>
      <c r="E403" s="253"/>
      <c r="F403" s="252"/>
      <c r="G403" s="254"/>
      <c r="H403" s="254"/>
      <c r="I403" s="248"/>
    </row>
    <row r="404" spans="1:9" s="249" customFormat="1" ht="13.8">
      <c r="A404" s="250">
        <v>4</v>
      </c>
      <c r="B404" s="242"/>
      <c r="C404" s="638" t="s">
        <v>610</v>
      </c>
      <c r="D404" s="243"/>
      <c r="E404" s="253">
        <f>2+4+6*6+5</f>
        <v>47</v>
      </c>
      <c r="F404" s="252" t="s">
        <v>581</v>
      </c>
      <c r="G404" s="254">
        <v>0.8</v>
      </c>
      <c r="H404" s="254">
        <f t="shared" ref="H404" si="40">G404*E404</f>
        <v>37.6</v>
      </c>
      <c r="I404" s="248"/>
    </row>
    <row r="405" spans="1:9" s="249" customFormat="1" ht="12" customHeight="1">
      <c r="A405" s="250"/>
      <c r="B405" s="242"/>
      <c r="C405" s="638"/>
      <c r="D405" s="243"/>
      <c r="E405" s="253"/>
      <c r="F405" s="252"/>
      <c r="G405" s="254"/>
      <c r="H405" s="254"/>
      <c r="I405" s="248"/>
    </row>
    <row r="406" spans="1:9" s="249" customFormat="1" ht="13.8">
      <c r="A406" s="250">
        <v>5</v>
      </c>
      <c r="B406" s="242"/>
      <c r="C406" s="638" t="s">
        <v>611</v>
      </c>
      <c r="D406" s="243"/>
      <c r="E406" s="253">
        <f>9*6+5</f>
        <v>59</v>
      </c>
      <c r="F406" s="252" t="s">
        <v>581</v>
      </c>
      <c r="G406" s="247">
        <v>2</v>
      </c>
      <c r="H406" s="254">
        <f t="shared" ref="H406:H407" si="41">G406*E406</f>
        <v>118</v>
      </c>
      <c r="I406" s="248"/>
    </row>
    <row r="407" spans="1:9" s="249" customFormat="1" ht="12" customHeight="1">
      <c r="A407" s="250"/>
      <c r="B407" s="242"/>
      <c r="C407" s="638" t="s">
        <v>1237</v>
      </c>
      <c r="D407" s="243"/>
      <c r="E407" s="253">
        <v>130</v>
      </c>
      <c r="F407" s="252"/>
      <c r="G407" s="254">
        <v>1.4</v>
      </c>
      <c r="H407" s="254">
        <f t="shared" si="41"/>
        <v>182</v>
      </c>
      <c r="I407" s="248"/>
    </row>
    <row r="408" spans="1:9" s="249" customFormat="1" ht="13.8">
      <c r="A408" s="250">
        <v>6</v>
      </c>
      <c r="B408" s="242"/>
      <c r="C408" s="638" t="s">
        <v>613</v>
      </c>
      <c r="D408" s="243"/>
      <c r="E408" s="253">
        <f>318+2+5</f>
        <v>325</v>
      </c>
      <c r="F408" s="252" t="s">
        <v>581</v>
      </c>
      <c r="G408" s="247">
        <v>2.9</v>
      </c>
      <c r="H408" s="254">
        <f t="shared" ref="H408" si="42">G408*E408</f>
        <v>942.5</v>
      </c>
      <c r="I408" s="248"/>
    </row>
    <row r="409" spans="1:9" s="249" customFormat="1" ht="12" customHeight="1">
      <c r="A409" s="250"/>
      <c r="B409" s="242"/>
      <c r="C409" s="638"/>
      <c r="D409" s="243"/>
      <c r="E409" s="253"/>
      <c r="F409" s="252"/>
      <c r="G409" s="254"/>
      <c r="H409" s="254"/>
      <c r="I409" s="248"/>
    </row>
    <row r="410" spans="1:9" s="249" customFormat="1" ht="13.8">
      <c r="A410" s="250">
        <v>7</v>
      </c>
      <c r="B410" s="242"/>
      <c r="C410" s="638" t="s">
        <v>614</v>
      </c>
      <c r="D410" s="243"/>
      <c r="E410" s="253">
        <f>66+78+2+5</f>
        <v>151</v>
      </c>
      <c r="F410" s="252" t="s">
        <v>581</v>
      </c>
      <c r="G410" s="247">
        <v>3.9</v>
      </c>
      <c r="H410" s="254">
        <f t="shared" ref="H410" si="43">G410*E410</f>
        <v>588.9</v>
      </c>
      <c r="I410" s="248"/>
    </row>
    <row r="411" spans="1:9" s="249" customFormat="1" ht="12" customHeight="1">
      <c r="A411" s="250"/>
      <c r="B411" s="242"/>
      <c r="C411" s="638"/>
      <c r="D411" s="243"/>
      <c r="E411" s="253"/>
      <c r="F411" s="252"/>
      <c r="G411" s="254"/>
      <c r="H411" s="254"/>
      <c r="I411" s="248"/>
    </row>
    <row r="412" spans="1:9" s="249" customFormat="1" ht="27.6">
      <c r="A412" s="250">
        <v>8</v>
      </c>
      <c r="B412" s="242"/>
      <c r="C412" s="638" t="s">
        <v>615</v>
      </c>
      <c r="D412" s="243"/>
      <c r="E412" s="253">
        <f>59+92</f>
        <v>151</v>
      </c>
      <c r="F412" s="252" t="s">
        <v>581</v>
      </c>
      <c r="G412" s="247">
        <v>1.5</v>
      </c>
      <c r="H412" s="254">
        <f t="shared" ref="H412:H420" si="44">G412*E412</f>
        <v>226.5</v>
      </c>
      <c r="I412" s="248"/>
    </row>
    <row r="413" spans="1:9" s="249" customFormat="1" ht="12" customHeight="1">
      <c r="A413" s="250"/>
      <c r="B413" s="242"/>
      <c r="C413" s="638"/>
      <c r="D413" s="243"/>
      <c r="E413" s="253"/>
      <c r="F413" s="252"/>
      <c r="G413" s="254"/>
      <c r="H413" s="254"/>
      <c r="I413" s="248"/>
    </row>
    <row r="414" spans="1:9" s="249" customFormat="1" ht="27.6">
      <c r="A414" s="250">
        <v>9</v>
      </c>
      <c r="B414" s="242"/>
      <c r="C414" s="638" t="s">
        <v>616</v>
      </c>
      <c r="D414" s="243"/>
      <c r="E414" s="253">
        <f>34+140</f>
        <v>174</v>
      </c>
      <c r="F414" s="252" t="s">
        <v>581</v>
      </c>
      <c r="G414" s="247">
        <v>1.5</v>
      </c>
      <c r="H414" s="254">
        <f t="shared" si="44"/>
        <v>261</v>
      </c>
      <c r="I414" s="248"/>
    </row>
    <row r="415" spans="1:9" s="249" customFormat="1" ht="12" customHeight="1">
      <c r="A415" s="250"/>
      <c r="B415" s="242"/>
      <c r="C415" s="638"/>
      <c r="D415" s="243"/>
      <c r="E415" s="253"/>
      <c r="F415" s="252"/>
      <c r="G415" s="254"/>
      <c r="H415" s="254"/>
      <c r="I415" s="248"/>
    </row>
    <row r="416" spans="1:9" s="249" customFormat="1" ht="13.8">
      <c r="A416" s="250">
        <v>10</v>
      </c>
      <c r="B416" s="242"/>
      <c r="C416" s="638" t="s">
        <v>1108</v>
      </c>
      <c r="D416" s="243"/>
      <c r="E416" s="253">
        <f>30*6+3+5</f>
        <v>188</v>
      </c>
      <c r="F416" s="252" t="s">
        <v>581</v>
      </c>
      <c r="G416" s="247">
        <v>1</v>
      </c>
      <c r="H416" s="254">
        <f t="shared" si="44"/>
        <v>188</v>
      </c>
      <c r="I416" s="248"/>
    </row>
    <row r="417" spans="1:9" s="249" customFormat="1" ht="12" customHeight="1">
      <c r="A417" s="250"/>
      <c r="B417" s="242"/>
      <c r="C417" s="638"/>
      <c r="D417" s="243"/>
      <c r="E417" s="253"/>
      <c r="F417" s="252"/>
      <c r="G417" s="254"/>
      <c r="H417" s="254"/>
      <c r="I417" s="248"/>
    </row>
    <row r="418" spans="1:9" s="249" customFormat="1" ht="27.6">
      <c r="A418" s="250">
        <v>11</v>
      </c>
      <c r="B418" s="242"/>
      <c r="C418" s="638" t="s">
        <v>1109</v>
      </c>
      <c r="D418" s="243"/>
      <c r="E418" s="253">
        <f>29+5</f>
        <v>34</v>
      </c>
      <c r="F418" s="252" t="s">
        <v>581</v>
      </c>
      <c r="G418" s="247">
        <v>2.6</v>
      </c>
      <c r="H418" s="254">
        <f t="shared" ref="H418" si="45">G418*E418</f>
        <v>88.4</v>
      </c>
      <c r="I418" s="248"/>
    </row>
    <row r="419" spans="1:9" s="249" customFormat="1" ht="12" customHeight="1">
      <c r="A419" s="250"/>
      <c r="B419" s="242"/>
      <c r="C419" s="638"/>
      <c r="D419" s="243"/>
      <c r="E419" s="253"/>
      <c r="F419" s="252"/>
      <c r="G419" s="254"/>
      <c r="H419" s="254"/>
      <c r="I419" s="248"/>
    </row>
    <row r="420" spans="1:9" s="249" customFormat="1" ht="27.6">
      <c r="A420" s="250">
        <v>12</v>
      </c>
      <c r="B420" s="242"/>
      <c r="C420" s="638" t="s">
        <v>619</v>
      </c>
      <c r="D420" s="243"/>
      <c r="E420" s="253">
        <f>130+10</f>
        <v>140</v>
      </c>
      <c r="F420" s="252" t="s">
        <v>581</v>
      </c>
      <c r="G420" s="247">
        <v>1.6</v>
      </c>
      <c r="H420" s="254">
        <f t="shared" si="44"/>
        <v>224</v>
      </c>
      <c r="I420" s="248"/>
    </row>
    <row r="421" spans="1:9" s="249" customFormat="1" ht="12" customHeight="1">
      <c r="A421" s="250"/>
      <c r="B421" s="242"/>
      <c r="C421" s="638"/>
      <c r="D421" s="243"/>
      <c r="E421" s="253"/>
      <c r="F421" s="252"/>
      <c r="G421" s="254"/>
      <c r="H421" s="254"/>
      <c r="I421" s="248"/>
    </row>
    <row r="422" spans="1:9" s="249" customFormat="1" ht="27.6">
      <c r="A422" s="250">
        <v>13</v>
      </c>
      <c r="B422" s="242"/>
      <c r="C422" s="638" t="s">
        <v>1110</v>
      </c>
      <c r="D422" s="243"/>
      <c r="E422" s="253">
        <v>1</v>
      </c>
      <c r="F422" s="252" t="s">
        <v>581</v>
      </c>
      <c r="G422" s="247">
        <v>6.6</v>
      </c>
      <c r="H422" s="254">
        <f t="shared" ref="H422" si="46">G422*E422</f>
        <v>6.6</v>
      </c>
      <c r="I422" s="248"/>
    </row>
    <row r="423" spans="1:9" s="249" customFormat="1" ht="12" customHeight="1">
      <c r="A423" s="250"/>
      <c r="B423" s="242"/>
      <c r="C423" s="638"/>
      <c r="D423" s="243"/>
      <c r="E423" s="253"/>
      <c r="F423" s="252"/>
      <c r="G423" s="254"/>
      <c r="H423" s="254"/>
      <c r="I423" s="248"/>
    </row>
    <row r="424" spans="1:9" s="249" customFormat="1" ht="13.8">
      <c r="A424" s="250">
        <v>14</v>
      </c>
      <c r="B424" s="242"/>
      <c r="C424" s="638" t="s">
        <v>1111</v>
      </c>
      <c r="D424" s="243"/>
      <c r="E424" s="253">
        <v>1</v>
      </c>
      <c r="F424" s="252" t="s">
        <v>581</v>
      </c>
      <c r="G424" s="247">
        <v>1.8</v>
      </c>
      <c r="H424" s="254">
        <f t="shared" ref="H424" si="47">G424*E424</f>
        <v>1.8</v>
      </c>
      <c r="I424" s="248"/>
    </row>
    <row r="425" spans="1:9" s="249" customFormat="1" ht="12" customHeight="1">
      <c r="A425" s="250"/>
      <c r="B425" s="242"/>
      <c r="C425" s="638"/>
      <c r="D425" s="243"/>
      <c r="E425" s="253"/>
      <c r="F425" s="252"/>
      <c r="G425" s="254"/>
      <c r="H425" s="254"/>
      <c r="I425" s="248"/>
    </row>
    <row r="426" spans="1:9" s="249" customFormat="1" ht="13.8">
      <c r="A426" s="250">
        <v>15</v>
      </c>
      <c r="B426" s="242"/>
      <c r="C426" s="638" t="s">
        <v>1112</v>
      </c>
      <c r="D426" s="243"/>
      <c r="E426" s="253">
        <v>1</v>
      </c>
      <c r="F426" s="252" t="s">
        <v>581</v>
      </c>
      <c r="G426" s="247">
        <v>2.4</v>
      </c>
      <c r="H426" s="254">
        <f t="shared" ref="H426" si="48">G426*E426</f>
        <v>2.4</v>
      </c>
      <c r="I426" s="248"/>
    </row>
    <row r="427" spans="1:9" s="249" customFormat="1" ht="12" customHeight="1">
      <c r="A427" s="250"/>
      <c r="B427" s="242"/>
      <c r="C427" s="638"/>
      <c r="D427" s="243"/>
      <c r="E427" s="253"/>
      <c r="F427" s="252"/>
      <c r="G427" s="254"/>
      <c r="H427" s="254"/>
      <c r="I427" s="248"/>
    </row>
    <row r="428" spans="1:9" s="249" customFormat="1" ht="13.8">
      <c r="A428" s="250">
        <v>16</v>
      </c>
      <c r="B428" s="242"/>
      <c r="C428" s="638" t="s">
        <v>620</v>
      </c>
      <c r="D428" s="243"/>
      <c r="E428" s="253">
        <v>2</v>
      </c>
      <c r="F428" s="252" t="s">
        <v>581</v>
      </c>
      <c r="G428" s="247">
        <v>3.1</v>
      </c>
      <c r="H428" s="254">
        <f t="shared" ref="H428" si="49">G428*E428</f>
        <v>6.2</v>
      </c>
      <c r="I428" s="248"/>
    </row>
    <row r="429" spans="1:9" s="249" customFormat="1" ht="12" customHeight="1">
      <c r="A429" s="250"/>
      <c r="B429" s="242"/>
      <c r="C429" s="638"/>
      <c r="D429" s="243"/>
      <c r="E429" s="253"/>
      <c r="F429" s="252"/>
      <c r="G429" s="254"/>
      <c r="H429" s="254"/>
      <c r="I429" s="248"/>
    </row>
    <row r="430" spans="1:9" s="249" customFormat="1" ht="13.8">
      <c r="A430" s="250">
        <v>17</v>
      </c>
      <c r="B430" s="242"/>
      <c r="C430" s="638" t="s">
        <v>1113</v>
      </c>
      <c r="D430" s="243"/>
      <c r="E430" s="253">
        <v>1</v>
      </c>
      <c r="F430" s="252" t="s">
        <v>581</v>
      </c>
      <c r="G430" s="247">
        <v>3.1</v>
      </c>
      <c r="H430" s="254">
        <f t="shared" ref="H430" si="50">G430*E430</f>
        <v>3.1</v>
      </c>
      <c r="I430" s="248"/>
    </row>
    <row r="431" spans="1:9" s="264" customFormat="1" ht="13.8">
      <c r="A431" s="259"/>
      <c r="B431" s="233"/>
      <c r="C431" s="816" t="s">
        <v>35</v>
      </c>
      <c r="D431" s="427"/>
      <c r="E431" s="261"/>
      <c r="F431" s="428"/>
      <c r="G431" s="818"/>
      <c r="H431" s="263"/>
    </row>
    <row r="432" spans="1:9" s="264" customFormat="1" ht="13.8">
      <c r="A432" s="265"/>
      <c r="B432" s="266"/>
      <c r="C432" s="817" t="s">
        <v>35</v>
      </c>
      <c r="D432" s="429"/>
      <c r="E432" s="430"/>
      <c r="F432" s="431"/>
      <c r="G432" s="819" t="s">
        <v>36</v>
      </c>
      <c r="H432" s="432">
        <f>SUM(H395:H431)</f>
        <v>3315.8</v>
      </c>
    </row>
    <row r="433" spans="1:9" s="249" customFormat="1" ht="13.8">
      <c r="A433" s="250"/>
      <c r="B433" s="242"/>
      <c r="C433" s="638"/>
      <c r="D433" s="243"/>
      <c r="E433" s="253"/>
      <c r="F433" s="252"/>
      <c r="G433" s="254"/>
      <c r="H433" s="254"/>
      <c r="I433" s="248"/>
    </row>
    <row r="434" spans="1:9" s="249" customFormat="1" ht="27.6">
      <c r="A434" s="250"/>
      <c r="B434" s="242"/>
      <c r="C434" s="637" t="s">
        <v>586</v>
      </c>
      <c r="D434" s="243"/>
      <c r="E434" s="253"/>
      <c r="F434" s="252"/>
      <c r="G434" s="254"/>
      <c r="H434" s="254"/>
      <c r="I434" s="248"/>
    </row>
    <row r="435" spans="1:9" s="249" customFormat="1" ht="13.8">
      <c r="A435" s="250"/>
      <c r="B435" s="242"/>
      <c r="C435" s="637"/>
      <c r="D435" s="243"/>
      <c r="E435" s="253"/>
      <c r="F435" s="252"/>
      <c r="G435" s="254"/>
      <c r="H435" s="254"/>
      <c r="I435" s="248"/>
    </row>
    <row r="436" spans="1:9" s="249" customFormat="1" ht="27.6">
      <c r="A436" s="250"/>
      <c r="B436" s="242"/>
      <c r="C436" s="637" t="s">
        <v>621</v>
      </c>
      <c r="D436" s="243"/>
      <c r="E436" s="253"/>
      <c r="F436" s="252"/>
      <c r="G436" s="254"/>
      <c r="H436" s="254"/>
      <c r="I436" s="248"/>
    </row>
    <row r="437" spans="1:9" s="249" customFormat="1" ht="13.8">
      <c r="A437" s="250"/>
      <c r="B437" s="242"/>
      <c r="C437" s="638"/>
      <c r="D437" s="243"/>
      <c r="E437" s="253"/>
      <c r="F437" s="252"/>
      <c r="G437" s="254"/>
      <c r="H437" s="254"/>
      <c r="I437" s="248"/>
    </row>
    <row r="438" spans="1:9" s="249" customFormat="1" ht="55.2">
      <c r="A438" s="250"/>
      <c r="B438" s="242"/>
      <c r="C438" s="638" t="s">
        <v>1114</v>
      </c>
      <c r="D438" s="243"/>
      <c r="E438" s="253"/>
      <c r="F438" s="252"/>
      <c r="G438" s="254"/>
      <c r="H438" s="254"/>
      <c r="I438" s="248"/>
    </row>
    <row r="439" spans="1:9" s="249" customFormat="1" ht="13.8">
      <c r="A439" s="250"/>
      <c r="B439" s="242"/>
      <c r="C439" s="638"/>
      <c r="D439" s="243"/>
      <c r="E439" s="253"/>
      <c r="F439" s="252"/>
      <c r="G439" s="254"/>
      <c r="H439" s="254"/>
      <c r="I439" s="248"/>
    </row>
    <row r="440" spans="1:9" s="249" customFormat="1" ht="27.6">
      <c r="A440" s="250"/>
      <c r="B440" s="242"/>
      <c r="C440" s="638" t="s">
        <v>622</v>
      </c>
      <c r="D440" s="243"/>
      <c r="E440" s="253"/>
      <c r="F440" s="252"/>
      <c r="G440" s="254"/>
      <c r="H440" s="254"/>
      <c r="I440" s="248"/>
    </row>
    <row r="441" spans="1:9" s="249" customFormat="1" ht="13.8">
      <c r="A441" s="250"/>
      <c r="B441" s="242"/>
      <c r="C441" s="638"/>
      <c r="D441" s="243"/>
      <c r="E441" s="253"/>
      <c r="F441" s="252"/>
      <c r="G441" s="254"/>
      <c r="H441" s="254"/>
      <c r="I441" s="248"/>
    </row>
    <row r="442" spans="1:9" s="249" customFormat="1" ht="27.6">
      <c r="A442" s="250">
        <v>1</v>
      </c>
      <c r="B442" s="242"/>
      <c r="C442" s="638" t="s">
        <v>623</v>
      </c>
      <c r="D442" s="243"/>
      <c r="E442" s="253">
        <f>4+14+20+4</f>
        <v>42</v>
      </c>
      <c r="F442" s="252" t="s">
        <v>624</v>
      </c>
      <c r="G442" s="247">
        <v>6.8</v>
      </c>
      <c r="H442" s="254">
        <f>E442*G442</f>
        <v>285.59999999999997</v>
      </c>
      <c r="I442" s="248"/>
    </row>
    <row r="443" spans="1:9" s="249" customFormat="1" ht="13.8">
      <c r="A443" s="250"/>
      <c r="B443" s="242"/>
      <c r="C443" s="638"/>
      <c r="D443" s="243"/>
      <c r="E443" s="253"/>
      <c r="F443" s="252"/>
      <c r="G443" s="254"/>
      <c r="H443" s="254"/>
      <c r="I443" s="248"/>
    </row>
    <row r="444" spans="1:9" s="249" customFormat="1" ht="13.8">
      <c r="A444" s="250">
        <v>2</v>
      </c>
      <c r="B444" s="242"/>
      <c r="C444" s="638" t="s">
        <v>1115</v>
      </c>
      <c r="D444" s="243"/>
      <c r="E444" s="253">
        <v>5</v>
      </c>
      <c r="F444" s="252" t="s">
        <v>624</v>
      </c>
      <c r="G444" s="247">
        <v>29.35</v>
      </c>
      <c r="H444" s="254">
        <f t="shared" ref="H444:H450" si="51">E444*G444</f>
        <v>146.75</v>
      </c>
      <c r="I444" s="248"/>
    </row>
    <row r="445" spans="1:9" s="249" customFormat="1" ht="13.8">
      <c r="A445" s="250"/>
      <c r="B445" s="242"/>
      <c r="C445" s="638"/>
      <c r="D445" s="243"/>
      <c r="E445" s="253"/>
      <c r="F445" s="252"/>
      <c r="G445" s="254"/>
      <c r="H445" s="254"/>
      <c r="I445" s="248"/>
    </row>
    <row r="446" spans="1:9" s="249" customFormat="1" ht="13.8">
      <c r="A446" s="250">
        <v>3</v>
      </c>
      <c r="B446" s="242"/>
      <c r="C446" s="638" t="s">
        <v>625</v>
      </c>
      <c r="D446" s="243"/>
      <c r="E446" s="253">
        <v>60</v>
      </c>
      <c r="F446" s="252" t="s">
        <v>581</v>
      </c>
      <c r="G446" s="247"/>
      <c r="H446" s="254">
        <f t="shared" si="51"/>
        <v>0</v>
      </c>
      <c r="I446" s="248"/>
    </row>
    <row r="447" spans="1:9" s="249" customFormat="1" ht="13.8">
      <c r="A447" s="250"/>
      <c r="B447" s="242"/>
      <c r="C447" s="638"/>
      <c r="D447" s="243"/>
      <c r="E447" s="253"/>
      <c r="F447" s="252"/>
      <c r="G447" s="254"/>
      <c r="H447" s="254"/>
      <c r="I447" s="248"/>
    </row>
    <row r="448" spans="1:9" s="249" customFormat="1" ht="13.8">
      <c r="A448" s="250">
        <v>4</v>
      </c>
      <c r="B448" s="242"/>
      <c r="C448" s="638" t="s">
        <v>626</v>
      </c>
      <c r="D448" s="243"/>
      <c r="E448" s="253">
        <v>3</v>
      </c>
      <c r="F448" s="252" t="s">
        <v>581</v>
      </c>
      <c r="G448" s="247">
        <v>10.8</v>
      </c>
      <c r="H448" s="254">
        <f t="shared" si="51"/>
        <v>32.400000000000006</v>
      </c>
      <c r="I448" s="248"/>
    </row>
    <row r="449" spans="1:9" s="249" customFormat="1" ht="13.8">
      <c r="A449" s="250"/>
      <c r="B449" s="242"/>
      <c r="C449" s="638"/>
      <c r="D449" s="243"/>
      <c r="E449" s="253"/>
      <c r="F449" s="252"/>
      <c r="G449" s="254"/>
      <c r="H449" s="254"/>
      <c r="I449" s="248"/>
    </row>
    <row r="450" spans="1:9" s="249" customFormat="1" ht="13.8">
      <c r="A450" s="250">
        <v>5</v>
      </c>
      <c r="B450" s="242"/>
      <c r="C450" s="638" t="s">
        <v>627</v>
      </c>
      <c r="D450" s="243"/>
      <c r="E450" s="253">
        <v>1</v>
      </c>
      <c r="F450" s="252" t="s">
        <v>581</v>
      </c>
      <c r="G450" s="247">
        <v>34.6</v>
      </c>
      <c r="H450" s="254">
        <f t="shared" si="51"/>
        <v>34.6</v>
      </c>
      <c r="I450" s="248"/>
    </row>
    <row r="451" spans="1:9" s="249" customFormat="1" ht="13.8">
      <c r="A451" s="250"/>
      <c r="B451" s="242"/>
      <c r="C451" s="638"/>
      <c r="D451" s="243"/>
      <c r="E451" s="253"/>
      <c r="F451" s="252"/>
      <c r="G451" s="254"/>
      <c r="H451" s="254"/>
      <c r="I451" s="248"/>
    </row>
    <row r="452" spans="1:9" s="249" customFormat="1" ht="27.6">
      <c r="A452" s="250"/>
      <c r="B452" s="242"/>
      <c r="C452" s="637" t="s">
        <v>628</v>
      </c>
      <c r="D452" s="243"/>
      <c r="E452" s="253"/>
      <c r="F452" s="252"/>
      <c r="G452" s="254"/>
      <c r="H452" s="254"/>
      <c r="I452" s="248"/>
    </row>
    <row r="453" spans="1:9" s="249" customFormat="1" ht="13.8">
      <c r="A453" s="250"/>
      <c r="B453" s="242"/>
      <c r="C453" s="638"/>
      <c r="D453" s="243"/>
      <c r="E453" s="253"/>
      <c r="F453" s="252"/>
      <c r="G453" s="254"/>
      <c r="H453" s="254"/>
      <c r="I453" s="248"/>
    </row>
    <row r="454" spans="1:9" s="249" customFormat="1" ht="96.6">
      <c r="A454" s="250" t="s">
        <v>25</v>
      </c>
      <c r="B454" s="242"/>
      <c r="C454" s="638" t="s">
        <v>629</v>
      </c>
      <c r="D454" s="243"/>
      <c r="E454" s="253">
        <v>1</v>
      </c>
      <c r="F454" s="252" t="s">
        <v>76</v>
      </c>
      <c r="G454" s="247"/>
      <c r="H454" s="254">
        <f>SUM(G454*E454)</f>
        <v>0</v>
      </c>
      <c r="I454" s="248"/>
    </row>
    <row r="455" spans="1:9" s="264" customFormat="1" ht="13.8">
      <c r="A455" s="259"/>
      <c r="B455" s="233"/>
      <c r="C455" s="816" t="s">
        <v>35</v>
      </c>
      <c r="D455" s="427"/>
      <c r="E455" s="261"/>
      <c r="F455" s="428"/>
      <c r="G455" s="818"/>
      <c r="H455" s="263"/>
    </row>
    <row r="456" spans="1:9" s="264" customFormat="1" ht="13.8">
      <c r="A456" s="265"/>
      <c r="B456" s="266"/>
      <c r="C456" s="817" t="s">
        <v>35</v>
      </c>
      <c r="D456" s="429"/>
      <c r="E456" s="430"/>
      <c r="F456" s="431"/>
      <c r="G456" s="819" t="s">
        <v>36</v>
      </c>
      <c r="H456" s="432">
        <f>SUM(H434:H455)</f>
        <v>499.35</v>
      </c>
    </row>
    <row r="457" spans="1:9" s="249" customFormat="1" ht="13.8">
      <c r="A457" s="633"/>
      <c r="B457" s="233"/>
      <c r="C457" s="234"/>
      <c r="D457" s="235"/>
      <c r="E457" s="634"/>
      <c r="F457" s="635"/>
      <c r="G457" s="636"/>
      <c r="H457" s="636"/>
      <c r="I457" s="248"/>
    </row>
    <row r="458" spans="1:9" s="249" customFormat="1" ht="13.8">
      <c r="A458" s="250"/>
      <c r="B458" s="242"/>
      <c r="C458" s="637" t="s">
        <v>630</v>
      </c>
      <c r="D458" s="243"/>
      <c r="E458" s="253"/>
      <c r="F458" s="252"/>
      <c r="G458" s="254"/>
      <c r="H458" s="254"/>
      <c r="I458" s="248"/>
    </row>
    <row r="459" spans="1:9" s="249" customFormat="1" ht="27.6">
      <c r="A459" s="250"/>
      <c r="B459" s="242"/>
      <c r="C459" s="637" t="s">
        <v>631</v>
      </c>
      <c r="D459" s="243"/>
      <c r="E459" s="253"/>
      <c r="F459" s="252"/>
      <c r="G459" s="254"/>
      <c r="H459" s="254"/>
      <c r="I459" s="248"/>
    </row>
    <row r="460" spans="1:9" s="249" customFormat="1" ht="13.8">
      <c r="A460" s="250"/>
      <c r="B460" s="242"/>
      <c r="C460" s="638"/>
      <c r="D460" s="243"/>
      <c r="E460" s="253"/>
      <c r="F460" s="252"/>
      <c r="G460" s="254"/>
      <c r="H460" s="254"/>
      <c r="I460" s="248"/>
    </row>
    <row r="461" spans="1:9" s="249" customFormat="1" ht="13.8">
      <c r="A461" s="250">
        <v>1</v>
      </c>
      <c r="B461" s="242"/>
      <c r="C461" s="638" t="s">
        <v>1116</v>
      </c>
      <c r="D461" s="243"/>
      <c r="E461" s="253">
        <v>6</v>
      </c>
      <c r="F461" s="252" t="s">
        <v>581</v>
      </c>
      <c r="G461" s="247">
        <v>20</v>
      </c>
      <c r="H461" s="254">
        <f>G461*E461</f>
        <v>120</v>
      </c>
      <c r="I461" s="248"/>
    </row>
    <row r="462" spans="1:9" s="249" customFormat="1" ht="13.8">
      <c r="A462" s="250"/>
      <c r="B462" s="242"/>
      <c r="C462" s="638"/>
      <c r="D462" s="243"/>
      <c r="E462" s="253"/>
      <c r="F462" s="252"/>
      <c r="G462" s="254"/>
      <c r="H462" s="254"/>
      <c r="I462" s="248"/>
    </row>
    <row r="463" spans="1:9" s="249" customFormat="1" ht="27.6">
      <c r="A463" s="250">
        <v>2</v>
      </c>
      <c r="B463" s="242"/>
      <c r="C463" s="638" t="s">
        <v>1117</v>
      </c>
      <c r="D463" s="243"/>
      <c r="E463" s="253">
        <v>6</v>
      </c>
      <c r="F463" s="252" t="s">
        <v>581</v>
      </c>
      <c r="G463" s="247">
        <v>20</v>
      </c>
      <c r="H463" s="254">
        <f t="shared" ref="H463:H503" si="52">G463*E463</f>
        <v>120</v>
      </c>
      <c r="I463" s="248"/>
    </row>
    <row r="464" spans="1:9" s="249" customFormat="1" ht="13.8">
      <c r="A464" s="250"/>
      <c r="B464" s="242"/>
      <c r="C464" s="638"/>
      <c r="D464" s="243"/>
      <c r="E464" s="253"/>
      <c r="F464" s="252"/>
      <c r="G464" s="254"/>
      <c r="H464" s="254"/>
      <c r="I464" s="248"/>
    </row>
    <row r="465" spans="1:9" s="249" customFormat="1" ht="13.8">
      <c r="A465" s="250"/>
      <c r="B465" s="242"/>
      <c r="C465" s="637" t="s">
        <v>617</v>
      </c>
      <c r="D465" s="243"/>
      <c r="E465" s="253"/>
      <c r="F465" s="252"/>
      <c r="G465" s="254"/>
      <c r="H465" s="254"/>
      <c r="I465" s="248"/>
    </row>
    <row r="466" spans="1:9" s="249" customFormat="1" ht="13.8">
      <c r="A466" s="250"/>
      <c r="B466" s="242"/>
      <c r="C466" s="638"/>
      <c r="D466" s="243"/>
      <c r="E466" s="253"/>
      <c r="F466" s="252"/>
      <c r="G466" s="254"/>
      <c r="H466" s="254"/>
      <c r="I466" s="248"/>
    </row>
    <row r="467" spans="1:9" s="249" customFormat="1" ht="27.6">
      <c r="A467" s="250"/>
      <c r="B467" s="242"/>
      <c r="C467" s="638" t="s">
        <v>632</v>
      </c>
      <c r="D467" s="243"/>
      <c r="E467" s="253"/>
      <c r="F467" s="252"/>
      <c r="G467" s="254"/>
      <c r="H467" s="254"/>
      <c r="I467" s="248"/>
    </row>
    <row r="468" spans="1:9" s="249" customFormat="1" ht="13.8">
      <c r="A468" s="250"/>
      <c r="B468" s="242"/>
      <c r="C468" s="638"/>
      <c r="D468" s="243"/>
      <c r="E468" s="253"/>
      <c r="F468" s="252"/>
      <c r="G468" s="254"/>
      <c r="H468" s="254"/>
      <c r="I468" s="248"/>
    </row>
    <row r="469" spans="1:9" s="249" customFormat="1" ht="13.8">
      <c r="A469" s="250">
        <v>1</v>
      </c>
      <c r="B469" s="242"/>
      <c r="C469" s="638" t="s">
        <v>1116</v>
      </c>
      <c r="D469" s="243"/>
      <c r="E469" s="253">
        <v>6</v>
      </c>
      <c r="F469" s="252" t="s">
        <v>581</v>
      </c>
      <c r="G469" s="247">
        <v>235</v>
      </c>
      <c r="H469" s="254">
        <f>G469*E469</f>
        <v>1410</v>
      </c>
      <c r="I469" s="248"/>
    </row>
    <row r="470" spans="1:9" s="249" customFormat="1" ht="13.8">
      <c r="A470" s="250"/>
      <c r="B470" s="242"/>
      <c r="C470" s="638"/>
      <c r="D470" s="243"/>
      <c r="E470" s="253"/>
      <c r="F470" s="252"/>
      <c r="G470" s="254"/>
      <c r="H470" s="254"/>
      <c r="I470" s="248"/>
    </row>
    <row r="471" spans="1:9" s="249" customFormat="1" ht="27.6">
      <c r="A471" s="250">
        <v>2</v>
      </c>
      <c r="B471" s="242"/>
      <c r="C471" s="638" t="s">
        <v>1117</v>
      </c>
      <c r="D471" s="243"/>
      <c r="E471" s="253">
        <v>6</v>
      </c>
      <c r="F471" s="252" t="s">
        <v>581</v>
      </c>
      <c r="G471" s="247">
        <v>140</v>
      </c>
      <c r="H471" s="254">
        <f t="shared" ref="H471" si="53">G471*E471</f>
        <v>840</v>
      </c>
      <c r="I471" s="248"/>
    </row>
    <row r="472" spans="1:9" s="249" customFormat="1" ht="13.8">
      <c r="A472" s="250"/>
      <c r="B472" s="242"/>
      <c r="C472" s="638"/>
      <c r="D472" s="243"/>
      <c r="E472" s="253"/>
      <c r="F472" s="252"/>
      <c r="G472" s="254"/>
      <c r="H472" s="254"/>
      <c r="I472" s="248"/>
    </row>
    <row r="473" spans="1:9" s="249" customFormat="1" ht="13.8">
      <c r="A473" s="250">
        <v>3</v>
      </c>
      <c r="B473" s="242"/>
      <c r="C473" s="638" t="s">
        <v>1118</v>
      </c>
      <c r="D473" s="243"/>
      <c r="E473" s="253">
        <v>1</v>
      </c>
      <c r="F473" s="252" t="s">
        <v>581</v>
      </c>
      <c r="G473" s="247">
        <v>85</v>
      </c>
      <c r="H473" s="254">
        <f t="shared" si="52"/>
        <v>85</v>
      </c>
      <c r="I473" s="248"/>
    </row>
    <row r="474" spans="1:9" s="249" customFormat="1" ht="13.8">
      <c r="A474" s="250"/>
      <c r="B474" s="242"/>
      <c r="C474" s="638"/>
      <c r="D474" s="243"/>
      <c r="E474" s="253"/>
      <c r="F474" s="252"/>
      <c r="G474" s="254"/>
      <c r="H474" s="254"/>
      <c r="I474" s="248"/>
    </row>
    <row r="475" spans="1:9" s="249" customFormat="1" ht="13.8">
      <c r="A475" s="250">
        <v>4</v>
      </c>
      <c r="B475" s="242"/>
      <c r="C475" s="638" t="s">
        <v>633</v>
      </c>
      <c r="D475" s="243"/>
      <c r="E475" s="253">
        <v>1</v>
      </c>
      <c r="F475" s="252" t="s">
        <v>581</v>
      </c>
      <c r="G475" s="247">
        <v>80</v>
      </c>
      <c r="H475" s="254">
        <f t="shared" si="52"/>
        <v>80</v>
      </c>
      <c r="I475" s="248"/>
    </row>
    <row r="476" spans="1:9" s="249" customFormat="1" ht="13.8">
      <c r="A476" s="250"/>
      <c r="B476" s="242"/>
      <c r="C476" s="638"/>
      <c r="D476" s="243"/>
      <c r="E476" s="253"/>
      <c r="F476" s="252"/>
      <c r="G476" s="254"/>
      <c r="H476" s="254"/>
      <c r="I476" s="248"/>
    </row>
    <row r="477" spans="1:9" s="249" customFormat="1" ht="13.8">
      <c r="A477" s="250">
        <v>5</v>
      </c>
      <c r="B477" s="242"/>
      <c r="C477" s="638" t="s">
        <v>634</v>
      </c>
      <c r="D477" s="243"/>
      <c r="E477" s="253">
        <v>1</v>
      </c>
      <c r="F477" s="252" t="s">
        <v>581</v>
      </c>
      <c r="G477" s="247">
        <v>22</v>
      </c>
      <c r="H477" s="254">
        <f t="shared" si="52"/>
        <v>22</v>
      </c>
      <c r="I477" s="248"/>
    </row>
    <row r="478" spans="1:9" s="249" customFormat="1" ht="13.8">
      <c r="A478" s="250"/>
      <c r="B478" s="242"/>
      <c r="C478" s="638"/>
      <c r="D478" s="243"/>
      <c r="E478" s="253"/>
      <c r="F478" s="252"/>
      <c r="G478" s="254"/>
      <c r="H478" s="254"/>
      <c r="I478" s="248"/>
    </row>
    <row r="479" spans="1:9" s="249" customFormat="1" ht="13.8">
      <c r="A479" s="250">
        <v>6</v>
      </c>
      <c r="B479" s="242"/>
      <c r="C479" s="638" t="s">
        <v>635</v>
      </c>
      <c r="D479" s="243"/>
      <c r="E479" s="253">
        <f>6+2</f>
        <v>8</v>
      </c>
      <c r="F479" s="252" t="s">
        <v>581</v>
      </c>
      <c r="G479" s="247">
        <v>0.8</v>
      </c>
      <c r="H479" s="254">
        <f t="shared" si="52"/>
        <v>6.4</v>
      </c>
      <c r="I479" s="248"/>
    </row>
    <row r="480" spans="1:9" s="249" customFormat="1" ht="13.8">
      <c r="A480" s="250"/>
      <c r="B480" s="242"/>
      <c r="C480" s="638"/>
      <c r="D480" s="243"/>
      <c r="E480" s="253"/>
      <c r="F480" s="252"/>
      <c r="G480" s="254"/>
      <c r="H480" s="254"/>
      <c r="I480" s="248"/>
    </row>
    <row r="481" spans="1:9" s="249" customFormat="1" ht="13.8">
      <c r="A481" s="250">
        <v>7</v>
      </c>
      <c r="B481" s="242"/>
      <c r="C481" s="638" t="s">
        <v>636</v>
      </c>
      <c r="D481" s="243"/>
      <c r="E481" s="253">
        <v>1</v>
      </c>
      <c r="F481" s="252" t="s">
        <v>581</v>
      </c>
      <c r="G481" s="247">
        <v>195</v>
      </c>
      <c r="H481" s="254">
        <f t="shared" si="52"/>
        <v>195</v>
      </c>
      <c r="I481" s="248"/>
    </row>
    <row r="482" spans="1:9" s="249" customFormat="1" ht="13.8">
      <c r="A482" s="250"/>
      <c r="B482" s="242"/>
      <c r="C482" s="638"/>
      <c r="D482" s="243"/>
      <c r="E482" s="253"/>
      <c r="F482" s="252"/>
      <c r="G482" s="254"/>
      <c r="H482" s="254"/>
      <c r="I482" s="248"/>
    </row>
    <row r="483" spans="1:9" s="249" customFormat="1" ht="13.8">
      <c r="A483" s="250">
        <v>8</v>
      </c>
      <c r="B483" s="242"/>
      <c r="C483" s="638" t="s">
        <v>637</v>
      </c>
      <c r="D483" s="243"/>
      <c r="E483" s="253">
        <v>1</v>
      </c>
      <c r="F483" s="252" t="s">
        <v>581</v>
      </c>
      <c r="G483" s="247">
        <v>70</v>
      </c>
      <c r="H483" s="254">
        <f t="shared" si="52"/>
        <v>70</v>
      </c>
      <c r="I483" s="248"/>
    </row>
    <row r="484" spans="1:9" s="249" customFormat="1" ht="13.8">
      <c r="A484" s="250"/>
      <c r="B484" s="242"/>
      <c r="C484" s="638"/>
      <c r="D484" s="243"/>
      <c r="E484" s="253"/>
      <c r="F484" s="252"/>
      <c r="G484" s="254"/>
      <c r="H484" s="254"/>
      <c r="I484" s="248"/>
    </row>
    <row r="485" spans="1:9" s="249" customFormat="1" ht="13.8">
      <c r="A485" s="250">
        <v>9</v>
      </c>
      <c r="B485" s="242"/>
      <c r="C485" s="638" t="s">
        <v>638</v>
      </c>
      <c r="D485" s="243"/>
      <c r="E485" s="253">
        <v>1</v>
      </c>
      <c r="F485" s="252" t="s">
        <v>581</v>
      </c>
      <c r="G485" s="247">
        <v>100</v>
      </c>
      <c r="H485" s="254">
        <f t="shared" si="52"/>
        <v>100</v>
      </c>
      <c r="I485" s="248"/>
    </row>
    <row r="486" spans="1:9" s="249" customFormat="1" ht="13.8">
      <c r="A486" s="250"/>
      <c r="B486" s="242"/>
      <c r="C486" s="638"/>
      <c r="D486" s="243"/>
      <c r="E486" s="253"/>
      <c r="F486" s="252"/>
      <c r="G486" s="254"/>
      <c r="H486" s="254"/>
      <c r="I486" s="248"/>
    </row>
    <row r="487" spans="1:9" s="249" customFormat="1" ht="13.8">
      <c r="A487" s="250">
        <v>10</v>
      </c>
      <c r="B487" s="242"/>
      <c r="C487" s="638" t="s">
        <v>639</v>
      </c>
      <c r="D487" s="243"/>
      <c r="E487" s="253">
        <v>1</v>
      </c>
      <c r="F487" s="252" t="s">
        <v>581</v>
      </c>
      <c r="G487" s="247">
        <v>100</v>
      </c>
      <c r="H487" s="254">
        <f t="shared" si="52"/>
        <v>100</v>
      </c>
      <c r="I487" s="248"/>
    </row>
    <row r="488" spans="1:9" s="264" customFormat="1" ht="13.8">
      <c r="A488" s="259"/>
      <c r="B488" s="233"/>
      <c r="C488" s="816" t="s">
        <v>35</v>
      </c>
      <c r="D488" s="427"/>
      <c r="E488" s="261"/>
      <c r="F488" s="428"/>
      <c r="G488" s="818"/>
      <c r="H488" s="263"/>
    </row>
    <row r="489" spans="1:9" s="264" customFormat="1" ht="13.8">
      <c r="A489" s="265"/>
      <c r="B489" s="266"/>
      <c r="C489" s="817" t="s">
        <v>35</v>
      </c>
      <c r="D489" s="429"/>
      <c r="E489" s="430"/>
      <c r="F489" s="431"/>
      <c r="G489" s="819" t="s">
        <v>36</v>
      </c>
      <c r="H489" s="432">
        <f>SUM(H460:H488)</f>
        <v>3148.4</v>
      </c>
    </row>
    <row r="490" spans="1:9" s="249" customFormat="1" ht="13.8">
      <c r="A490" s="250"/>
      <c r="B490" s="242"/>
      <c r="C490" s="638"/>
      <c r="D490" s="243"/>
      <c r="E490" s="253"/>
      <c r="F490" s="252"/>
      <c r="G490" s="254"/>
      <c r="H490" s="254"/>
      <c r="I490" s="248"/>
    </row>
    <row r="491" spans="1:9" s="249" customFormat="1" ht="13.8">
      <c r="A491" s="250"/>
      <c r="B491" s="242"/>
      <c r="C491" s="637" t="s">
        <v>640</v>
      </c>
      <c r="D491" s="243"/>
      <c r="E491" s="253"/>
      <c r="F491" s="252"/>
      <c r="G491" s="254"/>
      <c r="H491" s="254"/>
      <c r="I491" s="248"/>
    </row>
    <row r="492" spans="1:9" s="249" customFormat="1" ht="13.8">
      <c r="A492" s="250"/>
      <c r="B492" s="242"/>
      <c r="C492" s="638"/>
      <c r="D492" s="243"/>
      <c r="E492" s="253"/>
      <c r="F492" s="252"/>
      <c r="G492" s="254"/>
      <c r="H492" s="254"/>
      <c r="I492" s="248"/>
    </row>
    <row r="493" spans="1:9" s="249" customFormat="1" ht="27.6">
      <c r="A493" s="250"/>
      <c r="B493" s="242"/>
      <c r="C493" s="638" t="s">
        <v>631</v>
      </c>
      <c r="D493" s="243"/>
      <c r="E493" s="253"/>
      <c r="F493" s="252"/>
      <c r="G493" s="254"/>
      <c r="H493" s="254"/>
      <c r="I493" s="248"/>
    </row>
    <row r="494" spans="1:9" s="249" customFormat="1" ht="13.8">
      <c r="A494" s="250"/>
      <c r="B494" s="242"/>
      <c r="C494" s="638"/>
      <c r="D494" s="243"/>
      <c r="E494" s="253"/>
      <c r="F494" s="252"/>
      <c r="G494" s="254"/>
      <c r="H494" s="254"/>
      <c r="I494" s="248"/>
    </row>
    <row r="495" spans="1:9" s="249" customFormat="1" ht="27.6">
      <c r="A495" s="250">
        <v>1</v>
      </c>
      <c r="B495" s="242"/>
      <c r="C495" s="638" t="s">
        <v>641</v>
      </c>
      <c r="D495" s="243"/>
      <c r="E495" s="253">
        <f>9*6+5</f>
        <v>59</v>
      </c>
      <c r="F495" s="252" t="s">
        <v>581</v>
      </c>
      <c r="G495" s="247">
        <v>20</v>
      </c>
      <c r="H495" s="254">
        <f t="shared" si="52"/>
        <v>1180</v>
      </c>
      <c r="I495" s="248"/>
    </row>
    <row r="496" spans="1:9" s="249" customFormat="1" ht="13.8">
      <c r="A496" s="250"/>
      <c r="B496" s="242"/>
      <c r="C496" s="638"/>
      <c r="D496" s="243"/>
      <c r="E496" s="253"/>
      <c r="F496" s="252"/>
      <c r="G496" s="254"/>
      <c r="H496" s="254"/>
      <c r="I496" s="248"/>
    </row>
    <row r="497" spans="1:9" s="249" customFormat="1" ht="13.8">
      <c r="A497" s="250"/>
      <c r="B497" s="242"/>
      <c r="C497" s="637" t="s">
        <v>617</v>
      </c>
      <c r="D497" s="243"/>
      <c r="E497" s="253"/>
      <c r="F497" s="252"/>
      <c r="G497" s="254"/>
      <c r="H497" s="254"/>
      <c r="I497" s="248"/>
    </row>
    <row r="498" spans="1:9" s="249" customFormat="1" ht="13.8">
      <c r="A498" s="250"/>
      <c r="B498" s="242"/>
      <c r="C498" s="638"/>
      <c r="D498" s="243"/>
      <c r="E498" s="253"/>
      <c r="F498" s="252"/>
      <c r="G498" s="254"/>
      <c r="H498" s="254"/>
      <c r="I498" s="248"/>
    </row>
    <row r="499" spans="1:9" s="249" customFormat="1" ht="27.6">
      <c r="A499" s="250"/>
      <c r="B499" s="242"/>
      <c r="C499" s="638" t="s">
        <v>632</v>
      </c>
      <c r="D499" s="243"/>
      <c r="E499" s="253"/>
      <c r="F499" s="252"/>
      <c r="G499" s="254"/>
      <c r="H499" s="254"/>
      <c r="I499" s="248"/>
    </row>
    <row r="500" spans="1:9" s="249" customFormat="1" ht="13.8">
      <c r="A500" s="250"/>
      <c r="B500" s="242"/>
      <c r="C500" s="638"/>
      <c r="D500" s="243"/>
      <c r="E500" s="253"/>
      <c r="F500" s="252"/>
      <c r="G500" s="254"/>
      <c r="H500" s="254"/>
      <c r="I500" s="248"/>
    </row>
    <row r="501" spans="1:9" s="249" customFormat="1" ht="27.6">
      <c r="A501" s="250">
        <v>1</v>
      </c>
      <c r="B501" s="242"/>
      <c r="C501" s="638" t="s">
        <v>641</v>
      </c>
      <c r="D501" s="243"/>
      <c r="E501" s="253">
        <f>9*6+5</f>
        <v>59</v>
      </c>
      <c r="F501" s="252" t="s">
        <v>581</v>
      </c>
      <c r="G501" s="247">
        <v>62</v>
      </c>
      <c r="H501" s="254">
        <f t="shared" ref="H501" si="54">G501*E501</f>
        <v>3658</v>
      </c>
      <c r="I501" s="248"/>
    </row>
    <row r="502" spans="1:9" s="249" customFormat="1" ht="13.8">
      <c r="A502" s="250"/>
      <c r="B502" s="242"/>
      <c r="C502" s="638"/>
      <c r="D502" s="243"/>
      <c r="E502" s="253"/>
      <c r="F502" s="252"/>
      <c r="G502" s="254"/>
      <c r="H502" s="254"/>
      <c r="I502" s="248"/>
    </row>
    <row r="503" spans="1:9" s="249" customFormat="1" ht="13.8">
      <c r="A503" s="250">
        <v>2</v>
      </c>
      <c r="B503" s="242"/>
      <c r="C503" s="638" t="s">
        <v>642</v>
      </c>
      <c r="D503" s="243"/>
      <c r="E503" s="253">
        <v>1</v>
      </c>
      <c r="F503" s="252" t="s">
        <v>581</v>
      </c>
      <c r="G503" s="247">
        <v>100</v>
      </c>
      <c r="H503" s="254">
        <f t="shared" si="52"/>
        <v>100</v>
      </c>
      <c r="I503" s="248"/>
    </row>
    <row r="504" spans="1:9" s="264" customFormat="1" ht="13.8">
      <c r="A504" s="259"/>
      <c r="B504" s="233"/>
      <c r="C504" s="816" t="s">
        <v>35</v>
      </c>
      <c r="D504" s="427"/>
      <c r="E504" s="261"/>
      <c r="F504" s="428"/>
      <c r="G504" s="818"/>
      <c r="H504" s="263"/>
    </row>
    <row r="505" spans="1:9" s="264" customFormat="1" ht="13.8">
      <c r="A505" s="265"/>
      <c r="B505" s="266"/>
      <c r="C505" s="817" t="s">
        <v>35</v>
      </c>
      <c r="D505" s="429"/>
      <c r="E505" s="430"/>
      <c r="F505" s="431"/>
      <c r="G505" s="819" t="s">
        <v>36</v>
      </c>
      <c r="H505" s="432">
        <f>SUM(H490:H504)</f>
        <v>4938</v>
      </c>
    </row>
    <row r="506" spans="1:9" s="249" customFormat="1" ht="13.8">
      <c r="A506" s="633"/>
      <c r="B506" s="233"/>
      <c r="C506" s="234"/>
      <c r="D506" s="235"/>
      <c r="E506" s="634"/>
      <c r="F506" s="635"/>
      <c r="G506" s="636"/>
      <c r="H506" s="636"/>
      <c r="I506" s="248"/>
    </row>
    <row r="507" spans="1:9" s="249" customFormat="1" ht="27.6">
      <c r="A507" s="250"/>
      <c r="B507" s="242"/>
      <c r="C507" s="637" t="s">
        <v>586</v>
      </c>
      <c r="D507" s="243"/>
      <c r="E507" s="253"/>
      <c r="F507" s="252"/>
      <c r="G507" s="254"/>
      <c r="H507" s="254"/>
      <c r="I507" s="248"/>
    </row>
    <row r="508" spans="1:9" s="249" customFormat="1" ht="13.8">
      <c r="A508" s="250"/>
      <c r="B508" s="242"/>
      <c r="C508" s="638"/>
      <c r="D508" s="243"/>
      <c r="E508" s="253"/>
      <c r="F508" s="252"/>
      <c r="G508" s="254"/>
      <c r="H508" s="254"/>
      <c r="I508" s="248"/>
    </row>
    <row r="509" spans="1:9" s="249" customFormat="1" ht="13.8">
      <c r="A509" s="250"/>
      <c r="B509" s="242"/>
      <c r="C509" s="637" t="s">
        <v>643</v>
      </c>
      <c r="D509" s="243"/>
      <c r="E509" s="253"/>
      <c r="F509" s="252"/>
      <c r="G509" s="254"/>
      <c r="H509" s="254"/>
      <c r="I509" s="248"/>
    </row>
    <row r="510" spans="1:9" s="249" customFormat="1" ht="13.8">
      <c r="A510" s="250"/>
      <c r="B510" s="242"/>
      <c r="C510" s="638"/>
      <c r="D510" s="243"/>
      <c r="E510" s="253"/>
      <c r="F510" s="252"/>
      <c r="G510" s="254"/>
      <c r="H510" s="254"/>
      <c r="I510" s="248"/>
    </row>
    <row r="511" spans="1:9" s="249" customFormat="1" ht="55.2">
      <c r="A511" s="250"/>
      <c r="B511" s="242"/>
      <c r="C511" s="638" t="s">
        <v>644</v>
      </c>
      <c r="D511" s="243"/>
      <c r="E511" s="253"/>
      <c r="F511" s="252"/>
      <c r="G511" s="254"/>
      <c r="H511" s="254"/>
      <c r="I511" s="248"/>
    </row>
    <row r="512" spans="1:9" s="249" customFormat="1" ht="13.8">
      <c r="A512" s="250"/>
      <c r="B512" s="242"/>
      <c r="C512" s="638"/>
      <c r="D512" s="243"/>
      <c r="E512" s="253"/>
      <c r="F512" s="252"/>
      <c r="G512" s="254"/>
      <c r="H512" s="254"/>
      <c r="I512" s="248"/>
    </row>
    <row r="513" spans="1:9" s="249" customFormat="1" ht="27.6">
      <c r="A513" s="250">
        <v>1</v>
      </c>
      <c r="B513" s="242"/>
      <c r="C513" s="638" t="s">
        <v>1119</v>
      </c>
      <c r="D513" s="243"/>
      <c r="E513" s="253">
        <f>2*9*7+10</f>
        <v>136</v>
      </c>
      <c r="F513" s="252" t="s">
        <v>581</v>
      </c>
      <c r="G513" s="247">
        <v>2</v>
      </c>
      <c r="H513" s="254">
        <f>G513*E513</f>
        <v>272</v>
      </c>
      <c r="I513" s="248"/>
    </row>
    <row r="514" spans="1:9" s="249" customFormat="1" ht="13.8">
      <c r="A514" s="250"/>
      <c r="B514" s="242"/>
      <c r="C514" s="638"/>
      <c r="D514" s="243"/>
      <c r="E514" s="253"/>
      <c r="F514" s="252"/>
      <c r="G514" s="254"/>
      <c r="H514" s="254"/>
      <c r="I514" s="248"/>
    </row>
    <row r="515" spans="1:9" s="249" customFormat="1" ht="13.8">
      <c r="A515" s="250">
        <v>2</v>
      </c>
      <c r="B515" s="242"/>
      <c r="C515" s="638" t="s">
        <v>645</v>
      </c>
      <c r="D515" s="243"/>
      <c r="E515" s="253">
        <v>2</v>
      </c>
      <c r="F515" s="252" t="s">
        <v>581</v>
      </c>
      <c r="G515" s="247">
        <v>5</v>
      </c>
      <c r="H515" s="254">
        <f t="shared" ref="H515:H560" si="55">G515*E515</f>
        <v>10</v>
      </c>
      <c r="I515" s="248"/>
    </row>
    <row r="516" spans="1:9" s="249" customFormat="1" ht="13.8">
      <c r="A516" s="250"/>
      <c r="B516" s="242"/>
      <c r="C516" s="638"/>
      <c r="D516" s="243"/>
      <c r="E516" s="253"/>
      <c r="F516" s="252"/>
      <c r="G516" s="254"/>
      <c r="H516" s="254"/>
      <c r="I516" s="248"/>
    </row>
    <row r="517" spans="1:9" s="249" customFormat="1" ht="13.8">
      <c r="A517" s="250">
        <v>3</v>
      </c>
      <c r="B517" s="242"/>
      <c r="C517" s="638" t="s">
        <v>1120</v>
      </c>
      <c r="D517" s="243"/>
      <c r="E517" s="253">
        <v>7</v>
      </c>
      <c r="F517" s="252" t="s">
        <v>581</v>
      </c>
      <c r="G517" s="247">
        <v>5</v>
      </c>
      <c r="H517" s="254">
        <f t="shared" si="55"/>
        <v>35</v>
      </c>
      <c r="I517" s="248"/>
    </row>
    <row r="518" spans="1:9" s="249" customFormat="1" ht="13.8">
      <c r="A518" s="250"/>
      <c r="B518" s="242"/>
      <c r="C518" s="638"/>
      <c r="D518" s="243"/>
      <c r="E518" s="253"/>
      <c r="F518" s="252"/>
      <c r="G518" s="254"/>
      <c r="H518" s="254"/>
      <c r="I518" s="248"/>
    </row>
    <row r="519" spans="1:9" s="249" customFormat="1" ht="13.8">
      <c r="A519" s="250"/>
      <c r="B519" s="242"/>
      <c r="C519" s="637" t="s">
        <v>617</v>
      </c>
      <c r="D519" s="243"/>
      <c r="E519" s="253"/>
      <c r="F519" s="252"/>
      <c r="G519" s="254"/>
      <c r="H519" s="254"/>
      <c r="I519" s="248"/>
    </row>
    <row r="520" spans="1:9" s="249" customFormat="1" ht="13.8">
      <c r="A520" s="250"/>
      <c r="B520" s="242"/>
      <c r="C520" s="638"/>
      <c r="D520" s="243"/>
      <c r="E520" s="253"/>
      <c r="F520" s="252"/>
      <c r="G520" s="254"/>
      <c r="H520" s="254"/>
      <c r="I520" s="248"/>
    </row>
    <row r="521" spans="1:9" s="249" customFormat="1" ht="41.4">
      <c r="A521" s="250"/>
      <c r="B521" s="242"/>
      <c r="C521" s="638" t="s">
        <v>646</v>
      </c>
      <c r="D521" s="243"/>
      <c r="E521" s="253"/>
      <c r="F521" s="252"/>
      <c r="G521" s="254"/>
      <c r="H521" s="254"/>
      <c r="I521" s="248"/>
    </row>
    <row r="522" spans="1:9" s="249" customFormat="1" ht="13.8">
      <c r="A522" s="250"/>
      <c r="B522" s="242"/>
      <c r="C522" s="638"/>
      <c r="D522" s="243"/>
      <c r="E522" s="253"/>
      <c r="F522" s="252"/>
      <c r="G522" s="254"/>
      <c r="H522" s="254"/>
      <c r="I522" s="248"/>
    </row>
    <row r="523" spans="1:9" s="249" customFormat="1" ht="27.6">
      <c r="A523" s="250">
        <v>1</v>
      </c>
      <c r="B523" s="242"/>
      <c r="C523" s="638" t="s">
        <v>1119</v>
      </c>
      <c r="D523" s="243"/>
      <c r="E523" s="253">
        <f>2*9*7+10</f>
        <v>136</v>
      </c>
      <c r="F523" s="252" t="s">
        <v>581</v>
      </c>
      <c r="G523" s="247"/>
      <c r="H523" s="254">
        <f t="shared" si="55"/>
        <v>0</v>
      </c>
      <c r="I523" s="248"/>
    </row>
    <row r="524" spans="1:9" s="249" customFormat="1" ht="13.8">
      <c r="A524" s="250"/>
      <c r="B524" s="242"/>
      <c r="C524" s="638"/>
      <c r="D524" s="243"/>
      <c r="E524" s="253"/>
      <c r="F524" s="252"/>
      <c r="G524" s="254"/>
      <c r="H524" s="254"/>
      <c r="I524" s="248"/>
    </row>
    <row r="525" spans="1:9" s="249" customFormat="1" ht="13.8">
      <c r="A525" s="250">
        <v>2</v>
      </c>
      <c r="B525" s="242"/>
      <c r="C525" s="638" t="s">
        <v>647</v>
      </c>
      <c r="D525" s="243"/>
      <c r="E525" s="253">
        <v>3</v>
      </c>
      <c r="F525" s="252" t="s">
        <v>581</v>
      </c>
      <c r="G525" s="247"/>
      <c r="H525" s="254">
        <f t="shared" si="55"/>
        <v>0</v>
      </c>
      <c r="I525" s="248"/>
    </row>
    <row r="526" spans="1:9" s="249" customFormat="1" ht="13.8">
      <c r="A526" s="250"/>
      <c r="B526" s="242"/>
      <c r="C526" s="638"/>
      <c r="D526" s="243"/>
      <c r="E526" s="253"/>
      <c r="F526" s="252"/>
      <c r="G526" s="254"/>
      <c r="H526" s="254"/>
      <c r="I526" s="248"/>
    </row>
    <row r="527" spans="1:9" s="249" customFormat="1" ht="13.8">
      <c r="A527" s="250">
        <v>3</v>
      </c>
      <c r="B527" s="242"/>
      <c r="C527" s="638" t="s">
        <v>648</v>
      </c>
      <c r="D527" s="243"/>
      <c r="E527" s="253">
        <f>2*9*7+10</f>
        <v>136</v>
      </c>
      <c r="F527" s="252" t="s">
        <v>581</v>
      </c>
      <c r="G527" s="247"/>
      <c r="H527" s="254">
        <f t="shared" si="55"/>
        <v>0</v>
      </c>
      <c r="I527" s="248"/>
    </row>
    <row r="528" spans="1:9" s="249" customFormat="1" ht="13.8">
      <c r="A528" s="250"/>
      <c r="B528" s="242"/>
      <c r="C528" s="638"/>
      <c r="D528" s="243"/>
      <c r="E528" s="253"/>
      <c r="F528" s="252"/>
      <c r="G528" s="254"/>
      <c r="H528" s="254"/>
      <c r="I528" s="248"/>
    </row>
    <row r="529" spans="1:9" s="249" customFormat="1" ht="13.8">
      <c r="A529" s="250">
        <v>4</v>
      </c>
      <c r="B529" s="242"/>
      <c r="C529" s="638" t="s">
        <v>649</v>
      </c>
      <c r="D529" s="243"/>
      <c r="E529" s="253">
        <v>6</v>
      </c>
      <c r="F529" s="252" t="s">
        <v>581</v>
      </c>
      <c r="G529" s="247"/>
      <c r="H529" s="254">
        <f t="shared" si="55"/>
        <v>0</v>
      </c>
      <c r="I529" s="248"/>
    </row>
    <row r="530" spans="1:9" s="249" customFormat="1" ht="13.8">
      <c r="A530" s="250"/>
      <c r="B530" s="242"/>
      <c r="C530" s="638"/>
      <c r="D530" s="243"/>
      <c r="E530" s="253"/>
      <c r="F530" s="252"/>
      <c r="G530" s="254"/>
      <c r="H530" s="254"/>
      <c r="I530" s="248"/>
    </row>
    <row r="531" spans="1:9" s="249" customFormat="1" ht="13.8">
      <c r="A531" s="250">
        <v>5</v>
      </c>
      <c r="B531" s="242"/>
      <c r="C531" s="638" t="s">
        <v>650</v>
      </c>
      <c r="D531" s="243"/>
      <c r="E531" s="253">
        <v>1</v>
      </c>
      <c r="F531" s="252" t="s">
        <v>581</v>
      </c>
      <c r="G531" s="247"/>
      <c r="H531" s="254">
        <f t="shared" si="55"/>
        <v>0</v>
      </c>
      <c r="I531" s="248"/>
    </row>
    <row r="532" spans="1:9" s="249" customFormat="1" ht="13.8">
      <c r="A532" s="250"/>
      <c r="B532" s="242"/>
      <c r="C532" s="638"/>
      <c r="D532" s="243"/>
      <c r="E532" s="253"/>
      <c r="F532" s="252"/>
      <c r="G532" s="254"/>
      <c r="H532" s="254"/>
      <c r="I532" s="248"/>
    </row>
    <row r="533" spans="1:9" s="249" customFormat="1" ht="27.6">
      <c r="A533" s="250">
        <v>6</v>
      </c>
      <c r="B533" s="242"/>
      <c r="C533" s="638" t="s">
        <v>651</v>
      </c>
      <c r="D533" s="243"/>
      <c r="E533" s="253">
        <v>1</v>
      </c>
      <c r="F533" s="252" t="s">
        <v>652</v>
      </c>
      <c r="G533" s="247"/>
      <c r="H533" s="254">
        <f t="shared" si="55"/>
        <v>0</v>
      </c>
      <c r="I533" s="248"/>
    </row>
    <row r="534" spans="1:9" s="264" customFormat="1" ht="13.8">
      <c r="A534" s="259"/>
      <c r="B534" s="233"/>
      <c r="C534" s="816" t="s">
        <v>35</v>
      </c>
      <c r="D534" s="427"/>
      <c r="E534" s="261"/>
      <c r="F534" s="428"/>
      <c r="G534" s="818"/>
      <c r="H534" s="263"/>
    </row>
    <row r="535" spans="1:9" s="264" customFormat="1" ht="13.8">
      <c r="A535" s="265"/>
      <c r="B535" s="266"/>
      <c r="C535" s="817" t="s">
        <v>35</v>
      </c>
      <c r="D535" s="429"/>
      <c r="E535" s="430"/>
      <c r="F535" s="431"/>
      <c r="G535" s="819" t="s">
        <v>36</v>
      </c>
      <c r="H535" s="432">
        <f>SUM(H506:H534)</f>
        <v>317</v>
      </c>
    </row>
    <row r="536" spans="1:9" s="249" customFormat="1" ht="27.6">
      <c r="A536" s="250"/>
      <c r="B536" s="242"/>
      <c r="C536" s="637" t="s">
        <v>586</v>
      </c>
      <c r="D536" s="243"/>
      <c r="E536" s="253"/>
      <c r="F536" s="252"/>
      <c r="G536" s="254"/>
      <c r="H536" s="254"/>
      <c r="I536" s="248"/>
    </row>
    <row r="537" spans="1:9" s="249" customFormat="1" ht="13.8">
      <c r="A537" s="250"/>
      <c r="B537" s="242"/>
      <c r="C537" s="638"/>
      <c r="D537" s="243"/>
      <c r="E537" s="253"/>
      <c r="F537" s="252"/>
      <c r="G537" s="254"/>
      <c r="H537" s="254"/>
      <c r="I537" s="248"/>
    </row>
    <row r="538" spans="1:9" s="249" customFormat="1" ht="13.8">
      <c r="A538" s="250"/>
      <c r="B538" s="242"/>
      <c r="C538" s="637" t="s">
        <v>653</v>
      </c>
      <c r="D538" s="243"/>
      <c r="E538" s="253"/>
      <c r="F538" s="252"/>
      <c r="G538" s="254"/>
      <c r="H538" s="254"/>
      <c r="I538" s="248"/>
    </row>
    <row r="539" spans="1:9" s="249" customFormat="1" ht="13.8">
      <c r="A539" s="250"/>
      <c r="B539" s="242"/>
      <c r="C539" s="638"/>
      <c r="D539" s="243"/>
      <c r="E539" s="253"/>
      <c r="F539" s="252"/>
      <c r="G539" s="254"/>
      <c r="H539" s="254"/>
      <c r="I539" s="248"/>
    </row>
    <row r="540" spans="1:9" s="249" customFormat="1" ht="55.2">
      <c r="A540" s="250"/>
      <c r="B540" s="242"/>
      <c r="C540" s="638" t="s">
        <v>654</v>
      </c>
      <c r="D540" s="243"/>
      <c r="E540" s="253"/>
      <c r="F540" s="252"/>
      <c r="G540" s="254"/>
      <c r="H540" s="254"/>
      <c r="I540" s="248"/>
    </row>
    <row r="541" spans="1:9" s="249" customFormat="1" ht="13.8">
      <c r="A541" s="250"/>
      <c r="B541" s="242"/>
      <c r="C541" s="638"/>
      <c r="D541" s="243"/>
      <c r="E541" s="253"/>
      <c r="F541" s="252"/>
      <c r="G541" s="254"/>
      <c r="H541" s="254"/>
      <c r="I541" s="248"/>
    </row>
    <row r="542" spans="1:9" s="249" customFormat="1" ht="13.8">
      <c r="A542" s="250">
        <v>1</v>
      </c>
      <c r="B542" s="242"/>
      <c r="C542" s="638" t="s">
        <v>655</v>
      </c>
      <c r="D542" s="243"/>
      <c r="E542" s="253">
        <f>2*9*7+10</f>
        <v>136</v>
      </c>
      <c r="F542" s="252" t="s">
        <v>581</v>
      </c>
      <c r="G542" s="247">
        <v>2.5</v>
      </c>
      <c r="H542" s="254">
        <f t="shared" si="55"/>
        <v>340</v>
      </c>
      <c r="I542" s="248"/>
    </row>
    <row r="543" spans="1:9" s="249" customFormat="1" ht="13.8">
      <c r="A543" s="250"/>
      <c r="B543" s="242"/>
      <c r="C543" s="638"/>
      <c r="D543" s="243"/>
      <c r="E543" s="253"/>
      <c r="F543" s="252"/>
      <c r="G543" s="254"/>
      <c r="H543" s="254"/>
      <c r="I543" s="248"/>
    </row>
    <row r="544" spans="1:9" s="249" customFormat="1" ht="13.8">
      <c r="A544" s="250">
        <v>2</v>
      </c>
      <c r="B544" s="242"/>
      <c r="C544" s="638" t="s">
        <v>656</v>
      </c>
      <c r="D544" s="243"/>
      <c r="E544" s="253">
        <f>1*8</f>
        <v>8</v>
      </c>
      <c r="F544" s="252" t="s">
        <v>581</v>
      </c>
      <c r="G544" s="247">
        <v>5</v>
      </c>
      <c r="H544" s="254">
        <f t="shared" si="55"/>
        <v>40</v>
      </c>
      <c r="I544" s="248"/>
    </row>
    <row r="545" spans="1:9" s="249" customFormat="1" ht="13.8">
      <c r="A545" s="250"/>
      <c r="B545" s="242"/>
      <c r="C545" s="638"/>
      <c r="D545" s="243"/>
      <c r="E545" s="253"/>
      <c r="F545" s="252"/>
      <c r="G545" s="254"/>
      <c r="H545" s="254"/>
      <c r="I545" s="248"/>
    </row>
    <row r="546" spans="1:9" s="249" customFormat="1" ht="13.8">
      <c r="A546" s="250"/>
      <c r="B546" s="242"/>
      <c r="C546" s="637" t="s">
        <v>617</v>
      </c>
      <c r="D546" s="243"/>
      <c r="E546" s="253"/>
      <c r="F546" s="252"/>
      <c r="G546" s="254"/>
      <c r="H546" s="254"/>
      <c r="I546" s="248"/>
    </row>
    <row r="547" spans="1:9" s="249" customFormat="1" ht="13.8">
      <c r="A547" s="250"/>
      <c r="B547" s="242"/>
      <c r="C547" s="638"/>
      <c r="D547" s="243"/>
      <c r="E547" s="253"/>
      <c r="F547" s="252"/>
      <c r="G547" s="254"/>
      <c r="H547" s="254"/>
      <c r="I547" s="248"/>
    </row>
    <row r="548" spans="1:9" s="249" customFormat="1" ht="41.4">
      <c r="A548" s="250"/>
      <c r="B548" s="242"/>
      <c r="C548" s="638" t="s">
        <v>646</v>
      </c>
      <c r="D548" s="243"/>
      <c r="E548" s="253"/>
      <c r="F548" s="252"/>
      <c r="G548" s="254"/>
      <c r="H548" s="254"/>
      <c r="I548" s="248"/>
    </row>
    <row r="549" spans="1:9" s="249" customFormat="1" ht="13.8">
      <c r="A549" s="250"/>
      <c r="B549" s="242"/>
      <c r="C549" s="638"/>
      <c r="D549" s="243"/>
      <c r="E549" s="253"/>
      <c r="F549" s="252"/>
      <c r="G549" s="254"/>
      <c r="H549" s="254"/>
      <c r="I549" s="248"/>
    </row>
    <row r="550" spans="1:9" s="249" customFormat="1" ht="13.8">
      <c r="A550" s="250">
        <v>1</v>
      </c>
      <c r="B550" s="242"/>
      <c r="C550" s="638" t="s">
        <v>655</v>
      </c>
      <c r="D550" s="243"/>
      <c r="E550" s="253">
        <f>2*9*7+10</f>
        <v>136</v>
      </c>
      <c r="F550" s="252" t="s">
        <v>581</v>
      </c>
      <c r="G550" s="247"/>
      <c r="H550" s="254">
        <f t="shared" si="55"/>
        <v>0</v>
      </c>
      <c r="I550" s="248"/>
    </row>
    <row r="551" spans="1:9" s="249" customFormat="1" ht="13.8">
      <c r="A551" s="250"/>
      <c r="B551" s="242"/>
      <c r="C551" s="638"/>
      <c r="D551" s="243"/>
      <c r="E551" s="253"/>
      <c r="F551" s="252"/>
      <c r="G551" s="254"/>
      <c r="H551" s="254"/>
      <c r="I551" s="248"/>
    </row>
    <row r="552" spans="1:9" s="249" customFormat="1" ht="13.8">
      <c r="A552" s="250">
        <v>2</v>
      </c>
      <c r="B552" s="242"/>
      <c r="C552" s="638" t="s">
        <v>656</v>
      </c>
      <c r="D552" s="243"/>
      <c r="E552" s="253">
        <f>1*8</f>
        <v>8</v>
      </c>
      <c r="F552" s="252" t="s">
        <v>581</v>
      </c>
      <c r="G552" s="247"/>
      <c r="H552" s="254">
        <f t="shared" si="55"/>
        <v>0</v>
      </c>
      <c r="I552" s="248"/>
    </row>
    <row r="553" spans="1:9" s="249" customFormat="1" ht="13.8">
      <c r="A553" s="250"/>
      <c r="B553" s="242"/>
      <c r="C553" s="638"/>
      <c r="D553" s="243"/>
      <c r="E553" s="253"/>
      <c r="F553" s="252"/>
      <c r="G553" s="254"/>
      <c r="H553" s="254"/>
      <c r="I553" s="248"/>
    </row>
    <row r="554" spans="1:9" s="249" customFormat="1" ht="27.6">
      <c r="A554" s="250">
        <v>3</v>
      </c>
      <c r="B554" s="242"/>
      <c r="C554" s="638" t="s">
        <v>657</v>
      </c>
      <c r="D554" s="243"/>
      <c r="E554" s="253">
        <v>1</v>
      </c>
      <c r="F554" s="252" t="s">
        <v>581</v>
      </c>
      <c r="G554" s="247"/>
      <c r="H554" s="254">
        <f t="shared" si="55"/>
        <v>0</v>
      </c>
      <c r="I554" s="248"/>
    </row>
    <row r="555" spans="1:9" s="249" customFormat="1" ht="13.8">
      <c r="A555" s="250"/>
      <c r="B555" s="242"/>
      <c r="C555" s="638" t="s">
        <v>13</v>
      </c>
      <c r="D555" s="243"/>
      <c r="E555" s="253"/>
      <c r="F555" s="252"/>
      <c r="G555" s="254"/>
      <c r="H555" s="254"/>
      <c r="I555" s="248"/>
    </row>
    <row r="556" spans="1:9" s="249" customFormat="1" ht="13.8">
      <c r="A556" s="250">
        <v>4</v>
      </c>
      <c r="B556" s="242"/>
      <c r="C556" s="638" t="s">
        <v>658</v>
      </c>
      <c r="D556" s="243"/>
      <c r="E556" s="253">
        <v>1</v>
      </c>
      <c r="F556" s="252" t="s">
        <v>581</v>
      </c>
      <c r="G556" s="247"/>
      <c r="H556" s="254">
        <f t="shared" si="55"/>
        <v>0</v>
      </c>
      <c r="I556" s="248"/>
    </row>
    <row r="557" spans="1:9" s="249" customFormat="1" ht="13.8">
      <c r="A557" s="250"/>
      <c r="B557" s="242"/>
      <c r="C557" s="638"/>
      <c r="D557" s="243"/>
      <c r="E557" s="253"/>
      <c r="F557" s="252"/>
      <c r="G557" s="254"/>
      <c r="H557" s="254"/>
      <c r="I557" s="248"/>
    </row>
    <row r="558" spans="1:9" s="249" customFormat="1" ht="13.8">
      <c r="A558" s="250">
        <v>5</v>
      </c>
      <c r="B558" s="242"/>
      <c r="C558" s="638" t="s">
        <v>659</v>
      </c>
      <c r="D558" s="243"/>
      <c r="E558" s="253">
        <v>1</v>
      </c>
      <c r="F558" s="252" t="s">
        <v>581</v>
      </c>
      <c r="G558" s="247"/>
      <c r="H558" s="254">
        <f t="shared" si="55"/>
        <v>0</v>
      </c>
      <c r="I558" s="248"/>
    </row>
    <row r="559" spans="1:9" s="249" customFormat="1" ht="13.8">
      <c r="A559" s="250"/>
      <c r="B559" s="242"/>
      <c r="C559" s="638"/>
      <c r="D559" s="243"/>
      <c r="E559" s="253"/>
      <c r="F559" s="252"/>
      <c r="G559" s="254"/>
      <c r="H559" s="254"/>
      <c r="I559" s="248"/>
    </row>
    <row r="560" spans="1:9" s="249" customFormat="1" ht="13.8">
      <c r="A560" s="250">
        <v>6</v>
      </c>
      <c r="B560" s="242"/>
      <c r="C560" s="638" t="s">
        <v>642</v>
      </c>
      <c r="D560" s="243"/>
      <c r="E560" s="253">
        <v>1</v>
      </c>
      <c r="F560" s="252" t="s">
        <v>581</v>
      </c>
      <c r="G560" s="247"/>
      <c r="H560" s="254">
        <f t="shared" si="55"/>
        <v>0</v>
      </c>
      <c r="I560" s="248"/>
    </row>
    <row r="561" spans="1:9" s="264" customFormat="1" ht="13.8">
      <c r="A561" s="259"/>
      <c r="B561" s="233"/>
      <c r="C561" s="816" t="s">
        <v>35</v>
      </c>
      <c r="D561" s="427"/>
      <c r="E561" s="261"/>
      <c r="F561" s="428"/>
      <c r="G561" s="818"/>
      <c r="H561" s="263"/>
    </row>
    <row r="562" spans="1:9" s="264" customFormat="1" ht="13.8">
      <c r="A562" s="265"/>
      <c r="B562" s="266"/>
      <c r="C562" s="817" t="s">
        <v>35</v>
      </c>
      <c r="D562" s="429"/>
      <c r="E562" s="430"/>
      <c r="F562" s="431"/>
      <c r="G562" s="819" t="s">
        <v>36</v>
      </c>
      <c r="H562" s="432">
        <f>SUM(H536:H561)</f>
        <v>380</v>
      </c>
    </row>
    <row r="563" spans="1:9" s="249" customFormat="1" ht="13.8">
      <c r="A563" s="633"/>
      <c r="B563" s="233"/>
      <c r="C563" s="234"/>
      <c r="D563" s="235"/>
      <c r="E563" s="634"/>
      <c r="F563" s="635"/>
      <c r="G563" s="636"/>
      <c r="H563" s="636"/>
      <c r="I563" s="248"/>
    </row>
    <row r="564" spans="1:9" s="249" customFormat="1" ht="27.6">
      <c r="A564" s="250"/>
      <c r="B564" s="242"/>
      <c r="C564" s="637" t="s">
        <v>586</v>
      </c>
      <c r="D564" s="243"/>
      <c r="E564" s="253"/>
      <c r="F564" s="252"/>
      <c r="G564" s="254"/>
      <c r="H564" s="254"/>
      <c r="I564" s="248"/>
    </row>
    <row r="565" spans="1:9" s="249" customFormat="1" ht="27.6">
      <c r="A565" s="250"/>
      <c r="B565" s="242"/>
      <c r="C565" s="637" t="s">
        <v>660</v>
      </c>
      <c r="D565" s="243"/>
      <c r="E565" s="253"/>
      <c r="F565" s="252"/>
      <c r="G565" s="254"/>
      <c r="H565" s="254"/>
      <c r="I565" s="248"/>
    </row>
    <row r="566" spans="1:9" s="249" customFormat="1" ht="13.8">
      <c r="A566" s="250"/>
      <c r="B566" s="242"/>
      <c r="C566" s="638"/>
      <c r="D566" s="243"/>
      <c r="E566" s="253"/>
      <c r="F566" s="252"/>
      <c r="G566" s="254"/>
      <c r="H566" s="254"/>
      <c r="I566" s="248"/>
    </row>
    <row r="567" spans="1:9" s="249" customFormat="1" ht="41.4">
      <c r="A567" s="250">
        <v>1</v>
      </c>
      <c r="B567" s="242"/>
      <c r="C567" s="638" t="s">
        <v>661</v>
      </c>
      <c r="D567" s="243"/>
      <c r="E567" s="253">
        <v>1</v>
      </c>
      <c r="F567" s="252" t="s">
        <v>584</v>
      </c>
      <c r="G567" s="247"/>
      <c r="H567" s="254">
        <f>G567*E567</f>
        <v>0</v>
      </c>
      <c r="I567" s="248"/>
    </row>
    <row r="568" spans="1:9" s="249" customFormat="1" ht="13.8">
      <c r="A568" s="250"/>
      <c r="B568" s="242"/>
      <c r="C568" s="638"/>
      <c r="D568" s="243"/>
      <c r="E568" s="253"/>
      <c r="F568" s="252"/>
      <c r="G568" s="254"/>
      <c r="H568" s="254"/>
      <c r="I568" s="248"/>
    </row>
    <row r="569" spans="1:9" s="249" customFormat="1" ht="27.6">
      <c r="A569" s="250">
        <v>2</v>
      </c>
      <c r="B569" s="242"/>
      <c r="C569" s="638" t="s">
        <v>662</v>
      </c>
      <c r="D569" s="243"/>
      <c r="E569" s="253">
        <v>1</v>
      </c>
      <c r="F569" s="252" t="s">
        <v>584</v>
      </c>
      <c r="G569" s="247"/>
      <c r="H569" s="254">
        <f t="shared" ref="H569:H587" si="56">G569*E569</f>
        <v>0</v>
      </c>
      <c r="I569" s="248"/>
    </row>
    <row r="570" spans="1:9" s="249" customFormat="1" ht="13.8">
      <c r="A570" s="250"/>
      <c r="B570" s="242"/>
      <c r="C570" s="638"/>
      <c r="D570" s="243"/>
      <c r="E570" s="253"/>
      <c r="F570" s="252"/>
      <c r="G570" s="254"/>
      <c r="H570" s="254"/>
      <c r="I570" s="248"/>
    </row>
    <row r="571" spans="1:9" s="249" customFormat="1" ht="27.6">
      <c r="A571" s="250">
        <v>3</v>
      </c>
      <c r="B571" s="242"/>
      <c r="C571" s="638" t="s">
        <v>663</v>
      </c>
      <c r="D571" s="243"/>
      <c r="E571" s="253">
        <v>1</v>
      </c>
      <c r="F571" s="252" t="s">
        <v>584</v>
      </c>
      <c r="G571" s="247"/>
      <c r="H571" s="254">
        <f t="shared" si="56"/>
        <v>0</v>
      </c>
      <c r="I571" s="248"/>
    </row>
    <row r="572" spans="1:9" s="249" customFormat="1" ht="13.8">
      <c r="A572" s="250"/>
      <c r="B572" s="242"/>
      <c r="C572" s="638"/>
      <c r="D572" s="243"/>
      <c r="E572" s="253"/>
      <c r="F572" s="252"/>
      <c r="G572" s="254"/>
      <c r="H572" s="254"/>
      <c r="I572" s="248"/>
    </row>
    <row r="573" spans="1:9" s="249" customFormat="1" ht="27.6">
      <c r="A573" s="250">
        <v>4</v>
      </c>
      <c r="B573" s="242"/>
      <c r="C573" s="638" t="s">
        <v>664</v>
      </c>
      <c r="D573" s="243"/>
      <c r="E573" s="253">
        <v>1</v>
      </c>
      <c r="F573" s="252" t="s">
        <v>584</v>
      </c>
      <c r="G573" s="247"/>
      <c r="H573" s="254">
        <f t="shared" si="56"/>
        <v>0</v>
      </c>
      <c r="I573" s="248"/>
    </row>
    <row r="574" spans="1:9" s="249" customFormat="1" ht="13.8">
      <c r="A574" s="250"/>
      <c r="B574" s="242"/>
      <c r="C574" s="638"/>
      <c r="D574" s="243"/>
      <c r="E574" s="253"/>
      <c r="F574" s="252"/>
      <c r="G574" s="254"/>
      <c r="H574" s="254"/>
      <c r="I574" s="248"/>
    </row>
    <row r="575" spans="1:9" s="249" customFormat="1" ht="27.6">
      <c r="A575" s="250">
        <v>5</v>
      </c>
      <c r="B575" s="242"/>
      <c r="C575" s="638" t="s">
        <v>665</v>
      </c>
      <c r="D575" s="243"/>
      <c r="E575" s="253">
        <v>1</v>
      </c>
      <c r="F575" s="252" t="s">
        <v>584</v>
      </c>
      <c r="G575" s="247"/>
      <c r="H575" s="254">
        <f t="shared" si="56"/>
        <v>0</v>
      </c>
      <c r="I575" s="248"/>
    </row>
    <row r="576" spans="1:9" s="249" customFormat="1" ht="13.8">
      <c r="A576" s="250"/>
      <c r="B576" s="242"/>
      <c r="C576" s="638"/>
      <c r="D576" s="243"/>
      <c r="E576" s="253"/>
      <c r="F576" s="252"/>
      <c r="G576" s="254"/>
      <c r="H576" s="254"/>
      <c r="I576" s="248"/>
    </row>
    <row r="577" spans="1:9" s="249" customFormat="1" ht="41.4">
      <c r="A577" s="250">
        <v>6</v>
      </c>
      <c r="B577" s="242"/>
      <c r="C577" s="638" t="s">
        <v>666</v>
      </c>
      <c r="D577" s="243"/>
      <c r="E577" s="253">
        <v>1</v>
      </c>
      <c r="F577" s="252" t="s">
        <v>584</v>
      </c>
      <c r="G577" s="247"/>
      <c r="H577" s="254">
        <f t="shared" si="56"/>
        <v>0</v>
      </c>
      <c r="I577" s="248"/>
    </row>
    <row r="578" spans="1:9" s="249" customFormat="1" ht="13.8">
      <c r="A578" s="250"/>
      <c r="B578" s="242"/>
      <c r="C578" s="638"/>
      <c r="D578" s="243"/>
      <c r="E578" s="253"/>
      <c r="F578" s="252"/>
      <c r="G578" s="254"/>
      <c r="H578" s="254"/>
      <c r="I578" s="248"/>
    </row>
    <row r="579" spans="1:9" s="249" customFormat="1" ht="41.4">
      <c r="A579" s="250">
        <v>7</v>
      </c>
      <c r="B579" s="242"/>
      <c r="C579" s="638" t="s">
        <v>667</v>
      </c>
      <c r="D579" s="243"/>
      <c r="E579" s="253">
        <v>1</v>
      </c>
      <c r="F579" s="252" t="s">
        <v>584</v>
      </c>
      <c r="G579" s="247"/>
      <c r="H579" s="254">
        <f t="shared" si="56"/>
        <v>0</v>
      </c>
      <c r="I579" s="248"/>
    </row>
    <row r="580" spans="1:9" s="249" customFormat="1" ht="13.8">
      <c r="A580" s="250"/>
      <c r="B580" s="242"/>
      <c r="C580" s="638"/>
      <c r="D580" s="243"/>
      <c r="E580" s="253"/>
      <c r="F580" s="252"/>
      <c r="G580" s="254"/>
      <c r="H580" s="254"/>
      <c r="I580" s="248"/>
    </row>
    <row r="581" spans="1:9" s="249" customFormat="1" ht="27.6">
      <c r="A581" s="250">
        <v>8</v>
      </c>
      <c r="B581" s="242"/>
      <c r="C581" s="638" t="s">
        <v>668</v>
      </c>
      <c r="D581" s="243"/>
      <c r="E581" s="253">
        <v>1</v>
      </c>
      <c r="F581" s="252" t="s">
        <v>584</v>
      </c>
      <c r="G581" s="247"/>
      <c r="H581" s="254">
        <f t="shared" si="56"/>
        <v>0</v>
      </c>
      <c r="I581" s="248"/>
    </row>
    <row r="582" spans="1:9" s="249" customFormat="1" ht="13.8">
      <c r="A582" s="250"/>
      <c r="B582" s="242"/>
      <c r="C582" s="638"/>
      <c r="D582" s="243"/>
      <c r="E582" s="253"/>
      <c r="F582" s="252"/>
      <c r="G582" s="254"/>
      <c r="H582" s="254"/>
      <c r="I582" s="248"/>
    </row>
    <row r="583" spans="1:9" s="249" customFormat="1" ht="13.8">
      <c r="A583" s="250">
        <v>9</v>
      </c>
      <c r="B583" s="242"/>
      <c r="C583" s="638" t="s">
        <v>669</v>
      </c>
      <c r="D583" s="243"/>
      <c r="E583" s="253">
        <v>1</v>
      </c>
      <c r="F583" s="252" t="s">
        <v>584</v>
      </c>
      <c r="G583" s="247"/>
      <c r="H583" s="254">
        <f t="shared" si="56"/>
        <v>0</v>
      </c>
      <c r="I583" s="248"/>
    </row>
    <row r="584" spans="1:9" s="249" customFormat="1" ht="13.8">
      <c r="A584" s="250"/>
      <c r="B584" s="242"/>
      <c r="C584" s="638"/>
      <c r="D584" s="243"/>
      <c r="E584" s="253"/>
      <c r="F584" s="252"/>
      <c r="G584" s="254"/>
      <c r="H584" s="254"/>
      <c r="I584" s="248"/>
    </row>
    <row r="585" spans="1:9" s="249" customFormat="1" ht="27.6">
      <c r="A585" s="250">
        <v>10</v>
      </c>
      <c r="B585" s="242"/>
      <c r="C585" s="638" t="s">
        <v>670</v>
      </c>
      <c r="D585" s="243"/>
      <c r="E585" s="253">
        <v>1</v>
      </c>
      <c r="F585" s="252" t="s">
        <v>584</v>
      </c>
      <c r="G585" s="247"/>
      <c r="H585" s="254">
        <f t="shared" si="56"/>
        <v>0</v>
      </c>
      <c r="I585" s="248"/>
    </row>
    <row r="586" spans="1:9" s="249" customFormat="1" ht="13.8">
      <c r="A586" s="250"/>
      <c r="B586" s="242"/>
      <c r="C586" s="638"/>
      <c r="D586" s="243"/>
      <c r="E586" s="253"/>
      <c r="F586" s="252"/>
      <c r="G586" s="254"/>
      <c r="H586" s="254"/>
      <c r="I586" s="248"/>
    </row>
    <row r="587" spans="1:9" s="249" customFormat="1" ht="27.6">
      <c r="A587" s="250">
        <v>11</v>
      </c>
      <c r="B587" s="242"/>
      <c r="C587" s="638" t="s">
        <v>671</v>
      </c>
      <c r="D587" s="243"/>
      <c r="E587" s="253">
        <v>1</v>
      </c>
      <c r="F587" s="252" t="s">
        <v>584</v>
      </c>
      <c r="G587" s="247"/>
      <c r="H587" s="254">
        <f t="shared" si="56"/>
        <v>0</v>
      </c>
      <c r="I587" s="248"/>
    </row>
    <row r="588" spans="1:9" s="249" customFormat="1" ht="13.8">
      <c r="A588" s="250">
        <v>12</v>
      </c>
      <c r="B588" s="242"/>
      <c r="C588" s="638" t="s">
        <v>1251</v>
      </c>
      <c r="D588" s="243"/>
      <c r="E588" s="253"/>
      <c r="F588" s="252"/>
      <c r="G588" s="254"/>
      <c r="H588" s="254">
        <v>2500</v>
      </c>
      <c r="I588" s="248"/>
    </row>
    <row r="589" spans="1:9" s="264" customFormat="1" ht="13.8">
      <c r="A589" s="259"/>
      <c r="B589" s="233"/>
      <c r="C589" s="816" t="s">
        <v>35</v>
      </c>
      <c r="D589" s="427"/>
      <c r="E589" s="261"/>
      <c r="F589" s="428"/>
      <c r="G589" s="818"/>
      <c r="H589" s="263"/>
    </row>
    <row r="590" spans="1:9" s="264" customFormat="1" ht="13.8">
      <c r="A590" s="265"/>
      <c r="B590" s="266"/>
      <c r="C590" s="817" t="s">
        <v>35</v>
      </c>
      <c r="D590" s="429"/>
      <c r="E590" s="430"/>
      <c r="F590" s="431"/>
      <c r="G590" s="819" t="s">
        <v>36</v>
      </c>
      <c r="H590" s="432">
        <f>SUM(H563:H589)</f>
        <v>2500</v>
      </c>
    </row>
    <row r="591" spans="1:9" ht="13.2">
      <c r="A591" s="639"/>
      <c r="B591" s="580"/>
      <c r="C591" s="580"/>
      <c r="D591" s="580"/>
      <c r="E591" s="640"/>
      <c r="F591" s="641"/>
      <c r="G591" s="641"/>
      <c r="H591" s="642"/>
    </row>
    <row r="592" spans="1:9" ht="26.4">
      <c r="A592" s="643"/>
      <c r="B592" s="644"/>
      <c r="C592" s="645" t="s">
        <v>575</v>
      </c>
      <c r="D592" s="644"/>
      <c r="E592" s="646"/>
      <c r="F592" s="647"/>
      <c r="G592" s="647"/>
      <c r="H592" s="648">
        <f>+H590+H562+H535+H505+H489+H456+H432+H394+H356+H332+H310+H284+H243+H194+H112+H93+H29</f>
        <v>77653.48</v>
      </c>
    </row>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sheetData>
  <mergeCells count="38">
    <mergeCell ref="C589:C590"/>
    <mergeCell ref="G589:G590"/>
    <mergeCell ref="C504:C505"/>
    <mergeCell ref="G504:G505"/>
    <mergeCell ref="C488:C489"/>
    <mergeCell ref="G488:G489"/>
    <mergeCell ref="C534:C535"/>
    <mergeCell ref="G534:G535"/>
    <mergeCell ref="C561:C562"/>
    <mergeCell ref="G561:G562"/>
    <mergeCell ref="C455:C456"/>
    <mergeCell ref="G455:G456"/>
    <mergeCell ref="C431:C432"/>
    <mergeCell ref="G431:G432"/>
    <mergeCell ref="C309:C310"/>
    <mergeCell ref="G309:G310"/>
    <mergeCell ref="C331:C332"/>
    <mergeCell ref="G331:G332"/>
    <mergeCell ref="C355:C356"/>
    <mergeCell ref="G355:G356"/>
    <mergeCell ref="C393:C394"/>
    <mergeCell ref="G393:G394"/>
    <mergeCell ref="B4:C5"/>
    <mergeCell ref="E4:E5"/>
    <mergeCell ref="F4:F5"/>
    <mergeCell ref="G4:G5"/>
    <mergeCell ref="C28:C29"/>
    <mergeCell ref="G28:G29"/>
    <mergeCell ref="C242:C243"/>
    <mergeCell ref="G242:G243"/>
    <mergeCell ref="C283:C284"/>
    <mergeCell ref="G283:G284"/>
    <mergeCell ref="C92:C93"/>
    <mergeCell ref="G92:G93"/>
    <mergeCell ref="C111:C112"/>
    <mergeCell ref="G111:G112"/>
    <mergeCell ref="C193:C194"/>
    <mergeCell ref="G193:G194"/>
  </mergeCells>
  <printOptions horizontalCentered="1"/>
  <pageMargins left="0.5" right="0" top="0.8" bottom="0.75" header="0" footer="0"/>
  <pageSetup paperSize="9" scale="72" orientation="portrait" r:id="rId1"/>
  <headerFooter>
    <oddFooter>&amp;CElec/5/Page &amp;P of</oddFooter>
  </headerFooter>
  <rowBreaks count="11" manualBreakCount="11">
    <brk id="29" max="7" man="1"/>
    <brk id="112" max="7" man="1"/>
    <brk id="149" max="7" man="1"/>
    <brk id="194" max="7" man="1"/>
    <brk id="243" max="7" man="1"/>
    <brk id="284" max="7" man="1"/>
    <brk id="332" max="7" man="1"/>
    <brk id="394" max="7" man="1"/>
    <brk id="456" max="7" man="1"/>
    <brk id="505" max="7" man="1"/>
    <brk id="562" max="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1001"/>
  <sheetViews>
    <sheetView view="pageBreakPreview" zoomScale="60" zoomScaleNormal="100" workbookViewId="0">
      <pane ySplit="1" topLeftCell="A83" activePane="bottomLeft" state="frozen"/>
      <selection pane="bottomLeft" activeCell="G88" sqref="G88:G103"/>
    </sheetView>
  </sheetViews>
  <sheetFormatPr defaultColWidth="9.33203125" defaultRowHeight="15" customHeight="1"/>
  <cols>
    <col min="1" max="1" width="4.6640625" style="333" customWidth="1"/>
    <col min="2" max="2" width="0.6640625" style="333" customWidth="1"/>
    <col min="3" max="3" width="48.6640625" style="333" customWidth="1"/>
    <col min="4" max="4" width="0.6640625" style="333" customWidth="1"/>
    <col min="5" max="5" width="8.6640625" style="334" customWidth="1"/>
    <col min="6" max="6" width="6" style="333" customWidth="1"/>
    <col min="7" max="7" width="12.6640625" style="323" customWidth="1"/>
    <col min="8" max="9" width="16" style="323" bestFit="1" customWidth="1"/>
    <col min="10" max="16384" width="9.33203125" style="323"/>
  </cols>
  <sheetData>
    <row r="1" spans="1:9" s="225" customFormat="1" ht="13.8">
      <c r="A1" s="656"/>
      <c r="B1" s="671"/>
      <c r="C1" s="657"/>
      <c r="D1" s="657"/>
      <c r="E1" s="658"/>
      <c r="F1" s="657"/>
      <c r="G1" s="672"/>
      <c r="H1" s="673"/>
      <c r="I1" s="273"/>
    </row>
    <row r="2" spans="1:9" s="225" customFormat="1" ht="13.8">
      <c r="A2" s="662" t="s">
        <v>673</v>
      </c>
      <c r="B2" s="674"/>
      <c r="C2" s="663"/>
      <c r="D2" s="663"/>
      <c r="E2" s="664"/>
      <c r="F2" s="665"/>
      <c r="G2" s="274"/>
      <c r="H2" s="675"/>
    </row>
    <row r="3" spans="1:9" s="225" customFormat="1" ht="13.8">
      <c r="A3" s="669"/>
      <c r="B3" s="665"/>
      <c r="C3" s="665"/>
      <c r="D3" s="665"/>
      <c r="E3" s="664"/>
      <c r="F3" s="665"/>
      <c r="G3" s="275"/>
      <c r="H3" s="676"/>
    </row>
    <row r="4" spans="1:9" s="277" customFormat="1" ht="13.8">
      <c r="A4" s="276" t="s">
        <v>1</v>
      </c>
      <c r="B4" s="828" t="s">
        <v>2</v>
      </c>
      <c r="C4" s="822"/>
      <c r="D4" s="229"/>
      <c r="E4" s="832" t="s">
        <v>14</v>
      </c>
      <c r="F4" s="828" t="s">
        <v>15</v>
      </c>
      <c r="G4" s="830" t="s">
        <v>16</v>
      </c>
      <c r="H4" s="418" t="s">
        <v>3</v>
      </c>
      <c r="I4" s="225"/>
    </row>
    <row r="5" spans="1:9" s="277" customFormat="1" ht="13.8">
      <c r="A5" s="278" t="s">
        <v>4</v>
      </c>
      <c r="B5" s="829"/>
      <c r="C5" s="824"/>
      <c r="D5" s="279"/>
      <c r="E5" s="833"/>
      <c r="F5" s="834"/>
      <c r="G5" s="835"/>
      <c r="H5" s="420" t="s">
        <v>5</v>
      </c>
      <c r="I5" s="225"/>
    </row>
    <row r="6" spans="1:9" s="285" customFormat="1" ht="13.8">
      <c r="A6" s="280"/>
      <c r="B6" s="281"/>
      <c r="C6" s="677"/>
      <c r="D6" s="282"/>
      <c r="E6" s="283"/>
      <c r="F6" s="280"/>
      <c r="G6" s="284"/>
      <c r="H6" s="284"/>
    </row>
    <row r="7" spans="1:9" s="285" customFormat="1" ht="13.8">
      <c r="A7" s="280"/>
      <c r="B7" s="281"/>
      <c r="C7" s="678" t="s">
        <v>674</v>
      </c>
      <c r="D7" s="286"/>
      <c r="E7" s="283"/>
      <c r="F7" s="287"/>
      <c r="G7" s="288"/>
      <c r="H7" s="288"/>
    </row>
    <row r="8" spans="1:9" s="285" customFormat="1" ht="13.8">
      <c r="A8" s="289"/>
      <c r="B8" s="290"/>
      <c r="C8" s="679"/>
      <c r="D8" s="291"/>
      <c r="E8" s="292"/>
      <c r="F8" s="280"/>
      <c r="G8" s="288"/>
      <c r="H8" s="288"/>
    </row>
    <row r="9" spans="1:9" s="285" customFormat="1" ht="17.25" customHeight="1">
      <c r="A9" s="289"/>
      <c r="B9" s="290"/>
      <c r="C9" s="680" t="s">
        <v>675</v>
      </c>
      <c r="D9" s="293"/>
      <c r="E9" s="292"/>
      <c r="F9" s="287"/>
      <c r="G9" s="288"/>
      <c r="H9" s="288"/>
    </row>
    <row r="10" spans="1:9" s="285" customFormat="1" ht="9" customHeight="1">
      <c r="A10" s="289"/>
      <c r="B10" s="290"/>
      <c r="C10" s="679"/>
      <c r="D10" s="291"/>
      <c r="E10" s="292"/>
      <c r="F10" s="280"/>
      <c r="G10" s="288"/>
      <c r="H10" s="288"/>
    </row>
    <row r="11" spans="1:9" s="285" customFormat="1" ht="21" customHeight="1">
      <c r="A11" s="280"/>
      <c r="B11" s="281"/>
      <c r="C11" s="681" t="s">
        <v>676</v>
      </c>
      <c r="D11" s="294"/>
      <c r="E11" s="283"/>
      <c r="F11" s="280"/>
      <c r="G11" s="288"/>
      <c r="H11" s="288"/>
    </row>
    <row r="12" spans="1:9" s="285" customFormat="1" ht="10.5" customHeight="1">
      <c r="A12" s="280"/>
      <c r="B12" s="281"/>
      <c r="C12" s="682"/>
      <c r="D12" s="295"/>
      <c r="E12" s="283"/>
      <c r="F12" s="280"/>
      <c r="G12" s="288"/>
      <c r="H12" s="288"/>
    </row>
    <row r="13" spans="1:9" s="285" customFormat="1" ht="91.5" customHeight="1">
      <c r="A13" s="280"/>
      <c r="B13" s="281"/>
      <c r="C13" s="683" t="s">
        <v>677</v>
      </c>
      <c r="D13" s="296"/>
      <c r="E13" s="283"/>
      <c r="F13" s="280"/>
      <c r="G13" s="288"/>
      <c r="H13" s="288"/>
    </row>
    <row r="14" spans="1:9" s="285" customFormat="1" ht="11.25" customHeight="1">
      <c r="A14" s="280"/>
      <c r="B14" s="281"/>
      <c r="C14" s="684"/>
      <c r="D14" s="297"/>
      <c r="E14" s="283"/>
      <c r="F14" s="280"/>
      <c r="G14" s="288"/>
      <c r="H14" s="288"/>
    </row>
    <row r="15" spans="1:9" s="285" customFormat="1" ht="18.75" customHeight="1">
      <c r="A15" s="280">
        <v>1</v>
      </c>
      <c r="B15" s="281"/>
      <c r="C15" s="685" t="s">
        <v>1121</v>
      </c>
      <c r="D15" s="298"/>
      <c r="E15" s="283">
        <f>6*1.5</f>
        <v>9</v>
      </c>
      <c r="F15" s="280" t="s">
        <v>58</v>
      </c>
      <c r="G15" s="288">
        <v>2.7</v>
      </c>
      <c r="H15" s="288">
        <f>G15*E15</f>
        <v>24.3</v>
      </c>
    </row>
    <row r="16" spans="1:9" s="285" customFormat="1" ht="11.25" customHeight="1">
      <c r="A16" s="280"/>
      <c r="B16" s="281"/>
      <c r="C16" s="684"/>
      <c r="D16" s="297"/>
      <c r="E16" s="283"/>
      <c r="F16" s="280"/>
      <c r="G16" s="288"/>
      <c r="H16" s="288"/>
    </row>
    <row r="17" spans="1:8" s="285" customFormat="1" ht="13.8">
      <c r="A17" s="280">
        <v>2</v>
      </c>
      <c r="B17" s="281"/>
      <c r="C17" s="685" t="s">
        <v>1122</v>
      </c>
      <c r="D17" s="298"/>
      <c r="E17" s="283">
        <f>6*1.5</f>
        <v>9</v>
      </c>
      <c r="F17" s="280" t="s">
        <v>58</v>
      </c>
      <c r="G17" s="288">
        <v>2.7</v>
      </c>
      <c r="H17" s="288">
        <f t="shared" ref="H17" si="0">G17*E17</f>
        <v>24.3</v>
      </c>
    </row>
    <row r="18" spans="1:8" s="285" customFormat="1" ht="9.75" customHeight="1">
      <c r="A18" s="280"/>
      <c r="B18" s="281"/>
      <c r="C18" s="685"/>
      <c r="D18" s="298"/>
      <c r="E18" s="283"/>
      <c r="F18" s="280"/>
      <c r="G18" s="288"/>
      <c r="H18" s="288"/>
    </row>
    <row r="19" spans="1:8" s="285" customFormat="1" ht="18.75" customHeight="1">
      <c r="A19" s="280">
        <v>3</v>
      </c>
      <c r="B19" s="281"/>
      <c r="C19" s="685" t="s">
        <v>678</v>
      </c>
      <c r="D19" s="298"/>
      <c r="E19" s="283">
        <f>57*1.5</f>
        <v>85.5</v>
      </c>
      <c r="F19" s="280" t="s">
        <v>58</v>
      </c>
      <c r="G19" s="288">
        <v>0.5</v>
      </c>
      <c r="H19" s="288">
        <f>G19*E19</f>
        <v>42.75</v>
      </c>
    </row>
    <row r="20" spans="1:8" s="285" customFormat="1" ht="11.25" customHeight="1">
      <c r="A20" s="280"/>
      <c r="B20" s="281"/>
      <c r="C20" s="684"/>
      <c r="D20" s="297"/>
      <c r="E20" s="283"/>
      <c r="F20" s="280"/>
      <c r="G20" s="288"/>
      <c r="H20" s="288"/>
    </row>
    <row r="21" spans="1:8" s="285" customFormat="1" ht="13.8">
      <c r="A21" s="280">
        <v>4</v>
      </c>
      <c r="B21" s="281"/>
      <c r="C21" s="685" t="s">
        <v>1123</v>
      </c>
      <c r="D21" s="298"/>
      <c r="E21" s="283">
        <f>65*1.5</f>
        <v>97.5</v>
      </c>
      <c r="F21" s="280" t="s">
        <v>58</v>
      </c>
      <c r="G21" s="288">
        <v>0.5</v>
      </c>
      <c r="H21" s="288">
        <f t="shared" ref="H21:H30" si="1">G21*E21</f>
        <v>48.75</v>
      </c>
    </row>
    <row r="22" spans="1:8" s="285" customFormat="1" ht="9.75" customHeight="1">
      <c r="A22" s="280"/>
      <c r="B22" s="281"/>
      <c r="C22" s="685"/>
      <c r="D22" s="298"/>
      <c r="E22" s="283"/>
      <c r="F22" s="280"/>
      <c r="G22" s="288"/>
      <c r="H22" s="288"/>
    </row>
    <row r="23" spans="1:8" s="285" customFormat="1" ht="21.75" customHeight="1">
      <c r="A23" s="280">
        <v>5</v>
      </c>
      <c r="B23" s="281"/>
      <c r="C23" s="685" t="s">
        <v>679</v>
      </c>
      <c r="D23" s="298"/>
      <c r="E23" s="283">
        <f>10*1.5</f>
        <v>15</v>
      </c>
      <c r="F23" s="280" t="s">
        <v>598</v>
      </c>
      <c r="G23" s="288">
        <v>0.6</v>
      </c>
      <c r="H23" s="288">
        <f t="shared" ref="H23" si="2">G23*E23</f>
        <v>9</v>
      </c>
    </row>
    <row r="24" spans="1:8" s="285" customFormat="1" ht="9.75" customHeight="1">
      <c r="A24" s="280"/>
      <c r="B24" s="281"/>
      <c r="C24" s="684"/>
      <c r="D24" s="297"/>
      <c r="E24" s="283"/>
      <c r="F24" s="280"/>
      <c r="G24" s="288"/>
      <c r="H24" s="288"/>
    </row>
    <row r="25" spans="1:8" s="285" customFormat="1" ht="24" customHeight="1">
      <c r="A25" s="280"/>
      <c r="B25" s="281"/>
      <c r="C25" s="681" t="s">
        <v>680</v>
      </c>
      <c r="D25" s="294"/>
      <c r="E25" s="283"/>
      <c r="F25" s="280"/>
      <c r="G25" s="288"/>
      <c r="H25" s="288"/>
    </row>
    <row r="26" spans="1:8" s="285" customFormat="1" ht="86.25" customHeight="1">
      <c r="A26" s="280"/>
      <c r="B26" s="281"/>
      <c r="C26" s="683" t="s">
        <v>681</v>
      </c>
      <c r="D26" s="296"/>
      <c r="E26" s="283"/>
      <c r="F26" s="280"/>
      <c r="G26" s="288"/>
      <c r="H26" s="288"/>
    </row>
    <row r="27" spans="1:8" s="285" customFormat="1" ht="6" customHeight="1">
      <c r="A27" s="280"/>
      <c r="B27" s="281"/>
      <c r="C27" s="683"/>
      <c r="D27" s="296"/>
      <c r="E27" s="283"/>
      <c r="F27" s="280"/>
      <c r="G27" s="288"/>
      <c r="H27" s="288"/>
    </row>
    <row r="28" spans="1:8" s="285" customFormat="1" ht="13.8">
      <c r="A28" s="280">
        <v>1</v>
      </c>
      <c r="B28" s="281"/>
      <c r="C28" s="685" t="s">
        <v>682</v>
      </c>
      <c r="D28" s="298"/>
      <c r="E28" s="283">
        <f>14*1.5</f>
        <v>21</v>
      </c>
      <c r="F28" s="280" t="s">
        <v>58</v>
      </c>
      <c r="G28" s="288">
        <v>0.6</v>
      </c>
      <c r="H28" s="288">
        <f t="shared" si="1"/>
        <v>12.6</v>
      </c>
    </row>
    <row r="29" spans="1:8" s="285" customFormat="1" ht="13.8">
      <c r="A29" s="280"/>
      <c r="B29" s="281"/>
      <c r="C29" s="684"/>
      <c r="D29" s="297"/>
      <c r="E29" s="283"/>
      <c r="F29" s="280"/>
      <c r="G29" s="288"/>
      <c r="H29" s="288"/>
    </row>
    <row r="30" spans="1:8" s="285" customFormat="1" ht="13.8">
      <c r="A30" s="280">
        <v>2</v>
      </c>
      <c r="B30" s="281"/>
      <c r="C30" s="685" t="s">
        <v>1124</v>
      </c>
      <c r="D30" s="298"/>
      <c r="E30" s="283">
        <f>15+9</f>
        <v>24</v>
      </c>
      <c r="F30" s="280" t="s">
        <v>58</v>
      </c>
      <c r="G30" s="288">
        <v>10</v>
      </c>
      <c r="H30" s="288">
        <f t="shared" si="1"/>
        <v>240</v>
      </c>
    </row>
    <row r="31" spans="1:8" s="264" customFormat="1" ht="13.8">
      <c r="A31" s="259"/>
      <c r="B31" s="233"/>
      <c r="C31" s="816" t="s">
        <v>35</v>
      </c>
      <c r="D31" s="427"/>
      <c r="E31" s="299"/>
      <c r="F31" s="434"/>
      <c r="G31" s="836"/>
      <c r="H31" s="301"/>
    </row>
    <row r="32" spans="1:8" s="264" customFormat="1" ht="13.8">
      <c r="A32" s="265"/>
      <c r="B32" s="266"/>
      <c r="C32" s="817" t="s">
        <v>35</v>
      </c>
      <c r="D32" s="429"/>
      <c r="E32" s="435"/>
      <c r="F32" s="436"/>
      <c r="G32" s="837" t="s">
        <v>36</v>
      </c>
      <c r="H32" s="437">
        <f>SUM(H6:H31)</f>
        <v>401.7</v>
      </c>
    </row>
    <row r="33" spans="1:8" s="285" customFormat="1" ht="13.8">
      <c r="A33" s="686"/>
      <c r="B33" s="687"/>
      <c r="C33" s="688"/>
      <c r="D33" s="689"/>
      <c r="E33" s="690"/>
      <c r="F33" s="691"/>
      <c r="G33" s="322"/>
      <c r="H33" s="322"/>
    </row>
    <row r="34" spans="1:8" s="285" customFormat="1" ht="19.5" customHeight="1">
      <c r="A34" s="280"/>
      <c r="B34" s="281"/>
      <c r="C34" s="681" t="s">
        <v>683</v>
      </c>
      <c r="D34" s="294"/>
      <c r="E34" s="283"/>
      <c r="F34" s="280"/>
      <c r="G34" s="288"/>
      <c r="H34" s="288"/>
    </row>
    <row r="35" spans="1:8" s="285" customFormat="1" ht="69">
      <c r="A35" s="280"/>
      <c r="B35" s="281"/>
      <c r="C35" s="683" t="s">
        <v>684</v>
      </c>
      <c r="D35" s="296"/>
      <c r="E35" s="283"/>
      <c r="F35" s="280"/>
      <c r="G35" s="288"/>
      <c r="H35" s="288"/>
    </row>
    <row r="36" spans="1:8" s="285" customFormat="1" ht="9.75" customHeight="1">
      <c r="A36" s="280"/>
      <c r="B36" s="281"/>
      <c r="C36" s="692"/>
      <c r="D36" s="307"/>
      <c r="E36" s="283"/>
      <c r="F36" s="280"/>
      <c r="G36" s="288"/>
      <c r="H36" s="288"/>
    </row>
    <row r="37" spans="1:8" s="285" customFormat="1" ht="13.8">
      <c r="A37" s="280">
        <v>1</v>
      </c>
      <c r="B37" s="281"/>
      <c r="C37" s="685" t="s">
        <v>1125</v>
      </c>
      <c r="D37" s="298"/>
      <c r="E37" s="283">
        <f>20*1.5</f>
        <v>30</v>
      </c>
      <c r="F37" s="280" t="s">
        <v>58</v>
      </c>
      <c r="G37" s="288">
        <v>1.325</v>
      </c>
      <c r="H37" s="288">
        <f t="shared" ref="H37:H67" si="3">G37*E37</f>
        <v>39.75</v>
      </c>
    </row>
    <row r="38" spans="1:8" s="285" customFormat="1" ht="9.75" customHeight="1">
      <c r="A38" s="280"/>
      <c r="B38" s="281"/>
      <c r="C38" s="692"/>
      <c r="D38" s="307"/>
      <c r="E38" s="283"/>
      <c r="F38" s="280"/>
      <c r="G38" s="288"/>
      <c r="H38" s="288"/>
    </row>
    <row r="39" spans="1:8" s="285" customFormat="1" ht="13.8">
      <c r="A39" s="280">
        <v>2</v>
      </c>
      <c r="B39" s="281"/>
      <c r="C39" s="692" t="s">
        <v>685</v>
      </c>
      <c r="D39" s="307"/>
      <c r="E39" s="283">
        <v>4</v>
      </c>
      <c r="F39" s="280" t="s">
        <v>598</v>
      </c>
      <c r="G39" s="288">
        <v>8</v>
      </c>
      <c r="H39" s="288">
        <f t="shared" si="3"/>
        <v>32</v>
      </c>
    </row>
    <row r="40" spans="1:8" s="285" customFormat="1" ht="9.75" customHeight="1">
      <c r="A40" s="280"/>
      <c r="B40" s="281"/>
      <c r="C40" s="692"/>
      <c r="D40" s="307"/>
      <c r="E40" s="283"/>
      <c r="F40" s="280"/>
      <c r="G40" s="288"/>
      <c r="H40" s="288"/>
    </row>
    <row r="41" spans="1:8" s="285" customFormat="1" ht="13.8">
      <c r="A41" s="280"/>
      <c r="B41" s="281"/>
      <c r="C41" s="681" t="s">
        <v>686</v>
      </c>
      <c r="D41" s="294"/>
      <c r="E41" s="283"/>
      <c r="F41" s="287"/>
      <c r="G41" s="288"/>
      <c r="H41" s="288"/>
    </row>
    <row r="42" spans="1:8" s="285" customFormat="1" ht="9.75" customHeight="1">
      <c r="A42" s="280"/>
      <c r="B42" s="281"/>
      <c r="C42" s="678"/>
      <c r="D42" s="286"/>
      <c r="E42" s="283"/>
      <c r="F42" s="287"/>
      <c r="G42" s="288"/>
      <c r="H42" s="288"/>
    </row>
    <row r="43" spans="1:8" s="285" customFormat="1" ht="13.8">
      <c r="A43" s="280">
        <v>1</v>
      </c>
      <c r="B43" s="281"/>
      <c r="C43" s="685" t="s">
        <v>1126</v>
      </c>
      <c r="D43" s="298"/>
      <c r="E43" s="283">
        <v>1</v>
      </c>
      <c r="F43" s="287" t="s">
        <v>687</v>
      </c>
      <c r="G43" s="288">
        <v>1400</v>
      </c>
      <c r="H43" s="288">
        <f t="shared" si="3"/>
        <v>1400</v>
      </c>
    </row>
    <row r="44" spans="1:8" s="285" customFormat="1" ht="9.75" customHeight="1">
      <c r="A44" s="280"/>
      <c r="B44" s="281"/>
      <c r="C44" s="678"/>
      <c r="D44" s="286"/>
      <c r="E44" s="283"/>
      <c r="F44" s="287"/>
      <c r="G44" s="288"/>
      <c r="H44" s="288"/>
    </row>
    <row r="45" spans="1:8" s="285" customFormat="1" ht="13.8">
      <c r="A45" s="280">
        <v>2</v>
      </c>
      <c r="B45" s="281"/>
      <c r="C45" s="685" t="s">
        <v>688</v>
      </c>
      <c r="D45" s="298"/>
      <c r="E45" s="283">
        <v>6</v>
      </c>
      <c r="F45" s="287" t="s">
        <v>58</v>
      </c>
      <c r="G45" s="288">
        <v>1.8</v>
      </c>
      <c r="H45" s="288">
        <f t="shared" si="3"/>
        <v>10.8</v>
      </c>
    </row>
    <row r="46" spans="1:8" s="285" customFormat="1" ht="9.75" customHeight="1">
      <c r="A46" s="280"/>
      <c r="B46" s="281"/>
      <c r="C46" s="685"/>
      <c r="D46" s="298"/>
      <c r="E46" s="283"/>
      <c r="F46" s="287"/>
      <c r="G46" s="288"/>
      <c r="H46" s="288"/>
    </row>
    <row r="47" spans="1:8" s="285" customFormat="1" ht="27.6">
      <c r="A47" s="280"/>
      <c r="B47" s="281"/>
      <c r="C47" s="681" t="s">
        <v>689</v>
      </c>
      <c r="D47" s="294"/>
      <c r="E47" s="283"/>
      <c r="F47" s="287"/>
      <c r="G47" s="288"/>
      <c r="H47" s="288"/>
    </row>
    <row r="48" spans="1:8" s="285" customFormat="1" ht="9.75" customHeight="1">
      <c r="A48" s="280"/>
      <c r="B48" s="281"/>
      <c r="C48" s="685"/>
      <c r="D48" s="298"/>
      <c r="E48" s="283"/>
      <c r="F48" s="287"/>
      <c r="G48" s="288"/>
      <c r="H48" s="288"/>
    </row>
    <row r="49" spans="1:8" s="285" customFormat="1" ht="82.8">
      <c r="A49" s="280"/>
      <c r="B49" s="281"/>
      <c r="C49" s="683" t="s">
        <v>681</v>
      </c>
      <c r="D49" s="296"/>
      <c r="E49" s="283"/>
      <c r="F49" s="287"/>
      <c r="G49" s="288"/>
      <c r="H49" s="288"/>
    </row>
    <row r="50" spans="1:8" s="285" customFormat="1" ht="9.75" customHeight="1">
      <c r="A50" s="280"/>
      <c r="B50" s="281"/>
      <c r="C50" s="685"/>
      <c r="D50" s="298"/>
      <c r="E50" s="283"/>
      <c r="F50" s="287"/>
      <c r="G50" s="288"/>
      <c r="H50" s="288"/>
    </row>
    <row r="51" spans="1:8" s="285" customFormat="1" ht="13.8">
      <c r="A51" s="280">
        <v>1</v>
      </c>
      <c r="B51" s="281"/>
      <c r="C51" s="685" t="s">
        <v>690</v>
      </c>
      <c r="D51" s="298"/>
      <c r="E51" s="283">
        <f>97*1.1</f>
        <v>106.7</v>
      </c>
      <c r="F51" s="280" t="s">
        <v>58</v>
      </c>
      <c r="G51" s="288">
        <v>1.325</v>
      </c>
      <c r="H51" s="288">
        <f t="shared" si="3"/>
        <v>141.3775</v>
      </c>
    </row>
    <row r="52" spans="1:8" s="285" customFormat="1" ht="9.75" customHeight="1">
      <c r="A52" s="280"/>
      <c r="B52" s="281"/>
      <c r="C52" s="685"/>
      <c r="D52" s="298"/>
      <c r="E52" s="283"/>
      <c r="F52" s="287"/>
      <c r="G52" s="288"/>
      <c r="H52" s="288"/>
    </row>
    <row r="53" spans="1:8" s="285" customFormat="1" ht="13.8">
      <c r="A53" s="280">
        <v>2</v>
      </c>
      <c r="B53" s="281"/>
      <c r="C53" s="685" t="s">
        <v>1127</v>
      </c>
      <c r="D53" s="298"/>
      <c r="E53" s="283">
        <f>25*2*6</f>
        <v>300</v>
      </c>
      <c r="F53" s="280" t="s">
        <v>58</v>
      </c>
      <c r="G53" s="288">
        <v>0.5</v>
      </c>
      <c r="H53" s="288">
        <f t="shared" si="3"/>
        <v>150</v>
      </c>
    </row>
    <row r="54" spans="1:8" s="285" customFormat="1" ht="9.75" customHeight="1">
      <c r="A54" s="280"/>
      <c r="B54" s="281"/>
      <c r="C54" s="685"/>
      <c r="D54" s="298"/>
      <c r="E54" s="283"/>
      <c r="F54" s="287"/>
      <c r="G54" s="288"/>
      <c r="H54" s="288"/>
    </row>
    <row r="55" spans="1:8" s="285" customFormat="1" ht="13.8">
      <c r="A55" s="280">
        <v>3</v>
      </c>
      <c r="B55" s="281"/>
      <c r="C55" s="685" t="s">
        <v>1128</v>
      </c>
      <c r="D55" s="298"/>
      <c r="E55" s="283">
        <f>30*2*6+20</f>
        <v>380</v>
      </c>
      <c r="F55" s="280" t="s">
        <v>58</v>
      </c>
      <c r="G55" s="288">
        <v>0.5</v>
      </c>
      <c r="H55" s="288">
        <f t="shared" ref="H55" si="4">G55*E55</f>
        <v>190</v>
      </c>
    </row>
    <row r="56" spans="1:8" s="285" customFormat="1" ht="9.75" customHeight="1">
      <c r="A56" s="280"/>
      <c r="B56" s="281"/>
      <c r="C56" s="685"/>
      <c r="D56" s="298"/>
      <c r="E56" s="283"/>
      <c r="F56" s="287"/>
      <c r="G56" s="288"/>
      <c r="H56" s="288"/>
    </row>
    <row r="57" spans="1:8" s="285" customFormat="1" ht="13.8">
      <c r="A57" s="280">
        <v>4</v>
      </c>
      <c r="B57" s="281"/>
      <c r="C57" s="685" t="s">
        <v>1129</v>
      </c>
      <c r="D57" s="298"/>
      <c r="E57" s="283">
        <f>16*2*6</f>
        <v>192</v>
      </c>
      <c r="F57" s="280" t="s">
        <v>58</v>
      </c>
      <c r="G57" s="288">
        <v>0.14099999999999999</v>
      </c>
      <c r="H57" s="288">
        <f t="shared" si="3"/>
        <v>27.071999999999996</v>
      </c>
    </row>
    <row r="58" spans="1:8" s="285" customFormat="1" ht="9.75" customHeight="1">
      <c r="A58" s="280"/>
      <c r="B58" s="281"/>
      <c r="C58" s="685"/>
      <c r="D58" s="298"/>
      <c r="E58" s="283"/>
      <c r="F58" s="287"/>
      <c r="G58" s="288"/>
      <c r="H58" s="288"/>
    </row>
    <row r="59" spans="1:8" s="285" customFormat="1" ht="13.8">
      <c r="A59" s="280">
        <v>5</v>
      </c>
      <c r="B59" s="281"/>
      <c r="C59" s="685" t="s">
        <v>1130</v>
      </c>
      <c r="D59" s="298"/>
      <c r="E59" s="283">
        <f>17*2*6</f>
        <v>204</v>
      </c>
      <c r="F59" s="280" t="s">
        <v>58</v>
      </c>
      <c r="G59" s="288">
        <v>8.3000000000000004E-2</v>
      </c>
      <c r="H59" s="288">
        <f t="shared" si="3"/>
        <v>16.932000000000002</v>
      </c>
    </row>
    <row r="60" spans="1:8" s="285" customFormat="1" ht="9.75" customHeight="1">
      <c r="A60" s="280"/>
      <c r="B60" s="281"/>
      <c r="C60" s="685"/>
      <c r="D60" s="298"/>
      <c r="E60" s="283"/>
      <c r="F60" s="287"/>
      <c r="G60" s="288"/>
      <c r="H60" s="288"/>
    </row>
    <row r="61" spans="1:8" s="285" customFormat="1" ht="13.8">
      <c r="A61" s="280">
        <v>6</v>
      </c>
      <c r="B61" s="281"/>
      <c r="C61" s="685" t="s">
        <v>1131</v>
      </c>
      <c r="D61" s="298"/>
      <c r="E61" s="283">
        <f>11*1.25</f>
        <v>13.75</v>
      </c>
      <c r="F61" s="280" t="s">
        <v>598</v>
      </c>
      <c r="G61" s="288">
        <v>0.45700000000000002</v>
      </c>
      <c r="H61" s="288">
        <f t="shared" ref="H61" si="5">G61*E61</f>
        <v>6.2837500000000004</v>
      </c>
    </row>
    <row r="62" spans="1:8" s="285" customFormat="1" ht="9.75" customHeight="1">
      <c r="A62" s="280"/>
      <c r="B62" s="281"/>
      <c r="C62" s="685"/>
      <c r="D62" s="298"/>
      <c r="E62" s="283"/>
      <c r="F62" s="287"/>
      <c r="G62" s="288"/>
      <c r="H62" s="288"/>
    </row>
    <row r="63" spans="1:8" s="285" customFormat="1" ht="13.8">
      <c r="A63" s="280">
        <v>7</v>
      </c>
      <c r="B63" s="281"/>
      <c r="C63" s="685" t="s">
        <v>695</v>
      </c>
      <c r="D63" s="298"/>
      <c r="E63" s="283">
        <f>4+26*6*1.1</f>
        <v>175.60000000000002</v>
      </c>
      <c r="F63" s="280" t="s">
        <v>598</v>
      </c>
      <c r="G63" s="288">
        <v>0.6</v>
      </c>
      <c r="H63" s="288">
        <f t="shared" ref="H63" si="6">G63*E63</f>
        <v>105.36000000000001</v>
      </c>
    </row>
    <row r="64" spans="1:8" s="285" customFormat="1" ht="9.75" customHeight="1">
      <c r="A64" s="280"/>
      <c r="B64" s="281"/>
      <c r="C64" s="685"/>
      <c r="D64" s="298"/>
      <c r="E64" s="283"/>
      <c r="F64" s="287"/>
      <c r="G64" s="288"/>
      <c r="H64" s="288"/>
    </row>
    <row r="65" spans="1:8" s="285" customFormat="1" ht="13.8">
      <c r="A65" s="280">
        <v>8</v>
      </c>
      <c r="B65" s="281"/>
      <c r="C65" s="685" t="s">
        <v>1132</v>
      </c>
      <c r="D65" s="298"/>
      <c r="E65" s="283">
        <f>8*6*1.1</f>
        <v>52.800000000000004</v>
      </c>
      <c r="F65" s="280" t="s">
        <v>598</v>
      </c>
      <c r="G65" s="288">
        <v>0.3</v>
      </c>
      <c r="H65" s="288">
        <f t="shared" si="3"/>
        <v>15.84</v>
      </c>
    </row>
    <row r="66" spans="1:8" s="285" customFormat="1" ht="9.75" customHeight="1">
      <c r="A66" s="280"/>
      <c r="B66" s="281"/>
      <c r="C66" s="685"/>
      <c r="D66" s="298"/>
      <c r="E66" s="283"/>
      <c r="F66" s="287"/>
      <c r="G66" s="288"/>
      <c r="H66" s="288"/>
    </row>
    <row r="67" spans="1:8" s="285" customFormat="1" ht="13.8">
      <c r="A67" s="280">
        <v>9</v>
      </c>
      <c r="B67" s="281"/>
      <c r="C67" s="685" t="s">
        <v>691</v>
      </c>
      <c r="D67" s="298"/>
      <c r="E67" s="283">
        <f>17*2*1.25</f>
        <v>42.5</v>
      </c>
      <c r="F67" s="280" t="s">
        <v>598</v>
      </c>
      <c r="G67" s="288">
        <v>0.4</v>
      </c>
      <c r="H67" s="288">
        <f t="shared" si="3"/>
        <v>17</v>
      </c>
    </row>
    <row r="68" spans="1:8" s="264" customFormat="1" ht="13.8">
      <c r="A68" s="259"/>
      <c r="B68" s="233"/>
      <c r="C68" s="816" t="s">
        <v>35</v>
      </c>
      <c r="D68" s="427"/>
      <c r="E68" s="299"/>
      <c r="F68" s="434"/>
      <c r="G68" s="836"/>
      <c r="H68" s="301"/>
    </row>
    <row r="69" spans="1:8" s="264" customFormat="1" ht="13.8">
      <c r="A69" s="265"/>
      <c r="B69" s="266"/>
      <c r="C69" s="817" t="s">
        <v>35</v>
      </c>
      <c r="D69" s="429"/>
      <c r="E69" s="435"/>
      <c r="F69" s="436"/>
      <c r="G69" s="837" t="s">
        <v>36</v>
      </c>
      <c r="H69" s="437">
        <f>SUM(H35:H68)</f>
        <v>2152.41525</v>
      </c>
    </row>
    <row r="70" spans="1:8" s="285" customFormat="1" ht="13.8">
      <c r="A70" s="280"/>
      <c r="B70" s="281"/>
      <c r="C70" s="685"/>
      <c r="D70" s="298"/>
      <c r="E70" s="283"/>
      <c r="F70" s="287"/>
      <c r="G70" s="288"/>
      <c r="H70" s="288"/>
    </row>
    <row r="71" spans="1:8" s="285" customFormat="1" ht="13.8">
      <c r="A71" s="280"/>
      <c r="B71" s="281"/>
      <c r="C71" s="681" t="s">
        <v>692</v>
      </c>
      <c r="D71" s="294"/>
      <c r="E71" s="283"/>
      <c r="F71" s="287"/>
      <c r="G71" s="288"/>
      <c r="H71" s="288"/>
    </row>
    <row r="72" spans="1:8" s="285" customFormat="1" ht="7.5" customHeight="1">
      <c r="A72" s="280"/>
      <c r="B72" s="281"/>
      <c r="C72" s="685"/>
      <c r="D72" s="298"/>
      <c r="E72" s="283"/>
      <c r="F72" s="287"/>
      <c r="G72" s="288"/>
      <c r="H72" s="288"/>
    </row>
    <row r="73" spans="1:8" s="285" customFormat="1" ht="16.5" customHeight="1">
      <c r="A73" s="280">
        <v>1</v>
      </c>
      <c r="B73" s="281"/>
      <c r="C73" s="685" t="s">
        <v>1133</v>
      </c>
      <c r="D73" s="298"/>
      <c r="E73" s="283">
        <v>7</v>
      </c>
      <c r="F73" s="280" t="s">
        <v>58</v>
      </c>
      <c r="G73" s="288">
        <v>2</v>
      </c>
      <c r="H73" s="288">
        <f>G73*E73</f>
        <v>14</v>
      </c>
    </row>
    <row r="74" spans="1:8" s="285" customFormat="1" ht="7.5" customHeight="1">
      <c r="A74" s="280"/>
      <c r="B74" s="281"/>
      <c r="C74" s="685"/>
      <c r="D74" s="298"/>
      <c r="E74" s="283"/>
      <c r="F74" s="287"/>
      <c r="G74" s="288"/>
      <c r="H74" s="288"/>
    </row>
    <row r="75" spans="1:8" s="285" customFormat="1" ht="17.25" customHeight="1">
      <c r="A75" s="280">
        <v>2</v>
      </c>
      <c r="B75" s="281"/>
      <c r="C75" s="685" t="s">
        <v>693</v>
      </c>
      <c r="D75" s="298"/>
      <c r="E75" s="283">
        <v>1</v>
      </c>
      <c r="F75" s="280" t="s">
        <v>598</v>
      </c>
      <c r="G75" s="288">
        <v>1</v>
      </c>
      <c r="H75" s="288">
        <f t="shared" ref="H75" si="7">G75*E75</f>
        <v>1</v>
      </c>
    </row>
    <row r="76" spans="1:8" s="285" customFormat="1" ht="7.5" customHeight="1">
      <c r="A76" s="280"/>
      <c r="B76" s="281"/>
      <c r="C76" s="685"/>
      <c r="D76" s="298"/>
      <c r="E76" s="283"/>
      <c r="F76" s="287"/>
      <c r="G76" s="288"/>
      <c r="H76" s="288"/>
    </row>
    <row r="77" spans="1:8" s="285" customFormat="1" ht="13.8">
      <c r="A77" s="280"/>
      <c r="B77" s="281"/>
      <c r="C77" s="681" t="s">
        <v>675</v>
      </c>
      <c r="D77" s="294"/>
      <c r="E77" s="283"/>
      <c r="F77" s="287"/>
      <c r="G77" s="288"/>
      <c r="H77" s="288"/>
    </row>
    <row r="78" spans="1:8" s="285" customFormat="1" ht="13.8">
      <c r="A78" s="280"/>
      <c r="B78" s="281"/>
      <c r="C78" s="678"/>
      <c r="D78" s="286"/>
      <c r="E78" s="283"/>
      <c r="F78" s="287"/>
      <c r="G78" s="288"/>
      <c r="H78" s="288"/>
    </row>
    <row r="79" spans="1:8" s="285" customFormat="1" ht="18" customHeight="1">
      <c r="A79" s="280">
        <v>1</v>
      </c>
      <c r="B79" s="281"/>
      <c r="C79" s="679" t="s">
        <v>694</v>
      </c>
      <c r="D79" s="291"/>
      <c r="E79" s="283">
        <f>39*6*1.1</f>
        <v>257.40000000000003</v>
      </c>
      <c r="F79" s="280"/>
      <c r="G79" s="288">
        <v>8</v>
      </c>
      <c r="H79" s="288">
        <f t="shared" ref="H79:H83" si="8">G79*E79</f>
        <v>2059.2000000000003</v>
      </c>
    </row>
    <row r="80" spans="1:8" s="285" customFormat="1" ht="8.25" customHeight="1">
      <c r="A80" s="280"/>
      <c r="B80" s="281"/>
      <c r="C80" s="692"/>
      <c r="D80" s="307"/>
      <c r="E80" s="283"/>
      <c r="F80" s="280"/>
      <c r="G80" s="288"/>
      <c r="H80" s="288"/>
    </row>
    <row r="81" spans="1:8" s="285" customFormat="1" ht="13.8">
      <c r="A81" s="280"/>
      <c r="B81" s="281"/>
      <c r="C81" s="681" t="s">
        <v>696</v>
      </c>
      <c r="D81" s="294"/>
      <c r="E81" s="283"/>
      <c r="F81" s="280"/>
      <c r="G81" s="288"/>
      <c r="H81" s="288"/>
    </row>
    <row r="82" spans="1:8" s="285" customFormat="1" ht="5.25" customHeight="1">
      <c r="A82" s="280"/>
      <c r="B82" s="281"/>
      <c r="C82" s="685"/>
      <c r="D82" s="298"/>
      <c r="E82" s="283"/>
      <c r="F82" s="280"/>
      <c r="G82" s="288"/>
      <c r="H82" s="288"/>
    </row>
    <row r="83" spans="1:8" s="285" customFormat="1" ht="13.8">
      <c r="A83" s="280">
        <v>1</v>
      </c>
      <c r="B83" s="281"/>
      <c r="C83" s="685" t="s">
        <v>697</v>
      </c>
      <c r="D83" s="298"/>
      <c r="E83" s="283">
        <v>183</v>
      </c>
      <c r="F83" s="280" t="s">
        <v>58</v>
      </c>
      <c r="G83" s="288">
        <v>3.5</v>
      </c>
      <c r="H83" s="288">
        <f t="shared" si="8"/>
        <v>640.5</v>
      </c>
    </row>
    <row r="84" spans="1:8" s="264" customFormat="1" ht="13.8">
      <c r="A84" s="259"/>
      <c r="B84" s="233"/>
      <c r="C84" s="816" t="s">
        <v>35</v>
      </c>
      <c r="D84" s="427"/>
      <c r="E84" s="299"/>
      <c r="F84" s="434"/>
      <c r="G84" s="836"/>
      <c r="H84" s="301"/>
    </row>
    <row r="85" spans="1:8" s="264" customFormat="1" ht="13.8">
      <c r="A85" s="265"/>
      <c r="B85" s="266"/>
      <c r="C85" s="817" t="s">
        <v>35</v>
      </c>
      <c r="D85" s="429"/>
      <c r="E85" s="435"/>
      <c r="F85" s="436"/>
      <c r="G85" s="837" t="s">
        <v>36</v>
      </c>
      <c r="H85" s="437">
        <f>SUM(H71:H84)</f>
        <v>2714.7000000000003</v>
      </c>
    </row>
    <row r="86" spans="1:8" s="285" customFormat="1" ht="13.8">
      <c r="A86" s="317"/>
      <c r="B86" s="318"/>
      <c r="C86" s="693" t="s">
        <v>698</v>
      </c>
      <c r="D86" s="694"/>
      <c r="E86" s="321"/>
      <c r="F86" s="317"/>
      <c r="G86" s="322"/>
      <c r="H86" s="322"/>
    </row>
    <row r="87" spans="1:8" s="285" customFormat="1" ht="69">
      <c r="A87" s="280"/>
      <c r="B87" s="281"/>
      <c r="C87" s="680" t="s">
        <v>699</v>
      </c>
      <c r="D87" s="293"/>
      <c r="E87" s="283"/>
      <c r="F87" s="280"/>
      <c r="G87" s="288"/>
      <c r="H87" s="288"/>
    </row>
    <row r="88" spans="1:8" s="285" customFormat="1" ht="41.4">
      <c r="A88" s="280">
        <v>1</v>
      </c>
      <c r="B88" s="281"/>
      <c r="C88" s="695" t="s">
        <v>700</v>
      </c>
      <c r="D88" s="306"/>
      <c r="E88" s="283">
        <f>24*6*1.1</f>
        <v>158.4</v>
      </c>
      <c r="F88" s="308" t="s">
        <v>581</v>
      </c>
      <c r="G88" s="288">
        <v>35</v>
      </c>
      <c r="H88" s="288">
        <f>G88*E88</f>
        <v>5544</v>
      </c>
    </row>
    <row r="89" spans="1:8" s="285" customFormat="1" ht="20.25" customHeight="1">
      <c r="A89" s="280">
        <v>2</v>
      </c>
      <c r="B89" s="281"/>
      <c r="C89" s="695" t="s">
        <v>701</v>
      </c>
      <c r="D89" s="306"/>
      <c r="E89" s="283">
        <f>24*2*6*1.1</f>
        <v>316.8</v>
      </c>
      <c r="F89" s="308" t="s">
        <v>581</v>
      </c>
      <c r="G89" s="288">
        <v>1.7</v>
      </c>
      <c r="H89" s="288">
        <f t="shared" ref="H89:H103" si="9">G89*E89</f>
        <v>538.56000000000006</v>
      </c>
    </row>
    <row r="90" spans="1:8" s="285" customFormat="1" ht="45" customHeight="1">
      <c r="A90" s="280">
        <v>3</v>
      </c>
      <c r="B90" s="281"/>
      <c r="C90" s="692" t="s">
        <v>703</v>
      </c>
      <c r="D90" s="307"/>
      <c r="E90" s="283">
        <f>9*6*1.1</f>
        <v>59.400000000000006</v>
      </c>
      <c r="F90" s="308" t="s">
        <v>581</v>
      </c>
      <c r="G90" s="288">
        <v>36</v>
      </c>
      <c r="H90" s="288">
        <f t="shared" si="9"/>
        <v>2138.4</v>
      </c>
    </row>
    <row r="91" spans="1:8" s="285" customFormat="1" ht="17.25" customHeight="1">
      <c r="A91" s="280">
        <v>4</v>
      </c>
      <c r="B91" s="281"/>
      <c r="C91" s="695" t="s">
        <v>702</v>
      </c>
      <c r="D91" s="306"/>
      <c r="E91" s="283">
        <f>33*6*1.1</f>
        <v>217.8</v>
      </c>
      <c r="F91" s="287" t="s">
        <v>581</v>
      </c>
      <c r="G91" s="288">
        <v>1.7</v>
      </c>
      <c r="H91" s="288">
        <f t="shared" si="9"/>
        <v>370.26</v>
      </c>
    </row>
    <row r="92" spans="1:8" s="285" customFormat="1" ht="13.8">
      <c r="A92" s="280">
        <v>5</v>
      </c>
      <c r="B92" s="281"/>
      <c r="C92" s="695" t="s">
        <v>704</v>
      </c>
      <c r="D92" s="306"/>
      <c r="E92" s="283">
        <f>9*6*1.1</f>
        <v>59.400000000000006</v>
      </c>
      <c r="F92" s="287" t="s">
        <v>581</v>
      </c>
      <c r="G92" s="288">
        <v>1.8</v>
      </c>
      <c r="H92" s="288">
        <f t="shared" si="9"/>
        <v>106.92000000000002</v>
      </c>
    </row>
    <row r="93" spans="1:8" s="285" customFormat="1" ht="13.8">
      <c r="A93" s="280">
        <v>6</v>
      </c>
      <c r="B93" s="281"/>
      <c r="C93" s="685" t="s">
        <v>705</v>
      </c>
      <c r="D93" s="298"/>
      <c r="E93" s="283">
        <f>13*6*1.1</f>
        <v>85.800000000000011</v>
      </c>
      <c r="F93" s="287" t="s">
        <v>581</v>
      </c>
      <c r="G93" s="288">
        <v>30</v>
      </c>
      <c r="H93" s="288">
        <f t="shared" si="9"/>
        <v>2574.0000000000005</v>
      </c>
    </row>
    <row r="94" spans="1:8" s="285" customFormat="1" ht="13.8">
      <c r="A94" s="280">
        <v>7</v>
      </c>
      <c r="B94" s="281"/>
      <c r="C94" s="685" t="s">
        <v>1134</v>
      </c>
      <c r="D94" s="298"/>
      <c r="E94" s="283">
        <f>9*6*1.1</f>
        <v>59.400000000000006</v>
      </c>
      <c r="F94" s="287" t="s">
        <v>581</v>
      </c>
      <c r="G94" s="288">
        <v>38</v>
      </c>
      <c r="H94" s="288">
        <f t="shared" si="9"/>
        <v>2257.2000000000003</v>
      </c>
    </row>
    <row r="95" spans="1:8" s="285" customFormat="1" ht="13.8">
      <c r="A95" s="280">
        <v>8</v>
      </c>
      <c r="B95" s="281"/>
      <c r="C95" s="685" t="s">
        <v>706</v>
      </c>
      <c r="D95" s="298"/>
      <c r="E95" s="283">
        <f>14*6*1.1</f>
        <v>92.4</v>
      </c>
      <c r="F95" s="287" t="s">
        <v>581</v>
      </c>
      <c r="G95" s="288">
        <v>55</v>
      </c>
      <c r="H95" s="288">
        <f t="shared" si="9"/>
        <v>5082</v>
      </c>
    </row>
    <row r="96" spans="1:8" s="285" customFormat="1" ht="13.8">
      <c r="A96" s="280">
        <v>9</v>
      </c>
      <c r="B96" s="281"/>
      <c r="C96" s="695" t="s">
        <v>701</v>
      </c>
      <c r="D96" s="306"/>
      <c r="E96" s="283">
        <f>24*2*6*1.1</f>
        <v>316.8</v>
      </c>
      <c r="F96" s="287" t="s">
        <v>581</v>
      </c>
      <c r="G96" s="288">
        <v>1.54</v>
      </c>
      <c r="H96" s="288">
        <f t="shared" si="9"/>
        <v>487.87200000000001</v>
      </c>
    </row>
    <row r="97" spans="1:8" s="285" customFormat="1" ht="13.8">
      <c r="A97" s="280">
        <v>10</v>
      </c>
      <c r="B97" s="281"/>
      <c r="C97" s="695" t="s">
        <v>707</v>
      </c>
      <c r="D97" s="306"/>
      <c r="E97" s="283">
        <f t="shared" ref="E97:E102" si="10">24*6*1.1</f>
        <v>158.4</v>
      </c>
      <c r="F97" s="287" t="s">
        <v>581</v>
      </c>
      <c r="G97" s="288">
        <v>9.8000000000000007</v>
      </c>
      <c r="H97" s="288">
        <f t="shared" si="9"/>
        <v>1552.3200000000002</v>
      </c>
    </row>
    <row r="98" spans="1:8" s="285" customFormat="1" ht="13.8">
      <c r="A98" s="280">
        <v>11</v>
      </c>
      <c r="B98" s="281"/>
      <c r="C98" s="695" t="s">
        <v>708</v>
      </c>
      <c r="D98" s="306"/>
      <c r="E98" s="283">
        <f t="shared" si="10"/>
        <v>158.4</v>
      </c>
      <c r="F98" s="287" t="s">
        <v>581</v>
      </c>
      <c r="G98" s="288"/>
      <c r="H98" s="288">
        <f t="shared" si="9"/>
        <v>0</v>
      </c>
    </row>
    <row r="99" spans="1:8" s="285" customFormat="1" ht="13.8">
      <c r="A99" s="280">
        <v>12</v>
      </c>
      <c r="B99" s="281"/>
      <c r="C99" s="695" t="s">
        <v>709</v>
      </c>
      <c r="D99" s="306"/>
      <c r="E99" s="283">
        <f t="shared" si="10"/>
        <v>158.4</v>
      </c>
      <c r="F99" s="287" t="s">
        <v>581</v>
      </c>
      <c r="G99" s="288">
        <v>6.7</v>
      </c>
      <c r="H99" s="288">
        <f t="shared" si="9"/>
        <v>1061.28</v>
      </c>
    </row>
    <row r="100" spans="1:8" s="285" customFormat="1" ht="13.8">
      <c r="A100" s="280">
        <v>13</v>
      </c>
      <c r="B100" s="281"/>
      <c r="C100" s="695" t="s">
        <v>710</v>
      </c>
      <c r="D100" s="306"/>
      <c r="E100" s="283">
        <f t="shared" si="10"/>
        <v>158.4</v>
      </c>
      <c r="F100" s="287" t="s">
        <v>581</v>
      </c>
      <c r="G100" s="288">
        <v>12.6</v>
      </c>
      <c r="H100" s="288">
        <f t="shared" si="9"/>
        <v>1995.84</v>
      </c>
    </row>
    <row r="101" spans="1:8" s="285" customFormat="1" ht="13.8">
      <c r="A101" s="280">
        <v>14</v>
      </c>
      <c r="B101" s="281"/>
      <c r="C101" s="695" t="s">
        <v>711</v>
      </c>
      <c r="D101" s="306"/>
      <c r="E101" s="283">
        <f t="shared" si="10"/>
        <v>158.4</v>
      </c>
      <c r="F101" s="287" t="s">
        <v>581</v>
      </c>
      <c r="G101" s="288">
        <v>12.5</v>
      </c>
      <c r="H101" s="288">
        <f t="shared" si="9"/>
        <v>1980</v>
      </c>
    </row>
    <row r="102" spans="1:8" s="285" customFormat="1" ht="13.8">
      <c r="A102" s="280">
        <v>15</v>
      </c>
      <c r="B102" s="281"/>
      <c r="C102" s="695" t="s">
        <v>712</v>
      </c>
      <c r="D102" s="306"/>
      <c r="E102" s="283">
        <f t="shared" si="10"/>
        <v>158.4</v>
      </c>
      <c r="F102" s="287" t="s">
        <v>581</v>
      </c>
      <c r="G102" s="288">
        <v>12</v>
      </c>
      <c r="H102" s="288">
        <f t="shared" si="9"/>
        <v>1900.8000000000002</v>
      </c>
    </row>
    <row r="103" spans="1:8" s="285" customFormat="1" ht="17.25" customHeight="1">
      <c r="A103" s="280">
        <v>16</v>
      </c>
      <c r="B103" s="281"/>
      <c r="C103" s="695" t="s">
        <v>713</v>
      </c>
      <c r="D103" s="306"/>
      <c r="E103" s="283">
        <f>11*6*1.1</f>
        <v>72.600000000000009</v>
      </c>
      <c r="F103" s="287" t="s">
        <v>581</v>
      </c>
      <c r="G103" s="288">
        <v>15</v>
      </c>
      <c r="H103" s="288">
        <f t="shared" si="9"/>
        <v>1089.0000000000002</v>
      </c>
    </row>
    <row r="104" spans="1:8" s="264" customFormat="1" ht="13.8">
      <c r="A104" s="259"/>
      <c r="B104" s="233"/>
      <c r="C104" s="816" t="s">
        <v>35</v>
      </c>
      <c r="D104" s="260"/>
      <c r="E104" s="299"/>
      <c r="F104" s="300"/>
      <c r="G104" s="836"/>
      <c r="H104" s="301"/>
    </row>
    <row r="105" spans="1:8" s="264" customFormat="1" ht="13.8">
      <c r="A105" s="265"/>
      <c r="B105" s="266"/>
      <c r="C105" s="817" t="s">
        <v>35</v>
      </c>
      <c r="D105" s="267"/>
      <c r="E105" s="302"/>
      <c r="F105" s="303"/>
      <c r="G105" s="837" t="s">
        <v>36</v>
      </c>
      <c r="H105" s="437">
        <f>SUM(H88:H103)</f>
        <v>28678.452000000001</v>
      </c>
    </row>
    <row r="106" spans="1:8" s="285" customFormat="1" ht="21.75" customHeight="1">
      <c r="A106" s="280"/>
      <c r="B106" s="281"/>
      <c r="C106" s="678" t="s">
        <v>714</v>
      </c>
      <c r="D106" s="286"/>
      <c r="E106" s="283"/>
      <c r="F106" s="280"/>
      <c r="G106" s="288"/>
      <c r="H106" s="288"/>
    </row>
    <row r="107" spans="1:8" s="285" customFormat="1" ht="31.5" customHeight="1">
      <c r="A107" s="280"/>
      <c r="B107" s="281"/>
      <c r="C107" s="680" t="s">
        <v>715</v>
      </c>
      <c r="D107" s="293"/>
      <c r="E107" s="283"/>
      <c r="F107" s="280"/>
      <c r="G107" s="288"/>
      <c r="H107" s="288"/>
    </row>
    <row r="108" spans="1:8" s="285" customFormat="1" ht="5.25" customHeight="1">
      <c r="A108" s="280"/>
      <c r="B108" s="281"/>
      <c r="C108" s="680"/>
      <c r="D108" s="293"/>
      <c r="E108" s="283"/>
      <c r="F108" s="280"/>
      <c r="G108" s="288"/>
      <c r="H108" s="288"/>
    </row>
    <row r="109" spans="1:8" s="285" customFormat="1" ht="46.5" customHeight="1">
      <c r="A109" s="280"/>
      <c r="B109" s="281"/>
      <c r="C109" s="683" t="s">
        <v>716</v>
      </c>
      <c r="D109" s="296"/>
      <c r="E109" s="283"/>
      <c r="F109" s="280"/>
      <c r="G109" s="288"/>
      <c r="H109" s="288"/>
    </row>
    <row r="110" spans="1:8" s="285" customFormat="1" ht="13.8">
      <c r="A110" s="280"/>
      <c r="B110" s="281"/>
      <c r="C110" s="696" t="s">
        <v>717</v>
      </c>
      <c r="D110" s="309"/>
      <c r="E110" s="283"/>
      <c r="F110" s="280"/>
      <c r="G110" s="288"/>
      <c r="H110" s="288"/>
    </row>
    <row r="111" spans="1:8" s="285" customFormat="1" ht="13.8">
      <c r="A111" s="280"/>
      <c r="B111" s="281"/>
      <c r="C111" s="683"/>
      <c r="D111" s="296"/>
      <c r="E111" s="283"/>
      <c r="F111" s="280"/>
      <c r="G111" s="288"/>
      <c r="H111" s="288"/>
    </row>
    <row r="112" spans="1:8" s="285" customFormat="1" ht="15" customHeight="1">
      <c r="A112" s="280" t="s">
        <v>22</v>
      </c>
      <c r="B112" s="281"/>
      <c r="C112" s="692" t="s">
        <v>1135</v>
      </c>
      <c r="D112" s="307"/>
      <c r="E112" s="283">
        <f>24*6*1.5</f>
        <v>216</v>
      </c>
      <c r="F112" s="280" t="s">
        <v>58</v>
      </c>
      <c r="G112" s="288">
        <v>1.1200000000000001</v>
      </c>
      <c r="H112" s="288">
        <f>G112*E112</f>
        <v>241.92000000000002</v>
      </c>
    </row>
    <row r="113" spans="1:8" s="285" customFormat="1" ht="15" customHeight="1">
      <c r="A113" s="280"/>
      <c r="B113" s="281"/>
      <c r="C113" s="683"/>
      <c r="D113" s="296"/>
      <c r="E113" s="283"/>
      <c r="F113" s="280"/>
      <c r="G113" s="288"/>
      <c r="H113" s="288"/>
    </row>
    <row r="114" spans="1:8" s="285" customFormat="1" ht="15" customHeight="1">
      <c r="A114" s="280" t="s">
        <v>25</v>
      </c>
      <c r="B114" s="281"/>
      <c r="C114" s="692" t="s">
        <v>718</v>
      </c>
      <c r="D114" s="307"/>
      <c r="E114" s="283">
        <f>82*6*1.5</f>
        <v>738</v>
      </c>
      <c r="F114" s="280" t="s">
        <v>58</v>
      </c>
      <c r="G114" s="288">
        <v>1.165</v>
      </c>
      <c r="H114" s="288">
        <f t="shared" ref="H114" si="11">G114*E114</f>
        <v>859.77</v>
      </c>
    </row>
    <row r="115" spans="1:8" s="285" customFormat="1" ht="15" customHeight="1">
      <c r="A115" s="280"/>
      <c r="B115" s="281"/>
      <c r="C115" s="683"/>
      <c r="D115" s="296"/>
      <c r="E115" s="283"/>
      <c r="F115" s="280"/>
      <c r="G115" s="288"/>
      <c r="H115" s="288"/>
    </row>
    <row r="116" spans="1:8" s="285" customFormat="1" ht="15" customHeight="1">
      <c r="A116" s="280" t="s">
        <v>28</v>
      </c>
      <c r="B116" s="281"/>
      <c r="C116" s="692" t="s">
        <v>719</v>
      </c>
      <c r="D116" s="307"/>
      <c r="E116" s="283">
        <f>77*6*1.5</f>
        <v>693</v>
      </c>
      <c r="F116" s="280" t="s">
        <v>58</v>
      </c>
      <c r="G116" s="288">
        <v>1.165</v>
      </c>
      <c r="H116" s="288">
        <f t="shared" ref="H116" si="12">G116*E116</f>
        <v>807.34500000000003</v>
      </c>
    </row>
    <row r="117" spans="1:8" s="285" customFormat="1" ht="15" customHeight="1">
      <c r="A117" s="280"/>
      <c r="B117" s="281"/>
      <c r="C117" s="692"/>
      <c r="D117" s="307"/>
      <c r="E117" s="283"/>
      <c r="F117" s="280"/>
      <c r="G117" s="288"/>
      <c r="H117" s="288"/>
    </row>
    <row r="118" spans="1:8" s="285" customFormat="1" ht="15" customHeight="1">
      <c r="A118" s="280" t="s">
        <v>31</v>
      </c>
      <c r="B118" s="281"/>
      <c r="C118" s="692" t="s">
        <v>1136</v>
      </c>
      <c r="D118" s="307"/>
      <c r="E118" s="283">
        <f>32*6*1.5</f>
        <v>288</v>
      </c>
      <c r="F118" s="280" t="s">
        <v>58</v>
      </c>
      <c r="G118" s="288">
        <v>1.8819999999999999</v>
      </c>
      <c r="H118" s="288">
        <f t="shared" ref="H118" si="13">G118*E118</f>
        <v>542.01599999999996</v>
      </c>
    </row>
    <row r="119" spans="1:8" s="285" customFormat="1" ht="15" customHeight="1">
      <c r="A119" s="280"/>
      <c r="B119" s="281"/>
      <c r="C119" s="692"/>
      <c r="D119" s="307"/>
      <c r="E119" s="283"/>
      <c r="F119" s="280"/>
      <c r="G119" s="288"/>
      <c r="H119" s="288"/>
    </row>
    <row r="120" spans="1:8" s="285" customFormat="1" ht="15" customHeight="1">
      <c r="A120" s="280"/>
      <c r="B120" s="281"/>
      <c r="C120" s="678" t="s">
        <v>721</v>
      </c>
      <c r="D120" s="293"/>
      <c r="E120" s="283"/>
      <c r="F120" s="280"/>
      <c r="G120" s="288"/>
      <c r="H120" s="288"/>
    </row>
    <row r="121" spans="1:8" s="285" customFormat="1" ht="15" customHeight="1">
      <c r="A121" s="280"/>
      <c r="B121" s="281"/>
      <c r="C121" s="680"/>
      <c r="D121" s="293"/>
      <c r="E121" s="283"/>
      <c r="F121" s="280"/>
      <c r="G121" s="288"/>
      <c r="H121" s="288"/>
    </row>
    <row r="122" spans="1:8" s="285" customFormat="1" ht="15" customHeight="1">
      <c r="A122" s="280" t="s">
        <v>22</v>
      </c>
      <c r="B122" s="281"/>
      <c r="C122" s="692" t="s">
        <v>1137</v>
      </c>
      <c r="D122" s="307"/>
      <c r="E122" s="283">
        <f>16*6*1.1</f>
        <v>105.60000000000001</v>
      </c>
      <c r="F122" s="287" t="s">
        <v>581</v>
      </c>
      <c r="G122" s="288">
        <v>1.1200000000000001</v>
      </c>
      <c r="H122" s="288">
        <f t="shared" ref="H122" si="14">G122*E122</f>
        <v>118.27200000000002</v>
      </c>
    </row>
    <row r="123" spans="1:8" s="285" customFormat="1" ht="15" customHeight="1">
      <c r="A123" s="280"/>
      <c r="B123" s="281"/>
      <c r="C123" s="692"/>
      <c r="D123" s="307"/>
      <c r="E123" s="283"/>
      <c r="F123" s="287"/>
      <c r="G123" s="288"/>
      <c r="H123" s="288"/>
    </row>
    <row r="124" spans="1:8" s="285" customFormat="1" ht="15" customHeight="1">
      <c r="A124" s="280" t="s">
        <v>25</v>
      </c>
      <c r="B124" s="281"/>
      <c r="C124" s="692" t="s">
        <v>722</v>
      </c>
      <c r="D124" s="307"/>
      <c r="E124" s="283">
        <f>32*6*1.1</f>
        <v>211.20000000000002</v>
      </c>
      <c r="F124" s="287" t="s">
        <v>581</v>
      </c>
      <c r="G124" s="288">
        <v>1.165</v>
      </c>
      <c r="H124" s="288">
        <f t="shared" ref="H124" si="15">G124*E124</f>
        <v>246.04800000000003</v>
      </c>
    </row>
    <row r="125" spans="1:8" s="285" customFormat="1" ht="15" customHeight="1">
      <c r="A125" s="280"/>
      <c r="B125" s="281"/>
      <c r="C125" s="692"/>
      <c r="D125" s="307"/>
      <c r="E125" s="283"/>
      <c r="F125" s="287"/>
      <c r="G125" s="288"/>
      <c r="H125" s="288"/>
    </row>
    <row r="126" spans="1:8" s="285" customFormat="1" ht="15" customHeight="1">
      <c r="A126" s="280" t="s">
        <v>28</v>
      </c>
      <c r="B126" s="281"/>
      <c r="C126" s="692" t="s">
        <v>720</v>
      </c>
      <c r="D126" s="307"/>
      <c r="E126" s="283">
        <f>22*6*1.1</f>
        <v>145.20000000000002</v>
      </c>
      <c r="F126" s="287" t="s">
        <v>581</v>
      </c>
      <c r="G126" s="288">
        <v>1.8819999999999999</v>
      </c>
      <c r="H126" s="288">
        <f t="shared" ref="H126" si="16">G126*E126</f>
        <v>273.26640000000003</v>
      </c>
    </row>
    <row r="127" spans="1:8" s="264" customFormat="1" ht="13.8">
      <c r="A127" s="259"/>
      <c r="B127" s="233"/>
      <c r="C127" s="816" t="s">
        <v>35</v>
      </c>
      <c r="D127" s="427"/>
      <c r="E127" s="299"/>
      <c r="F127" s="434"/>
      <c r="G127" s="836"/>
      <c r="H127" s="301"/>
    </row>
    <row r="128" spans="1:8" s="264" customFormat="1" ht="13.8">
      <c r="A128" s="265"/>
      <c r="B128" s="266"/>
      <c r="C128" s="817" t="s">
        <v>35</v>
      </c>
      <c r="D128" s="429"/>
      <c r="E128" s="435"/>
      <c r="F128" s="436"/>
      <c r="G128" s="837" t="s">
        <v>36</v>
      </c>
      <c r="H128" s="437">
        <f>SUM(H111:H127)</f>
        <v>3088.6374000000001</v>
      </c>
    </row>
    <row r="129" spans="1:9" s="285" customFormat="1" ht="15" customHeight="1">
      <c r="A129" s="317"/>
      <c r="B129" s="318"/>
      <c r="C129" s="697"/>
      <c r="D129" s="698"/>
      <c r="E129" s="321"/>
      <c r="F129" s="317"/>
      <c r="G129" s="322"/>
      <c r="H129" s="322"/>
    </row>
    <row r="130" spans="1:9" s="285" customFormat="1" ht="15" customHeight="1">
      <c r="A130" s="280"/>
      <c r="B130" s="281"/>
      <c r="C130" s="678" t="s">
        <v>714</v>
      </c>
      <c r="D130" s="286"/>
      <c r="E130" s="283"/>
      <c r="F130" s="280"/>
      <c r="G130" s="288"/>
      <c r="H130" s="288"/>
    </row>
    <row r="131" spans="1:9" s="285" customFormat="1" ht="15" customHeight="1">
      <c r="A131" s="280"/>
      <c r="B131" s="281"/>
      <c r="C131" s="692"/>
      <c r="D131" s="307"/>
      <c r="E131" s="292"/>
      <c r="F131" s="289"/>
      <c r="G131" s="288"/>
      <c r="H131" s="288"/>
    </row>
    <row r="132" spans="1:9" s="285" customFormat="1" ht="17.25" customHeight="1">
      <c r="A132" s="280"/>
      <c r="B132" s="281"/>
      <c r="C132" s="680" t="s">
        <v>723</v>
      </c>
      <c r="D132" s="293"/>
      <c r="E132" s="283"/>
      <c r="F132" s="280"/>
      <c r="G132" s="288"/>
      <c r="H132" s="288"/>
    </row>
    <row r="133" spans="1:9" s="285" customFormat="1" ht="7.5" customHeight="1">
      <c r="A133" s="280"/>
      <c r="B133" s="281"/>
      <c r="C133" s="683"/>
      <c r="D133" s="296"/>
      <c r="E133" s="283"/>
      <c r="F133" s="280"/>
      <c r="G133" s="288"/>
      <c r="H133" s="288"/>
    </row>
    <row r="134" spans="1:9" s="285" customFormat="1" ht="26.25" customHeight="1">
      <c r="A134" s="280"/>
      <c r="B134" s="281"/>
      <c r="C134" s="678" t="s">
        <v>724</v>
      </c>
      <c r="D134" s="286"/>
      <c r="E134" s="283"/>
      <c r="F134" s="280"/>
      <c r="G134" s="288"/>
      <c r="H134" s="288"/>
    </row>
    <row r="135" spans="1:9" s="285" customFormat="1" ht="9.75" customHeight="1">
      <c r="A135" s="280"/>
      <c r="B135" s="281"/>
      <c r="C135" s="680"/>
      <c r="D135" s="293"/>
      <c r="E135" s="283"/>
      <c r="F135" s="280"/>
      <c r="G135" s="288"/>
      <c r="H135" s="288"/>
    </row>
    <row r="136" spans="1:9" s="285" customFormat="1" ht="27.6">
      <c r="A136" s="280">
        <v>1</v>
      </c>
      <c r="B136" s="281"/>
      <c r="C136" s="692" t="s">
        <v>725</v>
      </c>
      <c r="D136" s="307"/>
      <c r="E136" s="283">
        <v>35</v>
      </c>
      <c r="F136" s="280" t="s">
        <v>58</v>
      </c>
      <c r="G136" s="288">
        <v>1.1000000000000001</v>
      </c>
      <c r="H136" s="288">
        <f>G136*E136</f>
        <v>38.5</v>
      </c>
    </row>
    <row r="137" spans="1:9" s="285" customFormat="1" ht="13.8">
      <c r="A137" s="280"/>
      <c r="B137" s="281"/>
      <c r="C137" s="692"/>
      <c r="D137" s="307"/>
      <c r="E137" s="283"/>
      <c r="F137" s="280"/>
      <c r="G137" s="288"/>
      <c r="H137" s="288"/>
    </row>
    <row r="138" spans="1:9" s="285" customFormat="1" ht="13.8">
      <c r="A138" s="280">
        <v>2</v>
      </c>
      <c r="B138" s="281"/>
      <c r="C138" s="692" t="s">
        <v>726</v>
      </c>
      <c r="D138" s="307"/>
      <c r="E138" s="283">
        <v>2</v>
      </c>
      <c r="F138" s="287" t="s">
        <v>581</v>
      </c>
      <c r="G138" s="288">
        <v>3</v>
      </c>
      <c r="H138" s="288">
        <f t="shared" ref="H138" si="17">G138*E138</f>
        <v>6</v>
      </c>
    </row>
    <row r="139" spans="1:9" s="285" customFormat="1" ht="13.8">
      <c r="A139" s="280"/>
      <c r="B139" s="281"/>
      <c r="C139" s="692"/>
      <c r="D139" s="307"/>
      <c r="E139" s="283"/>
      <c r="F139" s="287"/>
      <c r="G139" s="288"/>
      <c r="H139" s="288"/>
    </row>
    <row r="140" spans="1:9" s="285" customFormat="1" ht="13.8">
      <c r="A140" s="280"/>
      <c r="B140" s="281"/>
      <c r="C140" s="678" t="s">
        <v>727</v>
      </c>
      <c r="D140" s="286"/>
      <c r="E140" s="283"/>
      <c r="F140" s="287"/>
      <c r="G140" s="288"/>
      <c r="H140" s="288"/>
    </row>
    <row r="141" spans="1:9" s="285" customFormat="1" ht="13.8">
      <c r="A141" s="280"/>
      <c r="B141" s="281"/>
      <c r="C141" s="692"/>
      <c r="D141" s="307"/>
      <c r="E141" s="283"/>
      <c r="F141" s="287"/>
      <c r="G141" s="288"/>
      <c r="H141" s="288"/>
    </row>
    <row r="142" spans="1:9" s="285" customFormat="1" ht="27.6">
      <c r="A142" s="280">
        <v>1</v>
      </c>
      <c r="B142" s="281"/>
      <c r="C142" s="692" t="s">
        <v>1138</v>
      </c>
      <c r="D142" s="307"/>
      <c r="E142" s="283">
        <f>27*2+8*2</f>
        <v>70</v>
      </c>
      <c r="F142" s="280" t="s">
        <v>58</v>
      </c>
      <c r="G142" s="288">
        <v>1.1000000000000001</v>
      </c>
      <c r="H142" s="288">
        <f t="shared" ref="H142:H148" si="18">G142*E142</f>
        <v>77</v>
      </c>
      <c r="I142" s="285">
        <f>27*2+8*2</f>
        <v>70</v>
      </c>
    </row>
    <row r="143" spans="1:9" s="285" customFormat="1" ht="7.5" customHeight="1">
      <c r="A143" s="280"/>
      <c r="B143" s="281"/>
      <c r="C143" s="683"/>
      <c r="D143" s="296"/>
      <c r="E143" s="283"/>
      <c r="F143" s="280"/>
      <c r="G143" s="288"/>
      <c r="H143" s="288"/>
    </row>
    <row r="144" spans="1:9" s="285" customFormat="1" ht="13.8">
      <c r="A144" s="280"/>
      <c r="B144" s="281"/>
      <c r="C144" s="678" t="s">
        <v>721</v>
      </c>
      <c r="D144" s="293"/>
      <c r="E144" s="283"/>
      <c r="F144" s="287"/>
      <c r="G144" s="288"/>
      <c r="H144" s="288"/>
    </row>
    <row r="145" spans="1:8" s="285" customFormat="1" ht="5.25" customHeight="1">
      <c r="A145" s="280"/>
      <c r="B145" s="281"/>
      <c r="C145" s="680"/>
      <c r="D145" s="293"/>
      <c r="E145" s="283"/>
      <c r="F145" s="280"/>
      <c r="G145" s="288"/>
      <c r="H145" s="288"/>
    </row>
    <row r="146" spans="1:8" s="285" customFormat="1" ht="15" customHeight="1">
      <c r="A146" s="280">
        <v>1</v>
      </c>
      <c r="B146" s="281"/>
      <c r="C146" s="692" t="s">
        <v>1139</v>
      </c>
      <c r="D146" s="307"/>
      <c r="E146" s="283">
        <v>2</v>
      </c>
      <c r="F146" s="287" t="s">
        <v>581</v>
      </c>
      <c r="G146" s="288">
        <v>1.3</v>
      </c>
      <c r="H146" s="288">
        <f t="shared" si="18"/>
        <v>2.6</v>
      </c>
    </row>
    <row r="147" spans="1:8" s="285" customFormat="1" ht="6" customHeight="1">
      <c r="A147" s="280"/>
      <c r="B147" s="281"/>
      <c r="C147" s="683"/>
      <c r="D147" s="296"/>
      <c r="E147" s="283"/>
      <c r="F147" s="287"/>
      <c r="G147" s="288"/>
      <c r="H147" s="288"/>
    </row>
    <row r="148" spans="1:8" s="285" customFormat="1" ht="15" customHeight="1">
      <c r="A148" s="280">
        <v>2</v>
      </c>
      <c r="B148" s="281"/>
      <c r="C148" s="692" t="s">
        <v>728</v>
      </c>
      <c r="D148" s="307"/>
      <c r="E148" s="283">
        <v>2</v>
      </c>
      <c r="F148" s="287" t="s">
        <v>581</v>
      </c>
      <c r="G148" s="288">
        <v>1.6</v>
      </c>
      <c r="H148" s="288">
        <f t="shared" si="18"/>
        <v>3.2</v>
      </c>
    </row>
    <row r="149" spans="1:8" s="264" customFormat="1" ht="13.8">
      <c r="A149" s="259"/>
      <c r="B149" s="233"/>
      <c r="C149" s="820" t="s">
        <v>35</v>
      </c>
      <c r="D149" s="260"/>
      <c r="E149" s="299"/>
      <c r="F149" s="300"/>
      <c r="G149" s="836"/>
      <c r="H149" s="301"/>
    </row>
    <row r="150" spans="1:8" s="264" customFormat="1" ht="13.8">
      <c r="A150" s="265"/>
      <c r="B150" s="266"/>
      <c r="C150" s="821" t="s">
        <v>35</v>
      </c>
      <c r="D150" s="267"/>
      <c r="E150" s="302"/>
      <c r="F150" s="303"/>
      <c r="G150" s="837" t="s">
        <v>36</v>
      </c>
      <c r="H150" s="304">
        <f>SUM(H131:H149)</f>
        <v>127.3</v>
      </c>
    </row>
    <row r="151" spans="1:8" s="285" customFormat="1" ht="13.8">
      <c r="A151" s="280"/>
      <c r="B151" s="281"/>
      <c r="C151" s="678" t="s">
        <v>729</v>
      </c>
      <c r="D151" s="286"/>
      <c r="E151" s="283"/>
      <c r="F151" s="287"/>
      <c r="G151" s="288"/>
      <c r="H151" s="288"/>
    </row>
    <row r="152" spans="1:8" s="285" customFormat="1" ht="6.75" customHeight="1">
      <c r="A152" s="280"/>
      <c r="B152" s="281"/>
      <c r="C152" s="678"/>
      <c r="D152" s="286"/>
      <c r="E152" s="283"/>
      <c r="F152" s="287"/>
      <c r="G152" s="288"/>
      <c r="H152" s="288"/>
    </row>
    <row r="153" spans="1:8" s="285" customFormat="1" ht="27.6">
      <c r="A153" s="280">
        <v>1</v>
      </c>
      <c r="B153" s="281"/>
      <c r="C153" s="692" t="s">
        <v>730</v>
      </c>
      <c r="D153" s="307"/>
      <c r="E153" s="423">
        <v>1</v>
      </c>
      <c r="F153" s="308" t="s">
        <v>581</v>
      </c>
      <c r="G153" s="288"/>
      <c r="H153" s="288">
        <f>G153*E153</f>
        <v>0</v>
      </c>
    </row>
    <row r="154" spans="1:8" s="285" customFormat="1" ht="13.8">
      <c r="A154" s="280"/>
      <c r="B154" s="281"/>
      <c r="C154" s="692"/>
      <c r="D154" s="307"/>
      <c r="E154" s="283"/>
      <c r="F154" s="287"/>
      <c r="G154" s="288"/>
      <c r="H154" s="288"/>
    </row>
    <row r="155" spans="1:8" s="285" customFormat="1" ht="13.8">
      <c r="A155" s="280">
        <v>2</v>
      </c>
      <c r="B155" s="281"/>
      <c r="C155" s="692" t="s">
        <v>731</v>
      </c>
      <c r="D155" s="307"/>
      <c r="E155" s="283">
        <v>2</v>
      </c>
      <c r="F155" s="308" t="s">
        <v>581</v>
      </c>
      <c r="G155" s="288">
        <v>1</v>
      </c>
      <c r="H155" s="288">
        <f t="shared" ref="H155:H163" si="19">G155*E155</f>
        <v>2</v>
      </c>
    </row>
    <row r="156" spans="1:8" s="285" customFormat="1" ht="13.8">
      <c r="A156" s="280"/>
      <c r="B156" s="281"/>
      <c r="C156" s="692"/>
      <c r="D156" s="307"/>
      <c r="E156" s="283"/>
      <c r="F156" s="287"/>
      <c r="G156" s="288"/>
      <c r="H156" s="288"/>
    </row>
    <row r="157" spans="1:8" s="285" customFormat="1" ht="13.8">
      <c r="A157" s="280"/>
      <c r="B157" s="281"/>
      <c r="C157" s="678" t="s">
        <v>1140</v>
      </c>
      <c r="D157" s="286"/>
      <c r="E157" s="283"/>
      <c r="F157" s="287"/>
      <c r="G157" s="288"/>
      <c r="H157" s="288"/>
    </row>
    <row r="158" spans="1:8" s="285" customFormat="1" ht="13.8">
      <c r="A158" s="280"/>
      <c r="B158" s="281"/>
      <c r="C158" s="692"/>
      <c r="D158" s="307"/>
      <c r="E158" s="283"/>
      <c r="F158" s="287"/>
      <c r="G158" s="288"/>
      <c r="H158" s="288"/>
    </row>
    <row r="159" spans="1:8" s="285" customFormat="1" ht="13.8">
      <c r="A159" s="280">
        <v>1</v>
      </c>
      <c r="B159" s="281"/>
      <c r="C159" s="692" t="s">
        <v>732</v>
      </c>
      <c r="D159" s="307"/>
      <c r="E159" s="445">
        <v>54</v>
      </c>
      <c r="F159" s="308" t="s">
        <v>581</v>
      </c>
      <c r="G159" s="288">
        <v>20</v>
      </c>
      <c r="H159" s="288">
        <f t="shared" si="19"/>
        <v>1080</v>
      </c>
    </row>
    <row r="160" spans="1:8" s="285" customFormat="1" ht="13.8">
      <c r="A160" s="280"/>
      <c r="B160" s="281"/>
      <c r="C160" s="692"/>
      <c r="D160" s="307"/>
      <c r="E160" s="283"/>
      <c r="F160" s="287"/>
      <c r="G160" s="288"/>
      <c r="H160" s="288"/>
    </row>
    <row r="161" spans="1:8" s="285" customFormat="1" ht="13.8">
      <c r="A161" s="280">
        <v>2</v>
      </c>
      <c r="B161" s="281"/>
      <c r="C161" s="692" t="s">
        <v>733</v>
      </c>
      <c r="D161" s="307"/>
      <c r="E161" s="283">
        <v>4</v>
      </c>
      <c r="F161" s="308" t="s">
        <v>581</v>
      </c>
      <c r="G161" s="288">
        <v>1.5</v>
      </c>
      <c r="H161" s="288">
        <f t="shared" si="19"/>
        <v>6</v>
      </c>
    </row>
    <row r="162" spans="1:8" s="285" customFormat="1" ht="13.8">
      <c r="A162" s="280"/>
      <c r="B162" s="281"/>
      <c r="C162" s="692"/>
      <c r="D162" s="307"/>
      <c r="E162" s="283"/>
      <c r="F162" s="287"/>
      <c r="G162" s="288"/>
      <c r="H162" s="288"/>
    </row>
    <row r="163" spans="1:8" s="285" customFormat="1" ht="13.8">
      <c r="A163" s="280">
        <v>3</v>
      </c>
      <c r="B163" s="281"/>
      <c r="C163" s="692" t="s">
        <v>734</v>
      </c>
      <c r="D163" s="307"/>
      <c r="E163" s="283">
        <v>4</v>
      </c>
      <c r="F163" s="287" t="s">
        <v>581</v>
      </c>
      <c r="G163" s="288">
        <v>1.5</v>
      </c>
      <c r="H163" s="288">
        <f t="shared" si="19"/>
        <v>6</v>
      </c>
    </row>
    <row r="164" spans="1:8" s="285" customFormat="1" ht="13.8">
      <c r="A164" s="280"/>
      <c r="B164" s="281"/>
      <c r="C164" s="692"/>
      <c r="D164" s="307"/>
      <c r="E164" s="283"/>
      <c r="F164" s="287"/>
      <c r="G164" s="288"/>
      <c r="H164" s="288"/>
    </row>
    <row r="165" spans="1:8" s="285" customFormat="1" ht="13.8">
      <c r="A165" s="280"/>
      <c r="B165" s="281"/>
      <c r="C165" s="699" t="s">
        <v>723</v>
      </c>
      <c r="D165" s="307"/>
      <c r="E165" s="283"/>
      <c r="F165" s="287"/>
      <c r="G165" s="288"/>
      <c r="H165" s="288"/>
    </row>
    <row r="166" spans="1:8" s="285" customFormat="1" ht="13.8">
      <c r="A166" s="280"/>
      <c r="B166" s="281"/>
      <c r="C166" s="692"/>
      <c r="D166" s="307"/>
      <c r="E166" s="283"/>
      <c r="F166" s="287"/>
      <c r="G166" s="288"/>
      <c r="H166" s="288"/>
    </row>
    <row r="167" spans="1:8" s="285" customFormat="1" ht="27.6">
      <c r="A167" s="280"/>
      <c r="B167" s="281"/>
      <c r="C167" s="692" t="s">
        <v>735</v>
      </c>
      <c r="D167" s="307"/>
      <c r="E167" s="283"/>
      <c r="F167" s="287"/>
      <c r="G167" s="288"/>
      <c r="H167" s="288"/>
    </row>
    <row r="168" spans="1:8" s="285" customFormat="1" ht="13.8">
      <c r="A168" s="280"/>
      <c r="B168" s="281"/>
      <c r="C168" s="692"/>
      <c r="D168" s="307"/>
      <c r="E168" s="283"/>
      <c r="F168" s="287"/>
      <c r="G168" s="288"/>
      <c r="H168" s="288"/>
    </row>
    <row r="169" spans="1:8" s="285" customFormat="1" ht="13.8">
      <c r="A169" s="280" t="s">
        <v>22</v>
      </c>
      <c r="B169" s="281"/>
      <c r="C169" s="692" t="s">
        <v>736</v>
      </c>
      <c r="D169" s="307"/>
      <c r="E169" s="283">
        <f>960*2</f>
        <v>1920</v>
      </c>
      <c r="F169" s="287" t="s">
        <v>58</v>
      </c>
      <c r="G169" s="288">
        <v>0.3</v>
      </c>
      <c r="H169" s="288">
        <f>G169*E169</f>
        <v>576</v>
      </c>
    </row>
    <row r="170" spans="1:8" s="285" customFormat="1" ht="13.8">
      <c r="A170" s="280"/>
      <c r="B170" s="281"/>
      <c r="C170" s="692"/>
      <c r="D170" s="307"/>
      <c r="E170" s="283"/>
      <c r="F170" s="287"/>
      <c r="G170" s="288"/>
      <c r="H170" s="288"/>
    </row>
    <row r="171" spans="1:8" s="285" customFormat="1" ht="13.8">
      <c r="A171" s="280" t="s">
        <v>25</v>
      </c>
      <c r="B171" s="281"/>
      <c r="C171" s="692" t="s">
        <v>1141</v>
      </c>
      <c r="D171" s="307"/>
      <c r="E171" s="283">
        <f>336*2</f>
        <v>672</v>
      </c>
      <c r="F171" s="287" t="s">
        <v>58</v>
      </c>
      <c r="G171" s="288">
        <v>0.3</v>
      </c>
      <c r="H171" s="288">
        <f t="shared" ref="H171:H181" si="20">G171*E171</f>
        <v>201.6</v>
      </c>
    </row>
    <row r="172" spans="1:8" s="285" customFormat="1" ht="13.8">
      <c r="A172" s="280"/>
      <c r="B172" s="281"/>
      <c r="C172" s="692"/>
      <c r="D172" s="307"/>
      <c r="E172" s="283"/>
      <c r="F172" s="287"/>
      <c r="G172" s="288"/>
      <c r="H172" s="288"/>
    </row>
    <row r="173" spans="1:8" s="285" customFormat="1" ht="13.8">
      <c r="A173" s="280"/>
      <c r="B173" s="281"/>
      <c r="C173" s="699" t="s">
        <v>737</v>
      </c>
      <c r="D173" s="307"/>
      <c r="E173" s="283"/>
      <c r="F173" s="287"/>
      <c r="G173" s="288"/>
      <c r="H173" s="288"/>
    </row>
    <row r="174" spans="1:8" s="285" customFormat="1" ht="15" customHeight="1">
      <c r="A174" s="280"/>
      <c r="B174" s="281"/>
      <c r="C174" s="680"/>
      <c r="D174" s="293"/>
      <c r="E174" s="283"/>
      <c r="F174" s="280"/>
      <c r="G174" s="288"/>
      <c r="H174" s="288"/>
    </row>
    <row r="175" spans="1:8" s="285" customFormat="1" ht="41.4">
      <c r="A175" s="280">
        <v>1</v>
      </c>
      <c r="B175" s="281"/>
      <c r="C175" s="692" t="s">
        <v>1142</v>
      </c>
      <c r="D175" s="307"/>
      <c r="E175" s="283">
        <v>2</v>
      </c>
      <c r="F175" s="287" t="s">
        <v>581</v>
      </c>
      <c r="G175" s="288">
        <v>456.75</v>
      </c>
      <c r="H175" s="288">
        <f>G175*E175</f>
        <v>913.5</v>
      </c>
    </row>
    <row r="176" spans="1:8" s="285" customFormat="1" ht="14.25" customHeight="1">
      <c r="A176" s="280"/>
      <c r="B176" s="281"/>
      <c r="C176" s="692"/>
      <c r="D176" s="307"/>
      <c r="E176" s="283"/>
      <c r="F176" s="280"/>
      <c r="G176" s="288"/>
      <c r="H176" s="288"/>
    </row>
    <row r="177" spans="1:8" s="285" customFormat="1" ht="28.5" customHeight="1">
      <c r="A177" s="280">
        <v>2</v>
      </c>
      <c r="B177" s="281"/>
      <c r="C177" s="692" t="s">
        <v>738</v>
      </c>
      <c r="D177" s="307"/>
      <c r="E177" s="283">
        <v>2</v>
      </c>
      <c r="F177" s="287" t="s">
        <v>581</v>
      </c>
      <c r="G177" s="288">
        <v>7</v>
      </c>
      <c r="H177" s="288">
        <f t="shared" si="20"/>
        <v>14</v>
      </c>
    </row>
    <row r="178" spans="1:8" s="285" customFormat="1" ht="15.75" customHeight="1">
      <c r="A178" s="280"/>
      <c r="B178" s="281"/>
      <c r="C178" s="692"/>
      <c r="D178" s="307"/>
      <c r="E178" s="283"/>
      <c r="F178" s="280"/>
      <c r="G178" s="288"/>
      <c r="H178" s="288"/>
    </row>
    <row r="179" spans="1:8" s="285" customFormat="1" ht="13.8">
      <c r="A179" s="280"/>
      <c r="B179" s="281"/>
      <c r="C179" s="678" t="s">
        <v>739</v>
      </c>
      <c r="D179" s="286"/>
      <c r="E179" s="283"/>
      <c r="F179" s="280"/>
      <c r="G179" s="288"/>
      <c r="H179" s="288"/>
    </row>
    <row r="180" spans="1:8" s="285" customFormat="1" ht="13.8">
      <c r="A180" s="280"/>
      <c r="B180" s="281"/>
      <c r="C180" s="678"/>
      <c r="D180" s="286"/>
      <c r="E180" s="283"/>
      <c r="F180" s="280"/>
      <c r="G180" s="288"/>
      <c r="H180" s="288"/>
    </row>
    <row r="181" spans="1:8" s="285" customFormat="1" ht="67.5" customHeight="1">
      <c r="A181" s="280">
        <v>1</v>
      </c>
      <c r="B181" s="281"/>
      <c r="C181" s="692" t="s">
        <v>1143</v>
      </c>
      <c r="D181" s="307"/>
      <c r="E181" s="283">
        <v>1</v>
      </c>
      <c r="F181" s="280" t="s">
        <v>581</v>
      </c>
      <c r="G181" s="288">
        <v>1200</v>
      </c>
      <c r="H181" s="288">
        <f t="shared" si="20"/>
        <v>1200</v>
      </c>
    </row>
    <row r="182" spans="1:8" s="264" customFormat="1" ht="13.8">
      <c r="A182" s="259"/>
      <c r="B182" s="233"/>
      <c r="C182" s="816" t="s">
        <v>35</v>
      </c>
      <c r="D182" s="427"/>
      <c r="E182" s="299"/>
      <c r="F182" s="434"/>
      <c r="G182" s="836"/>
      <c r="H182" s="301"/>
    </row>
    <row r="183" spans="1:8" s="264" customFormat="1" ht="13.8">
      <c r="A183" s="265"/>
      <c r="B183" s="266"/>
      <c r="C183" s="817" t="s">
        <v>35</v>
      </c>
      <c r="D183" s="429"/>
      <c r="E183" s="435"/>
      <c r="F183" s="436"/>
      <c r="G183" s="837" t="s">
        <v>36</v>
      </c>
      <c r="H183" s="437">
        <f>SUM(H151:H182)</f>
        <v>3999.1</v>
      </c>
    </row>
    <row r="184" spans="1:8" s="285" customFormat="1" ht="6.75" customHeight="1">
      <c r="A184" s="686"/>
      <c r="B184" s="687"/>
      <c r="C184" s="688"/>
      <c r="D184" s="689"/>
      <c r="E184" s="690"/>
      <c r="F184" s="691"/>
      <c r="G184" s="322"/>
      <c r="H184" s="322"/>
    </row>
    <row r="185" spans="1:8" s="285" customFormat="1" ht="15" customHeight="1">
      <c r="A185" s="280"/>
      <c r="B185" s="281"/>
      <c r="C185" s="699" t="s">
        <v>740</v>
      </c>
      <c r="D185" s="310"/>
      <c r="E185" s="283"/>
      <c r="F185" s="280"/>
      <c r="G185" s="288"/>
      <c r="H185" s="288"/>
    </row>
    <row r="186" spans="1:8" s="285" customFormat="1" ht="15" customHeight="1">
      <c r="A186" s="280"/>
      <c r="B186" s="281"/>
      <c r="C186" s="699"/>
      <c r="D186" s="310"/>
      <c r="E186" s="283"/>
      <c r="F186" s="280"/>
      <c r="G186" s="288"/>
      <c r="H186" s="288"/>
    </row>
    <row r="187" spans="1:8" s="285" customFormat="1" ht="26.25" customHeight="1">
      <c r="A187" s="311"/>
      <c r="B187" s="312"/>
      <c r="C187" s="700" t="s">
        <v>741</v>
      </c>
      <c r="D187" s="313"/>
      <c r="E187" s="283"/>
      <c r="F187" s="314"/>
      <c r="G187" s="315"/>
      <c r="H187" s="315"/>
    </row>
    <row r="188" spans="1:8" s="285" customFormat="1" ht="15" customHeight="1">
      <c r="A188" s="311"/>
      <c r="B188" s="312"/>
      <c r="C188" s="701"/>
      <c r="D188" s="316"/>
      <c r="E188" s="283"/>
      <c r="F188" s="314"/>
      <c r="G188" s="315"/>
      <c r="H188" s="315"/>
    </row>
    <row r="189" spans="1:8" s="285" customFormat="1" ht="25.5" customHeight="1">
      <c r="A189" s="311">
        <v>1</v>
      </c>
      <c r="B189" s="312"/>
      <c r="C189" s="701" t="s">
        <v>661</v>
      </c>
      <c r="D189" s="316"/>
      <c r="E189" s="283">
        <v>1</v>
      </c>
      <c r="F189" s="314" t="s">
        <v>584</v>
      </c>
      <c r="G189" s="288"/>
      <c r="H189" s="315">
        <f>G189*E189</f>
        <v>0</v>
      </c>
    </row>
    <row r="190" spans="1:8" s="285" customFormat="1" ht="15" customHeight="1">
      <c r="A190" s="311"/>
      <c r="B190" s="312"/>
      <c r="C190" s="701"/>
      <c r="D190" s="316"/>
      <c r="E190" s="283"/>
      <c r="F190" s="314"/>
      <c r="G190" s="315"/>
      <c r="H190" s="315"/>
    </row>
    <row r="191" spans="1:8" s="285" customFormat="1" ht="27" customHeight="1">
      <c r="A191" s="311">
        <v>2</v>
      </c>
      <c r="B191" s="312"/>
      <c r="C191" s="701" t="s">
        <v>662</v>
      </c>
      <c r="D191" s="316"/>
      <c r="E191" s="283">
        <v>1</v>
      </c>
      <c r="F191" s="314" t="s">
        <v>584</v>
      </c>
      <c r="G191" s="288"/>
      <c r="H191" s="315">
        <f t="shared" ref="H191:H208" si="21">G191*E191</f>
        <v>0</v>
      </c>
    </row>
    <row r="192" spans="1:8" s="285" customFormat="1" ht="15" customHeight="1">
      <c r="A192" s="311"/>
      <c r="B192" s="312"/>
      <c r="C192" s="701"/>
      <c r="D192" s="316"/>
      <c r="E192" s="283"/>
      <c r="F192" s="314"/>
      <c r="G192" s="315"/>
      <c r="H192" s="315"/>
    </row>
    <row r="193" spans="1:8" s="285" customFormat="1" ht="26.25" customHeight="1">
      <c r="A193" s="311">
        <v>3</v>
      </c>
      <c r="B193" s="312"/>
      <c r="C193" s="701" t="s">
        <v>663</v>
      </c>
      <c r="D193" s="316"/>
      <c r="E193" s="283">
        <v>1</v>
      </c>
      <c r="F193" s="314" t="s">
        <v>584</v>
      </c>
      <c r="G193" s="288"/>
      <c r="H193" s="315">
        <f t="shared" si="21"/>
        <v>0</v>
      </c>
    </row>
    <row r="194" spans="1:8" s="285" customFormat="1" ht="15" customHeight="1">
      <c r="A194" s="311"/>
      <c r="B194" s="312"/>
      <c r="C194" s="701"/>
      <c r="D194" s="316"/>
      <c r="E194" s="283"/>
      <c r="F194" s="314"/>
      <c r="G194" s="315"/>
      <c r="H194" s="315"/>
    </row>
    <row r="195" spans="1:8" s="285" customFormat="1" ht="27" customHeight="1">
      <c r="A195" s="311">
        <v>4</v>
      </c>
      <c r="B195" s="312"/>
      <c r="C195" s="701" t="s">
        <v>742</v>
      </c>
      <c r="D195" s="316"/>
      <c r="E195" s="283">
        <v>1</v>
      </c>
      <c r="F195" s="314" t="s">
        <v>584</v>
      </c>
      <c r="G195" s="288"/>
      <c r="H195" s="315">
        <f t="shared" si="21"/>
        <v>0</v>
      </c>
    </row>
    <row r="196" spans="1:8" s="285" customFormat="1" ht="15" customHeight="1">
      <c r="A196" s="311"/>
      <c r="B196" s="312"/>
      <c r="C196" s="701"/>
      <c r="D196" s="316"/>
      <c r="E196" s="283"/>
      <c r="F196" s="314"/>
      <c r="G196" s="315"/>
      <c r="H196" s="315"/>
    </row>
    <row r="197" spans="1:8" s="285" customFormat="1" ht="30.75" customHeight="1">
      <c r="A197" s="311">
        <v>5</v>
      </c>
      <c r="B197" s="312"/>
      <c r="C197" s="701" t="s">
        <v>743</v>
      </c>
      <c r="D197" s="316"/>
      <c r="E197" s="283">
        <v>1</v>
      </c>
      <c r="F197" s="314" t="s">
        <v>584</v>
      </c>
      <c r="G197" s="288"/>
      <c r="H197" s="315">
        <f t="shared" si="21"/>
        <v>0</v>
      </c>
    </row>
    <row r="198" spans="1:8" s="285" customFormat="1" ht="15" customHeight="1">
      <c r="A198" s="311"/>
      <c r="B198" s="312"/>
      <c r="C198" s="701"/>
      <c r="D198" s="316"/>
      <c r="E198" s="283"/>
      <c r="F198" s="314"/>
      <c r="G198" s="315"/>
      <c r="H198" s="315"/>
    </row>
    <row r="199" spans="1:8" s="285" customFormat="1" ht="38.25" customHeight="1">
      <c r="A199" s="311">
        <v>6</v>
      </c>
      <c r="B199" s="312"/>
      <c r="C199" s="701" t="s">
        <v>744</v>
      </c>
      <c r="D199" s="316"/>
      <c r="E199" s="283">
        <v>1</v>
      </c>
      <c r="F199" s="314" t="s">
        <v>584</v>
      </c>
      <c r="G199" s="288"/>
      <c r="H199" s="315">
        <f t="shared" si="21"/>
        <v>0</v>
      </c>
    </row>
    <row r="200" spans="1:8" s="285" customFormat="1" ht="15" customHeight="1">
      <c r="A200" s="311"/>
      <c r="B200" s="312"/>
      <c r="C200" s="701"/>
      <c r="D200" s="316"/>
      <c r="E200" s="283"/>
      <c r="F200" s="314"/>
      <c r="G200" s="315"/>
      <c r="H200" s="315"/>
    </row>
    <row r="201" spans="1:8" s="285" customFormat="1" ht="41.25" customHeight="1">
      <c r="A201" s="311">
        <v>7</v>
      </c>
      <c r="B201" s="312"/>
      <c r="C201" s="701" t="s">
        <v>667</v>
      </c>
      <c r="D201" s="316"/>
      <c r="E201" s="283">
        <v>1</v>
      </c>
      <c r="F201" s="314" t="s">
        <v>584</v>
      </c>
      <c r="G201" s="288"/>
      <c r="H201" s="315">
        <f t="shared" si="21"/>
        <v>0</v>
      </c>
    </row>
    <row r="202" spans="1:8" s="285" customFormat="1" ht="15" customHeight="1">
      <c r="A202" s="311"/>
      <c r="B202" s="312"/>
      <c r="C202" s="701"/>
      <c r="D202" s="316"/>
      <c r="E202" s="283"/>
      <c r="F202" s="314"/>
      <c r="G202" s="315"/>
      <c r="H202" s="315"/>
    </row>
    <row r="203" spans="1:8" s="285" customFormat="1" ht="30.6" customHeight="1">
      <c r="A203" s="311">
        <v>8</v>
      </c>
      <c r="B203" s="312"/>
      <c r="C203" s="701" t="s">
        <v>668</v>
      </c>
      <c r="D203" s="316"/>
      <c r="E203" s="283">
        <v>1</v>
      </c>
      <c r="F203" s="314" t="s">
        <v>584</v>
      </c>
      <c r="G203" s="288"/>
      <c r="H203" s="315">
        <f t="shared" si="21"/>
        <v>0</v>
      </c>
    </row>
    <row r="204" spans="1:8" s="285" customFormat="1" ht="15" customHeight="1">
      <c r="A204" s="311"/>
      <c r="B204" s="312"/>
      <c r="C204" s="701"/>
      <c r="D204" s="316"/>
      <c r="E204" s="283"/>
      <c r="F204" s="314"/>
      <c r="G204" s="315"/>
      <c r="H204" s="315"/>
    </row>
    <row r="205" spans="1:8" s="285" customFormat="1" ht="15" customHeight="1">
      <c r="A205" s="311">
        <v>9</v>
      </c>
      <c r="B205" s="312"/>
      <c r="C205" s="701" t="s">
        <v>669</v>
      </c>
      <c r="D205" s="316"/>
      <c r="E205" s="283">
        <v>1</v>
      </c>
      <c r="F205" s="314" t="s">
        <v>584</v>
      </c>
      <c r="G205" s="288"/>
      <c r="H205" s="315">
        <f t="shared" si="21"/>
        <v>0</v>
      </c>
    </row>
    <row r="206" spans="1:8" s="285" customFormat="1" ht="15" customHeight="1">
      <c r="A206" s="311"/>
      <c r="B206" s="312"/>
      <c r="C206" s="701"/>
      <c r="D206" s="316"/>
      <c r="E206" s="283"/>
      <c r="F206" s="314"/>
      <c r="G206" s="315"/>
      <c r="H206" s="315"/>
    </row>
    <row r="207" spans="1:8" s="285" customFormat="1" ht="15" customHeight="1">
      <c r="A207" s="311">
        <v>10</v>
      </c>
      <c r="B207" s="312"/>
      <c r="C207" s="701" t="s">
        <v>1252</v>
      </c>
      <c r="D207" s="316"/>
      <c r="E207" s="283"/>
      <c r="F207" s="314"/>
      <c r="G207" s="315"/>
      <c r="H207" s="315">
        <v>2500</v>
      </c>
    </row>
    <row r="208" spans="1:8" s="285" customFormat="1" ht="33.6" customHeight="1">
      <c r="A208" s="311">
        <v>11</v>
      </c>
      <c r="B208" s="312"/>
      <c r="C208" s="701" t="s">
        <v>671</v>
      </c>
      <c r="D208" s="316"/>
      <c r="E208" s="283">
        <v>1</v>
      </c>
      <c r="F208" s="314" t="s">
        <v>584</v>
      </c>
      <c r="G208" s="288"/>
      <c r="H208" s="315">
        <f t="shared" si="21"/>
        <v>0</v>
      </c>
    </row>
    <row r="209" spans="1:9" s="285" customFormat="1" ht="13.8">
      <c r="A209" s="259"/>
      <c r="B209" s="233"/>
      <c r="C209" s="820" t="s">
        <v>35</v>
      </c>
      <c r="D209" s="260"/>
      <c r="E209" s="299"/>
      <c r="F209" s="300"/>
      <c r="G209" s="836"/>
      <c r="H209" s="301"/>
    </row>
    <row r="210" spans="1:9" s="285" customFormat="1" ht="22.5" customHeight="1">
      <c r="A210" s="265"/>
      <c r="B210" s="266"/>
      <c r="C210" s="821" t="s">
        <v>35</v>
      </c>
      <c r="D210" s="267"/>
      <c r="E210" s="302"/>
      <c r="F210" s="303"/>
      <c r="G210" s="837" t="s">
        <v>36</v>
      </c>
      <c r="H210" s="304">
        <f>SUM(H185:H209)</f>
        <v>2500</v>
      </c>
    </row>
    <row r="211" spans="1:9" ht="13.8">
      <c r="A211" s="317"/>
      <c r="B211" s="318"/>
      <c r="C211" s="319" t="s">
        <v>745</v>
      </c>
      <c r="D211" s="320"/>
      <c r="E211" s="321"/>
      <c r="F211" s="317"/>
      <c r="G211" s="322"/>
      <c r="H211" s="322"/>
    </row>
    <row r="212" spans="1:9" ht="23.25" customHeight="1">
      <c r="A212" s="324"/>
      <c r="B212" s="325"/>
      <c r="C212" s="326" t="s">
        <v>672</v>
      </c>
      <c r="D212" s="327"/>
      <c r="E212" s="328"/>
      <c r="F212" s="329"/>
      <c r="G212" s="330" t="s">
        <v>36</v>
      </c>
      <c r="H212" s="331">
        <f>+H210+H183+H150+H128+H105+H85+H69+H32</f>
        <v>43662.304649999998</v>
      </c>
    </row>
    <row r="213" spans="1:9" ht="13.8">
      <c r="A213" s="305"/>
      <c r="B213" s="305"/>
      <c r="C213" s="305"/>
      <c r="D213" s="305"/>
      <c r="E213" s="332"/>
      <c r="F213" s="305"/>
      <c r="G213" s="285"/>
      <c r="H213" s="285"/>
    </row>
    <row r="214" spans="1:9" ht="13.8">
      <c r="A214" s="305"/>
      <c r="B214" s="305"/>
      <c r="C214" s="305"/>
      <c r="D214" s="305"/>
      <c r="E214" s="332"/>
      <c r="F214" s="305"/>
      <c r="G214" s="285"/>
      <c r="H214" s="285"/>
      <c r="I214" s="331"/>
    </row>
    <row r="215" spans="1:9" ht="13.8">
      <c r="A215" s="305"/>
      <c r="B215" s="305"/>
      <c r="C215" s="305"/>
      <c r="D215" s="305"/>
      <c r="E215" s="332"/>
      <c r="F215" s="305"/>
      <c r="G215" s="285"/>
      <c r="H215" s="285"/>
    </row>
    <row r="216" spans="1:9" ht="13.8">
      <c r="A216" s="305"/>
      <c r="B216" s="305"/>
      <c r="C216" s="305"/>
      <c r="D216" s="305"/>
      <c r="E216" s="332"/>
      <c r="F216" s="305"/>
      <c r="G216" s="285"/>
      <c r="H216" s="285"/>
    </row>
    <row r="217" spans="1:9" ht="13.8">
      <c r="A217" s="305"/>
      <c r="B217" s="305"/>
      <c r="C217" s="305"/>
      <c r="D217" s="305"/>
      <c r="E217" s="332"/>
      <c r="F217" s="305"/>
      <c r="G217" s="285"/>
      <c r="H217" s="285"/>
    </row>
    <row r="218" spans="1:9" ht="13.8">
      <c r="A218" s="305"/>
      <c r="B218" s="305"/>
      <c r="C218" s="305"/>
      <c r="D218" s="305"/>
      <c r="E218" s="332"/>
      <c r="F218" s="305"/>
      <c r="G218" s="285"/>
      <c r="H218" s="285"/>
    </row>
    <row r="219" spans="1:9" ht="13.8">
      <c r="A219" s="305"/>
      <c r="B219" s="305"/>
      <c r="C219" s="305"/>
      <c r="D219" s="305"/>
      <c r="E219" s="332"/>
      <c r="F219" s="305"/>
      <c r="G219" s="285"/>
      <c r="H219" s="285"/>
    </row>
    <row r="220" spans="1:9" ht="13.8">
      <c r="A220" s="305"/>
      <c r="B220" s="305"/>
      <c r="C220" s="305"/>
      <c r="D220" s="305"/>
      <c r="E220" s="332"/>
      <c r="F220" s="305"/>
      <c r="G220" s="285"/>
      <c r="H220" s="285"/>
    </row>
    <row r="221" spans="1:9" ht="13.8">
      <c r="A221" s="305"/>
      <c r="B221" s="305"/>
      <c r="C221" s="305"/>
      <c r="D221" s="305"/>
      <c r="E221" s="332"/>
      <c r="F221" s="305"/>
      <c r="G221" s="285"/>
      <c r="H221" s="285"/>
    </row>
    <row r="222" spans="1:9" ht="13.8">
      <c r="A222" s="305"/>
      <c r="B222" s="305"/>
      <c r="C222" s="305"/>
      <c r="D222" s="305"/>
      <c r="E222" s="332"/>
      <c r="F222" s="305"/>
      <c r="G222" s="285"/>
      <c r="H222" s="285"/>
    </row>
    <row r="223" spans="1:9" ht="13.8">
      <c r="A223" s="305"/>
      <c r="B223" s="305"/>
      <c r="C223" s="305"/>
      <c r="D223" s="305"/>
      <c r="E223" s="332"/>
      <c r="F223" s="305"/>
      <c r="G223" s="285"/>
      <c r="H223" s="285"/>
    </row>
    <row r="224" spans="1:9" ht="13.8">
      <c r="A224" s="305"/>
      <c r="B224" s="305"/>
      <c r="C224" s="305"/>
      <c r="D224" s="305"/>
      <c r="E224" s="332"/>
      <c r="F224" s="305"/>
      <c r="G224" s="285"/>
      <c r="H224" s="285"/>
    </row>
    <row r="225" spans="1:8" ht="13.8">
      <c r="A225" s="305"/>
      <c r="B225" s="305"/>
      <c r="C225" s="305"/>
      <c r="D225" s="305"/>
      <c r="E225" s="332"/>
      <c r="F225" s="305"/>
      <c r="G225" s="285"/>
      <c r="H225" s="285"/>
    </row>
    <row r="226" spans="1:8" ht="13.8"/>
    <row r="227" spans="1:8" ht="13.8"/>
    <row r="228" spans="1:8" ht="13.8"/>
    <row r="229" spans="1:8" ht="13.8"/>
    <row r="230" spans="1:8" ht="13.8"/>
    <row r="231" spans="1:8" ht="13.8"/>
    <row r="232" spans="1:8" ht="13.8"/>
    <row r="233" spans="1:8" ht="13.8"/>
    <row r="234" spans="1:8" ht="13.8"/>
    <row r="235" spans="1:8" ht="13.8"/>
    <row r="236" spans="1:8" ht="13.8"/>
    <row r="237" spans="1:8" ht="13.8"/>
    <row r="238" spans="1:8" ht="13.8"/>
    <row r="239" spans="1:8" ht="13.8"/>
    <row r="240" spans="1:8" ht="13.8"/>
    <row r="241" ht="13.8"/>
    <row r="242" ht="13.8"/>
    <row r="243" ht="13.8"/>
    <row r="244" ht="13.8"/>
    <row r="245" ht="13.8"/>
    <row r="246" ht="13.8"/>
    <row r="247" ht="13.8"/>
    <row r="248" ht="13.8"/>
    <row r="249" ht="13.8"/>
    <row r="250" ht="13.8"/>
    <row r="251" ht="13.8"/>
    <row r="252" ht="13.8"/>
    <row r="253" ht="13.8"/>
    <row r="254" ht="13.8"/>
    <row r="255" ht="13.8"/>
    <row r="256" ht="13.8"/>
    <row r="257" ht="13.8"/>
    <row r="258" ht="13.8"/>
    <row r="259" ht="13.8"/>
    <row r="260" ht="13.8"/>
    <row r="261" ht="13.8"/>
    <row r="262" ht="13.8"/>
    <row r="263" ht="13.8"/>
    <row r="264" ht="13.8"/>
    <row r="265" ht="13.8"/>
    <row r="266" ht="13.8"/>
    <row r="267" ht="13.8"/>
    <row r="268" ht="13.8"/>
    <row r="269" ht="13.8"/>
    <row r="270" ht="13.8"/>
    <row r="271" ht="13.8"/>
    <row r="272" ht="13.8"/>
    <row r="273" ht="13.8"/>
    <row r="274" ht="13.8"/>
    <row r="275" ht="13.8"/>
    <row r="276" ht="13.8"/>
    <row r="277" ht="13.8"/>
    <row r="278" ht="13.8"/>
    <row r="279" ht="13.8"/>
    <row r="280" ht="13.8"/>
    <row r="281" ht="13.8"/>
    <row r="282" ht="13.8"/>
    <row r="283" ht="13.8"/>
    <row r="284" ht="13.8"/>
    <row r="285" ht="13.8"/>
    <row r="286" ht="13.8"/>
    <row r="287" ht="13.8"/>
    <row r="288" ht="13.8"/>
    <row r="289" ht="13.8"/>
    <row r="290" ht="13.8"/>
    <row r="291" ht="13.8"/>
    <row r="292" ht="13.8"/>
    <row r="293" ht="13.8"/>
    <row r="294" ht="13.8"/>
    <row r="295" ht="13.8"/>
    <row r="296" ht="13.8"/>
    <row r="297" ht="13.8"/>
    <row r="298" ht="13.8"/>
    <row r="299" ht="13.8"/>
    <row r="300" ht="13.8"/>
    <row r="301" ht="13.8"/>
    <row r="302" ht="13.8"/>
    <row r="303" ht="13.8"/>
    <row r="304" ht="13.8"/>
    <row r="305" ht="13.8"/>
    <row r="306" ht="13.8"/>
    <row r="307" ht="13.8"/>
    <row r="308" ht="13.8"/>
    <row r="309" ht="13.8"/>
    <row r="310" ht="13.8"/>
    <row r="311" ht="13.8"/>
    <row r="312" ht="13.8"/>
    <row r="313" ht="13.8"/>
    <row r="314" ht="13.8"/>
    <row r="315" ht="13.8"/>
    <row r="316" ht="13.8"/>
    <row r="317" ht="13.8"/>
    <row r="318" ht="13.8"/>
    <row r="319" ht="13.8"/>
    <row r="320" ht="13.8"/>
    <row r="321" ht="13.8"/>
    <row r="322" ht="13.8"/>
    <row r="323" ht="13.8"/>
    <row r="324" ht="13.8"/>
    <row r="325" ht="13.8"/>
    <row r="326" ht="13.8"/>
    <row r="327" ht="13.8"/>
    <row r="328" ht="13.8"/>
    <row r="329" ht="13.8"/>
    <row r="330" ht="13.8"/>
    <row r="331" ht="13.8"/>
    <row r="332" ht="13.8"/>
    <row r="333" ht="13.8"/>
    <row r="334" ht="13.8"/>
    <row r="335" ht="13.8"/>
    <row r="336" ht="13.8"/>
    <row r="337" ht="13.8"/>
    <row r="338" ht="13.8"/>
    <row r="339" ht="13.8"/>
    <row r="340" ht="13.8"/>
    <row r="341" ht="13.8"/>
    <row r="342" ht="13.8"/>
    <row r="343" ht="13.8"/>
    <row r="344" ht="13.8"/>
    <row r="345" ht="13.8"/>
    <row r="346" ht="13.8"/>
    <row r="347" ht="13.8"/>
    <row r="348" ht="13.8"/>
    <row r="349" ht="13.8"/>
    <row r="350" ht="13.8"/>
    <row r="351" ht="13.8"/>
    <row r="352" ht="13.8"/>
    <row r="353" ht="13.8"/>
    <row r="354" ht="13.8"/>
    <row r="355" ht="13.8"/>
    <row r="356" ht="13.8"/>
    <row r="357" ht="13.8"/>
    <row r="358" ht="13.8"/>
    <row r="359" ht="13.8"/>
    <row r="360" ht="13.8"/>
    <row r="361" ht="13.8"/>
    <row r="362" ht="13.8"/>
    <row r="363" ht="13.8"/>
    <row r="364" ht="13.8"/>
    <row r="365" ht="13.8"/>
    <row r="366" ht="13.8"/>
    <row r="367" ht="13.8"/>
    <row r="368" ht="13.8"/>
    <row r="369" ht="13.8"/>
    <row r="370" ht="13.8"/>
    <row r="371" ht="13.8"/>
    <row r="372" ht="13.8"/>
    <row r="373" ht="13.8"/>
    <row r="374" ht="13.8"/>
    <row r="375" ht="13.8"/>
    <row r="376" ht="13.8"/>
    <row r="377" ht="13.8"/>
    <row r="378" ht="13.8"/>
    <row r="379" ht="13.8"/>
    <row r="380" ht="13.8"/>
    <row r="381" ht="13.8"/>
    <row r="382" ht="13.8"/>
    <row r="383" ht="13.8"/>
    <row r="384" ht="13.8"/>
    <row r="385" ht="13.8"/>
    <row r="386" ht="13.8"/>
    <row r="387" ht="13.8"/>
    <row r="388" ht="13.8"/>
    <row r="389" ht="13.8"/>
    <row r="390" ht="13.8"/>
    <row r="391" ht="13.8"/>
    <row r="392" ht="13.8"/>
    <row r="393" ht="13.8"/>
    <row r="394" ht="13.8"/>
    <row r="395" ht="13.8"/>
    <row r="396" ht="13.8"/>
    <row r="397" ht="13.8"/>
    <row r="398" ht="13.8"/>
    <row r="399" ht="13.8"/>
    <row r="400" ht="13.8"/>
    <row r="401" ht="13.8"/>
    <row r="402" ht="13.8"/>
    <row r="403" ht="13.8"/>
    <row r="404" ht="13.8"/>
    <row r="405" ht="13.8"/>
    <row r="406" ht="13.8"/>
    <row r="407" ht="13.8"/>
    <row r="408" ht="13.8"/>
    <row r="409" ht="13.8"/>
    <row r="410" ht="13.8"/>
    <row r="411" ht="13.8"/>
    <row r="412" ht="13.8"/>
    <row r="413" ht="13.8"/>
    <row r="414" ht="13.8"/>
    <row r="415" ht="13.8"/>
    <row r="416" ht="13.8"/>
    <row r="417" ht="13.8"/>
    <row r="418" ht="13.8"/>
    <row r="419" ht="13.8"/>
    <row r="420" ht="13.8"/>
    <row r="421" ht="13.8"/>
    <row r="422" ht="13.8"/>
    <row r="423" ht="13.8"/>
    <row r="424" ht="13.8"/>
    <row r="425" ht="13.8"/>
    <row r="426" ht="13.8"/>
    <row r="427" ht="13.8"/>
    <row r="428" ht="13.8"/>
    <row r="429" ht="13.8"/>
    <row r="430" ht="13.8"/>
    <row r="431" ht="13.8"/>
    <row r="432" ht="13.8"/>
    <row r="433" ht="13.8"/>
    <row r="434" ht="13.8"/>
    <row r="435" ht="13.8"/>
    <row r="436" ht="13.8"/>
    <row r="437" ht="13.8"/>
    <row r="438" ht="13.8"/>
    <row r="439" ht="13.8"/>
    <row r="440" ht="13.8"/>
    <row r="441" ht="13.8"/>
    <row r="442" ht="13.8"/>
    <row r="443" ht="13.8"/>
    <row r="444" ht="13.8"/>
    <row r="445" ht="13.8"/>
    <row r="446" ht="13.8"/>
    <row r="447" ht="13.8"/>
    <row r="448" ht="13.8"/>
    <row r="449" ht="13.8"/>
    <row r="450" ht="13.8"/>
    <row r="451" ht="13.8"/>
    <row r="452" ht="13.8"/>
    <row r="453" ht="13.8"/>
    <row r="454" ht="13.8"/>
    <row r="455" ht="13.8"/>
    <row r="456" ht="13.8"/>
    <row r="457" ht="13.8"/>
    <row r="458" ht="13.8"/>
    <row r="459" ht="13.8"/>
    <row r="460" ht="13.8"/>
    <row r="461" ht="13.8"/>
    <row r="462" ht="13.8"/>
    <row r="463" ht="13.8"/>
    <row r="464" ht="13.8"/>
    <row r="465" ht="13.8"/>
    <row r="466" ht="13.8"/>
    <row r="467" ht="13.8"/>
    <row r="468" ht="13.8"/>
    <row r="469" ht="13.8"/>
    <row r="470" ht="13.8"/>
    <row r="471" ht="13.8"/>
    <row r="472" ht="13.8"/>
    <row r="473" ht="13.8"/>
    <row r="474" ht="13.8"/>
    <row r="475" ht="13.8"/>
    <row r="476" ht="13.8"/>
    <row r="477" ht="13.8"/>
    <row r="478" ht="13.8"/>
    <row r="479" ht="13.8"/>
    <row r="480" ht="13.8"/>
    <row r="481" ht="13.8"/>
    <row r="482" ht="13.8"/>
    <row r="483" ht="13.8"/>
    <row r="484" ht="13.8"/>
    <row r="485" ht="13.8"/>
    <row r="486" ht="13.8"/>
    <row r="487" ht="13.8"/>
    <row r="488" ht="13.8"/>
    <row r="489" ht="13.8"/>
    <row r="490" ht="13.8"/>
    <row r="491" ht="13.8"/>
    <row r="492" ht="13.8"/>
    <row r="493" ht="13.8"/>
    <row r="494" ht="13.8"/>
    <row r="495" ht="13.8"/>
    <row r="496" ht="13.8"/>
    <row r="497" ht="13.8"/>
    <row r="498" ht="13.8"/>
    <row r="499" ht="13.8"/>
    <row r="500" ht="13.8"/>
    <row r="501" ht="13.8"/>
    <row r="502" ht="13.8"/>
    <row r="503" ht="13.8"/>
    <row r="504" ht="13.8"/>
    <row r="505" ht="13.8"/>
    <row r="506" ht="13.8"/>
    <row r="507" ht="13.8"/>
    <row r="508" ht="13.8"/>
    <row r="509" ht="13.8"/>
    <row r="510" ht="13.8"/>
    <row r="511" ht="13.8"/>
    <row r="512" ht="13.8"/>
    <row r="513" ht="13.8"/>
    <row r="514" ht="13.8"/>
    <row r="515" ht="13.8"/>
    <row r="516" ht="13.8"/>
    <row r="517" ht="13.8"/>
    <row r="518" ht="13.8"/>
    <row r="519" ht="13.8"/>
    <row r="520" ht="13.8"/>
    <row r="521" ht="13.8"/>
    <row r="522" ht="13.8"/>
    <row r="523" ht="13.8"/>
    <row r="524" ht="13.8"/>
    <row r="525" ht="13.8"/>
    <row r="526" ht="13.8"/>
    <row r="527" ht="13.8"/>
    <row r="528" ht="13.8"/>
    <row r="529" ht="13.8"/>
    <row r="530" ht="13.8"/>
    <row r="531" ht="13.8"/>
    <row r="532" ht="13.8"/>
    <row r="533" ht="13.8"/>
    <row r="534" ht="13.8"/>
    <row r="535" ht="13.8"/>
    <row r="536" ht="13.8"/>
    <row r="537" ht="13.8"/>
    <row r="538" ht="13.8"/>
    <row r="539" ht="13.8"/>
    <row r="540" ht="13.8"/>
    <row r="541" ht="13.8"/>
    <row r="542" ht="13.8"/>
    <row r="543" ht="13.8"/>
    <row r="544" ht="13.8"/>
    <row r="545" ht="13.8"/>
    <row r="546" ht="13.8"/>
    <row r="547" ht="13.8"/>
    <row r="548" ht="13.8"/>
    <row r="549" ht="13.8"/>
    <row r="550" ht="13.8"/>
    <row r="551" ht="13.8"/>
    <row r="552" ht="13.8"/>
    <row r="553" ht="13.8"/>
    <row r="554" ht="13.8"/>
    <row r="555" ht="13.8"/>
    <row r="556" ht="13.8"/>
    <row r="557" ht="13.8"/>
    <row r="558" ht="13.8"/>
    <row r="559" ht="13.8"/>
    <row r="560" ht="13.8"/>
    <row r="561" ht="13.8"/>
    <row r="562" ht="13.8"/>
    <row r="563" ht="13.8"/>
    <row r="564" ht="13.8"/>
    <row r="565" ht="13.8"/>
    <row r="566" ht="13.8"/>
    <row r="567" ht="13.8"/>
    <row r="568" ht="13.8"/>
    <row r="569" ht="13.8"/>
    <row r="570" ht="13.8"/>
    <row r="571" ht="13.8"/>
    <row r="572" ht="13.8"/>
    <row r="573" ht="13.8"/>
    <row r="574" ht="13.8"/>
    <row r="575" ht="13.8"/>
    <row r="576" ht="13.8"/>
    <row r="577" ht="13.8"/>
    <row r="578" ht="13.8"/>
    <row r="579" ht="13.8"/>
    <row r="580" ht="13.8"/>
    <row r="581" ht="13.8"/>
    <row r="582" ht="13.8"/>
    <row r="583" ht="13.8"/>
    <row r="584" ht="13.8"/>
    <row r="585" ht="13.8"/>
    <row r="586" ht="13.8"/>
    <row r="587" ht="13.8"/>
    <row r="588" ht="13.8"/>
    <row r="589" ht="13.8"/>
    <row r="590" ht="13.8"/>
    <row r="591" ht="13.8"/>
    <row r="592" ht="13.8"/>
    <row r="593" ht="13.8"/>
    <row r="594" ht="13.8"/>
    <row r="595" ht="13.8"/>
    <row r="596" ht="13.8"/>
    <row r="597" ht="13.8"/>
    <row r="598" ht="13.8"/>
    <row r="599" ht="13.8"/>
    <row r="600" ht="13.8"/>
    <row r="601" ht="13.8"/>
    <row r="602" ht="13.8"/>
    <row r="603" ht="13.8"/>
    <row r="604" ht="13.8"/>
    <row r="605" ht="13.8"/>
    <row r="606" ht="13.8"/>
    <row r="607" ht="13.8"/>
    <row r="608" ht="13.8"/>
    <row r="609" ht="13.8"/>
    <row r="610" ht="13.8"/>
    <row r="611" ht="13.8"/>
    <row r="612" ht="13.8"/>
    <row r="613" ht="13.8"/>
    <row r="614" ht="13.8"/>
    <row r="615" ht="13.8"/>
    <row r="616" ht="13.8"/>
    <row r="617" ht="13.8"/>
    <row r="618" ht="13.8"/>
    <row r="619" ht="13.8"/>
    <row r="620" ht="13.8"/>
    <row r="621" ht="13.8"/>
    <row r="622" ht="13.8"/>
    <row r="623" ht="13.8"/>
    <row r="624" ht="13.8"/>
    <row r="625" ht="13.8"/>
    <row r="626" ht="13.8"/>
    <row r="627" ht="13.8"/>
    <row r="628" ht="13.8"/>
    <row r="629" ht="13.8"/>
    <row r="630" ht="13.8"/>
    <row r="631" ht="13.8"/>
    <row r="632" ht="13.8"/>
    <row r="633" ht="13.8"/>
    <row r="634" ht="13.8"/>
    <row r="635" ht="13.8"/>
    <row r="636" ht="13.8"/>
    <row r="637" ht="13.8"/>
    <row r="638" ht="13.8"/>
    <row r="639" ht="13.8"/>
    <row r="640" ht="13.8"/>
    <row r="641" ht="13.8"/>
    <row r="642" ht="13.8"/>
    <row r="643" ht="13.8"/>
    <row r="644" ht="13.8"/>
    <row r="645" ht="13.8"/>
    <row r="646" ht="13.8"/>
    <row r="647" ht="13.8"/>
    <row r="648" ht="13.8"/>
    <row r="649" ht="13.8"/>
    <row r="650" ht="13.8"/>
    <row r="651" ht="13.8"/>
    <row r="652" ht="13.8"/>
    <row r="653" ht="13.8"/>
    <row r="654" ht="13.8"/>
    <row r="655" ht="13.8"/>
    <row r="656" ht="13.8"/>
    <row r="657" ht="13.8"/>
    <row r="658" ht="13.8"/>
    <row r="659" ht="13.8"/>
    <row r="660" ht="13.8"/>
    <row r="661" ht="13.8"/>
    <row r="662" ht="13.8"/>
    <row r="663" ht="13.8"/>
    <row r="664" ht="13.8"/>
    <row r="665" ht="13.8"/>
    <row r="666" ht="13.8"/>
    <row r="667" ht="13.8"/>
    <row r="668" ht="13.8"/>
    <row r="669" ht="13.8"/>
    <row r="670" ht="13.8"/>
    <row r="671" ht="13.8"/>
    <row r="672" ht="13.8"/>
    <row r="673" ht="13.8"/>
    <row r="674" ht="13.8"/>
    <row r="675" ht="13.8"/>
    <row r="676" ht="13.8"/>
    <row r="677" ht="13.8"/>
    <row r="678" ht="13.8"/>
    <row r="679" ht="13.8"/>
    <row r="680" ht="13.8"/>
    <row r="681" ht="13.8"/>
    <row r="682" ht="13.8"/>
    <row r="683" ht="13.8"/>
    <row r="684" ht="13.8"/>
    <row r="685" ht="13.8"/>
    <row r="686" ht="13.8"/>
    <row r="687" ht="13.8"/>
    <row r="688" ht="13.8"/>
    <row r="689" ht="13.8"/>
    <row r="690" ht="13.8"/>
    <row r="691" ht="13.8"/>
    <row r="692" ht="13.8"/>
    <row r="693" ht="13.8"/>
    <row r="694" ht="13.8"/>
    <row r="695" ht="13.8"/>
    <row r="696" ht="13.8"/>
    <row r="697" ht="13.8"/>
    <row r="698" ht="13.8"/>
    <row r="699" ht="13.8"/>
    <row r="700" ht="13.8"/>
    <row r="701" ht="13.8"/>
    <row r="702" ht="13.8"/>
    <row r="703" ht="13.8"/>
    <row r="704" ht="13.8"/>
    <row r="705" ht="13.8"/>
    <row r="706" ht="13.8"/>
    <row r="707" ht="13.8"/>
    <row r="708" ht="13.8"/>
    <row r="709" ht="13.8"/>
    <row r="710" ht="13.8"/>
    <row r="711" ht="13.8"/>
    <row r="712" ht="13.8"/>
    <row r="713" ht="13.8"/>
    <row r="714" ht="13.8"/>
    <row r="715" ht="13.8"/>
    <row r="716" ht="13.8"/>
    <row r="717" ht="13.8"/>
    <row r="718" ht="13.8"/>
    <row r="719" ht="13.8"/>
    <row r="720" ht="13.8"/>
    <row r="721" ht="13.8"/>
    <row r="722" ht="13.8"/>
    <row r="723" ht="13.8"/>
    <row r="724" ht="13.8"/>
    <row r="725" ht="13.8"/>
    <row r="726" ht="13.8"/>
    <row r="727" ht="13.8"/>
    <row r="728" ht="13.8"/>
    <row r="729" ht="13.8"/>
    <row r="730" ht="13.8"/>
    <row r="731" ht="13.8"/>
    <row r="732" ht="13.8"/>
    <row r="733" ht="13.8"/>
    <row r="734" ht="13.8"/>
    <row r="735" ht="13.8"/>
    <row r="736" ht="13.8"/>
    <row r="737" ht="13.8"/>
    <row r="738" ht="13.8"/>
    <row r="739" ht="13.8"/>
    <row r="740" ht="13.8"/>
    <row r="741" ht="13.8"/>
    <row r="742" ht="13.8"/>
    <row r="743" ht="13.8"/>
    <row r="744" ht="13.8"/>
    <row r="745" ht="13.8"/>
    <row r="746" ht="13.8"/>
    <row r="747" ht="13.8"/>
    <row r="748" ht="13.8"/>
    <row r="749" ht="13.8"/>
    <row r="750" ht="13.8"/>
    <row r="751" ht="13.8"/>
    <row r="752" ht="13.8"/>
    <row r="753" ht="13.8"/>
    <row r="754" ht="13.8"/>
    <row r="755" ht="13.8"/>
    <row r="756" ht="13.8"/>
    <row r="757" ht="13.8"/>
    <row r="758" ht="13.8"/>
    <row r="759" ht="13.8"/>
    <row r="760" ht="13.8"/>
    <row r="761" ht="13.8"/>
    <row r="762" ht="13.8"/>
    <row r="763" ht="13.8"/>
    <row r="764" ht="13.8"/>
    <row r="765" ht="13.8"/>
    <row r="766" ht="13.8"/>
    <row r="767" ht="13.8"/>
    <row r="768" ht="13.8"/>
    <row r="769" ht="13.8"/>
    <row r="770" ht="13.8"/>
    <row r="771" ht="13.8"/>
    <row r="772" ht="13.8"/>
    <row r="773" ht="13.8"/>
    <row r="774" ht="13.8"/>
    <row r="775" ht="13.8"/>
    <row r="776" ht="13.8"/>
    <row r="777" ht="13.8"/>
    <row r="778" ht="13.8"/>
    <row r="779" ht="13.8"/>
    <row r="780" ht="13.8"/>
    <row r="781" ht="13.8"/>
    <row r="782" ht="13.8"/>
    <row r="783" ht="13.8"/>
    <row r="784" ht="13.8"/>
    <row r="785" ht="13.8"/>
    <row r="786" ht="13.8"/>
    <row r="787" ht="13.8"/>
    <row r="788" ht="13.8"/>
    <row r="789" ht="13.8"/>
    <row r="790" ht="13.8"/>
    <row r="791" ht="13.8"/>
    <row r="792" ht="13.8"/>
    <row r="793" ht="13.8"/>
    <row r="794" ht="13.8"/>
    <row r="795" ht="13.8"/>
    <row r="796" ht="13.8"/>
    <row r="797" ht="13.8"/>
    <row r="798" ht="13.8"/>
    <row r="799" ht="13.8"/>
    <row r="800" ht="13.8"/>
    <row r="801" ht="13.8"/>
    <row r="802" ht="13.8"/>
    <row r="803" ht="13.8"/>
    <row r="804" ht="13.8"/>
    <row r="805" ht="13.8"/>
    <row r="806" ht="13.8"/>
    <row r="807" ht="13.8"/>
    <row r="808" ht="13.8"/>
    <row r="809" ht="13.8"/>
    <row r="810" ht="13.8"/>
    <row r="811" ht="13.8"/>
    <row r="812" ht="13.8"/>
    <row r="813" ht="13.8"/>
    <row r="814" ht="13.8"/>
    <row r="815" ht="13.8"/>
    <row r="816" ht="13.8"/>
    <row r="817" ht="13.8"/>
    <row r="818" ht="13.8"/>
    <row r="819" ht="13.8"/>
    <row r="820" ht="13.8"/>
    <row r="821" ht="13.8"/>
    <row r="822" ht="13.8"/>
    <row r="823" ht="13.8"/>
    <row r="824" ht="13.8"/>
    <row r="825" ht="13.8"/>
    <row r="826" ht="13.8"/>
    <row r="827" ht="13.8"/>
    <row r="828" ht="13.8"/>
    <row r="829" ht="13.8"/>
    <row r="830" ht="13.8"/>
    <row r="831" ht="13.8"/>
    <row r="832" ht="13.8"/>
    <row r="833" ht="13.8"/>
    <row r="834" ht="13.8"/>
    <row r="835" ht="13.8"/>
    <row r="836" ht="13.8"/>
    <row r="837" ht="13.8"/>
    <row r="838" ht="13.8"/>
    <row r="839" ht="13.8"/>
    <row r="840" ht="13.8"/>
    <row r="841" ht="13.8"/>
    <row r="842" ht="13.8"/>
    <row r="843" ht="13.8"/>
    <row r="844" ht="13.8"/>
    <row r="845" ht="13.8"/>
    <row r="846" ht="13.8"/>
    <row r="847" ht="13.8"/>
    <row r="848" ht="13.8"/>
    <row r="849" ht="13.8"/>
    <row r="850" ht="13.8"/>
    <row r="851" ht="13.8"/>
    <row r="852" ht="13.8"/>
    <row r="853" ht="13.8"/>
    <row r="854" ht="13.8"/>
    <row r="855" ht="13.8"/>
    <row r="856" ht="13.8"/>
    <row r="857" ht="13.8"/>
    <row r="858" ht="13.8"/>
    <row r="859" ht="13.8"/>
    <row r="860" ht="13.8"/>
    <row r="861" ht="13.8"/>
    <row r="862" ht="13.8"/>
    <row r="863" ht="13.8"/>
    <row r="864" ht="13.8"/>
    <row r="865" ht="13.8"/>
    <row r="866" ht="13.8"/>
    <row r="867" ht="13.8"/>
    <row r="868" ht="13.8"/>
    <row r="869" ht="13.8"/>
    <row r="870" ht="13.8"/>
    <row r="871" ht="13.8"/>
    <row r="872" ht="13.8"/>
    <row r="873" ht="13.8"/>
    <row r="874" ht="13.8"/>
    <row r="875" ht="13.8"/>
    <row r="876" ht="13.8"/>
    <row r="877" ht="13.8"/>
    <row r="878" ht="13.8"/>
    <row r="879" ht="13.8"/>
    <row r="880" ht="13.8"/>
    <row r="881" ht="13.8"/>
    <row r="882" ht="13.8"/>
    <row r="883" ht="13.8"/>
    <row r="884" ht="13.8"/>
    <row r="885" ht="13.8"/>
    <row r="886" ht="13.8"/>
    <row r="887" ht="13.8"/>
    <row r="888" ht="13.8"/>
    <row r="889" ht="13.8"/>
    <row r="890" ht="13.8"/>
    <row r="891" ht="13.8"/>
    <row r="892" ht="13.8"/>
    <row r="893" ht="13.8"/>
    <row r="894" ht="13.8"/>
    <row r="895" ht="13.8"/>
    <row r="896" ht="13.8"/>
    <row r="897" ht="13.8"/>
    <row r="898" ht="13.8"/>
    <row r="899" ht="13.8"/>
    <row r="900" ht="13.8"/>
    <row r="901" ht="13.8"/>
    <row r="902" ht="13.8"/>
    <row r="903" ht="13.8"/>
    <row r="904" ht="13.8"/>
    <row r="905" ht="13.8"/>
    <row r="906" ht="13.8"/>
    <row r="907" ht="13.8"/>
    <row r="908" ht="13.8"/>
    <row r="909" ht="13.8"/>
    <row r="910" ht="13.8"/>
    <row r="911" ht="13.8"/>
    <row r="912" ht="13.8"/>
    <row r="913" ht="13.8"/>
    <row r="914" ht="13.8"/>
    <row r="915" ht="13.8"/>
    <row r="916" ht="13.8"/>
    <row r="917" ht="13.8"/>
    <row r="918" ht="13.8"/>
    <row r="919" ht="13.8"/>
    <row r="920" ht="13.8"/>
    <row r="921" ht="13.8"/>
    <row r="922" ht="13.8"/>
    <row r="923" ht="13.8"/>
    <row r="924" ht="13.8"/>
    <row r="925" ht="13.8"/>
    <row r="926" ht="13.8"/>
    <row r="927" ht="13.8"/>
    <row r="928" ht="13.8"/>
    <row r="929" ht="13.8"/>
    <row r="930" ht="13.8"/>
    <row r="931" ht="13.8"/>
    <row r="932" ht="13.8"/>
    <row r="933" ht="13.8"/>
    <row r="934" ht="13.8"/>
    <row r="935" ht="13.8"/>
    <row r="936" ht="13.8"/>
    <row r="937" ht="13.8"/>
    <row r="938" ht="13.8"/>
    <row r="939" ht="13.8"/>
    <row r="940" ht="13.8"/>
    <row r="941" ht="13.8"/>
    <row r="942" ht="13.8"/>
    <row r="943" ht="13.8"/>
    <row r="944" ht="13.8"/>
    <row r="945" ht="13.8"/>
    <row r="946" ht="13.8"/>
    <row r="947" ht="13.8"/>
    <row r="948" ht="13.8"/>
    <row r="949" ht="13.8"/>
    <row r="950" ht="13.8"/>
    <row r="951" ht="13.8"/>
    <row r="952" ht="13.8"/>
    <row r="953" ht="13.8"/>
    <row r="954" ht="13.8"/>
    <row r="955" ht="13.8"/>
    <row r="956" ht="13.8"/>
    <row r="957" ht="13.8"/>
    <row r="958" ht="13.8"/>
    <row r="959" ht="13.8"/>
    <row r="960" ht="13.8"/>
    <row r="961" ht="13.8"/>
    <row r="962" ht="13.8"/>
    <row r="963" ht="13.8"/>
    <row r="964" ht="13.8"/>
    <row r="965" ht="13.8"/>
    <row r="966" ht="13.8"/>
    <row r="967" ht="13.8"/>
    <row r="968" ht="13.8"/>
    <row r="969" ht="13.8"/>
    <row r="970" ht="13.8"/>
    <row r="971" ht="13.8"/>
    <row r="972" ht="13.8"/>
    <row r="973" ht="13.8"/>
    <row r="974" ht="13.8"/>
    <row r="975" ht="13.8"/>
    <row r="976" ht="13.8"/>
    <row r="977" ht="13.8"/>
    <row r="978" ht="13.8"/>
    <row r="979" ht="13.8"/>
    <row r="980" ht="13.8"/>
    <row r="981" ht="13.8"/>
    <row r="982" ht="13.8"/>
    <row r="983" ht="13.8"/>
    <row r="984" ht="13.8"/>
    <row r="985" ht="13.8"/>
    <row r="986" ht="13.8"/>
    <row r="987" ht="13.8"/>
    <row r="988" ht="13.8"/>
    <row r="989" ht="13.8"/>
    <row r="990" ht="13.8"/>
    <row r="991" ht="13.8"/>
    <row r="992" ht="13.8"/>
    <row r="993" ht="13.8"/>
    <row r="994" ht="13.8"/>
    <row r="995" ht="13.8"/>
    <row r="996" ht="13.8"/>
    <row r="997" ht="13.8"/>
    <row r="998" ht="13.8"/>
    <row r="999" ht="13.8"/>
    <row r="1000" ht="13.8"/>
    <row r="1001" ht="13.8"/>
  </sheetData>
  <mergeCells count="20">
    <mergeCell ref="C149:C150"/>
    <mergeCell ref="G149:G150"/>
    <mergeCell ref="C182:C183"/>
    <mergeCell ref="G182:G183"/>
    <mergeCell ref="C209:C210"/>
    <mergeCell ref="G209:G210"/>
    <mergeCell ref="C68:C69"/>
    <mergeCell ref="G68:G69"/>
    <mergeCell ref="C104:C105"/>
    <mergeCell ref="G104:G105"/>
    <mergeCell ref="C127:C128"/>
    <mergeCell ref="G127:G128"/>
    <mergeCell ref="C84:C85"/>
    <mergeCell ref="G84:G85"/>
    <mergeCell ref="B4:C5"/>
    <mergeCell ref="E4:E5"/>
    <mergeCell ref="F4:F5"/>
    <mergeCell ref="G4:G5"/>
    <mergeCell ref="C31:C32"/>
    <mergeCell ref="G31:G32"/>
  </mergeCells>
  <printOptions horizontalCentered="1"/>
  <pageMargins left="0.5" right="0" top="0.75" bottom="0.75" header="0" footer="0"/>
  <pageSetup paperSize="9" scale="87" orientation="portrait" r:id="rId1"/>
  <headerFooter>
    <oddFooter>&amp;CPlumb/6/Page &amp;P of</oddFooter>
  </headerFooter>
  <rowBreaks count="4" manualBreakCount="4">
    <brk id="32" max="7" man="1"/>
    <brk id="85" max="7" man="1"/>
    <brk id="128" max="7" man="1"/>
    <brk id="183" max="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B990"/>
  <sheetViews>
    <sheetView view="pageBreakPreview" zoomScale="60" zoomScaleNormal="100" workbookViewId="0">
      <selection activeCell="N17" sqref="N17"/>
    </sheetView>
  </sheetViews>
  <sheetFormatPr defaultColWidth="12.5546875" defaultRowHeight="15" customHeight="1"/>
  <cols>
    <col min="1" max="1" width="9" customWidth="1"/>
    <col min="2" max="2" width="0.6640625" customWidth="1"/>
    <col min="3" max="3" width="47" customWidth="1"/>
    <col min="4" max="4" width="0.6640625" hidden="1" customWidth="1"/>
    <col min="5" max="5" width="9" customWidth="1"/>
    <col min="6" max="6" width="6" customWidth="1"/>
    <col min="7" max="7" width="12.6640625" customWidth="1"/>
    <col min="8" max="8" width="17.6640625" customWidth="1"/>
    <col min="9" max="28" width="9.33203125" customWidth="1"/>
  </cols>
  <sheetData>
    <row r="1" spans="1:28" ht="7.5" customHeight="1">
      <c r="A1" s="2"/>
      <c r="B1" s="1"/>
      <c r="C1" s="1"/>
      <c r="D1" s="1"/>
      <c r="E1" s="136"/>
      <c r="F1" s="12"/>
      <c r="G1" s="31"/>
      <c r="H1" s="31"/>
      <c r="I1" s="1"/>
      <c r="J1" s="1"/>
      <c r="K1" s="1"/>
      <c r="L1" s="1"/>
      <c r="M1" s="1"/>
      <c r="N1" s="1"/>
      <c r="O1" s="1"/>
      <c r="P1" s="1"/>
      <c r="Q1" s="1"/>
      <c r="R1" s="1"/>
      <c r="S1" s="1"/>
      <c r="T1" s="1"/>
      <c r="U1" s="1"/>
      <c r="V1" s="1"/>
      <c r="W1" s="1"/>
      <c r="X1" s="1"/>
      <c r="Y1" s="1"/>
      <c r="Z1" s="1"/>
      <c r="AA1" s="1"/>
      <c r="AB1" s="1"/>
    </row>
    <row r="2" spans="1:28" ht="15.75" customHeight="1">
      <c r="A2" s="23" t="s">
        <v>1259</v>
      </c>
      <c r="B2" s="2"/>
      <c r="C2" s="1"/>
      <c r="D2" s="1"/>
      <c r="E2" s="137"/>
      <c r="F2" s="138"/>
      <c r="G2" s="1"/>
      <c r="H2" s="1"/>
      <c r="I2" s="1"/>
      <c r="J2" s="1"/>
      <c r="K2" s="1"/>
      <c r="L2" s="1"/>
      <c r="M2" s="1"/>
      <c r="N2" s="1"/>
      <c r="O2" s="1"/>
      <c r="P2" s="1"/>
      <c r="Q2" s="1"/>
      <c r="R2" s="1"/>
      <c r="S2" s="1"/>
      <c r="T2" s="1"/>
      <c r="U2" s="1"/>
      <c r="V2" s="1"/>
      <c r="W2" s="1"/>
      <c r="X2" s="1"/>
      <c r="Y2" s="1"/>
      <c r="Z2" s="1"/>
      <c r="AA2" s="1"/>
      <c r="AB2" s="1"/>
    </row>
    <row r="3" spans="1:28" ht="12.75" customHeight="1">
      <c r="A3" s="1"/>
      <c r="B3" s="1"/>
      <c r="C3" s="1"/>
      <c r="D3" s="1"/>
      <c r="E3" s="139"/>
      <c r="F3" s="139"/>
      <c r="G3" s="3"/>
      <c r="H3" s="3"/>
      <c r="I3" s="3"/>
      <c r="J3" s="3"/>
      <c r="K3" s="3"/>
      <c r="L3" s="3"/>
      <c r="M3" s="3"/>
      <c r="N3" s="3"/>
      <c r="O3" s="3"/>
      <c r="P3" s="3"/>
      <c r="Q3" s="3"/>
      <c r="R3" s="3"/>
      <c r="S3" s="3"/>
      <c r="T3" s="3"/>
      <c r="U3" s="3"/>
      <c r="V3" s="3"/>
      <c r="W3" s="3"/>
      <c r="X3" s="3"/>
      <c r="Y3" s="3"/>
      <c r="Z3" s="3"/>
      <c r="AA3" s="3"/>
      <c r="AB3" s="3"/>
    </row>
    <row r="4" spans="1:28" ht="12.75" customHeight="1">
      <c r="A4" s="148" t="s">
        <v>76</v>
      </c>
      <c r="B4" s="149"/>
      <c r="C4" s="150" t="s">
        <v>747</v>
      </c>
      <c r="D4" s="150"/>
      <c r="E4" s="151" t="s">
        <v>150</v>
      </c>
      <c r="F4" s="148" t="s">
        <v>148</v>
      </c>
      <c r="G4" s="152" t="s">
        <v>746</v>
      </c>
      <c r="H4" s="153" t="s">
        <v>748</v>
      </c>
      <c r="I4" s="3"/>
      <c r="J4" s="3"/>
      <c r="K4" s="3"/>
      <c r="L4" s="3"/>
      <c r="M4" s="3"/>
      <c r="N4" s="3"/>
      <c r="O4" s="3"/>
      <c r="P4" s="3"/>
      <c r="Q4" s="3"/>
      <c r="R4" s="3"/>
      <c r="S4" s="3"/>
      <c r="T4" s="3"/>
      <c r="U4" s="3"/>
      <c r="V4" s="3"/>
      <c r="W4" s="3"/>
      <c r="X4" s="3"/>
      <c r="Y4" s="3"/>
      <c r="Z4" s="3"/>
      <c r="AA4" s="3"/>
      <c r="AB4" s="3"/>
    </row>
    <row r="5" spans="1:28" ht="12.75" customHeight="1">
      <c r="A5" s="27"/>
      <c r="B5" s="38"/>
      <c r="C5" s="21"/>
      <c r="D5" s="21"/>
      <c r="E5" s="154"/>
      <c r="F5" s="27"/>
      <c r="G5" s="155"/>
      <c r="H5" s="156"/>
      <c r="I5" s="3"/>
      <c r="J5" s="3"/>
      <c r="K5" s="3"/>
      <c r="L5" s="3"/>
      <c r="M5" s="3"/>
      <c r="N5" s="3"/>
      <c r="O5" s="3"/>
      <c r="P5" s="3"/>
      <c r="Q5" s="3"/>
      <c r="R5" s="3"/>
      <c r="S5" s="3"/>
      <c r="T5" s="3"/>
      <c r="U5" s="3"/>
      <c r="V5" s="3"/>
      <c r="W5" s="3"/>
      <c r="X5" s="3"/>
      <c r="Y5" s="3"/>
      <c r="Z5" s="3"/>
      <c r="AA5" s="3"/>
      <c r="AB5" s="3"/>
    </row>
    <row r="6" spans="1:28" ht="12.75" customHeight="1">
      <c r="A6" s="6" t="s">
        <v>13</v>
      </c>
      <c r="B6" s="7"/>
      <c r="C6" s="388" t="s">
        <v>1175</v>
      </c>
      <c r="D6" s="39"/>
      <c r="E6" s="143"/>
      <c r="F6" s="143"/>
      <c r="G6" s="144"/>
      <c r="H6" s="9"/>
      <c r="I6" s="146"/>
      <c r="J6" s="146"/>
      <c r="K6" s="3"/>
      <c r="L6" s="3"/>
      <c r="M6" s="3"/>
      <c r="N6" s="3"/>
      <c r="O6" s="3"/>
      <c r="P6" s="3"/>
      <c r="Q6" s="3"/>
      <c r="R6" s="3"/>
      <c r="S6" s="3"/>
      <c r="T6" s="3"/>
      <c r="U6" s="3"/>
      <c r="V6" s="3"/>
      <c r="W6" s="3"/>
      <c r="X6" s="3"/>
      <c r="Y6" s="3"/>
      <c r="Z6" s="3"/>
      <c r="AA6" s="3"/>
      <c r="AB6" s="3"/>
    </row>
    <row r="7" spans="1:28" ht="12.75" customHeight="1">
      <c r="A7" s="6"/>
      <c r="B7" s="7"/>
      <c r="C7" s="8"/>
      <c r="D7" s="39"/>
      <c r="E7" s="143"/>
      <c r="F7" s="143"/>
      <c r="G7" s="144"/>
      <c r="H7" s="9"/>
      <c r="I7" s="146"/>
      <c r="J7" s="146"/>
      <c r="K7" s="3"/>
      <c r="L7" s="3"/>
      <c r="M7" s="3"/>
      <c r="N7" s="3"/>
      <c r="O7" s="3"/>
      <c r="P7" s="3"/>
      <c r="Q7" s="3"/>
      <c r="R7" s="3"/>
      <c r="S7" s="3"/>
      <c r="T7" s="3"/>
      <c r="U7" s="3"/>
      <c r="V7" s="3"/>
      <c r="W7" s="3"/>
      <c r="X7" s="3"/>
      <c r="Y7" s="3"/>
      <c r="Z7" s="3"/>
      <c r="AA7" s="3"/>
      <c r="AB7" s="3"/>
    </row>
    <row r="8" spans="1:28" ht="12.75" customHeight="1">
      <c r="A8" s="157"/>
      <c r="B8" s="158"/>
      <c r="C8" s="159" t="s">
        <v>750</v>
      </c>
      <c r="D8" s="160"/>
      <c r="E8" s="161"/>
      <c r="F8" s="162"/>
      <c r="G8" s="163"/>
      <c r="H8" s="164"/>
      <c r="I8" s="3"/>
      <c r="J8" s="3"/>
      <c r="K8" s="3"/>
      <c r="L8" s="3"/>
      <c r="M8" s="3"/>
      <c r="N8" s="3"/>
      <c r="O8" s="3"/>
      <c r="P8" s="3"/>
      <c r="Q8" s="3"/>
      <c r="R8" s="3"/>
      <c r="S8" s="3"/>
      <c r="T8" s="3"/>
      <c r="U8" s="3"/>
      <c r="V8" s="3"/>
      <c r="W8" s="3"/>
      <c r="X8" s="3"/>
      <c r="Y8" s="3"/>
      <c r="Z8" s="3"/>
      <c r="AA8" s="3"/>
      <c r="AB8" s="3"/>
    </row>
    <row r="9" spans="1:28" ht="12.75" customHeight="1">
      <c r="A9" s="157"/>
      <c r="B9" s="158"/>
      <c r="C9" s="14"/>
      <c r="D9" s="160"/>
      <c r="E9" s="161"/>
      <c r="F9" s="162"/>
      <c r="G9" s="163"/>
      <c r="H9" s="164"/>
      <c r="I9" s="3"/>
      <c r="J9" s="3"/>
      <c r="K9" s="3"/>
      <c r="L9" s="3"/>
      <c r="M9" s="3"/>
      <c r="N9" s="3"/>
      <c r="O9" s="3"/>
      <c r="P9" s="3"/>
      <c r="Q9" s="3"/>
      <c r="R9" s="3"/>
      <c r="S9" s="3"/>
      <c r="T9" s="3"/>
      <c r="U9" s="3"/>
      <c r="V9" s="3"/>
      <c r="W9" s="3"/>
      <c r="X9" s="3"/>
      <c r="Y9" s="3"/>
      <c r="Z9" s="3"/>
      <c r="AA9" s="3"/>
      <c r="AB9" s="3"/>
    </row>
    <row r="10" spans="1:28" ht="12.75" customHeight="1">
      <c r="A10" s="157" t="s">
        <v>22</v>
      </c>
      <c r="B10" s="158"/>
      <c r="C10" s="14" t="s">
        <v>751</v>
      </c>
      <c r="D10" s="160"/>
      <c r="E10" s="161">
        <v>2</v>
      </c>
      <c r="F10" s="161" t="s">
        <v>121</v>
      </c>
      <c r="G10" s="163">
        <v>11250</v>
      </c>
      <c r="H10" s="164">
        <f>(E10*G10)</f>
        <v>22500</v>
      </c>
      <c r="I10" s="3"/>
      <c r="J10" s="3"/>
      <c r="K10" s="3"/>
      <c r="L10" s="3"/>
      <c r="M10" s="3"/>
      <c r="N10" s="3"/>
      <c r="O10" s="3"/>
      <c r="P10" s="3"/>
      <c r="Q10" s="3"/>
      <c r="R10" s="3"/>
      <c r="S10" s="3"/>
      <c r="T10" s="3"/>
      <c r="U10" s="3"/>
      <c r="V10" s="3"/>
      <c r="W10" s="3"/>
      <c r="X10" s="3"/>
      <c r="Y10" s="3"/>
      <c r="Z10" s="3"/>
      <c r="AA10" s="3"/>
      <c r="AB10" s="3"/>
    </row>
    <row r="11" spans="1:28" ht="12.75" customHeight="1">
      <c r="A11" s="157"/>
      <c r="B11" s="158"/>
      <c r="C11" s="14"/>
      <c r="D11" s="160"/>
      <c r="E11" s="161"/>
      <c r="F11" s="162"/>
      <c r="G11" s="163"/>
      <c r="H11" s="164"/>
      <c r="I11" s="3"/>
      <c r="J11" s="3"/>
      <c r="K11" s="3"/>
      <c r="L11" s="3"/>
      <c r="M11" s="3"/>
      <c r="N11" s="3"/>
      <c r="O11" s="3"/>
      <c r="P11" s="3"/>
      <c r="Q11" s="3"/>
      <c r="R11" s="3"/>
      <c r="S11" s="3"/>
      <c r="T11" s="3"/>
      <c r="U11" s="3"/>
      <c r="V11" s="3"/>
      <c r="W11" s="3"/>
      <c r="X11" s="3"/>
      <c r="Y11" s="3"/>
      <c r="Z11" s="3"/>
      <c r="AA11" s="3"/>
      <c r="AB11" s="3"/>
    </row>
    <row r="12" spans="1:28" ht="12.75" customHeight="1">
      <c r="A12" s="157" t="s">
        <v>25</v>
      </c>
      <c r="B12" s="158"/>
      <c r="C12" s="14" t="s">
        <v>1246</v>
      </c>
      <c r="D12" s="160"/>
      <c r="E12" s="161">
        <v>54</v>
      </c>
      <c r="F12" s="161" t="s">
        <v>121</v>
      </c>
      <c r="G12" s="163">
        <v>600</v>
      </c>
      <c r="H12" s="164">
        <f>(E12*G12)</f>
        <v>32400</v>
      </c>
      <c r="I12" s="3"/>
      <c r="J12" s="3"/>
      <c r="K12" s="3"/>
      <c r="L12" s="3"/>
      <c r="M12" s="3"/>
      <c r="N12" s="3"/>
      <c r="O12" s="3"/>
      <c r="P12" s="3"/>
      <c r="Q12" s="3"/>
      <c r="R12" s="3"/>
      <c r="S12" s="3"/>
      <c r="T12" s="3"/>
      <c r="U12" s="3"/>
      <c r="V12" s="3"/>
      <c r="W12" s="3"/>
      <c r="X12" s="3"/>
      <c r="Y12" s="3"/>
      <c r="Z12" s="3"/>
      <c r="AA12" s="3"/>
      <c r="AB12" s="3"/>
    </row>
    <row r="13" spans="1:28" ht="12.75" customHeight="1">
      <c r="A13" s="157"/>
      <c r="B13" s="158"/>
      <c r="C13" s="14"/>
      <c r="D13" s="160"/>
      <c r="E13" s="161"/>
      <c r="F13" s="162"/>
      <c r="G13" s="163"/>
      <c r="H13" s="164"/>
      <c r="I13" s="3"/>
      <c r="J13" s="3"/>
      <c r="K13" s="3"/>
      <c r="L13" s="3"/>
      <c r="M13" s="3"/>
      <c r="N13" s="3"/>
      <c r="O13" s="3"/>
      <c r="P13" s="3"/>
      <c r="Q13" s="3"/>
      <c r="R13" s="3"/>
      <c r="S13" s="3"/>
      <c r="T13" s="3"/>
      <c r="U13" s="3"/>
      <c r="V13" s="3"/>
      <c r="W13" s="3"/>
      <c r="X13" s="3"/>
      <c r="Y13" s="3"/>
      <c r="Z13" s="3"/>
      <c r="AA13" s="3"/>
      <c r="AB13" s="3"/>
    </row>
    <row r="14" spans="1:28" ht="12.75" customHeight="1">
      <c r="A14" s="157" t="s">
        <v>28</v>
      </c>
      <c r="B14" s="158"/>
      <c r="C14" s="14" t="s">
        <v>752</v>
      </c>
      <c r="D14" s="160"/>
      <c r="E14" s="161">
        <v>33</v>
      </c>
      <c r="F14" s="161" t="s">
        <v>121</v>
      </c>
      <c r="G14" s="163">
        <v>50</v>
      </c>
      <c r="H14" s="164">
        <f>(E14*G14)</f>
        <v>1650</v>
      </c>
      <c r="I14" s="3"/>
      <c r="J14" s="3"/>
      <c r="K14" s="3"/>
      <c r="L14" s="3"/>
      <c r="M14" s="3"/>
      <c r="N14" s="3"/>
      <c r="O14" s="3"/>
      <c r="P14" s="3"/>
      <c r="Q14" s="3"/>
      <c r="R14" s="3"/>
      <c r="S14" s="3"/>
      <c r="T14" s="3"/>
      <c r="U14" s="3"/>
      <c r="V14" s="3"/>
      <c r="W14" s="3"/>
      <c r="X14" s="3"/>
      <c r="Y14" s="3"/>
      <c r="Z14" s="3"/>
      <c r="AA14" s="3"/>
      <c r="AB14" s="3"/>
    </row>
    <row r="15" spans="1:28" ht="12.75" customHeight="1">
      <c r="A15" s="157"/>
      <c r="B15" s="158"/>
      <c r="C15" s="14"/>
      <c r="D15" s="160"/>
      <c r="E15" s="161"/>
      <c r="F15" s="162"/>
      <c r="G15" s="163"/>
      <c r="H15" s="164"/>
      <c r="I15" s="3"/>
      <c r="J15" s="3"/>
      <c r="K15" s="3"/>
      <c r="L15" s="3"/>
      <c r="M15" s="3"/>
      <c r="N15" s="3"/>
      <c r="O15" s="3"/>
      <c r="P15" s="3"/>
      <c r="Q15" s="3"/>
      <c r="R15" s="3"/>
      <c r="S15" s="3"/>
      <c r="T15" s="3"/>
      <c r="U15" s="3"/>
      <c r="V15" s="3"/>
      <c r="W15" s="3"/>
      <c r="X15" s="3"/>
      <c r="Y15" s="3"/>
      <c r="Z15" s="3"/>
      <c r="AA15" s="3"/>
      <c r="AB15" s="3"/>
    </row>
    <row r="16" spans="1:28" ht="12.75" customHeight="1">
      <c r="A16" s="157" t="s">
        <v>31</v>
      </c>
      <c r="B16" s="158"/>
      <c r="C16" s="14" t="s">
        <v>753</v>
      </c>
      <c r="D16" s="160"/>
      <c r="E16" s="161">
        <v>1</v>
      </c>
      <c r="F16" s="161" t="s">
        <v>76</v>
      </c>
      <c r="G16" s="163">
        <v>6500</v>
      </c>
      <c r="H16" s="164">
        <f>(E16*G16)</f>
        <v>6500</v>
      </c>
      <c r="I16" s="3"/>
      <c r="J16" s="3"/>
      <c r="K16" s="3"/>
      <c r="L16" s="3"/>
      <c r="M16" s="3"/>
      <c r="N16" s="3"/>
      <c r="O16" s="3"/>
      <c r="P16" s="3"/>
      <c r="Q16" s="3"/>
      <c r="R16" s="3"/>
      <c r="S16" s="3"/>
      <c r="T16" s="3"/>
      <c r="U16" s="3"/>
      <c r="V16" s="3"/>
      <c r="W16" s="3"/>
      <c r="X16" s="3"/>
      <c r="Y16" s="3"/>
      <c r="Z16" s="3"/>
      <c r="AA16" s="3"/>
      <c r="AB16" s="3"/>
    </row>
    <row r="17" spans="1:28" ht="12.75" customHeight="1">
      <c r="A17" s="157"/>
      <c r="B17" s="158"/>
      <c r="C17" s="14"/>
      <c r="D17" s="160"/>
      <c r="E17" s="161"/>
      <c r="F17" s="162"/>
      <c r="G17" s="163"/>
      <c r="H17" s="164"/>
      <c r="I17" s="3"/>
      <c r="J17" s="3"/>
      <c r="K17" s="3"/>
      <c r="L17" s="3"/>
      <c r="M17" s="3"/>
      <c r="N17" s="3"/>
      <c r="O17" s="3"/>
      <c r="P17" s="3"/>
      <c r="Q17" s="3"/>
      <c r="R17" s="3"/>
      <c r="S17" s="3"/>
      <c r="T17" s="3"/>
      <c r="U17" s="3"/>
      <c r="V17" s="3"/>
      <c r="W17" s="3"/>
      <c r="X17" s="3"/>
      <c r="Y17" s="3"/>
      <c r="Z17" s="3"/>
      <c r="AA17" s="3"/>
      <c r="AB17" s="3"/>
    </row>
    <row r="18" spans="1:28" ht="12.75" customHeight="1">
      <c r="A18" s="11" t="s">
        <v>32</v>
      </c>
      <c r="B18" s="7"/>
      <c r="C18" s="14" t="s">
        <v>754</v>
      </c>
      <c r="D18" s="160"/>
      <c r="E18" s="161">
        <v>1</v>
      </c>
      <c r="F18" s="161" t="s">
        <v>76</v>
      </c>
      <c r="G18" s="163">
        <v>20000</v>
      </c>
      <c r="H18" s="164">
        <f>(E18*G18)</f>
        <v>20000</v>
      </c>
      <c r="I18" s="3"/>
      <c r="J18" s="3"/>
      <c r="K18" s="3"/>
      <c r="L18" s="3"/>
      <c r="M18" s="3"/>
      <c r="N18" s="3"/>
      <c r="O18" s="3"/>
      <c r="P18" s="3"/>
      <c r="Q18" s="3"/>
      <c r="R18" s="3"/>
      <c r="S18" s="3"/>
      <c r="T18" s="3"/>
      <c r="U18" s="3"/>
      <c r="V18" s="3"/>
      <c r="W18" s="3"/>
      <c r="X18" s="3"/>
      <c r="Y18" s="3"/>
      <c r="Z18" s="3"/>
      <c r="AA18" s="3"/>
      <c r="AB18" s="3"/>
    </row>
    <row r="19" spans="1:28" ht="12.75" customHeight="1">
      <c r="A19" s="157"/>
      <c r="B19" s="158"/>
      <c r="C19" s="14"/>
      <c r="D19" s="160"/>
      <c r="E19" s="161"/>
      <c r="F19" s="162"/>
      <c r="G19" s="163"/>
      <c r="H19" s="164"/>
      <c r="I19" s="3"/>
      <c r="J19" s="3"/>
      <c r="K19" s="3"/>
      <c r="L19" s="3"/>
      <c r="M19" s="3"/>
      <c r="N19" s="3"/>
      <c r="O19" s="3"/>
      <c r="P19" s="3"/>
      <c r="Q19" s="3"/>
      <c r="R19" s="3"/>
      <c r="S19" s="3"/>
      <c r="T19" s="3"/>
      <c r="U19" s="3"/>
      <c r="V19" s="3"/>
      <c r="W19" s="3"/>
      <c r="X19" s="3"/>
      <c r="Y19" s="3"/>
      <c r="Z19" s="3"/>
      <c r="AA19" s="3"/>
      <c r="AB19" s="3"/>
    </row>
    <row r="20" spans="1:28" ht="12.75" customHeight="1">
      <c r="A20" s="157" t="s">
        <v>33</v>
      </c>
      <c r="B20" s="158"/>
      <c r="C20" s="14" t="s">
        <v>1178</v>
      </c>
      <c r="D20" s="160"/>
      <c r="E20" s="161">
        <v>1</v>
      </c>
      <c r="F20" s="161" t="s">
        <v>76</v>
      </c>
      <c r="G20" s="163">
        <v>2000</v>
      </c>
      <c r="H20" s="164">
        <f>(E20*G20)</f>
        <v>2000</v>
      </c>
      <c r="I20" s="3"/>
      <c r="J20" s="3"/>
      <c r="K20" s="3"/>
      <c r="L20" s="3"/>
      <c r="M20" s="3"/>
      <c r="N20" s="3"/>
      <c r="O20" s="3"/>
      <c r="P20" s="3"/>
      <c r="Q20" s="3"/>
      <c r="R20" s="3"/>
      <c r="S20" s="3"/>
      <c r="T20" s="3"/>
      <c r="U20" s="3"/>
      <c r="V20" s="3"/>
      <c r="W20" s="3"/>
      <c r="X20" s="3"/>
      <c r="Y20" s="3"/>
      <c r="Z20" s="3"/>
      <c r="AA20" s="3"/>
      <c r="AB20" s="3"/>
    </row>
    <row r="21" spans="1:28" ht="12.75" customHeight="1">
      <c r="A21" s="157"/>
      <c r="B21" s="158"/>
      <c r="C21" s="14"/>
      <c r="D21" s="160"/>
      <c r="E21" s="161"/>
      <c r="F21" s="162"/>
      <c r="G21" s="163"/>
      <c r="H21" s="164"/>
      <c r="I21" s="3"/>
      <c r="J21" s="3"/>
      <c r="K21" s="3"/>
      <c r="L21" s="3"/>
      <c r="M21" s="3"/>
      <c r="N21" s="3"/>
      <c r="O21" s="3"/>
      <c r="P21" s="3"/>
      <c r="Q21" s="3"/>
      <c r="R21" s="3"/>
      <c r="S21" s="3"/>
      <c r="T21" s="3"/>
      <c r="U21" s="3"/>
      <c r="V21" s="3"/>
      <c r="W21" s="3"/>
      <c r="X21" s="3"/>
      <c r="Y21" s="3"/>
      <c r="Z21" s="3"/>
      <c r="AA21" s="3"/>
      <c r="AB21" s="3"/>
    </row>
    <row r="22" spans="1:28" ht="12.75" customHeight="1">
      <c r="A22" s="157" t="s">
        <v>53</v>
      </c>
      <c r="B22" s="158"/>
      <c r="C22" s="14" t="s">
        <v>755</v>
      </c>
      <c r="D22" s="160"/>
      <c r="E22" s="161">
        <v>1</v>
      </c>
      <c r="F22" s="161" t="s">
        <v>76</v>
      </c>
      <c r="G22" s="163">
        <v>1650</v>
      </c>
      <c r="H22" s="164">
        <f>(E22*G22)</f>
        <v>1650</v>
      </c>
      <c r="I22" s="3"/>
      <c r="J22" s="3"/>
      <c r="K22" s="3"/>
      <c r="L22" s="3"/>
      <c r="M22" s="3"/>
      <c r="N22" s="3"/>
      <c r="O22" s="3"/>
      <c r="P22" s="3"/>
      <c r="Q22" s="3"/>
      <c r="R22" s="3"/>
      <c r="S22" s="3"/>
      <c r="T22" s="3"/>
      <c r="U22" s="3"/>
      <c r="V22" s="3"/>
      <c r="W22" s="3"/>
      <c r="X22" s="3"/>
      <c r="Y22" s="3"/>
      <c r="Z22" s="3"/>
      <c r="AA22" s="3"/>
      <c r="AB22" s="3"/>
    </row>
    <row r="23" spans="1:28" ht="12.75" customHeight="1">
      <c r="A23" s="157"/>
      <c r="B23" s="158"/>
      <c r="C23" s="14"/>
      <c r="D23" s="160"/>
      <c r="E23" s="161"/>
      <c r="F23" s="162"/>
      <c r="G23" s="163"/>
      <c r="H23" s="164"/>
      <c r="I23" s="3"/>
      <c r="J23" s="3"/>
      <c r="K23" s="3"/>
      <c r="L23" s="3"/>
      <c r="M23" s="3"/>
      <c r="N23" s="3"/>
      <c r="O23" s="3"/>
      <c r="P23" s="3"/>
      <c r="Q23" s="3"/>
      <c r="R23" s="3"/>
      <c r="S23" s="3"/>
      <c r="T23" s="3"/>
      <c r="U23" s="3"/>
      <c r="V23" s="3"/>
      <c r="W23" s="3"/>
      <c r="X23" s="3"/>
      <c r="Y23" s="3"/>
      <c r="Z23" s="3"/>
      <c r="AA23" s="3"/>
      <c r="AB23" s="3"/>
    </row>
    <row r="24" spans="1:28" ht="12.75" customHeight="1">
      <c r="A24" s="157" t="s">
        <v>54</v>
      </c>
      <c r="B24" s="158"/>
      <c r="C24" s="14" t="s">
        <v>1238</v>
      </c>
      <c r="D24" s="160"/>
      <c r="E24" s="161">
        <v>1</v>
      </c>
      <c r="F24" s="162" t="s">
        <v>1174</v>
      </c>
      <c r="G24" s="163">
        <v>35000</v>
      </c>
      <c r="H24" s="164">
        <f>(E24*G24)</f>
        <v>35000</v>
      </c>
      <c r="I24" s="3"/>
      <c r="J24" s="3"/>
      <c r="K24" s="3"/>
      <c r="L24" s="3"/>
      <c r="M24" s="3"/>
      <c r="N24" s="3"/>
      <c r="O24" s="3"/>
      <c r="P24" s="3"/>
      <c r="Q24" s="3"/>
      <c r="R24" s="3"/>
      <c r="S24" s="3"/>
      <c r="T24" s="3"/>
      <c r="U24" s="3"/>
      <c r="V24" s="3"/>
      <c r="W24" s="3"/>
      <c r="X24" s="3"/>
      <c r="Y24" s="3"/>
      <c r="Z24" s="3"/>
      <c r="AA24" s="3"/>
      <c r="AB24" s="3"/>
    </row>
    <row r="25" spans="1:28" ht="12.75" customHeight="1">
      <c r="A25" s="157"/>
      <c r="B25" s="158"/>
      <c r="C25" s="14"/>
      <c r="D25" s="160"/>
      <c r="E25" s="161"/>
      <c r="F25" s="162"/>
      <c r="G25" s="163"/>
      <c r="H25" s="164"/>
      <c r="I25" s="3"/>
      <c r="J25" s="3"/>
      <c r="K25" s="3"/>
      <c r="L25" s="3"/>
      <c r="M25" s="3"/>
      <c r="N25" s="3"/>
      <c r="O25" s="3"/>
      <c r="P25" s="3"/>
      <c r="Q25" s="3"/>
      <c r="R25" s="3"/>
      <c r="S25" s="3"/>
      <c r="T25" s="3"/>
      <c r="U25" s="3"/>
      <c r="V25" s="3"/>
      <c r="W25" s="3"/>
      <c r="X25" s="3"/>
      <c r="Y25" s="3"/>
      <c r="Z25" s="3"/>
      <c r="AA25" s="3"/>
      <c r="AB25" s="3"/>
    </row>
    <row r="26" spans="1:28" ht="12.75" customHeight="1">
      <c r="A26" s="157" t="s">
        <v>116</v>
      </c>
      <c r="B26" s="158"/>
      <c r="C26" s="14" t="s">
        <v>1239</v>
      </c>
      <c r="D26" s="160"/>
      <c r="E26" s="161">
        <v>1</v>
      </c>
      <c r="F26" s="162" t="s">
        <v>1174</v>
      </c>
      <c r="G26" s="163">
        <v>10000</v>
      </c>
      <c r="H26" s="164">
        <f>(E26*G26)</f>
        <v>10000</v>
      </c>
      <c r="I26" s="3"/>
      <c r="J26" s="3"/>
      <c r="K26" s="3"/>
      <c r="L26" s="3"/>
      <c r="M26" s="3"/>
      <c r="N26" s="3"/>
      <c r="O26" s="3"/>
      <c r="P26" s="3"/>
      <c r="Q26" s="3"/>
      <c r="R26" s="3"/>
      <c r="S26" s="3"/>
      <c r="T26" s="3"/>
      <c r="U26" s="3"/>
      <c r="V26" s="3"/>
      <c r="W26" s="3"/>
      <c r="X26" s="3"/>
      <c r="Y26" s="3"/>
      <c r="Z26" s="3"/>
      <c r="AA26" s="3"/>
      <c r="AB26" s="3"/>
    </row>
    <row r="27" spans="1:28" ht="12.75" customHeight="1">
      <c r="A27" s="157"/>
      <c r="B27" s="158"/>
      <c r="C27" s="14"/>
      <c r="D27" s="160"/>
      <c r="E27" s="161"/>
      <c r="F27" s="162"/>
      <c r="G27" s="163"/>
      <c r="H27" s="164"/>
      <c r="I27" s="3"/>
      <c r="J27" s="3"/>
      <c r="K27" s="3"/>
      <c r="L27" s="3"/>
      <c r="M27" s="3"/>
      <c r="N27" s="3"/>
      <c r="O27" s="3"/>
      <c r="P27" s="3"/>
      <c r="Q27" s="3"/>
      <c r="R27" s="3"/>
      <c r="S27" s="3"/>
      <c r="T27" s="3"/>
      <c r="U27" s="3"/>
      <c r="V27" s="3"/>
      <c r="W27" s="3"/>
      <c r="X27" s="3"/>
      <c r="Y27" s="3"/>
      <c r="Z27" s="3"/>
      <c r="AA27" s="3"/>
      <c r="AB27" s="3"/>
    </row>
    <row r="28" spans="1:28" ht="12.75" customHeight="1">
      <c r="A28" s="157" t="s">
        <v>55</v>
      </c>
      <c r="B28" s="158"/>
      <c r="C28" s="14" t="s">
        <v>1248</v>
      </c>
      <c r="D28" s="160"/>
      <c r="E28" s="161">
        <v>1</v>
      </c>
      <c r="F28" s="162" t="s">
        <v>1174</v>
      </c>
      <c r="G28" s="163">
        <v>8000</v>
      </c>
      <c r="H28" s="164">
        <f>(E28*G28)</f>
        <v>8000</v>
      </c>
      <c r="I28" s="3"/>
      <c r="J28" s="3"/>
      <c r="K28" s="3"/>
      <c r="L28" s="3"/>
      <c r="M28" s="3"/>
      <c r="N28" s="3"/>
      <c r="O28" s="3"/>
      <c r="P28" s="3"/>
      <c r="Q28" s="3"/>
      <c r="R28" s="3"/>
      <c r="S28" s="3"/>
      <c r="T28" s="3"/>
      <c r="U28" s="3"/>
      <c r="V28" s="3"/>
      <c r="W28" s="3"/>
      <c r="X28" s="3"/>
      <c r="Y28" s="3"/>
      <c r="Z28" s="3"/>
      <c r="AA28" s="3"/>
      <c r="AB28" s="3"/>
    </row>
    <row r="29" spans="1:28" ht="12.75" customHeight="1">
      <c r="A29" s="157"/>
      <c r="B29" s="158"/>
      <c r="C29" s="14"/>
      <c r="D29" s="160"/>
      <c r="E29" s="161"/>
      <c r="F29" s="162"/>
      <c r="G29" s="163"/>
      <c r="H29" s="164"/>
      <c r="I29" s="3"/>
      <c r="J29" s="3"/>
      <c r="K29" s="3"/>
      <c r="L29" s="3"/>
      <c r="M29" s="3"/>
      <c r="N29" s="3"/>
      <c r="O29" s="3"/>
      <c r="P29" s="3"/>
      <c r="Q29" s="3"/>
      <c r="R29" s="3"/>
      <c r="S29" s="3"/>
      <c r="T29" s="3"/>
      <c r="U29" s="3"/>
      <c r="V29" s="3"/>
      <c r="W29" s="3"/>
      <c r="X29" s="3"/>
      <c r="Y29" s="3"/>
      <c r="Z29" s="3"/>
      <c r="AA29" s="3"/>
      <c r="AB29" s="3"/>
    </row>
    <row r="30" spans="1:28" ht="12.75" customHeight="1">
      <c r="A30" s="157" t="s">
        <v>56</v>
      </c>
      <c r="B30" s="158"/>
      <c r="C30" s="14" t="s">
        <v>1249</v>
      </c>
      <c r="D30" s="160"/>
      <c r="E30" s="161">
        <v>1</v>
      </c>
      <c r="F30" s="162" t="s">
        <v>1174</v>
      </c>
      <c r="G30" s="163">
        <v>3000</v>
      </c>
      <c r="H30" s="164">
        <f>(E30*G30)</f>
        <v>3000</v>
      </c>
      <c r="I30" s="3"/>
      <c r="J30" s="3"/>
      <c r="K30" s="3"/>
      <c r="L30" s="3"/>
      <c r="M30" s="3"/>
      <c r="N30" s="3"/>
      <c r="O30" s="3"/>
      <c r="P30" s="3"/>
      <c r="Q30" s="3"/>
      <c r="R30" s="3"/>
      <c r="S30" s="3"/>
      <c r="T30" s="3"/>
      <c r="U30" s="3"/>
      <c r="V30" s="3"/>
      <c r="W30" s="3"/>
      <c r="X30" s="3"/>
      <c r="Y30" s="3"/>
      <c r="Z30" s="3"/>
      <c r="AA30" s="3"/>
      <c r="AB30" s="3"/>
    </row>
    <row r="31" spans="1:28" ht="12.75" customHeight="1">
      <c r="A31" s="157"/>
      <c r="B31" s="158"/>
      <c r="C31" s="14"/>
      <c r="D31" s="160"/>
      <c r="E31" s="161"/>
      <c r="F31" s="162"/>
      <c r="G31" s="163"/>
      <c r="H31" s="164"/>
      <c r="I31" s="3"/>
      <c r="J31" s="3"/>
      <c r="K31" s="3"/>
      <c r="L31" s="3"/>
      <c r="M31" s="3"/>
      <c r="N31" s="3"/>
      <c r="O31" s="3"/>
      <c r="P31" s="3"/>
      <c r="Q31" s="3"/>
      <c r="R31" s="3"/>
      <c r="S31" s="3"/>
      <c r="T31" s="3"/>
      <c r="U31" s="3"/>
      <c r="V31" s="3"/>
      <c r="W31" s="3"/>
      <c r="X31" s="3"/>
      <c r="Y31" s="3"/>
      <c r="Z31" s="3"/>
      <c r="AA31" s="3"/>
      <c r="AB31" s="3"/>
    </row>
    <row r="32" spans="1:28" ht="12.75" customHeight="1">
      <c r="A32" s="157" t="s">
        <v>57</v>
      </c>
      <c r="B32" s="158"/>
      <c r="C32" s="14" t="s">
        <v>1250</v>
      </c>
      <c r="D32" s="160"/>
      <c r="E32" s="161">
        <v>1</v>
      </c>
      <c r="F32" s="162" t="s">
        <v>1174</v>
      </c>
      <c r="G32" s="163">
        <v>10000</v>
      </c>
      <c r="H32" s="164">
        <f>(E32*G32)</f>
        <v>10000</v>
      </c>
      <c r="I32" s="3"/>
      <c r="J32" s="3"/>
      <c r="K32" s="3"/>
      <c r="L32" s="3"/>
      <c r="M32" s="3"/>
      <c r="N32" s="3"/>
      <c r="O32" s="3"/>
      <c r="P32" s="3"/>
      <c r="Q32" s="3"/>
      <c r="R32" s="3"/>
      <c r="S32" s="3"/>
      <c r="T32" s="3"/>
      <c r="U32" s="3"/>
      <c r="V32" s="3"/>
      <c r="W32" s="3"/>
      <c r="X32" s="3"/>
      <c r="Y32" s="3"/>
      <c r="Z32" s="3"/>
      <c r="AA32" s="3"/>
      <c r="AB32" s="3"/>
    </row>
    <row r="33" spans="1:28" ht="12.75" customHeight="1">
      <c r="A33" s="157"/>
      <c r="B33" s="158"/>
      <c r="C33" s="14"/>
      <c r="D33" s="160"/>
      <c r="E33" s="161"/>
      <c r="F33" s="162"/>
      <c r="G33" s="163"/>
      <c r="H33" s="164"/>
      <c r="I33" s="3"/>
      <c r="J33" s="3"/>
      <c r="K33" s="3"/>
      <c r="L33" s="3"/>
      <c r="M33" s="3"/>
      <c r="N33" s="3"/>
      <c r="O33" s="3"/>
      <c r="P33" s="3"/>
      <c r="Q33" s="3"/>
      <c r="R33" s="3"/>
      <c r="S33" s="3"/>
      <c r="T33" s="3"/>
      <c r="U33" s="3"/>
      <c r="V33" s="3"/>
      <c r="W33" s="3"/>
      <c r="X33" s="3"/>
      <c r="Y33" s="3"/>
      <c r="Z33" s="3"/>
      <c r="AA33" s="3"/>
      <c r="AB33" s="3"/>
    </row>
    <row r="34" spans="1:28" ht="12.75" customHeight="1">
      <c r="A34" s="157"/>
      <c r="B34" s="158"/>
      <c r="C34" s="14"/>
      <c r="D34" s="160"/>
      <c r="E34" s="161"/>
      <c r="F34" s="162"/>
      <c r="G34" s="163"/>
      <c r="H34" s="164"/>
      <c r="I34" s="3"/>
      <c r="J34" s="3"/>
      <c r="K34" s="3"/>
      <c r="L34" s="3"/>
      <c r="M34" s="3"/>
      <c r="N34" s="3"/>
      <c r="O34" s="3"/>
      <c r="P34" s="3"/>
      <c r="Q34" s="3"/>
      <c r="R34" s="3"/>
      <c r="S34" s="3"/>
      <c r="T34" s="3"/>
      <c r="U34" s="3"/>
      <c r="V34" s="3"/>
      <c r="W34" s="3"/>
      <c r="X34" s="3"/>
      <c r="Y34" s="3"/>
      <c r="Z34" s="3"/>
      <c r="AA34" s="3"/>
      <c r="AB34" s="3"/>
    </row>
    <row r="35" spans="1:28" ht="12.75" customHeight="1">
      <c r="A35" s="157"/>
      <c r="B35" s="158"/>
      <c r="C35" s="14"/>
      <c r="D35" s="160"/>
      <c r="E35" s="161"/>
      <c r="F35" s="162"/>
      <c r="G35" s="163"/>
      <c r="H35" s="164"/>
      <c r="I35" s="3"/>
      <c r="J35" s="3"/>
      <c r="K35" s="3"/>
      <c r="L35" s="3"/>
      <c r="M35" s="3"/>
      <c r="N35" s="3"/>
      <c r="O35" s="3"/>
      <c r="P35" s="3"/>
      <c r="Q35" s="3"/>
      <c r="R35" s="3"/>
      <c r="S35" s="3"/>
      <c r="T35" s="3"/>
      <c r="U35" s="3"/>
      <c r="V35" s="3"/>
      <c r="W35" s="3"/>
      <c r="X35" s="3"/>
      <c r="Y35" s="3"/>
      <c r="Z35" s="3"/>
      <c r="AA35" s="3"/>
      <c r="AB35" s="3"/>
    </row>
    <row r="36" spans="1:28" ht="12.75" customHeight="1">
      <c r="A36" s="165"/>
      <c r="B36" s="166"/>
      <c r="C36" s="167"/>
      <c r="D36" s="168"/>
      <c r="E36" s="165"/>
      <c r="F36" s="169"/>
      <c r="G36" s="170"/>
      <c r="H36" s="171"/>
      <c r="I36" s="3"/>
      <c r="J36" s="3"/>
      <c r="K36" s="3"/>
      <c r="L36" s="3"/>
      <c r="M36" s="172"/>
      <c r="N36" s="172"/>
      <c r="O36" s="173"/>
      <c r="P36" s="172"/>
      <c r="Q36" s="172"/>
      <c r="R36" s="174"/>
      <c r="S36" s="175"/>
      <c r="T36" s="176"/>
      <c r="U36" s="3"/>
      <c r="V36" s="3"/>
      <c r="W36" s="3"/>
      <c r="X36" s="3"/>
      <c r="Y36" s="3"/>
      <c r="Z36" s="3"/>
      <c r="AA36" s="3"/>
      <c r="AB36" s="3"/>
    </row>
    <row r="37" spans="1:28" ht="12.75" customHeight="1">
      <c r="A37" s="177"/>
      <c r="B37" s="178"/>
      <c r="C37" s="13" t="s">
        <v>749</v>
      </c>
      <c r="D37" s="13"/>
      <c r="E37" s="13"/>
      <c r="F37" s="438"/>
      <c r="G37" s="439"/>
      <c r="H37" s="440"/>
      <c r="I37" s="3"/>
      <c r="J37" s="3"/>
      <c r="K37" s="3"/>
      <c r="L37" s="3"/>
      <c r="M37" s="172"/>
      <c r="N37" s="172"/>
      <c r="O37" s="173"/>
      <c r="P37" s="172"/>
      <c r="Q37" s="172"/>
      <c r="R37" s="174"/>
      <c r="S37" s="175"/>
      <c r="T37" s="176"/>
      <c r="U37" s="3"/>
      <c r="V37" s="3"/>
      <c r="W37" s="3"/>
      <c r="X37" s="3"/>
      <c r="Y37" s="3"/>
      <c r="Z37" s="3"/>
      <c r="AA37" s="3"/>
      <c r="AB37" s="3"/>
    </row>
    <row r="38" spans="1:28" ht="12.75" customHeight="1">
      <c r="A38" s="179"/>
      <c r="B38" s="180"/>
      <c r="C38" s="425" t="s">
        <v>756</v>
      </c>
      <c r="D38" s="441"/>
      <c r="E38" s="442"/>
      <c r="F38" s="443" t="s">
        <v>36</v>
      </c>
      <c r="G38" s="444"/>
      <c r="H38" s="426">
        <f>SUM(H10:H37)</f>
        <v>152700</v>
      </c>
      <c r="I38" s="146"/>
      <c r="J38" s="146"/>
      <c r="K38" s="1"/>
      <c r="L38" s="1"/>
      <c r="M38" s="1"/>
      <c r="N38" s="1"/>
      <c r="O38" s="1"/>
      <c r="P38" s="1"/>
      <c r="Q38" s="1"/>
      <c r="R38" s="1"/>
      <c r="S38" s="1"/>
      <c r="T38" s="1"/>
      <c r="U38" s="1"/>
      <c r="V38" s="1"/>
      <c r="W38" s="1"/>
      <c r="X38" s="1"/>
      <c r="Y38" s="1"/>
      <c r="Z38" s="1"/>
      <c r="AA38" s="1"/>
      <c r="AB38" s="1"/>
    </row>
    <row r="39" spans="1:28" ht="12.75" customHeight="1">
      <c r="A39" s="3"/>
      <c r="B39" s="3"/>
      <c r="C39" s="3"/>
      <c r="D39" s="3"/>
      <c r="E39" s="3"/>
      <c r="F39" s="3"/>
      <c r="G39" s="3"/>
      <c r="H39" s="3"/>
      <c r="I39" s="146"/>
      <c r="J39" s="146"/>
      <c r="K39" s="3"/>
      <c r="L39" s="3"/>
      <c r="M39" s="3"/>
      <c r="N39" s="3"/>
      <c r="O39" s="3"/>
      <c r="P39" s="3"/>
      <c r="Q39" s="3"/>
      <c r="R39" s="3"/>
      <c r="S39" s="3"/>
      <c r="T39" s="3"/>
      <c r="U39" s="3"/>
      <c r="V39" s="3"/>
      <c r="W39" s="3"/>
      <c r="X39" s="3"/>
      <c r="Y39" s="3"/>
      <c r="Z39" s="3"/>
      <c r="AA39" s="3"/>
      <c r="AB39" s="3"/>
    </row>
    <row r="40" spans="1:28" ht="12.75" customHeight="1">
      <c r="A40" s="3"/>
      <c r="B40" s="3"/>
      <c r="C40" s="3"/>
      <c r="D40" s="3"/>
      <c r="E40" s="3"/>
      <c r="F40" s="3"/>
      <c r="G40" s="3"/>
      <c r="H40" s="3"/>
      <c r="I40" s="146"/>
      <c r="J40" s="146"/>
      <c r="K40" s="3"/>
      <c r="L40" s="3"/>
      <c r="M40" s="3"/>
      <c r="N40" s="3"/>
      <c r="O40" s="3"/>
      <c r="P40" s="3"/>
      <c r="Q40" s="3"/>
      <c r="R40" s="3"/>
      <c r="S40" s="3"/>
      <c r="T40" s="3"/>
      <c r="U40" s="3"/>
      <c r="V40" s="3"/>
      <c r="W40" s="3"/>
      <c r="X40" s="3"/>
      <c r="Y40" s="3"/>
      <c r="Z40" s="3"/>
      <c r="AA40" s="3"/>
      <c r="AB40" s="3"/>
    </row>
    <row r="41" spans="1:28" ht="12.75" customHeight="1">
      <c r="A41" s="3"/>
      <c r="B41" s="3"/>
      <c r="C41" s="3"/>
      <c r="D41" s="3"/>
      <c r="E41" s="3"/>
      <c r="F41" s="3"/>
      <c r="G41" s="3"/>
      <c r="H41" s="3"/>
      <c r="I41" s="146"/>
      <c r="J41" s="146"/>
      <c r="K41" s="3"/>
      <c r="L41" s="3"/>
      <c r="M41" s="3"/>
      <c r="N41" s="3"/>
      <c r="O41" s="3"/>
      <c r="P41" s="3"/>
      <c r="Q41" s="3"/>
      <c r="R41" s="3"/>
      <c r="S41" s="3"/>
      <c r="T41" s="3"/>
      <c r="U41" s="3"/>
      <c r="V41" s="3"/>
      <c r="W41" s="3"/>
      <c r="X41" s="3"/>
      <c r="Y41" s="3"/>
      <c r="Z41" s="3"/>
      <c r="AA41" s="3"/>
      <c r="AB41" s="3"/>
    </row>
    <row r="42" spans="1:28" ht="12.75" customHeight="1">
      <c r="A42" s="3"/>
      <c r="B42" s="3"/>
      <c r="C42" s="3"/>
      <c r="D42" s="3"/>
      <c r="E42" s="3"/>
      <c r="F42" s="3"/>
      <c r="G42" s="3"/>
      <c r="H42" s="3"/>
      <c r="I42" s="146"/>
      <c r="J42" s="146"/>
      <c r="K42" s="3"/>
      <c r="L42" s="3"/>
      <c r="M42" s="3"/>
      <c r="N42" s="3"/>
      <c r="O42" s="3"/>
      <c r="P42" s="3"/>
      <c r="Q42" s="3"/>
      <c r="R42" s="3"/>
      <c r="S42" s="3"/>
      <c r="T42" s="3"/>
      <c r="U42" s="3"/>
      <c r="V42" s="3"/>
      <c r="W42" s="3"/>
      <c r="X42" s="3"/>
      <c r="Y42" s="3"/>
      <c r="Z42" s="3"/>
      <c r="AA42" s="3"/>
      <c r="AB42" s="3"/>
    </row>
    <row r="43" spans="1:28" ht="12.75" customHeight="1">
      <c r="A43" s="3"/>
      <c r="B43" s="3"/>
      <c r="C43" s="3"/>
      <c r="D43" s="3"/>
      <c r="E43" s="3"/>
      <c r="F43" s="3"/>
      <c r="G43" s="3"/>
      <c r="H43" s="3"/>
      <c r="I43" s="146"/>
      <c r="J43" s="146"/>
      <c r="K43" s="3"/>
      <c r="L43" s="3"/>
      <c r="M43" s="3"/>
      <c r="N43" s="3"/>
      <c r="O43" s="3"/>
      <c r="P43" s="3"/>
      <c r="Q43" s="3"/>
      <c r="R43" s="3"/>
      <c r="S43" s="3"/>
      <c r="T43" s="3"/>
      <c r="U43" s="3"/>
      <c r="V43" s="3"/>
      <c r="W43" s="3"/>
      <c r="X43" s="3"/>
      <c r="Y43" s="3"/>
      <c r="Z43" s="3"/>
      <c r="AA43" s="3"/>
      <c r="AB43" s="3"/>
    </row>
    <row r="44" spans="1:28" ht="12.75" customHeight="1">
      <c r="A44" s="3"/>
      <c r="B44" s="3"/>
      <c r="C44" s="3"/>
      <c r="D44" s="3"/>
      <c r="E44" s="3"/>
      <c r="F44" s="3"/>
      <c r="G44" s="3"/>
      <c r="H44" s="3"/>
      <c r="I44" s="146"/>
      <c r="J44" s="146"/>
      <c r="K44" s="3"/>
      <c r="L44" s="3"/>
      <c r="M44" s="3"/>
      <c r="N44" s="3"/>
      <c r="O44" s="3"/>
      <c r="P44" s="3"/>
      <c r="Q44" s="3"/>
      <c r="R44" s="3"/>
      <c r="S44" s="3"/>
      <c r="T44" s="3"/>
      <c r="U44" s="3"/>
      <c r="V44" s="3"/>
      <c r="W44" s="3"/>
      <c r="X44" s="3"/>
      <c r="Y44" s="3"/>
      <c r="Z44" s="3"/>
      <c r="AA44" s="3"/>
      <c r="AB44" s="3"/>
    </row>
    <row r="45" spans="1:28" ht="12.75" customHeight="1">
      <c r="A45" s="3"/>
      <c r="B45" s="3"/>
      <c r="C45" s="3"/>
      <c r="D45" s="3"/>
      <c r="E45" s="3"/>
      <c r="F45" s="3"/>
      <c r="G45" s="3"/>
      <c r="H45" s="3"/>
      <c r="I45" s="146"/>
      <c r="J45" s="146"/>
      <c r="K45" s="3"/>
      <c r="L45" s="3"/>
      <c r="M45" s="3"/>
      <c r="N45" s="3"/>
      <c r="O45" s="3"/>
      <c r="P45" s="3"/>
      <c r="Q45" s="3"/>
      <c r="R45" s="3"/>
      <c r="S45" s="3"/>
      <c r="T45" s="3"/>
      <c r="U45" s="3"/>
      <c r="V45" s="3"/>
      <c r="W45" s="3"/>
      <c r="X45" s="3"/>
      <c r="Y45" s="3"/>
      <c r="Z45" s="3"/>
      <c r="AA45" s="3"/>
      <c r="AB45" s="3"/>
    </row>
    <row r="46" spans="1:28" ht="12.75" customHeight="1">
      <c r="A46" s="3"/>
      <c r="B46" s="3"/>
      <c r="C46" s="3"/>
      <c r="D46" s="3"/>
      <c r="E46" s="3"/>
      <c r="F46" s="3"/>
      <c r="G46" s="3"/>
      <c r="H46" s="3"/>
      <c r="I46" s="146"/>
      <c r="J46" s="146"/>
      <c r="K46" s="3"/>
      <c r="L46" s="3"/>
      <c r="M46" s="3"/>
      <c r="N46" s="3"/>
      <c r="O46" s="3"/>
      <c r="P46" s="3"/>
      <c r="Q46" s="3"/>
      <c r="R46" s="3"/>
      <c r="S46" s="3"/>
      <c r="T46" s="3"/>
      <c r="U46" s="3"/>
      <c r="V46" s="3"/>
      <c r="W46" s="3"/>
      <c r="X46" s="3"/>
      <c r="Y46" s="3"/>
      <c r="Z46" s="3"/>
      <c r="AA46" s="3"/>
      <c r="AB46" s="3"/>
    </row>
    <row r="47" spans="1:28"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spans="1:2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spans="1:28"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spans="1:28"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spans="1:28"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spans="1:28"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spans="1:28"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sheetData>
  <pageMargins left="0.7" right="0.7" top="0.75" bottom="0.75" header="0" footer="0"/>
  <pageSetup scale="89" orientation="portrait" r:id="rId1"/>
  <headerFooter>
    <oddHeader>&amp;LCONSTRUCTION OF RESIDENTAL/COMMERCIAL BUILDING</oddHeader>
    <oddFooter>&amp;CPAGE &amp;P OF</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66"/>
  <sheetViews>
    <sheetView workbookViewId="0">
      <pane ySplit="4" topLeftCell="A161" activePane="bottomLeft" state="frozen"/>
      <selection pane="bottomLeft" activeCell="Q164" sqref="Q164"/>
    </sheetView>
  </sheetViews>
  <sheetFormatPr defaultColWidth="12.5546875" defaultRowHeight="15" customHeight="1"/>
  <cols>
    <col min="1" max="1" width="5.33203125" customWidth="1"/>
    <col min="2" max="2" width="19.5546875" customWidth="1"/>
    <col min="3" max="3" width="6.6640625" customWidth="1"/>
    <col min="4" max="5" width="5.44140625" customWidth="1"/>
    <col min="6" max="10" width="9.33203125" customWidth="1"/>
    <col min="11" max="12" width="12.6640625" customWidth="1"/>
    <col min="13" max="13" width="10.44140625" customWidth="1"/>
    <col min="14" max="26" width="8.5546875" customWidth="1"/>
  </cols>
  <sheetData>
    <row r="1" spans="1:13" ht="12.75" customHeight="1">
      <c r="A1" s="182" t="s">
        <v>763</v>
      </c>
      <c r="B1" s="183"/>
      <c r="C1" s="184"/>
      <c r="D1" s="184"/>
      <c r="E1" s="184"/>
      <c r="F1" s="184"/>
      <c r="G1" s="184"/>
      <c r="H1" s="184"/>
      <c r="I1" s="185"/>
      <c r="J1" s="94"/>
      <c r="K1" s="94"/>
      <c r="L1" s="94"/>
    </row>
    <row r="2" spans="1:13" ht="12.75" customHeight="1">
      <c r="A2" s="186" t="s">
        <v>764</v>
      </c>
      <c r="B2" s="93"/>
      <c r="C2" s="94"/>
      <c r="D2" s="94"/>
      <c r="E2" s="94"/>
      <c r="F2" s="94"/>
      <c r="G2" s="94"/>
      <c r="H2" s="94"/>
      <c r="I2" s="187"/>
      <c r="J2" s="94"/>
      <c r="K2" s="94"/>
      <c r="L2" s="94"/>
    </row>
    <row r="3" spans="1:13" ht="12.75" customHeight="1">
      <c r="A3" s="188"/>
      <c r="B3" s="189"/>
      <c r="C3" s="190"/>
      <c r="D3" s="190"/>
      <c r="E3" s="190"/>
      <c r="F3" s="190"/>
      <c r="G3" s="190"/>
      <c r="H3" s="190"/>
      <c r="I3" s="191"/>
      <c r="J3" s="94"/>
      <c r="K3" s="94"/>
      <c r="L3" s="94"/>
    </row>
    <row r="4" spans="1:13" ht="12.75" customHeight="1">
      <c r="A4" s="109" t="s">
        <v>146</v>
      </c>
      <c r="B4" s="109" t="s">
        <v>147</v>
      </c>
      <c r="C4" s="109" t="s">
        <v>148</v>
      </c>
      <c r="D4" s="791" t="s">
        <v>149</v>
      </c>
      <c r="E4" s="792"/>
      <c r="F4" s="109" t="s">
        <v>57</v>
      </c>
      <c r="G4" s="109" t="s">
        <v>25</v>
      </c>
      <c r="H4" s="109" t="s">
        <v>31</v>
      </c>
      <c r="I4" s="109" t="s">
        <v>153</v>
      </c>
      <c r="J4" s="94"/>
      <c r="K4" s="192" t="s">
        <v>765</v>
      </c>
      <c r="L4" s="192" t="s">
        <v>766</v>
      </c>
      <c r="M4" s="192" t="s">
        <v>767</v>
      </c>
    </row>
    <row r="5" spans="1:13" ht="12.75" customHeight="1">
      <c r="B5" s="181" t="s">
        <v>768</v>
      </c>
      <c r="C5" s="94"/>
      <c r="D5" s="94"/>
      <c r="E5" s="94"/>
      <c r="F5" s="94"/>
      <c r="G5" s="94"/>
      <c r="H5" s="94"/>
      <c r="I5" s="94"/>
      <c r="J5" s="94"/>
      <c r="K5" s="94"/>
      <c r="L5" s="94"/>
    </row>
    <row r="6" spans="1:13" ht="12.75" customHeight="1">
      <c r="B6" s="93" t="s">
        <v>769</v>
      </c>
      <c r="C6" s="94" t="s">
        <v>560</v>
      </c>
      <c r="D6" s="94">
        <v>1</v>
      </c>
      <c r="E6" s="94">
        <v>1</v>
      </c>
      <c r="F6" s="94">
        <v>6.95</v>
      </c>
      <c r="G6" s="94"/>
      <c r="H6" s="94">
        <f t="shared" ref="H6:H12" si="0">4.35-0.7</f>
        <v>3.6499999999999995</v>
      </c>
      <c r="I6" s="94"/>
      <c r="J6" s="94"/>
      <c r="K6" s="94">
        <f>PRODUCT(D6:H6)</f>
        <v>25.367499999999996</v>
      </c>
      <c r="L6" s="94"/>
    </row>
    <row r="7" spans="1:13" ht="12.75" customHeight="1">
      <c r="B7" s="93" t="s">
        <v>766</v>
      </c>
      <c r="C7" s="94" t="s">
        <v>560</v>
      </c>
      <c r="D7" s="94">
        <v>1</v>
      </c>
      <c r="E7" s="94">
        <v>2</v>
      </c>
      <c r="F7" s="94">
        <v>3</v>
      </c>
      <c r="G7" s="94"/>
      <c r="H7" s="94">
        <f t="shared" si="0"/>
        <v>3.6499999999999995</v>
      </c>
      <c r="I7" s="94"/>
      <c r="J7" s="94"/>
      <c r="K7" s="94"/>
      <c r="L7" s="94">
        <f t="shared" ref="L7:L16" si="1">PRODUCT(D7:H7)</f>
        <v>21.9</v>
      </c>
    </row>
    <row r="8" spans="1:13" ht="12.75" customHeight="1">
      <c r="B8" s="93" t="s">
        <v>766</v>
      </c>
      <c r="C8" s="94" t="s">
        <v>560</v>
      </c>
      <c r="D8" s="94">
        <v>1</v>
      </c>
      <c r="E8" s="94">
        <v>3</v>
      </c>
      <c r="F8" s="94">
        <v>6.95</v>
      </c>
      <c r="G8" s="94"/>
      <c r="H8" s="94">
        <f t="shared" si="0"/>
        <v>3.6499999999999995</v>
      </c>
      <c r="I8" s="94"/>
      <c r="J8" s="94"/>
      <c r="K8" s="94"/>
      <c r="L8" s="94">
        <f t="shared" si="1"/>
        <v>76.102499999999992</v>
      </c>
    </row>
    <row r="9" spans="1:13" ht="12.75" customHeight="1">
      <c r="B9" s="93" t="s">
        <v>766</v>
      </c>
      <c r="C9" s="94" t="s">
        <v>560</v>
      </c>
      <c r="D9" s="94">
        <v>1</v>
      </c>
      <c r="E9" s="94">
        <v>2</v>
      </c>
      <c r="F9" s="94">
        <v>1.1000000000000001</v>
      </c>
      <c r="G9" s="94"/>
      <c r="H9" s="94">
        <f t="shared" si="0"/>
        <v>3.6499999999999995</v>
      </c>
      <c r="I9" s="94"/>
      <c r="J9" s="94"/>
      <c r="K9" s="94"/>
      <c r="L9" s="94">
        <f t="shared" si="1"/>
        <v>8.0299999999999994</v>
      </c>
    </row>
    <row r="10" spans="1:13" ht="12.75" customHeight="1">
      <c r="B10" s="93" t="s">
        <v>766</v>
      </c>
      <c r="C10" s="94" t="s">
        <v>560</v>
      </c>
      <c r="D10" s="94">
        <v>1</v>
      </c>
      <c r="E10" s="94">
        <v>2</v>
      </c>
      <c r="F10" s="94">
        <v>2.2000000000000002</v>
      </c>
      <c r="G10" s="94"/>
      <c r="H10" s="94">
        <f t="shared" si="0"/>
        <v>3.6499999999999995</v>
      </c>
      <c r="I10" s="94"/>
      <c r="J10" s="94"/>
      <c r="K10" s="94"/>
      <c r="L10" s="94">
        <f t="shared" si="1"/>
        <v>16.059999999999999</v>
      </c>
    </row>
    <row r="11" spans="1:13" ht="12.75" customHeight="1">
      <c r="B11" s="93" t="s">
        <v>766</v>
      </c>
      <c r="C11" s="94" t="s">
        <v>560</v>
      </c>
      <c r="D11" s="94">
        <v>1</v>
      </c>
      <c r="E11" s="94">
        <v>1</v>
      </c>
      <c r="F11" s="94">
        <v>1.26</v>
      </c>
      <c r="G11" s="94"/>
      <c r="H11" s="94">
        <f t="shared" si="0"/>
        <v>3.6499999999999995</v>
      </c>
      <c r="I11" s="94"/>
      <c r="J11" s="94"/>
      <c r="K11" s="94"/>
      <c r="L11" s="94">
        <f t="shared" si="1"/>
        <v>4.5989999999999993</v>
      </c>
    </row>
    <row r="12" spans="1:13" ht="12.75" customHeight="1">
      <c r="B12" s="93" t="s">
        <v>766</v>
      </c>
      <c r="C12" s="94" t="s">
        <v>560</v>
      </c>
      <c r="D12" s="94">
        <v>1</v>
      </c>
      <c r="E12" s="94">
        <v>1</v>
      </c>
      <c r="F12" s="94">
        <v>2.5</v>
      </c>
      <c r="G12" s="94"/>
      <c r="H12" s="94">
        <f t="shared" si="0"/>
        <v>3.6499999999999995</v>
      </c>
      <c r="I12" s="94"/>
      <c r="J12" s="94"/>
      <c r="K12" s="94"/>
      <c r="L12" s="94">
        <f t="shared" si="1"/>
        <v>9.1249999999999982</v>
      </c>
    </row>
    <row r="13" spans="1:13" ht="12.75" customHeight="1">
      <c r="B13" s="93" t="s">
        <v>766</v>
      </c>
      <c r="C13" s="94" t="s">
        <v>560</v>
      </c>
      <c r="D13" s="94">
        <v>1</v>
      </c>
      <c r="E13" s="94">
        <v>1</v>
      </c>
      <c r="F13" s="94">
        <v>5.72</v>
      </c>
      <c r="G13" s="94"/>
      <c r="H13" s="94">
        <v>4.3499999999999996</v>
      </c>
      <c r="I13" s="94"/>
      <c r="J13" s="94"/>
      <c r="K13" s="94"/>
      <c r="L13" s="94">
        <f t="shared" si="1"/>
        <v>24.881999999999998</v>
      </c>
    </row>
    <row r="14" spans="1:13" ht="12.75" customHeight="1">
      <c r="B14" s="93" t="s">
        <v>770</v>
      </c>
      <c r="C14" s="94" t="s">
        <v>560</v>
      </c>
      <c r="D14" s="94">
        <v>-1</v>
      </c>
      <c r="E14" s="94">
        <f>'D&amp;W'!I5</f>
        <v>2</v>
      </c>
      <c r="F14" s="94">
        <f>'D&amp;W'!BG7/1000</f>
        <v>1</v>
      </c>
      <c r="G14" s="94"/>
      <c r="H14" s="94">
        <f>'D&amp;W'!BH7/1000</f>
        <v>2.2000000000000002</v>
      </c>
      <c r="I14" s="94"/>
      <c r="J14" s="94"/>
      <c r="K14" s="94"/>
      <c r="L14" s="94">
        <f t="shared" si="1"/>
        <v>-4.4000000000000004</v>
      </c>
    </row>
    <row r="15" spans="1:13" ht="12.75" customHeight="1">
      <c r="B15" s="93" t="s">
        <v>771</v>
      </c>
      <c r="C15" s="94" t="s">
        <v>560</v>
      </c>
      <c r="D15" s="94">
        <v>-1</v>
      </c>
      <c r="E15" s="94">
        <f>'D&amp;W'!O5</f>
        <v>2</v>
      </c>
      <c r="F15" s="94">
        <v>1.1000000000000001</v>
      </c>
      <c r="G15" s="94"/>
      <c r="H15" s="94">
        <v>2.2000000000000002</v>
      </c>
      <c r="I15" s="94"/>
      <c r="J15" s="94"/>
      <c r="K15" s="94"/>
      <c r="L15" s="94">
        <f t="shared" si="1"/>
        <v>-4.8400000000000007</v>
      </c>
    </row>
    <row r="16" spans="1:13" ht="12.75" customHeight="1">
      <c r="B16" s="93" t="s">
        <v>772</v>
      </c>
      <c r="C16" s="94" t="s">
        <v>560</v>
      </c>
      <c r="D16" s="94">
        <v>-1</v>
      </c>
      <c r="E16" s="94">
        <v>1</v>
      </c>
      <c r="F16" s="94">
        <f>'D&amp;W'!BG5/1000</f>
        <v>1.5</v>
      </c>
      <c r="G16" s="94"/>
      <c r="H16" s="94">
        <v>2.2000000000000002</v>
      </c>
      <c r="I16" s="94"/>
      <c r="J16" s="94"/>
      <c r="K16" s="94"/>
      <c r="L16" s="94">
        <f t="shared" si="1"/>
        <v>-3.3000000000000003</v>
      </c>
    </row>
    <row r="17" spans="2:12" ht="12.75" customHeight="1">
      <c r="B17" s="93"/>
      <c r="C17" s="94"/>
      <c r="D17" s="94"/>
      <c r="E17" s="94"/>
      <c r="F17" s="94"/>
      <c r="G17" s="94"/>
      <c r="H17" s="94"/>
      <c r="I17" s="94"/>
      <c r="J17" s="94"/>
      <c r="K17" s="94"/>
      <c r="L17" s="94"/>
    </row>
    <row r="18" spans="2:12" ht="12.75" customHeight="1">
      <c r="B18" s="181" t="s">
        <v>759</v>
      </c>
      <c r="C18" s="94"/>
      <c r="D18" s="94"/>
      <c r="E18" s="94"/>
      <c r="F18" s="94"/>
      <c r="G18" s="94"/>
      <c r="H18" s="94"/>
      <c r="I18" s="94"/>
      <c r="J18" s="94"/>
      <c r="K18" s="94"/>
      <c r="L18" s="94"/>
    </row>
    <row r="19" spans="2:12" ht="12.75" customHeight="1">
      <c r="B19" s="93" t="s">
        <v>769</v>
      </c>
      <c r="C19" s="94" t="s">
        <v>560</v>
      </c>
      <c r="D19" s="94">
        <v>1</v>
      </c>
      <c r="E19" s="94">
        <v>1</v>
      </c>
      <c r="F19" s="94">
        <v>1.1499999999999999</v>
      </c>
      <c r="G19" s="94"/>
      <c r="H19" s="94">
        <v>4.3499999999999996</v>
      </c>
      <c r="I19" s="94"/>
      <c r="J19" s="94"/>
      <c r="K19" s="94">
        <f>PRODUCT(D19:H19)</f>
        <v>5.0024999999999995</v>
      </c>
      <c r="L19" s="94"/>
    </row>
    <row r="20" spans="2:12" ht="12.75" customHeight="1">
      <c r="B20" s="93" t="s">
        <v>766</v>
      </c>
      <c r="C20" s="94" t="s">
        <v>560</v>
      </c>
      <c r="D20" s="94">
        <v>1</v>
      </c>
      <c r="E20" s="94">
        <v>1</v>
      </c>
      <c r="F20" s="94">
        <v>4.84</v>
      </c>
      <c r="G20" s="94"/>
      <c r="H20" s="94">
        <f t="shared" ref="H20:H23" si="2">4.65-0.7</f>
        <v>3.95</v>
      </c>
      <c r="I20" s="94"/>
      <c r="J20" s="94"/>
      <c r="K20" s="94"/>
      <c r="L20" s="94">
        <f t="shared" ref="L20:L69" si="3">PRODUCT(D20:H20)</f>
        <v>19.117999999999999</v>
      </c>
    </row>
    <row r="21" spans="2:12" ht="12.75" customHeight="1">
      <c r="B21" s="93" t="s">
        <v>766</v>
      </c>
      <c r="C21" s="94" t="s">
        <v>560</v>
      </c>
      <c r="D21" s="94">
        <v>1</v>
      </c>
      <c r="E21" s="94">
        <v>1</v>
      </c>
      <c r="F21" s="94">
        <v>0.75</v>
      </c>
      <c r="G21" s="94"/>
      <c r="H21" s="94">
        <f t="shared" si="2"/>
        <v>3.95</v>
      </c>
      <c r="I21" s="94"/>
      <c r="J21" s="94"/>
      <c r="K21" s="94"/>
      <c r="L21" s="94">
        <f t="shared" si="3"/>
        <v>2.9625000000000004</v>
      </c>
    </row>
    <row r="22" spans="2:12" ht="12.75" customHeight="1">
      <c r="B22" s="93" t="s">
        <v>766</v>
      </c>
      <c r="C22" s="94" t="s">
        <v>560</v>
      </c>
      <c r="D22" s="94">
        <v>1</v>
      </c>
      <c r="E22" s="94">
        <v>1</v>
      </c>
      <c r="F22" s="94">
        <v>0.63</v>
      </c>
      <c r="G22" s="94"/>
      <c r="H22" s="94">
        <f t="shared" si="2"/>
        <v>3.95</v>
      </c>
      <c r="I22" s="94"/>
      <c r="J22" s="94"/>
      <c r="K22" s="94"/>
      <c r="L22" s="94">
        <f t="shared" si="3"/>
        <v>2.4885000000000002</v>
      </c>
    </row>
    <row r="23" spans="2:12" ht="12.75" customHeight="1">
      <c r="B23" s="93" t="s">
        <v>766</v>
      </c>
      <c r="C23" s="94" t="s">
        <v>560</v>
      </c>
      <c r="D23" s="94">
        <v>1</v>
      </c>
      <c r="E23" s="94">
        <v>1</v>
      </c>
      <c r="F23" s="94">
        <v>10.25</v>
      </c>
      <c r="G23" s="94"/>
      <c r="H23" s="94">
        <f t="shared" si="2"/>
        <v>3.95</v>
      </c>
      <c r="I23" s="94"/>
      <c r="J23" s="94"/>
      <c r="K23" s="94"/>
      <c r="L23" s="94">
        <f t="shared" si="3"/>
        <v>40.487500000000004</v>
      </c>
    </row>
    <row r="24" spans="2:12" ht="12.75" customHeight="1">
      <c r="B24" s="93" t="s">
        <v>766</v>
      </c>
      <c r="C24" s="94" t="s">
        <v>560</v>
      </c>
      <c r="D24" s="94">
        <v>1</v>
      </c>
      <c r="E24" s="94">
        <v>1</v>
      </c>
      <c r="F24" s="94">
        <v>10.76</v>
      </c>
      <c r="G24" s="94"/>
      <c r="H24" s="94">
        <f t="shared" ref="H24:H33" si="4">4.65-0.3</f>
        <v>4.3500000000000005</v>
      </c>
      <c r="I24" s="94"/>
      <c r="J24" s="94"/>
      <c r="K24" s="94"/>
      <c r="L24" s="94">
        <f t="shared" si="3"/>
        <v>46.806000000000004</v>
      </c>
    </row>
    <row r="25" spans="2:12" ht="12.75" customHeight="1">
      <c r="B25" s="93" t="s">
        <v>766</v>
      </c>
      <c r="C25" s="94" t="s">
        <v>560</v>
      </c>
      <c r="D25" s="94">
        <v>1</v>
      </c>
      <c r="E25" s="94">
        <v>2</v>
      </c>
      <c r="F25" s="94">
        <v>0.37</v>
      </c>
      <c r="G25" s="94"/>
      <c r="H25" s="94">
        <f t="shared" si="4"/>
        <v>4.3500000000000005</v>
      </c>
      <c r="I25" s="94"/>
      <c r="J25" s="94"/>
      <c r="K25" s="94"/>
      <c r="L25" s="94">
        <f t="shared" si="3"/>
        <v>3.2190000000000003</v>
      </c>
    </row>
    <row r="26" spans="2:12" ht="12.75" customHeight="1">
      <c r="B26" s="93" t="s">
        <v>766</v>
      </c>
      <c r="C26" s="94" t="s">
        <v>560</v>
      </c>
      <c r="D26" s="94">
        <v>1</v>
      </c>
      <c r="E26" s="94">
        <v>1</v>
      </c>
      <c r="F26" s="94">
        <v>0.5</v>
      </c>
      <c r="G26" s="94"/>
      <c r="H26" s="94">
        <f t="shared" si="4"/>
        <v>4.3500000000000005</v>
      </c>
      <c r="I26" s="94"/>
      <c r="J26" s="94"/>
      <c r="K26" s="94"/>
      <c r="L26" s="94">
        <f t="shared" si="3"/>
        <v>2.1750000000000003</v>
      </c>
    </row>
    <row r="27" spans="2:12" ht="12.75" customHeight="1">
      <c r="B27" s="93" t="s">
        <v>766</v>
      </c>
      <c r="C27" s="94" t="s">
        <v>560</v>
      </c>
      <c r="D27" s="94">
        <v>1</v>
      </c>
      <c r="E27" s="94">
        <v>1</v>
      </c>
      <c r="F27" s="94">
        <v>6.8</v>
      </c>
      <c r="G27" s="94"/>
      <c r="H27" s="94">
        <f t="shared" si="4"/>
        <v>4.3500000000000005</v>
      </c>
      <c r="I27" s="94"/>
      <c r="J27" s="94"/>
      <c r="K27" s="94"/>
      <c r="L27" s="94">
        <f t="shared" si="3"/>
        <v>29.580000000000002</v>
      </c>
    </row>
    <row r="28" spans="2:12" ht="12.75" customHeight="1">
      <c r="B28" s="93" t="s">
        <v>766</v>
      </c>
      <c r="C28" s="94" t="s">
        <v>560</v>
      </c>
      <c r="D28" s="94">
        <v>1</v>
      </c>
      <c r="E28" s="94">
        <v>2</v>
      </c>
      <c r="F28" s="94">
        <v>3.6</v>
      </c>
      <c r="G28" s="94"/>
      <c r="H28" s="94">
        <f t="shared" si="4"/>
        <v>4.3500000000000005</v>
      </c>
      <c r="I28" s="94"/>
      <c r="J28" s="94"/>
      <c r="K28" s="94"/>
      <c r="L28" s="94">
        <f t="shared" si="3"/>
        <v>31.320000000000004</v>
      </c>
    </row>
    <row r="29" spans="2:12" ht="12.75" customHeight="1">
      <c r="B29" s="93" t="s">
        <v>766</v>
      </c>
      <c r="C29" s="94" t="s">
        <v>560</v>
      </c>
      <c r="D29" s="94">
        <v>1</v>
      </c>
      <c r="E29" s="94">
        <v>1</v>
      </c>
      <c r="F29" s="94">
        <v>5.47</v>
      </c>
      <c r="G29" s="94"/>
      <c r="H29" s="94">
        <f t="shared" si="4"/>
        <v>4.3500000000000005</v>
      </c>
      <c r="I29" s="94"/>
      <c r="J29" s="94"/>
      <c r="K29" s="94"/>
      <c r="L29" s="94">
        <f t="shared" si="3"/>
        <v>23.794500000000003</v>
      </c>
    </row>
    <row r="30" spans="2:12" ht="12.75" customHeight="1">
      <c r="B30" s="93" t="s">
        <v>766</v>
      </c>
      <c r="C30" s="94" t="s">
        <v>560</v>
      </c>
      <c r="D30" s="94">
        <v>1</v>
      </c>
      <c r="E30" s="94">
        <v>1</v>
      </c>
      <c r="F30" s="94">
        <v>7.3</v>
      </c>
      <c r="G30" s="94"/>
      <c r="H30" s="94">
        <f t="shared" si="4"/>
        <v>4.3500000000000005</v>
      </c>
      <c r="I30" s="94"/>
      <c r="J30" s="94"/>
      <c r="K30" s="94"/>
      <c r="L30" s="94">
        <f t="shared" si="3"/>
        <v>31.755000000000003</v>
      </c>
    </row>
    <row r="31" spans="2:12" ht="12.75" customHeight="1">
      <c r="B31" s="93" t="s">
        <v>766</v>
      </c>
      <c r="C31" s="94" t="s">
        <v>560</v>
      </c>
      <c r="D31" s="94">
        <v>1</v>
      </c>
      <c r="E31" s="94">
        <v>3</v>
      </c>
      <c r="F31" s="94">
        <v>5.49</v>
      </c>
      <c r="G31" s="94"/>
      <c r="H31" s="94">
        <f t="shared" si="4"/>
        <v>4.3500000000000005</v>
      </c>
      <c r="I31" s="94"/>
      <c r="J31" s="94"/>
      <c r="K31" s="94"/>
      <c r="L31" s="94">
        <f t="shared" si="3"/>
        <v>71.644500000000008</v>
      </c>
    </row>
    <row r="32" spans="2:12" ht="12.75" customHeight="1">
      <c r="B32" s="93" t="s">
        <v>766</v>
      </c>
      <c r="C32" s="94" t="s">
        <v>560</v>
      </c>
      <c r="D32" s="94">
        <v>1</v>
      </c>
      <c r="E32" s="94">
        <v>1</v>
      </c>
      <c r="F32" s="94">
        <v>5.19</v>
      </c>
      <c r="G32" s="94"/>
      <c r="H32" s="94">
        <f t="shared" si="4"/>
        <v>4.3500000000000005</v>
      </c>
      <c r="I32" s="94"/>
      <c r="J32" s="94"/>
      <c r="K32" s="94"/>
      <c r="L32" s="94">
        <f t="shared" si="3"/>
        <v>22.576500000000003</v>
      </c>
    </row>
    <row r="33" spans="2:12" ht="12.75" customHeight="1">
      <c r="B33" s="93" t="s">
        <v>766</v>
      </c>
      <c r="C33" s="94" t="s">
        <v>560</v>
      </c>
      <c r="D33" s="94">
        <v>1</v>
      </c>
      <c r="E33" s="94">
        <v>1</v>
      </c>
      <c r="F33" s="94">
        <v>4.53</v>
      </c>
      <c r="G33" s="94"/>
      <c r="H33" s="94">
        <f t="shared" si="4"/>
        <v>4.3500000000000005</v>
      </c>
      <c r="I33" s="94"/>
      <c r="J33" s="94"/>
      <c r="K33" s="94"/>
      <c r="L33" s="94">
        <f t="shared" si="3"/>
        <v>19.705500000000004</v>
      </c>
    </row>
    <row r="34" spans="2:12" ht="12.75" customHeight="1">
      <c r="B34" s="93" t="s">
        <v>766</v>
      </c>
      <c r="C34" s="94" t="s">
        <v>560</v>
      </c>
      <c r="D34" s="94">
        <v>1</v>
      </c>
      <c r="E34" s="94">
        <v>1</v>
      </c>
      <c r="F34" s="94">
        <v>1.02</v>
      </c>
      <c r="G34" s="94"/>
      <c r="H34" s="94">
        <v>4.3499999999999996</v>
      </c>
      <c r="I34" s="94"/>
      <c r="J34" s="94"/>
      <c r="K34" s="94"/>
      <c r="L34" s="94">
        <f t="shared" si="3"/>
        <v>4.4369999999999994</v>
      </c>
    </row>
    <row r="35" spans="2:12" ht="12.75" customHeight="1">
      <c r="B35" s="93" t="s">
        <v>766</v>
      </c>
      <c r="C35" s="94" t="s">
        <v>560</v>
      </c>
      <c r="D35" s="94">
        <v>1</v>
      </c>
      <c r="E35" s="94">
        <v>1</v>
      </c>
      <c r="F35" s="94">
        <v>3</v>
      </c>
      <c r="G35" s="94"/>
      <c r="H35" s="94">
        <v>4.3499999999999996</v>
      </c>
      <c r="I35" s="94"/>
      <c r="J35" s="94"/>
      <c r="K35" s="94"/>
      <c r="L35" s="94">
        <f t="shared" si="3"/>
        <v>13.049999999999999</v>
      </c>
    </row>
    <row r="36" spans="2:12" ht="12.75" customHeight="1">
      <c r="B36" s="93" t="s">
        <v>766</v>
      </c>
      <c r="C36" s="94" t="s">
        <v>560</v>
      </c>
      <c r="D36" s="94">
        <v>1</v>
      </c>
      <c r="E36" s="94">
        <v>1</v>
      </c>
      <c r="F36" s="94">
        <v>12</v>
      </c>
      <c r="G36" s="94"/>
      <c r="H36" s="94">
        <v>4.3499999999999996</v>
      </c>
      <c r="I36" s="94"/>
      <c r="J36" s="94"/>
      <c r="K36" s="94"/>
      <c r="L36" s="94">
        <f t="shared" si="3"/>
        <v>52.199999999999996</v>
      </c>
    </row>
    <row r="37" spans="2:12" ht="12.75" customHeight="1">
      <c r="B37" s="93" t="s">
        <v>766</v>
      </c>
      <c r="C37" s="94" t="s">
        <v>560</v>
      </c>
      <c r="D37" s="94">
        <v>1</v>
      </c>
      <c r="E37" s="94">
        <v>1</v>
      </c>
      <c r="F37" s="94">
        <v>1.2</v>
      </c>
      <c r="G37" s="94"/>
      <c r="H37" s="94">
        <v>4.3499999999999996</v>
      </c>
      <c r="I37" s="94"/>
      <c r="J37" s="94"/>
      <c r="K37" s="94"/>
      <c r="L37" s="94">
        <f t="shared" si="3"/>
        <v>5.22</v>
      </c>
    </row>
    <row r="38" spans="2:12" ht="12.75" customHeight="1">
      <c r="B38" s="93" t="s">
        <v>766</v>
      </c>
      <c r="C38" s="94" t="s">
        <v>560</v>
      </c>
      <c r="D38" s="94">
        <v>1</v>
      </c>
      <c r="E38" s="94">
        <v>1</v>
      </c>
      <c r="F38" s="94">
        <v>2.2000000000000002</v>
      </c>
      <c r="G38" s="94"/>
      <c r="H38" s="94">
        <v>4.3499999999999996</v>
      </c>
      <c r="I38" s="94"/>
      <c r="J38" s="94"/>
      <c r="K38" s="94"/>
      <c r="L38" s="94">
        <f t="shared" si="3"/>
        <v>9.57</v>
      </c>
    </row>
    <row r="39" spans="2:12" ht="12.75" customHeight="1">
      <c r="B39" s="93" t="s">
        <v>766</v>
      </c>
      <c r="C39" s="94" t="s">
        <v>560</v>
      </c>
      <c r="D39" s="94">
        <v>1</v>
      </c>
      <c r="E39" s="94">
        <v>1</v>
      </c>
      <c r="F39" s="94">
        <v>1.3</v>
      </c>
      <c r="G39" s="94"/>
      <c r="H39" s="94">
        <v>4.3499999999999996</v>
      </c>
      <c r="I39" s="94"/>
      <c r="J39" s="94"/>
      <c r="K39" s="94"/>
      <c r="L39" s="94">
        <f t="shared" si="3"/>
        <v>5.6549999999999994</v>
      </c>
    </row>
    <row r="40" spans="2:12" ht="12.75" customHeight="1">
      <c r="B40" s="93" t="s">
        <v>766</v>
      </c>
      <c r="C40" s="94" t="s">
        <v>560</v>
      </c>
      <c r="D40" s="94">
        <v>1</v>
      </c>
      <c r="E40" s="94">
        <v>1</v>
      </c>
      <c r="F40" s="94">
        <v>2</v>
      </c>
      <c r="G40" s="94"/>
      <c r="H40" s="94">
        <v>4.3499999999999996</v>
      </c>
      <c r="I40" s="94"/>
      <c r="J40" s="94"/>
      <c r="K40" s="94"/>
      <c r="L40" s="94">
        <f t="shared" si="3"/>
        <v>8.6999999999999993</v>
      </c>
    </row>
    <row r="41" spans="2:12" ht="12.75" customHeight="1">
      <c r="B41" s="93" t="s">
        <v>766</v>
      </c>
      <c r="C41" s="94" t="s">
        <v>560</v>
      </c>
      <c r="D41" s="94">
        <v>1</v>
      </c>
      <c r="E41" s="94">
        <v>1</v>
      </c>
      <c r="F41" s="94">
        <v>2.7</v>
      </c>
      <c r="G41" s="94"/>
      <c r="H41" s="94">
        <v>4.3499999999999996</v>
      </c>
      <c r="I41" s="94"/>
      <c r="J41" s="94"/>
      <c r="K41" s="94"/>
      <c r="L41" s="94">
        <f t="shared" si="3"/>
        <v>11.744999999999999</v>
      </c>
    </row>
    <row r="42" spans="2:12" ht="12.75" customHeight="1">
      <c r="B42" s="93" t="s">
        <v>766</v>
      </c>
      <c r="C42" s="94" t="s">
        <v>560</v>
      </c>
      <c r="D42" s="94">
        <v>1</v>
      </c>
      <c r="E42" s="94">
        <v>1</v>
      </c>
      <c r="F42" s="94">
        <v>2.5</v>
      </c>
      <c r="G42" s="94"/>
      <c r="H42" s="94">
        <v>4.3499999999999996</v>
      </c>
      <c r="I42" s="94"/>
      <c r="J42" s="94"/>
      <c r="K42" s="94"/>
      <c r="L42" s="94">
        <f t="shared" si="3"/>
        <v>10.875</v>
      </c>
    </row>
    <row r="43" spans="2:12" ht="12.75" customHeight="1">
      <c r="B43" s="93" t="s">
        <v>766</v>
      </c>
      <c r="C43" s="94" t="s">
        <v>560</v>
      </c>
      <c r="D43" s="94">
        <v>1</v>
      </c>
      <c r="E43" s="94">
        <v>1</v>
      </c>
      <c r="F43" s="94">
        <v>1.96</v>
      </c>
      <c r="G43" s="94"/>
      <c r="H43" s="94">
        <v>4.3499999999999996</v>
      </c>
      <c r="I43" s="94"/>
      <c r="J43" s="94"/>
      <c r="K43" s="94"/>
      <c r="L43" s="94">
        <f t="shared" si="3"/>
        <v>8.5259999999999998</v>
      </c>
    </row>
    <row r="44" spans="2:12" ht="12.75" customHeight="1">
      <c r="B44" s="93" t="s">
        <v>766</v>
      </c>
      <c r="C44" s="94" t="s">
        <v>560</v>
      </c>
      <c r="D44" s="94">
        <v>1</v>
      </c>
      <c r="E44" s="94">
        <v>1</v>
      </c>
      <c r="F44" s="94">
        <v>0.8</v>
      </c>
      <c r="G44" s="94"/>
      <c r="H44" s="94">
        <v>4.3499999999999996</v>
      </c>
      <c r="I44" s="94"/>
      <c r="J44" s="94"/>
      <c r="K44" s="94"/>
      <c r="L44" s="94">
        <f t="shared" si="3"/>
        <v>3.48</v>
      </c>
    </row>
    <row r="45" spans="2:12" ht="12.75" customHeight="1">
      <c r="B45" s="93" t="s">
        <v>766</v>
      </c>
      <c r="C45" s="94" t="s">
        <v>560</v>
      </c>
      <c r="D45" s="94">
        <v>1</v>
      </c>
      <c r="E45" s="94">
        <v>1</v>
      </c>
      <c r="F45" s="94">
        <v>2.2000000000000002</v>
      </c>
      <c r="G45" s="94"/>
      <c r="H45" s="94">
        <v>4.3499999999999996</v>
      </c>
      <c r="I45" s="94"/>
      <c r="J45" s="94"/>
      <c r="K45" s="94"/>
      <c r="L45" s="94">
        <f t="shared" si="3"/>
        <v>9.57</v>
      </c>
    </row>
    <row r="46" spans="2:12" ht="12.75" customHeight="1">
      <c r="B46" s="93" t="s">
        <v>766</v>
      </c>
      <c r="C46" s="94" t="s">
        <v>560</v>
      </c>
      <c r="D46" s="94">
        <v>1</v>
      </c>
      <c r="E46" s="94">
        <v>1</v>
      </c>
      <c r="F46" s="94">
        <v>1</v>
      </c>
      <c r="G46" s="94"/>
      <c r="H46" s="94">
        <v>4.3499999999999996</v>
      </c>
      <c r="I46" s="94"/>
      <c r="J46" s="94"/>
      <c r="K46" s="94"/>
      <c r="L46" s="94">
        <f t="shared" si="3"/>
        <v>4.3499999999999996</v>
      </c>
    </row>
    <row r="47" spans="2:12" ht="12.75" customHeight="1">
      <c r="B47" s="93" t="s">
        <v>766</v>
      </c>
      <c r="C47" s="94" t="s">
        <v>560</v>
      </c>
      <c r="D47" s="94">
        <v>1</v>
      </c>
      <c r="E47" s="94">
        <v>1</v>
      </c>
      <c r="F47" s="94">
        <v>6.69</v>
      </c>
      <c r="G47" s="94"/>
      <c r="H47" s="94">
        <v>4.3499999999999996</v>
      </c>
      <c r="I47" s="94"/>
      <c r="J47" s="94"/>
      <c r="K47" s="94"/>
      <c r="L47" s="94">
        <f t="shared" si="3"/>
        <v>29.101499999999998</v>
      </c>
    </row>
    <row r="48" spans="2:12" ht="12.75" customHeight="1">
      <c r="B48" s="93" t="s">
        <v>766</v>
      </c>
      <c r="C48" s="94" t="s">
        <v>560</v>
      </c>
      <c r="D48" s="94">
        <v>1</v>
      </c>
      <c r="E48" s="94">
        <v>2</v>
      </c>
      <c r="F48" s="94">
        <v>2</v>
      </c>
      <c r="G48" s="94"/>
      <c r="H48" s="94">
        <v>4.3499999999999996</v>
      </c>
      <c r="I48" s="94"/>
      <c r="J48" s="94"/>
      <c r="K48" s="94"/>
      <c r="L48" s="94">
        <f t="shared" si="3"/>
        <v>17.399999999999999</v>
      </c>
    </row>
    <row r="49" spans="2:12" ht="12.75" customHeight="1">
      <c r="B49" s="93" t="s">
        <v>766</v>
      </c>
      <c r="C49" s="94" t="s">
        <v>560</v>
      </c>
      <c r="D49" s="94">
        <v>1</v>
      </c>
      <c r="E49" s="94">
        <v>1</v>
      </c>
      <c r="F49" s="94">
        <v>1.2</v>
      </c>
      <c r="G49" s="94"/>
      <c r="H49" s="94">
        <v>4.3499999999999996</v>
      </c>
      <c r="I49" s="94"/>
      <c r="J49" s="94"/>
      <c r="K49" s="94"/>
      <c r="L49" s="94">
        <f t="shared" si="3"/>
        <v>5.22</v>
      </c>
    </row>
    <row r="50" spans="2:12" ht="12.75" customHeight="1">
      <c r="B50" s="93" t="s">
        <v>766</v>
      </c>
      <c r="C50" s="94" t="s">
        <v>560</v>
      </c>
      <c r="D50" s="94">
        <v>1</v>
      </c>
      <c r="E50" s="94">
        <v>1</v>
      </c>
      <c r="F50" s="94">
        <v>12.52</v>
      </c>
      <c r="G50" s="94"/>
      <c r="H50" s="94">
        <v>4.3499999999999996</v>
      </c>
      <c r="I50" s="94"/>
      <c r="J50" s="94"/>
      <c r="K50" s="94"/>
      <c r="L50" s="94">
        <f t="shared" si="3"/>
        <v>54.461999999999996</v>
      </c>
    </row>
    <row r="51" spans="2:12" ht="12.75" customHeight="1">
      <c r="B51" s="93" t="s">
        <v>766</v>
      </c>
      <c r="C51" s="94" t="s">
        <v>560</v>
      </c>
      <c r="D51" s="94">
        <v>1</v>
      </c>
      <c r="E51" s="94">
        <v>1</v>
      </c>
      <c r="F51" s="94">
        <v>1.51</v>
      </c>
      <c r="G51" s="94"/>
      <c r="H51" s="94">
        <v>4.3499999999999996</v>
      </c>
      <c r="I51" s="94"/>
      <c r="J51" s="94"/>
      <c r="K51" s="94"/>
      <c r="L51" s="94">
        <f t="shared" si="3"/>
        <v>6.5684999999999993</v>
      </c>
    </row>
    <row r="52" spans="2:12" ht="12.75" customHeight="1">
      <c r="B52" s="93" t="s">
        <v>766</v>
      </c>
      <c r="C52" s="94" t="s">
        <v>560</v>
      </c>
      <c r="D52" s="94">
        <v>1</v>
      </c>
      <c r="E52" s="94">
        <v>1</v>
      </c>
      <c r="F52" s="94">
        <v>2.7</v>
      </c>
      <c r="G52" s="94"/>
      <c r="H52" s="94">
        <v>4.3499999999999996</v>
      </c>
      <c r="I52" s="94"/>
      <c r="J52" s="94"/>
      <c r="K52" s="94"/>
      <c r="L52" s="94">
        <f t="shared" si="3"/>
        <v>11.744999999999999</v>
      </c>
    </row>
    <row r="53" spans="2:12" ht="12.75" customHeight="1">
      <c r="B53" s="93" t="s">
        <v>766</v>
      </c>
      <c r="C53" s="94" t="s">
        <v>560</v>
      </c>
      <c r="D53" s="94">
        <v>1</v>
      </c>
      <c r="E53" s="94">
        <v>1</v>
      </c>
      <c r="F53" s="94">
        <v>0.72</v>
      </c>
      <c r="G53" s="94"/>
      <c r="H53" s="94">
        <v>4.3499999999999996</v>
      </c>
      <c r="I53" s="94"/>
      <c r="J53" s="94"/>
      <c r="K53" s="94"/>
      <c r="L53" s="94">
        <f t="shared" si="3"/>
        <v>3.1319999999999997</v>
      </c>
    </row>
    <row r="54" spans="2:12" ht="12.75" customHeight="1">
      <c r="B54" s="93" t="s">
        <v>766</v>
      </c>
      <c r="C54" s="94" t="s">
        <v>560</v>
      </c>
      <c r="D54" s="94">
        <v>1</v>
      </c>
      <c r="E54" s="94">
        <v>1</v>
      </c>
      <c r="F54" s="94">
        <v>1.8</v>
      </c>
      <c r="G54" s="94"/>
      <c r="H54" s="94">
        <v>4.3499999999999996</v>
      </c>
      <c r="I54" s="94"/>
      <c r="J54" s="94"/>
      <c r="K54" s="94"/>
      <c r="L54" s="94">
        <f t="shared" si="3"/>
        <v>7.8299999999999992</v>
      </c>
    </row>
    <row r="55" spans="2:12" ht="12.75" customHeight="1">
      <c r="B55" s="93" t="s">
        <v>766</v>
      </c>
      <c r="C55" s="94" t="s">
        <v>560</v>
      </c>
      <c r="D55" s="94">
        <v>1</v>
      </c>
      <c r="E55" s="94">
        <v>2</v>
      </c>
      <c r="F55" s="94">
        <v>3</v>
      </c>
      <c r="G55" s="94"/>
      <c r="H55" s="94">
        <v>4.3499999999999996</v>
      </c>
      <c r="I55" s="94"/>
      <c r="J55" s="94"/>
      <c r="K55" s="94"/>
      <c r="L55" s="94">
        <f t="shared" si="3"/>
        <v>26.099999999999998</v>
      </c>
    </row>
    <row r="56" spans="2:12" ht="12.75" customHeight="1">
      <c r="B56" s="93" t="s">
        <v>766</v>
      </c>
      <c r="C56" s="94" t="s">
        <v>560</v>
      </c>
      <c r="D56" s="94">
        <v>1</v>
      </c>
      <c r="E56" s="94">
        <v>1</v>
      </c>
      <c r="F56" s="94">
        <v>1</v>
      </c>
      <c r="G56" s="94"/>
      <c r="H56" s="94">
        <v>4.3499999999999996</v>
      </c>
      <c r="I56" s="94"/>
      <c r="J56" s="94"/>
      <c r="K56" s="94"/>
      <c r="L56" s="94">
        <f t="shared" si="3"/>
        <v>4.3499999999999996</v>
      </c>
    </row>
    <row r="57" spans="2:12" ht="12.75" customHeight="1">
      <c r="B57" s="93" t="s">
        <v>766</v>
      </c>
      <c r="C57" s="94" t="s">
        <v>560</v>
      </c>
      <c r="D57" s="94">
        <v>1</v>
      </c>
      <c r="E57" s="94">
        <v>1</v>
      </c>
      <c r="F57" s="94">
        <v>10.199999999999999</v>
      </c>
      <c r="G57" s="94"/>
      <c r="H57" s="94">
        <v>4.3499999999999996</v>
      </c>
      <c r="I57" s="94"/>
      <c r="J57" s="94"/>
      <c r="K57" s="94"/>
      <c r="L57" s="94">
        <f t="shared" si="3"/>
        <v>44.36999999999999</v>
      </c>
    </row>
    <row r="58" spans="2:12" ht="12.75" customHeight="1">
      <c r="B58" s="93" t="s">
        <v>766</v>
      </c>
      <c r="C58" s="94" t="s">
        <v>560</v>
      </c>
      <c r="D58" s="94">
        <v>1</v>
      </c>
      <c r="E58" s="94">
        <v>1</v>
      </c>
      <c r="F58" s="94">
        <v>6.9</v>
      </c>
      <c r="G58" s="94"/>
      <c r="H58" s="94">
        <v>4.3499999999999996</v>
      </c>
      <c r="I58" s="94"/>
      <c r="J58" s="94"/>
      <c r="K58" s="94"/>
      <c r="L58" s="94">
        <f t="shared" si="3"/>
        <v>30.015000000000001</v>
      </c>
    </row>
    <row r="59" spans="2:12" ht="12.75" customHeight="1">
      <c r="B59" s="93" t="s">
        <v>766</v>
      </c>
      <c r="C59" s="94" t="s">
        <v>560</v>
      </c>
      <c r="D59" s="94">
        <v>1</v>
      </c>
      <c r="E59" s="94">
        <v>1</v>
      </c>
      <c r="F59" s="94">
        <v>8.1</v>
      </c>
      <c r="G59" s="94"/>
      <c r="H59" s="94">
        <v>4.3499999999999996</v>
      </c>
      <c r="I59" s="94"/>
      <c r="J59" s="94"/>
      <c r="K59" s="94"/>
      <c r="L59" s="94">
        <f t="shared" si="3"/>
        <v>35.234999999999992</v>
      </c>
    </row>
    <row r="60" spans="2:12" ht="12.75" customHeight="1">
      <c r="B60" s="93" t="s">
        <v>766</v>
      </c>
      <c r="C60" s="94" t="s">
        <v>560</v>
      </c>
      <c r="D60" s="94">
        <v>1</v>
      </c>
      <c r="E60" s="94">
        <v>2</v>
      </c>
      <c r="F60" s="94">
        <v>11.2</v>
      </c>
      <c r="G60" s="94"/>
      <c r="H60" s="94">
        <v>4.3499999999999996</v>
      </c>
      <c r="I60" s="94"/>
      <c r="J60" s="94"/>
      <c r="K60" s="94"/>
      <c r="L60" s="94">
        <f t="shared" si="3"/>
        <v>97.439999999999984</v>
      </c>
    </row>
    <row r="61" spans="2:12" ht="12.75" customHeight="1">
      <c r="B61" s="93" t="s">
        <v>766</v>
      </c>
      <c r="C61" s="94" t="s">
        <v>560</v>
      </c>
      <c r="D61" s="94">
        <v>1</v>
      </c>
      <c r="E61" s="94">
        <v>1</v>
      </c>
      <c r="F61" s="94">
        <v>12.1</v>
      </c>
      <c r="G61" s="94"/>
      <c r="H61" s="94">
        <v>4.3499999999999996</v>
      </c>
      <c r="I61" s="94"/>
      <c r="J61" s="94"/>
      <c r="K61" s="94"/>
      <c r="L61" s="94">
        <f t="shared" si="3"/>
        <v>52.634999999999991</v>
      </c>
    </row>
    <row r="62" spans="2:12" ht="12.75" customHeight="1">
      <c r="B62" s="93" t="s">
        <v>766</v>
      </c>
      <c r="C62" s="94" t="s">
        <v>560</v>
      </c>
      <c r="D62" s="94">
        <v>1</v>
      </c>
      <c r="E62" s="94">
        <v>1</v>
      </c>
      <c r="F62" s="94">
        <v>9.7100000000000009</v>
      </c>
      <c r="G62" s="94"/>
      <c r="H62" s="94">
        <v>4.3499999999999996</v>
      </c>
      <c r="I62" s="94"/>
      <c r="J62" s="94"/>
      <c r="K62" s="94"/>
      <c r="L62" s="94">
        <f t="shared" si="3"/>
        <v>42.238500000000002</v>
      </c>
    </row>
    <row r="63" spans="2:12" ht="12.75" customHeight="1">
      <c r="B63" s="193" t="s">
        <v>770</v>
      </c>
      <c r="C63" s="94" t="s">
        <v>560</v>
      </c>
      <c r="D63" s="94">
        <v>-1</v>
      </c>
      <c r="E63" s="94">
        <v>1</v>
      </c>
      <c r="F63" s="94">
        <v>1</v>
      </c>
      <c r="G63" s="94"/>
      <c r="H63" s="94">
        <v>2.2000000000000002</v>
      </c>
      <c r="I63" s="94"/>
      <c r="J63" s="94"/>
      <c r="K63" s="94"/>
      <c r="L63" s="94">
        <f t="shared" si="3"/>
        <v>-2.2000000000000002</v>
      </c>
    </row>
    <row r="64" spans="2:12" ht="12.75" customHeight="1">
      <c r="B64" s="193" t="s">
        <v>773</v>
      </c>
      <c r="C64" s="94" t="s">
        <v>560</v>
      </c>
      <c r="D64" s="94">
        <v>-1</v>
      </c>
      <c r="E64" s="94">
        <v>1</v>
      </c>
      <c r="F64" s="94">
        <v>0.8</v>
      </c>
      <c r="G64" s="94"/>
      <c r="H64" s="94">
        <v>2.2000000000000002</v>
      </c>
      <c r="I64" s="94"/>
      <c r="J64" s="94"/>
      <c r="K64" s="94"/>
      <c r="L64" s="94">
        <f t="shared" si="3"/>
        <v>-1.7600000000000002</v>
      </c>
    </row>
    <row r="65" spans="2:13" ht="12.75" customHeight="1">
      <c r="B65" s="193" t="s">
        <v>771</v>
      </c>
      <c r="C65" s="94" t="s">
        <v>560</v>
      </c>
      <c r="D65" s="94">
        <v>-1</v>
      </c>
      <c r="E65" s="94">
        <v>3</v>
      </c>
      <c r="F65" s="94">
        <v>1</v>
      </c>
      <c r="G65" s="94"/>
      <c r="H65" s="94">
        <v>2.2000000000000002</v>
      </c>
      <c r="I65" s="94"/>
      <c r="J65" s="94"/>
      <c r="K65" s="94"/>
      <c r="L65" s="94">
        <f t="shared" si="3"/>
        <v>-6.6000000000000005</v>
      </c>
    </row>
    <row r="66" spans="2:13" ht="12.75" customHeight="1">
      <c r="B66" s="193" t="s">
        <v>774</v>
      </c>
      <c r="C66" s="94" t="s">
        <v>560</v>
      </c>
      <c r="D66" s="94">
        <v>-1</v>
      </c>
      <c r="E66" s="94">
        <v>1</v>
      </c>
      <c r="F66" s="94">
        <v>1</v>
      </c>
      <c r="G66" s="94"/>
      <c r="H66" s="94">
        <v>2.2000000000000002</v>
      </c>
      <c r="I66" s="94"/>
      <c r="J66" s="94"/>
      <c r="K66" s="94"/>
      <c r="L66" s="94">
        <f t="shared" si="3"/>
        <v>-2.2000000000000002</v>
      </c>
    </row>
    <row r="67" spans="2:13" ht="12.75" customHeight="1">
      <c r="B67" s="193" t="s">
        <v>775</v>
      </c>
      <c r="C67" s="94" t="s">
        <v>560</v>
      </c>
      <c r="D67" s="94">
        <v>-1</v>
      </c>
      <c r="E67" s="94">
        <v>1</v>
      </c>
      <c r="F67" s="94">
        <v>1.7</v>
      </c>
      <c r="G67" s="94"/>
      <c r="H67" s="94">
        <v>1.2</v>
      </c>
      <c r="I67" s="94"/>
      <c r="J67" s="94"/>
      <c r="K67" s="94"/>
      <c r="L67" s="94">
        <f t="shared" si="3"/>
        <v>-2.04</v>
      </c>
    </row>
    <row r="68" spans="2:13" ht="12.75" customHeight="1">
      <c r="B68" s="193" t="s">
        <v>776</v>
      </c>
      <c r="C68" s="94" t="s">
        <v>560</v>
      </c>
      <c r="D68" s="94">
        <v>-1</v>
      </c>
      <c r="E68" s="94">
        <v>1</v>
      </c>
      <c r="F68" s="94">
        <v>0.8</v>
      </c>
      <c r="G68" s="94"/>
      <c r="H68" s="94">
        <v>2.2000000000000002</v>
      </c>
      <c r="I68" s="94"/>
      <c r="J68" s="94"/>
      <c r="K68" s="94"/>
      <c r="L68" s="94">
        <f t="shared" si="3"/>
        <v>-1.7600000000000002</v>
      </c>
    </row>
    <row r="69" spans="2:13" ht="12.75" customHeight="1">
      <c r="B69" s="193" t="s">
        <v>777</v>
      </c>
      <c r="C69" s="94" t="s">
        <v>560</v>
      </c>
      <c r="D69" s="94">
        <v>-1</v>
      </c>
      <c r="E69" s="94">
        <v>1</v>
      </c>
      <c r="F69" s="94">
        <v>1</v>
      </c>
      <c r="G69" s="94"/>
      <c r="H69" s="94">
        <v>2.2000000000000002</v>
      </c>
      <c r="I69" s="94"/>
      <c r="J69" s="94"/>
      <c r="K69" s="94"/>
      <c r="L69" s="94">
        <f t="shared" si="3"/>
        <v>-2.2000000000000002</v>
      </c>
    </row>
    <row r="70" spans="2:13" ht="12.75" customHeight="1">
      <c r="B70" s="93" t="s">
        <v>767</v>
      </c>
      <c r="C70" s="94" t="s">
        <v>560</v>
      </c>
      <c r="D70" s="94">
        <v>1</v>
      </c>
      <c r="E70" s="94">
        <v>1</v>
      </c>
      <c r="F70" s="94">
        <v>1.3</v>
      </c>
      <c r="G70" s="94"/>
      <c r="H70" s="94">
        <v>4.3499999999999996</v>
      </c>
      <c r="I70" s="94"/>
      <c r="J70" s="94"/>
      <c r="K70" s="94"/>
      <c r="L70" s="94"/>
      <c r="M70" s="194">
        <f t="shared" ref="M70:M71" si="5">PRODUCT(D70:I70)</f>
        <v>5.6549999999999994</v>
      </c>
    </row>
    <row r="71" spans="2:13" ht="12.75" customHeight="1">
      <c r="B71" s="193" t="s">
        <v>776</v>
      </c>
      <c r="C71" s="94" t="s">
        <v>560</v>
      </c>
      <c r="D71" s="94">
        <v>-1</v>
      </c>
      <c r="E71" s="94">
        <v>1</v>
      </c>
      <c r="F71" s="94">
        <v>0.8</v>
      </c>
      <c r="G71" s="94"/>
      <c r="H71" s="94">
        <v>2.2000000000000002</v>
      </c>
      <c r="I71" s="94"/>
      <c r="J71" s="94"/>
      <c r="K71" s="94"/>
      <c r="L71" s="94"/>
      <c r="M71" s="94">
        <f t="shared" si="5"/>
        <v>-1.7600000000000002</v>
      </c>
    </row>
    <row r="72" spans="2:13" ht="12.75" customHeight="1">
      <c r="B72" s="193"/>
      <c r="C72" s="94"/>
      <c r="D72" s="94"/>
      <c r="E72" s="94"/>
      <c r="F72" s="94"/>
      <c r="G72" s="94"/>
      <c r="H72" s="94"/>
      <c r="I72" s="94"/>
      <c r="J72" s="94"/>
      <c r="K72" s="94"/>
      <c r="L72" s="94"/>
    </row>
    <row r="73" spans="2:13" ht="12.75" customHeight="1">
      <c r="B73" s="193"/>
      <c r="C73" s="94"/>
      <c r="D73" s="94"/>
      <c r="E73" s="94"/>
      <c r="F73" s="94"/>
      <c r="G73" s="94"/>
      <c r="H73" s="94"/>
      <c r="I73" s="94"/>
      <c r="J73" s="94"/>
      <c r="K73" s="94"/>
      <c r="L73" s="94"/>
    </row>
    <row r="74" spans="2:13" ht="15.75" customHeight="1">
      <c r="B74" s="195" t="s">
        <v>778</v>
      </c>
      <c r="C74" s="94"/>
      <c r="D74" s="94"/>
      <c r="E74" s="94"/>
      <c r="F74" s="94"/>
      <c r="G74" s="94"/>
      <c r="H74" s="94"/>
      <c r="I74" s="94"/>
      <c r="J74" s="94"/>
      <c r="K74" s="94"/>
      <c r="L74" s="94"/>
      <c r="M74" s="94"/>
    </row>
    <row r="75" spans="2:13" ht="12.75" customHeight="1">
      <c r="B75" s="93" t="s">
        <v>766</v>
      </c>
      <c r="C75" s="94" t="s">
        <v>560</v>
      </c>
      <c r="D75" s="94">
        <v>6</v>
      </c>
      <c r="E75" s="94">
        <v>1</v>
      </c>
      <c r="F75" s="94">
        <v>33.9</v>
      </c>
      <c r="G75" s="94"/>
      <c r="H75" s="94">
        <v>3.3</v>
      </c>
      <c r="I75" s="94"/>
      <c r="J75" s="94"/>
      <c r="K75" s="94"/>
      <c r="L75" s="94">
        <f t="shared" ref="L75:L145" si="6">PRODUCT(D75:H75)</f>
        <v>671.21999999999991</v>
      </c>
    </row>
    <row r="76" spans="2:13" ht="12.75" customHeight="1">
      <c r="B76" s="193" t="s">
        <v>779</v>
      </c>
      <c r="C76" s="94" t="s">
        <v>560</v>
      </c>
      <c r="D76" s="94">
        <v>-6</v>
      </c>
      <c r="E76" s="94">
        <v>1</v>
      </c>
      <c r="F76" s="94">
        <v>0.6</v>
      </c>
      <c r="G76" s="94"/>
      <c r="H76" s="94">
        <v>0.8</v>
      </c>
      <c r="I76" s="94"/>
      <c r="J76" s="94"/>
      <c r="K76" s="94"/>
      <c r="L76" s="94">
        <f t="shared" si="6"/>
        <v>-2.88</v>
      </c>
      <c r="M76" s="94"/>
    </row>
    <row r="77" spans="2:13" ht="12.75" customHeight="1">
      <c r="B77" s="193" t="s">
        <v>780</v>
      </c>
      <c r="C77" s="94" t="s">
        <v>560</v>
      </c>
      <c r="D77" s="94">
        <v>-6</v>
      </c>
      <c r="E77" s="94">
        <v>3</v>
      </c>
      <c r="F77" s="94">
        <v>0.8</v>
      </c>
      <c r="G77" s="94"/>
      <c r="H77" s="94">
        <v>2.76</v>
      </c>
      <c r="I77" s="94"/>
      <c r="J77" s="94"/>
      <c r="K77" s="94"/>
      <c r="L77" s="94">
        <f t="shared" si="6"/>
        <v>-39.744</v>
      </c>
      <c r="M77" s="94"/>
    </row>
    <row r="78" spans="2:13" ht="12.75" customHeight="1">
      <c r="B78" s="147" t="s">
        <v>781</v>
      </c>
      <c r="C78" s="94" t="s">
        <v>560</v>
      </c>
      <c r="D78" s="94">
        <v>-6</v>
      </c>
      <c r="E78" s="94">
        <v>2</v>
      </c>
      <c r="F78" s="94">
        <v>1.3</v>
      </c>
      <c r="G78" s="94"/>
      <c r="H78" s="94">
        <v>1</v>
      </c>
      <c r="I78" s="94"/>
      <c r="J78" s="94"/>
      <c r="K78" s="94"/>
      <c r="L78" s="94">
        <f t="shared" si="6"/>
        <v>-15.600000000000001</v>
      </c>
      <c r="M78" s="94"/>
    </row>
    <row r="79" spans="2:13" ht="12.75" customHeight="1">
      <c r="B79" s="147" t="s">
        <v>781</v>
      </c>
      <c r="C79" s="94" t="s">
        <v>560</v>
      </c>
      <c r="D79" s="94">
        <v>-6</v>
      </c>
      <c r="E79" s="94">
        <v>1</v>
      </c>
      <c r="F79" s="94">
        <v>1.8</v>
      </c>
      <c r="G79" s="94"/>
      <c r="H79" s="94">
        <v>1</v>
      </c>
      <c r="I79" s="94"/>
      <c r="J79" s="94"/>
      <c r="K79" s="94"/>
      <c r="L79" s="94">
        <f t="shared" si="6"/>
        <v>-10.8</v>
      </c>
      <c r="M79" s="94"/>
    </row>
    <row r="80" spans="2:13" ht="12.75" customHeight="1">
      <c r="B80" s="147" t="s">
        <v>781</v>
      </c>
      <c r="C80" s="94" t="s">
        <v>560</v>
      </c>
      <c r="D80" s="94">
        <v>-6</v>
      </c>
      <c r="E80" s="94">
        <v>4</v>
      </c>
      <c r="F80" s="94">
        <v>1.2</v>
      </c>
      <c r="G80" s="94"/>
      <c r="H80" s="94">
        <v>1</v>
      </c>
      <c r="I80" s="94"/>
      <c r="J80" s="94"/>
      <c r="K80" s="94"/>
      <c r="L80" s="94">
        <f t="shared" si="6"/>
        <v>-28.799999999999997</v>
      </c>
      <c r="M80" s="94"/>
    </row>
    <row r="81" spans="2:13" ht="12.75" customHeight="1">
      <c r="B81" s="193" t="s">
        <v>782</v>
      </c>
      <c r="C81" s="94" t="s">
        <v>560</v>
      </c>
      <c r="D81" s="94">
        <v>-6</v>
      </c>
      <c r="E81" s="94">
        <v>3</v>
      </c>
      <c r="F81" s="94">
        <v>1</v>
      </c>
      <c r="G81" s="94"/>
      <c r="H81" s="94">
        <v>1.1000000000000001</v>
      </c>
      <c r="I81" s="94"/>
      <c r="J81" s="94"/>
      <c r="K81" s="94"/>
      <c r="L81" s="94">
        <f t="shared" si="6"/>
        <v>-19.8</v>
      </c>
      <c r="M81" s="94"/>
    </row>
    <row r="82" spans="2:13" ht="12.75" customHeight="1">
      <c r="B82" s="193" t="s">
        <v>783</v>
      </c>
      <c r="C82" s="94" t="s">
        <v>560</v>
      </c>
      <c r="D82" s="94">
        <v>-6</v>
      </c>
      <c r="E82" s="94">
        <v>1</v>
      </c>
      <c r="F82" s="94">
        <v>2</v>
      </c>
      <c r="G82" s="94"/>
      <c r="H82" s="94">
        <v>1.4</v>
      </c>
      <c r="I82" s="94"/>
      <c r="J82" s="94"/>
      <c r="K82" s="94"/>
      <c r="L82" s="94">
        <f t="shared" si="6"/>
        <v>-16.799999999999997</v>
      </c>
      <c r="M82" s="94"/>
    </row>
    <row r="83" spans="2:13" ht="12.75" customHeight="1">
      <c r="B83" s="93" t="s">
        <v>766</v>
      </c>
      <c r="C83" s="94" t="s">
        <v>560</v>
      </c>
      <c r="D83" s="94">
        <v>-6</v>
      </c>
      <c r="E83" s="94">
        <v>1</v>
      </c>
      <c r="F83" s="94">
        <v>13.89</v>
      </c>
      <c r="G83" s="94"/>
      <c r="H83" s="94">
        <f>3.6-0.8</f>
        <v>2.8</v>
      </c>
      <c r="I83" s="94"/>
      <c r="J83" s="94"/>
      <c r="K83" s="94"/>
      <c r="L83" s="94">
        <f t="shared" si="6"/>
        <v>-233.352</v>
      </c>
      <c r="M83" s="94"/>
    </row>
    <row r="84" spans="2:13" ht="12.75" customHeight="1">
      <c r="B84" s="93" t="s">
        <v>766</v>
      </c>
      <c r="C84" s="94" t="s">
        <v>560</v>
      </c>
      <c r="D84" s="94">
        <v>-6</v>
      </c>
      <c r="E84" s="94">
        <v>1</v>
      </c>
      <c r="F84" s="94">
        <v>7.13</v>
      </c>
      <c r="G84" s="94"/>
      <c r="H84" s="94">
        <f t="shared" ref="H84:H85" si="7">3.6-0.3</f>
        <v>3.3000000000000003</v>
      </c>
      <c r="I84" s="94"/>
      <c r="J84" s="94"/>
      <c r="K84" s="94"/>
      <c r="L84" s="94">
        <f t="shared" si="6"/>
        <v>-141.17400000000001</v>
      </c>
      <c r="M84" s="94"/>
    </row>
    <row r="85" spans="2:13" ht="12.75" customHeight="1">
      <c r="B85" s="93" t="s">
        <v>766</v>
      </c>
      <c r="C85" s="94" t="s">
        <v>560</v>
      </c>
      <c r="D85" s="94">
        <v>-6</v>
      </c>
      <c r="E85" s="94">
        <v>1</v>
      </c>
      <c r="F85" s="94">
        <v>11.5</v>
      </c>
      <c r="G85" s="94"/>
      <c r="H85" s="94">
        <f t="shared" si="7"/>
        <v>3.3000000000000003</v>
      </c>
      <c r="I85" s="94"/>
      <c r="J85" s="94"/>
      <c r="K85" s="94"/>
      <c r="L85" s="94">
        <f t="shared" si="6"/>
        <v>-227.70000000000002</v>
      </c>
      <c r="M85" s="94"/>
    </row>
    <row r="86" spans="2:13" ht="12.75" customHeight="1">
      <c r="B86" s="193" t="s">
        <v>780</v>
      </c>
      <c r="C86" s="94" t="s">
        <v>560</v>
      </c>
      <c r="D86" s="94">
        <v>-6</v>
      </c>
      <c r="E86" s="94">
        <v>3</v>
      </c>
      <c r="F86" s="94">
        <v>0.8</v>
      </c>
      <c r="G86" s="94"/>
      <c r="H86" s="94">
        <v>2.76</v>
      </c>
      <c r="I86" s="94"/>
      <c r="J86" s="94"/>
      <c r="K86" s="94"/>
      <c r="L86" s="94">
        <f t="shared" si="6"/>
        <v>-39.744</v>
      </c>
      <c r="M86" s="94"/>
    </row>
    <row r="87" spans="2:13" ht="12.75" customHeight="1">
      <c r="B87" s="147" t="s">
        <v>781</v>
      </c>
      <c r="C87" s="94" t="s">
        <v>560</v>
      </c>
      <c r="D87" s="94">
        <v>-6</v>
      </c>
      <c r="E87" s="94">
        <v>3</v>
      </c>
      <c r="F87" s="94">
        <v>1.2</v>
      </c>
      <c r="G87" s="94"/>
      <c r="H87" s="94">
        <v>1</v>
      </c>
      <c r="I87" s="94"/>
      <c r="J87" s="94"/>
      <c r="K87" s="94"/>
      <c r="L87" s="94">
        <f t="shared" si="6"/>
        <v>-21.599999999999998</v>
      </c>
      <c r="M87" s="94"/>
    </row>
    <row r="88" spans="2:13" ht="12.75" customHeight="1">
      <c r="B88" s="147" t="s">
        <v>781</v>
      </c>
      <c r="C88" s="94" t="s">
        <v>560</v>
      </c>
      <c r="D88" s="94">
        <v>-6</v>
      </c>
      <c r="E88" s="94">
        <v>1</v>
      </c>
      <c r="F88" s="94">
        <v>1.5</v>
      </c>
      <c r="G88" s="94"/>
      <c r="H88" s="94">
        <v>1</v>
      </c>
      <c r="I88" s="94"/>
      <c r="J88" s="94"/>
      <c r="K88" s="94"/>
      <c r="L88" s="94">
        <f t="shared" si="6"/>
        <v>-9</v>
      </c>
      <c r="M88" s="94"/>
    </row>
    <row r="89" spans="2:13" ht="12.75" customHeight="1">
      <c r="B89" s="147" t="s">
        <v>781</v>
      </c>
      <c r="C89" s="94" t="s">
        <v>560</v>
      </c>
      <c r="D89" s="94">
        <v>-6</v>
      </c>
      <c r="E89" s="94">
        <v>1</v>
      </c>
      <c r="F89" s="94">
        <v>1.65</v>
      </c>
      <c r="G89" s="94"/>
      <c r="H89" s="94">
        <v>1</v>
      </c>
      <c r="I89" s="94"/>
      <c r="J89" s="94"/>
      <c r="K89" s="94"/>
      <c r="L89" s="94">
        <f t="shared" si="6"/>
        <v>-9.8999999999999986</v>
      </c>
      <c r="M89" s="94"/>
    </row>
    <row r="90" spans="2:13" ht="12.75" customHeight="1">
      <c r="B90" s="147" t="s">
        <v>781</v>
      </c>
      <c r="C90" s="94" t="s">
        <v>560</v>
      </c>
      <c r="D90" s="94">
        <v>-6</v>
      </c>
      <c r="E90" s="94">
        <v>1</v>
      </c>
      <c r="F90" s="94">
        <v>1.35</v>
      </c>
      <c r="G90" s="94"/>
      <c r="H90" s="94">
        <v>1.2</v>
      </c>
      <c r="I90" s="94"/>
      <c r="J90" s="94"/>
      <c r="K90" s="94"/>
      <c r="L90" s="94">
        <f t="shared" si="6"/>
        <v>-9.7200000000000006</v>
      </c>
      <c r="M90" s="94"/>
    </row>
    <row r="91" spans="2:13" ht="12.75" customHeight="1">
      <c r="B91" s="93" t="s">
        <v>766</v>
      </c>
      <c r="C91" s="94" t="s">
        <v>560</v>
      </c>
      <c r="D91" s="94">
        <v>6</v>
      </c>
      <c r="E91" s="94">
        <v>1</v>
      </c>
      <c r="F91" s="94">
        <v>10.6</v>
      </c>
      <c r="G91" s="94"/>
      <c r="H91" s="94">
        <v>3.3</v>
      </c>
      <c r="I91" s="94"/>
      <c r="J91" s="94"/>
      <c r="K91" s="94"/>
      <c r="L91" s="94">
        <f t="shared" si="6"/>
        <v>209.87999999999997</v>
      </c>
      <c r="M91" s="94"/>
    </row>
    <row r="92" spans="2:13" ht="12.75" customHeight="1">
      <c r="B92" s="193" t="s">
        <v>770</v>
      </c>
      <c r="C92" s="94" t="s">
        <v>560</v>
      </c>
      <c r="D92" s="94">
        <v>-6</v>
      </c>
      <c r="E92" s="94">
        <v>2</v>
      </c>
      <c r="F92" s="94">
        <v>1</v>
      </c>
      <c r="G92" s="94"/>
      <c r="H92" s="94">
        <v>2.2000000000000002</v>
      </c>
      <c r="I92" s="94"/>
      <c r="J92" s="94"/>
      <c r="K92" s="94"/>
      <c r="L92" s="94">
        <f t="shared" si="6"/>
        <v>-26.400000000000002</v>
      </c>
      <c r="M92" s="94"/>
    </row>
    <row r="93" spans="2:13" ht="12.75" customHeight="1">
      <c r="B93" s="93" t="s">
        <v>766</v>
      </c>
      <c r="C93" s="94" t="s">
        <v>560</v>
      </c>
      <c r="D93" s="94">
        <v>6</v>
      </c>
      <c r="E93" s="94">
        <v>1</v>
      </c>
      <c r="F93" s="94">
        <v>5.9</v>
      </c>
      <c r="G93" s="94"/>
      <c r="H93" s="94">
        <v>3.3</v>
      </c>
      <c r="I93" s="94"/>
      <c r="J93" s="94"/>
      <c r="K93" s="94"/>
      <c r="L93" s="94">
        <f t="shared" si="6"/>
        <v>116.82000000000001</v>
      </c>
      <c r="M93" s="94"/>
    </row>
    <row r="94" spans="2:13" ht="12.75" customHeight="1">
      <c r="B94" s="93" t="s">
        <v>766</v>
      </c>
      <c r="C94" s="94" t="s">
        <v>560</v>
      </c>
      <c r="D94" s="94">
        <v>6</v>
      </c>
      <c r="E94" s="94">
        <v>1</v>
      </c>
      <c r="F94" s="94">
        <v>9</v>
      </c>
      <c r="G94" s="94"/>
      <c r="H94" s="94">
        <v>3.3</v>
      </c>
      <c r="I94" s="94"/>
      <c r="J94" s="94"/>
      <c r="K94" s="94"/>
      <c r="L94" s="94">
        <f t="shared" si="6"/>
        <v>178.2</v>
      </c>
      <c r="M94" s="94"/>
    </row>
    <row r="95" spans="2:13" ht="12.75" customHeight="1">
      <c r="B95" s="93" t="s">
        <v>766</v>
      </c>
      <c r="C95" s="94" t="s">
        <v>560</v>
      </c>
      <c r="D95" s="94">
        <v>6</v>
      </c>
      <c r="E95" s="94">
        <v>1</v>
      </c>
      <c r="F95" s="94">
        <v>2.2000000000000002</v>
      </c>
      <c r="G95" s="94"/>
      <c r="H95" s="94">
        <v>3.3</v>
      </c>
      <c r="I95" s="94"/>
      <c r="J95" s="94"/>
      <c r="K95" s="94"/>
      <c r="L95" s="94">
        <f t="shared" si="6"/>
        <v>43.56</v>
      </c>
      <c r="M95" s="94"/>
    </row>
    <row r="96" spans="2:13" ht="12.75" customHeight="1">
      <c r="B96" s="93" t="s">
        <v>766</v>
      </c>
      <c r="C96" s="94" t="s">
        <v>560</v>
      </c>
      <c r="D96" s="94">
        <v>-6</v>
      </c>
      <c r="E96" s="94">
        <v>1</v>
      </c>
      <c r="F96" s="94">
        <v>10.5</v>
      </c>
      <c r="G96" s="94"/>
      <c r="H96" s="94">
        <v>3.3</v>
      </c>
      <c r="I96" s="94"/>
      <c r="J96" s="94"/>
      <c r="K96" s="94"/>
      <c r="L96" s="94">
        <f t="shared" si="6"/>
        <v>-207.89999999999998</v>
      </c>
      <c r="M96" s="94"/>
    </row>
    <row r="97" spans="2:13" ht="12.75" customHeight="1">
      <c r="B97" s="193" t="s">
        <v>779</v>
      </c>
      <c r="C97" s="94" t="s">
        <v>560</v>
      </c>
      <c r="D97" s="94">
        <v>-6</v>
      </c>
      <c r="E97" s="94">
        <v>1</v>
      </c>
      <c r="F97" s="94">
        <v>0.6</v>
      </c>
      <c r="G97" s="94"/>
      <c r="H97" s="94">
        <v>0.8</v>
      </c>
      <c r="I97" s="94"/>
      <c r="J97" s="94"/>
      <c r="K97" s="94"/>
      <c r="L97" s="94">
        <f t="shared" si="6"/>
        <v>-2.88</v>
      </c>
      <c r="M97" s="94"/>
    </row>
    <row r="98" spans="2:13" ht="12.75" customHeight="1">
      <c r="B98" s="93" t="s">
        <v>766</v>
      </c>
      <c r="C98" s="94" t="s">
        <v>560</v>
      </c>
      <c r="D98" s="94">
        <v>-6</v>
      </c>
      <c r="E98" s="94">
        <v>1</v>
      </c>
      <c r="F98" s="94">
        <v>3.4</v>
      </c>
      <c r="G98" s="94"/>
      <c r="H98" s="94">
        <v>3.3</v>
      </c>
      <c r="I98" s="94"/>
      <c r="J98" s="94"/>
      <c r="K98" s="94"/>
      <c r="L98" s="94">
        <f t="shared" si="6"/>
        <v>-67.319999999999993</v>
      </c>
      <c r="M98" s="94"/>
    </row>
    <row r="99" spans="2:13" ht="12.75" customHeight="1">
      <c r="B99" s="193" t="s">
        <v>784</v>
      </c>
      <c r="C99" s="94" t="s">
        <v>560</v>
      </c>
      <c r="D99" s="94">
        <v>-6</v>
      </c>
      <c r="E99" s="94">
        <v>1</v>
      </c>
      <c r="F99" s="94">
        <v>0.8</v>
      </c>
      <c r="G99" s="94"/>
      <c r="H99" s="94">
        <v>1.1000000000000001</v>
      </c>
      <c r="I99" s="94"/>
      <c r="J99" s="94"/>
      <c r="K99" s="94"/>
      <c r="L99" s="94">
        <f t="shared" si="6"/>
        <v>-5.2800000000000011</v>
      </c>
      <c r="M99" s="94"/>
    </row>
    <row r="100" spans="2:13" ht="12.75" customHeight="1">
      <c r="B100" s="193" t="s">
        <v>780</v>
      </c>
      <c r="C100" s="94" t="s">
        <v>560</v>
      </c>
      <c r="D100" s="94">
        <v>-6</v>
      </c>
      <c r="E100" s="94">
        <v>1</v>
      </c>
      <c r="F100" s="94">
        <v>0.8</v>
      </c>
      <c r="G100" s="94"/>
      <c r="H100" s="94">
        <v>2.76</v>
      </c>
      <c r="I100" s="94"/>
      <c r="J100" s="94"/>
      <c r="K100" s="94"/>
      <c r="L100" s="94">
        <f t="shared" si="6"/>
        <v>-13.248000000000001</v>
      </c>
      <c r="M100" s="94"/>
    </row>
    <row r="101" spans="2:13" ht="12.75" customHeight="1">
      <c r="B101" s="193" t="s">
        <v>773</v>
      </c>
      <c r="C101" s="94" t="s">
        <v>560</v>
      </c>
      <c r="D101" s="94">
        <v>-6</v>
      </c>
      <c r="E101" s="94">
        <v>1</v>
      </c>
      <c r="F101" s="94">
        <v>0.8</v>
      </c>
      <c r="G101" s="94"/>
      <c r="H101" s="94">
        <v>2.2000000000000002</v>
      </c>
      <c r="I101" s="94"/>
      <c r="J101" s="94"/>
      <c r="K101" s="94"/>
      <c r="L101" s="94">
        <f t="shared" si="6"/>
        <v>-10.560000000000002</v>
      </c>
      <c r="M101" s="94"/>
    </row>
    <row r="102" spans="2:13" ht="12.75" customHeight="1">
      <c r="B102" s="93" t="s">
        <v>766</v>
      </c>
      <c r="C102" s="94" t="s">
        <v>560</v>
      </c>
      <c r="D102" s="94">
        <v>6</v>
      </c>
      <c r="E102" s="94">
        <v>1</v>
      </c>
      <c r="F102" s="94">
        <f>1.4+17.6</f>
        <v>19</v>
      </c>
      <c r="G102" s="94"/>
      <c r="H102" s="94">
        <v>3.3</v>
      </c>
      <c r="I102" s="94"/>
      <c r="J102" s="94"/>
      <c r="K102" s="94"/>
      <c r="L102" s="94">
        <f t="shared" si="6"/>
        <v>376.2</v>
      </c>
      <c r="M102" s="94"/>
    </row>
    <row r="103" spans="2:13" ht="12.75" customHeight="1">
      <c r="B103" s="193" t="s">
        <v>785</v>
      </c>
      <c r="C103" s="94" t="s">
        <v>560</v>
      </c>
      <c r="D103" s="94">
        <v>-6</v>
      </c>
      <c r="E103" s="94">
        <v>2</v>
      </c>
      <c r="F103" s="94">
        <v>1.1000000000000001</v>
      </c>
      <c r="G103" s="94"/>
      <c r="H103" s="94">
        <v>2.2000000000000002</v>
      </c>
      <c r="I103" s="94"/>
      <c r="J103" s="94"/>
      <c r="K103" s="94"/>
      <c r="L103" s="94">
        <f t="shared" si="6"/>
        <v>-29.040000000000006</v>
      </c>
      <c r="M103" s="94"/>
    </row>
    <row r="104" spans="2:13" ht="12.75" customHeight="1">
      <c r="B104" s="93" t="s">
        <v>766</v>
      </c>
      <c r="C104" s="94" t="s">
        <v>560</v>
      </c>
      <c r="D104" s="94">
        <v>6</v>
      </c>
      <c r="E104" s="94">
        <v>1</v>
      </c>
      <c r="F104" s="94">
        <v>1.8</v>
      </c>
      <c r="G104" s="94"/>
      <c r="H104" s="94">
        <v>3.3</v>
      </c>
      <c r="I104" s="94"/>
      <c r="J104" s="94"/>
      <c r="K104" s="94"/>
      <c r="L104" s="94">
        <f t="shared" si="6"/>
        <v>35.64</v>
      </c>
      <c r="M104" s="94"/>
    </row>
    <row r="105" spans="2:13" ht="12.75" customHeight="1">
      <c r="B105" s="93" t="s">
        <v>766</v>
      </c>
      <c r="C105" s="94" t="s">
        <v>560</v>
      </c>
      <c r="D105" s="94">
        <v>6</v>
      </c>
      <c r="E105" s="94">
        <v>1</v>
      </c>
      <c r="F105" s="94">
        <v>6.4</v>
      </c>
      <c r="G105" s="94"/>
      <c r="H105" s="94">
        <v>3.3</v>
      </c>
      <c r="I105" s="94"/>
      <c r="J105" s="94"/>
      <c r="K105" s="94"/>
      <c r="L105" s="94">
        <f t="shared" si="6"/>
        <v>126.72000000000001</v>
      </c>
      <c r="M105" s="94"/>
    </row>
    <row r="106" spans="2:13" ht="12.75" customHeight="1">
      <c r="B106" s="93" t="s">
        <v>766</v>
      </c>
      <c r="C106" s="94" t="s">
        <v>560</v>
      </c>
      <c r="D106" s="94">
        <v>6</v>
      </c>
      <c r="E106" s="94">
        <v>1</v>
      </c>
      <c r="F106" s="94">
        <v>9.8000000000000007</v>
      </c>
      <c r="G106" s="94"/>
      <c r="H106" s="94">
        <v>3.3</v>
      </c>
      <c r="I106" s="94"/>
      <c r="J106" s="94"/>
      <c r="K106" s="94"/>
      <c r="L106" s="94">
        <f t="shared" si="6"/>
        <v>194.04</v>
      </c>
      <c r="M106" s="94"/>
    </row>
    <row r="107" spans="2:13" ht="12.75" customHeight="1">
      <c r="B107" s="93" t="s">
        <v>766</v>
      </c>
      <c r="C107" s="94" t="s">
        <v>560</v>
      </c>
      <c r="D107" s="94">
        <v>6</v>
      </c>
      <c r="E107" s="94">
        <v>1</v>
      </c>
      <c r="F107" s="94">
        <v>2</v>
      </c>
      <c r="G107" s="94"/>
      <c r="H107" s="94">
        <v>3.3</v>
      </c>
      <c r="I107" s="94"/>
      <c r="J107" s="94"/>
      <c r="K107" s="94"/>
      <c r="L107" s="94">
        <f t="shared" si="6"/>
        <v>39.599999999999994</v>
      </c>
      <c r="M107" s="94"/>
    </row>
    <row r="108" spans="2:13" ht="12.75" customHeight="1">
      <c r="B108" s="193" t="s">
        <v>773</v>
      </c>
      <c r="C108" s="94" t="s">
        <v>560</v>
      </c>
      <c r="D108" s="94">
        <v>-6</v>
      </c>
      <c r="E108" s="94">
        <v>1</v>
      </c>
      <c r="F108" s="94">
        <v>0.8</v>
      </c>
      <c r="G108" s="94"/>
      <c r="H108" s="94">
        <v>2.2000000000000002</v>
      </c>
      <c r="I108" s="94"/>
      <c r="J108" s="94"/>
      <c r="K108" s="94"/>
      <c r="L108" s="94">
        <f t="shared" si="6"/>
        <v>-10.560000000000002</v>
      </c>
      <c r="M108" s="94"/>
    </row>
    <row r="109" spans="2:13" ht="12.75" customHeight="1">
      <c r="B109" s="93" t="s">
        <v>766</v>
      </c>
      <c r="C109" s="94" t="s">
        <v>560</v>
      </c>
      <c r="D109" s="94">
        <v>6</v>
      </c>
      <c r="E109" s="94">
        <v>1</v>
      </c>
      <c r="F109" s="94">
        <v>3.8</v>
      </c>
      <c r="G109" s="94"/>
      <c r="H109" s="94">
        <v>3.3</v>
      </c>
      <c r="I109" s="94"/>
      <c r="J109" s="94"/>
      <c r="K109" s="94"/>
      <c r="L109" s="94">
        <f t="shared" si="6"/>
        <v>75.239999999999981</v>
      </c>
      <c r="M109" s="94"/>
    </row>
    <row r="110" spans="2:13" ht="12.75" customHeight="1">
      <c r="B110" s="93" t="s">
        <v>766</v>
      </c>
      <c r="C110" s="94" t="s">
        <v>560</v>
      </c>
      <c r="D110" s="94">
        <v>6</v>
      </c>
      <c r="E110" s="94">
        <v>1</v>
      </c>
      <c r="F110" s="94">
        <v>4.9000000000000004</v>
      </c>
      <c r="G110" s="94"/>
      <c r="H110" s="94">
        <v>3.3</v>
      </c>
      <c r="I110" s="94"/>
      <c r="J110" s="94"/>
      <c r="K110" s="94"/>
      <c r="L110" s="94">
        <f t="shared" si="6"/>
        <v>97.02</v>
      </c>
      <c r="M110" s="94"/>
    </row>
    <row r="111" spans="2:13" ht="12.75" customHeight="1">
      <c r="B111" s="93" t="s">
        <v>766</v>
      </c>
      <c r="C111" s="94" t="s">
        <v>560</v>
      </c>
      <c r="D111" s="94">
        <v>6</v>
      </c>
      <c r="E111" s="94">
        <v>1</v>
      </c>
      <c r="F111" s="94">
        <v>9.5</v>
      </c>
      <c r="G111" s="94"/>
      <c r="H111" s="94">
        <v>3.3</v>
      </c>
      <c r="I111" s="94"/>
      <c r="J111" s="94"/>
      <c r="K111" s="94"/>
      <c r="L111" s="94">
        <f t="shared" si="6"/>
        <v>188.1</v>
      </c>
      <c r="M111" s="94"/>
    </row>
    <row r="112" spans="2:13" ht="12.75" customHeight="1">
      <c r="B112" s="193" t="s">
        <v>770</v>
      </c>
      <c r="C112" s="94" t="s">
        <v>560</v>
      </c>
      <c r="D112" s="94">
        <v>-6</v>
      </c>
      <c r="E112" s="94">
        <v>1</v>
      </c>
      <c r="F112" s="94">
        <v>1</v>
      </c>
      <c r="G112" s="94"/>
      <c r="H112" s="94">
        <v>2.2000000000000002</v>
      </c>
      <c r="I112" s="94"/>
      <c r="J112" s="94"/>
      <c r="K112" s="94"/>
      <c r="L112" s="94">
        <f t="shared" si="6"/>
        <v>-13.200000000000001</v>
      </c>
      <c r="M112" s="94"/>
    </row>
    <row r="113" spans="2:13" ht="12.75" customHeight="1">
      <c r="B113" s="93" t="s">
        <v>766</v>
      </c>
      <c r="C113" s="94" t="s">
        <v>560</v>
      </c>
      <c r="D113" s="94">
        <v>6</v>
      </c>
      <c r="E113" s="94">
        <v>1</v>
      </c>
      <c r="F113" s="94">
        <v>6.5</v>
      </c>
      <c r="G113" s="94"/>
      <c r="H113" s="94">
        <v>3.3</v>
      </c>
      <c r="I113" s="94"/>
      <c r="J113" s="94"/>
      <c r="K113" s="94"/>
      <c r="L113" s="94">
        <f t="shared" si="6"/>
        <v>128.69999999999999</v>
      </c>
      <c r="M113" s="94"/>
    </row>
    <row r="114" spans="2:13" ht="12.75" customHeight="1">
      <c r="B114" s="193" t="s">
        <v>773</v>
      </c>
      <c r="C114" s="94" t="s">
        <v>560</v>
      </c>
      <c r="D114" s="94">
        <v>-6</v>
      </c>
      <c r="E114" s="94">
        <v>1</v>
      </c>
      <c r="F114" s="94">
        <v>0.8</v>
      </c>
      <c r="G114" s="94"/>
      <c r="H114" s="94">
        <v>2.2000000000000002</v>
      </c>
      <c r="I114" s="94"/>
      <c r="J114" s="94"/>
      <c r="K114" s="94"/>
      <c r="L114" s="94">
        <f t="shared" si="6"/>
        <v>-10.560000000000002</v>
      </c>
      <c r="M114" s="94"/>
    </row>
    <row r="115" spans="2:13" ht="12.75" customHeight="1">
      <c r="B115" s="93" t="s">
        <v>766</v>
      </c>
      <c r="C115" s="94" t="s">
        <v>560</v>
      </c>
      <c r="D115" s="94">
        <v>6</v>
      </c>
      <c r="E115" s="94">
        <v>1</v>
      </c>
      <c r="F115" s="94">
        <v>4.9000000000000004</v>
      </c>
      <c r="G115" s="94"/>
      <c r="H115" s="94">
        <v>3.3</v>
      </c>
      <c r="I115" s="94"/>
      <c r="J115" s="94"/>
      <c r="K115" s="94"/>
      <c r="L115" s="94">
        <f t="shared" si="6"/>
        <v>97.02</v>
      </c>
      <c r="M115" s="94"/>
    </row>
    <row r="116" spans="2:13" ht="12.75" customHeight="1">
      <c r="B116" s="93" t="s">
        <v>766</v>
      </c>
      <c r="C116" s="94" t="s">
        <v>560</v>
      </c>
      <c r="D116" s="94">
        <v>6</v>
      </c>
      <c r="E116" s="94">
        <v>1</v>
      </c>
      <c r="F116" s="94">
        <v>6.6</v>
      </c>
      <c r="G116" s="94"/>
      <c r="H116" s="94">
        <v>3.3</v>
      </c>
      <c r="I116" s="94"/>
      <c r="J116" s="94"/>
      <c r="K116" s="94"/>
      <c r="L116" s="94">
        <f t="shared" si="6"/>
        <v>130.67999999999998</v>
      </c>
      <c r="M116" s="94"/>
    </row>
    <row r="117" spans="2:13" ht="12.75" customHeight="1">
      <c r="B117" s="193" t="s">
        <v>773</v>
      </c>
      <c r="C117" s="94" t="s">
        <v>560</v>
      </c>
      <c r="D117" s="94">
        <v>-6</v>
      </c>
      <c r="E117" s="94">
        <v>1</v>
      </c>
      <c r="F117" s="94">
        <v>0.8</v>
      </c>
      <c r="G117" s="94"/>
      <c r="H117" s="94">
        <v>2.2000000000000002</v>
      </c>
      <c r="I117" s="94"/>
      <c r="J117" s="94"/>
      <c r="K117" s="94"/>
      <c r="L117" s="94">
        <f t="shared" si="6"/>
        <v>-10.560000000000002</v>
      </c>
      <c r="M117" s="94"/>
    </row>
    <row r="118" spans="2:13" ht="12.75" customHeight="1">
      <c r="B118" s="93" t="s">
        <v>766</v>
      </c>
      <c r="C118" s="94" t="s">
        <v>560</v>
      </c>
      <c r="D118" s="94">
        <v>6</v>
      </c>
      <c r="E118" s="94">
        <v>1</v>
      </c>
      <c r="F118" s="94">
        <v>2.4</v>
      </c>
      <c r="G118" s="94"/>
      <c r="H118" s="94">
        <v>3.3</v>
      </c>
      <c r="I118" s="94"/>
      <c r="J118" s="94"/>
      <c r="K118" s="94"/>
      <c r="L118" s="94">
        <f t="shared" si="6"/>
        <v>47.519999999999996</v>
      </c>
      <c r="M118" s="94"/>
    </row>
    <row r="119" spans="2:13" ht="12.75" customHeight="1">
      <c r="B119" s="93" t="s">
        <v>766</v>
      </c>
      <c r="C119" s="94" t="s">
        <v>560</v>
      </c>
      <c r="D119" s="94">
        <v>6</v>
      </c>
      <c r="E119" s="94">
        <v>1</v>
      </c>
      <c r="F119" s="94">
        <v>14.3</v>
      </c>
      <c r="G119" s="94"/>
      <c r="H119" s="94">
        <v>3.3</v>
      </c>
      <c r="I119" s="94"/>
      <c r="J119" s="94"/>
      <c r="K119" s="94"/>
      <c r="L119" s="94">
        <f t="shared" si="6"/>
        <v>283.14000000000004</v>
      </c>
      <c r="M119" s="94"/>
    </row>
    <row r="120" spans="2:13" ht="12.75" customHeight="1">
      <c r="B120" s="193" t="s">
        <v>785</v>
      </c>
      <c r="C120" s="94" t="s">
        <v>560</v>
      </c>
      <c r="D120" s="94">
        <v>-6</v>
      </c>
      <c r="E120" s="94">
        <v>1</v>
      </c>
      <c r="F120" s="94">
        <v>1.1000000000000001</v>
      </c>
      <c r="G120" s="94"/>
      <c r="H120" s="94">
        <v>2.2000000000000002</v>
      </c>
      <c r="I120" s="94"/>
      <c r="J120" s="94"/>
      <c r="K120" s="94"/>
      <c r="L120" s="94">
        <f t="shared" si="6"/>
        <v>-14.520000000000003</v>
      </c>
      <c r="M120" s="94"/>
    </row>
    <row r="121" spans="2:13" ht="12.75" customHeight="1">
      <c r="B121" s="93" t="s">
        <v>766</v>
      </c>
      <c r="C121" s="94" t="s">
        <v>560</v>
      </c>
      <c r="D121" s="94">
        <v>6</v>
      </c>
      <c r="E121" s="94">
        <v>1</v>
      </c>
      <c r="F121" s="94">
        <v>3.9</v>
      </c>
      <c r="G121" s="94"/>
      <c r="H121" s="94">
        <v>3.3</v>
      </c>
      <c r="I121" s="94"/>
      <c r="J121" s="94"/>
      <c r="K121" s="94"/>
      <c r="L121" s="94">
        <f t="shared" si="6"/>
        <v>77.219999999999985</v>
      </c>
      <c r="M121" s="94"/>
    </row>
    <row r="122" spans="2:13" ht="12.75" customHeight="1">
      <c r="B122" s="193" t="s">
        <v>770</v>
      </c>
      <c r="C122" s="94" t="s">
        <v>560</v>
      </c>
      <c r="D122" s="94">
        <v>-6</v>
      </c>
      <c r="E122" s="94">
        <v>1</v>
      </c>
      <c r="F122" s="94">
        <v>1</v>
      </c>
      <c r="G122" s="94"/>
      <c r="H122" s="94">
        <v>2.2000000000000002</v>
      </c>
      <c r="I122" s="94"/>
      <c r="J122" s="94"/>
      <c r="K122" s="94"/>
      <c r="L122" s="94">
        <f t="shared" si="6"/>
        <v>-13.200000000000001</v>
      </c>
      <c r="M122" s="94"/>
    </row>
    <row r="123" spans="2:13" ht="12.75" customHeight="1">
      <c r="B123" s="93" t="s">
        <v>766</v>
      </c>
      <c r="C123" s="94" t="s">
        <v>560</v>
      </c>
      <c r="D123" s="94">
        <v>6</v>
      </c>
      <c r="E123" s="94">
        <v>1</v>
      </c>
      <c r="F123" s="94" t="s">
        <v>786</v>
      </c>
      <c r="G123" s="94"/>
      <c r="H123" s="94">
        <v>3.3</v>
      </c>
      <c r="I123" s="94"/>
      <c r="J123" s="94"/>
      <c r="K123" s="94"/>
      <c r="L123" s="94">
        <f t="shared" si="6"/>
        <v>19.799999999999997</v>
      </c>
      <c r="M123" s="94"/>
    </row>
    <row r="124" spans="2:13" ht="12.75" customHeight="1">
      <c r="B124" s="193" t="s">
        <v>785</v>
      </c>
      <c r="C124" s="94" t="s">
        <v>560</v>
      </c>
      <c r="D124" s="94">
        <v>-6</v>
      </c>
      <c r="E124" s="94">
        <v>2</v>
      </c>
      <c r="F124" s="94">
        <v>1.1000000000000001</v>
      </c>
      <c r="G124" s="94"/>
      <c r="H124" s="94">
        <v>2.2000000000000002</v>
      </c>
      <c r="I124" s="94"/>
      <c r="J124" s="94"/>
      <c r="K124" s="94"/>
      <c r="L124" s="94">
        <f t="shared" si="6"/>
        <v>-29.040000000000006</v>
      </c>
      <c r="M124" s="94"/>
    </row>
    <row r="125" spans="2:13" ht="12.75" customHeight="1">
      <c r="B125" s="193" t="s">
        <v>776</v>
      </c>
      <c r="C125" s="94" t="s">
        <v>560</v>
      </c>
      <c r="D125" s="94">
        <v>-6</v>
      </c>
      <c r="E125" s="94">
        <v>1</v>
      </c>
      <c r="F125" s="94">
        <v>0.8</v>
      </c>
      <c r="G125" s="94"/>
      <c r="H125" s="94">
        <v>2.2000000000000002</v>
      </c>
      <c r="I125" s="94"/>
      <c r="J125" s="94"/>
      <c r="K125" s="94"/>
      <c r="L125" s="94">
        <f t="shared" si="6"/>
        <v>-10.560000000000002</v>
      </c>
      <c r="M125" s="94"/>
    </row>
    <row r="126" spans="2:13" ht="12.75" customHeight="1">
      <c r="B126" s="93" t="s">
        <v>766</v>
      </c>
      <c r="C126" s="94" t="s">
        <v>560</v>
      </c>
      <c r="D126" s="94">
        <v>6</v>
      </c>
      <c r="E126" s="94">
        <v>1</v>
      </c>
      <c r="F126" s="94">
        <v>2.8</v>
      </c>
      <c r="G126" s="94"/>
      <c r="H126" s="94">
        <v>3.3</v>
      </c>
      <c r="I126" s="94"/>
      <c r="J126" s="94"/>
      <c r="K126" s="94"/>
      <c r="L126" s="94">
        <f t="shared" si="6"/>
        <v>55.439999999999991</v>
      </c>
      <c r="M126" s="94"/>
    </row>
    <row r="127" spans="2:13" ht="12.75" customHeight="1">
      <c r="B127" s="93" t="s">
        <v>766</v>
      </c>
      <c r="C127" s="94" t="s">
        <v>560</v>
      </c>
      <c r="D127" s="94">
        <v>6</v>
      </c>
      <c r="E127" s="94">
        <v>1</v>
      </c>
      <c r="F127" s="94">
        <v>10.6</v>
      </c>
      <c r="G127" s="94"/>
      <c r="H127" s="94">
        <v>3.3</v>
      </c>
      <c r="I127" s="94"/>
      <c r="J127" s="94"/>
      <c r="K127" s="94"/>
      <c r="L127" s="94">
        <f t="shared" si="6"/>
        <v>209.87999999999997</v>
      </c>
      <c r="M127" s="94"/>
    </row>
    <row r="128" spans="2:13" ht="12.75" customHeight="1">
      <c r="B128" s="193" t="s">
        <v>787</v>
      </c>
      <c r="C128" s="94" t="s">
        <v>560</v>
      </c>
      <c r="D128" s="94">
        <v>-6</v>
      </c>
      <c r="E128" s="94">
        <v>1</v>
      </c>
      <c r="F128" s="94">
        <v>1</v>
      </c>
      <c r="G128" s="94"/>
      <c r="H128" s="94">
        <v>2.2000000000000002</v>
      </c>
      <c r="I128" s="94"/>
      <c r="J128" s="94"/>
      <c r="K128" s="94"/>
      <c r="L128" s="94">
        <f t="shared" si="6"/>
        <v>-13.200000000000001</v>
      </c>
      <c r="M128" s="94"/>
    </row>
    <row r="129" spans="2:13" ht="12.75" customHeight="1">
      <c r="B129" s="93" t="s">
        <v>766</v>
      </c>
      <c r="C129" s="94" t="s">
        <v>560</v>
      </c>
      <c r="D129" s="94">
        <v>6</v>
      </c>
      <c r="E129" s="94">
        <v>1</v>
      </c>
      <c r="F129" s="94" t="s">
        <v>786</v>
      </c>
      <c r="G129" s="94"/>
      <c r="H129" s="94">
        <v>3.3</v>
      </c>
      <c r="I129" s="94"/>
      <c r="J129" s="94"/>
      <c r="K129" s="94"/>
      <c r="L129" s="94">
        <f t="shared" si="6"/>
        <v>19.799999999999997</v>
      </c>
      <c r="M129" s="94"/>
    </row>
    <row r="130" spans="2:13" ht="12.75" customHeight="1">
      <c r="B130" s="193" t="s">
        <v>785</v>
      </c>
      <c r="C130" s="94" t="s">
        <v>560</v>
      </c>
      <c r="D130" s="94">
        <v>-6</v>
      </c>
      <c r="E130" s="94">
        <v>1</v>
      </c>
      <c r="F130" s="94">
        <v>1.1000000000000001</v>
      </c>
      <c r="G130" s="94"/>
      <c r="H130" s="94">
        <v>2.2000000000000002</v>
      </c>
      <c r="I130" s="94"/>
      <c r="J130" s="94"/>
      <c r="K130" s="94"/>
      <c r="L130" s="94">
        <f t="shared" si="6"/>
        <v>-14.520000000000003</v>
      </c>
      <c r="M130" s="94"/>
    </row>
    <row r="131" spans="2:13" ht="12.75" customHeight="1">
      <c r="B131" s="93" t="s">
        <v>766</v>
      </c>
      <c r="C131" s="94" t="s">
        <v>560</v>
      </c>
      <c r="D131" s="94">
        <v>6</v>
      </c>
      <c r="E131" s="94">
        <v>1</v>
      </c>
      <c r="F131" s="94">
        <v>8.3000000000000007</v>
      </c>
      <c r="G131" s="94"/>
      <c r="H131" s="94">
        <v>3.3</v>
      </c>
      <c r="I131" s="94"/>
      <c r="J131" s="94"/>
      <c r="K131" s="94"/>
      <c r="L131" s="94">
        <f t="shared" si="6"/>
        <v>164.34</v>
      </c>
      <c r="M131" s="94"/>
    </row>
    <row r="132" spans="2:13" ht="12.75" customHeight="1">
      <c r="B132" s="193" t="s">
        <v>770</v>
      </c>
      <c r="C132" s="94" t="s">
        <v>560</v>
      </c>
      <c r="D132" s="94">
        <v>-6</v>
      </c>
      <c r="E132" s="94">
        <v>1</v>
      </c>
      <c r="F132" s="94">
        <v>1</v>
      </c>
      <c r="G132" s="94"/>
      <c r="H132" s="94">
        <v>2.2000000000000002</v>
      </c>
      <c r="I132" s="94"/>
      <c r="J132" s="94"/>
      <c r="K132" s="94"/>
      <c r="L132" s="94">
        <f t="shared" si="6"/>
        <v>-13.200000000000001</v>
      </c>
      <c r="M132" s="94"/>
    </row>
    <row r="133" spans="2:13" ht="12.75" customHeight="1">
      <c r="B133" s="93" t="s">
        <v>766</v>
      </c>
      <c r="C133" s="94" t="s">
        <v>560</v>
      </c>
      <c r="D133" s="94">
        <v>6</v>
      </c>
      <c r="E133" s="94">
        <v>1</v>
      </c>
      <c r="F133" s="94">
        <v>2.5</v>
      </c>
      <c r="G133" s="94"/>
      <c r="H133" s="94">
        <v>3.3</v>
      </c>
      <c r="I133" s="94"/>
      <c r="J133" s="94"/>
      <c r="K133" s="94"/>
      <c r="L133" s="94">
        <f t="shared" si="6"/>
        <v>49.5</v>
      </c>
      <c r="M133" s="94"/>
    </row>
    <row r="134" spans="2:13" ht="12.75" customHeight="1">
      <c r="B134" s="193" t="s">
        <v>773</v>
      </c>
      <c r="C134" s="94" t="s">
        <v>560</v>
      </c>
      <c r="D134" s="94">
        <v>-6</v>
      </c>
      <c r="E134" s="94">
        <v>1</v>
      </c>
      <c r="F134" s="94">
        <v>0.8</v>
      </c>
      <c r="G134" s="94"/>
      <c r="H134" s="94">
        <v>2.2000000000000002</v>
      </c>
      <c r="I134" s="94"/>
      <c r="J134" s="94"/>
      <c r="K134" s="94"/>
      <c r="L134" s="94">
        <f t="shared" si="6"/>
        <v>-10.560000000000002</v>
      </c>
      <c r="M134" s="94"/>
    </row>
    <row r="135" spans="2:13" ht="12.75" customHeight="1">
      <c r="B135" s="93" t="s">
        <v>766</v>
      </c>
      <c r="C135" s="94" t="s">
        <v>560</v>
      </c>
      <c r="D135" s="94">
        <v>6</v>
      </c>
      <c r="E135" s="94">
        <v>1</v>
      </c>
      <c r="F135" s="94">
        <f>1.6+3.9+7.5+2.3</f>
        <v>15.3</v>
      </c>
      <c r="G135" s="94"/>
      <c r="H135" s="94">
        <v>3.3</v>
      </c>
      <c r="I135" s="94"/>
      <c r="J135" s="94"/>
      <c r="K135" s="94"/>
      <c r="L135" s="94">
        <f t="shared" si="6"/>
        <v>302.94</v>
      </c>
      <c r="M135" s="94"/>
    </row>
    <row r="136" spans="2:13" ht="12.75" customHeight="1">
      <c r="B136" s="93" t="s">
        <v>766</v>
      </c>
      <c r="C136" s="94" t="s">
        <v>560</v>
      </c>
      <c r="D136" s="94">
        <v>6</v>
      </c>
      <c r="E136" s="94">
        <v>1</v>
      </c>
      <c r="F136" s="94">
        <v>11.5</v>
      </c>
      <c r="G136" s="94"/>
      <c r="H136" s="94">
        <v>3.3</v>
      </c>
      <c r="I136" s="94"/>
      <c r="J136" s="94"/>
      <c r="K136" s="94"/>
      <c r="L136" s="94">
        <f t="shared" si="6"/>
        <v>227.7</v>
      </c>
      <c r="M136" s="94"/>
    </row>
    <row r="137" spans="2:13" ht="12.75" customHeight="1">
      <c r="B137" s="193" t="s">
        <v>770</v>
      </c>
      <c r="C137" s="94" t="s">
        <v>560</v>
      </c>
      <c r="D137" s="94">
        <v>-6</v>
      </c>
      <c r="E137" s="94">
        <v>1</v>
      </c>
      <c r="F137" s="94">
        <v>1</v>
      </c>
      <c r="G137" s="94"/>
      <c r="H137" s="94">
        <v>2.2000000000000002</v>
      </c>
      <c r="I137" s="94"/>
      <c r="J137" s="94"/>
      <c r="K137" s="94"/>
      <c r="L137" s="94">
        <f t="shared" si="6"/>
        <v>-13.200000000000001</v>
      </c>
      <c r="M137" s="94"/>
    </row>
    <row r="138" spans="2:13" ht="12.75" customHeight="1">
      <c r="B138" s="193" t="s">
        <v>773</v>
      </c>
      <c r="C138" s="94" t="s">
        <v>560</v>
      </c>
      <c r="D138" s="94">
        <v>-6</v>
      </c>
      <c r="E138" s="94">
        <v>1</v>
      </c>
      <c r="F138" s="94">
        <v>0.8</v>
      </c>
      <c r="G138" s="94"/>
      <c r="H138" s="94">
        <v>2.2000000000000002</v>
      </c>
      <c r="I138" s="94"/>
      <c r="J138" s="94"/>
      <c r="K138" s="94"/>
      <c r="L138" s="94">
        <f t="shared" si="6"/>
        <v>-10.560000000000002</v>
      </c>
      <c r="M138" s="94"/>
    </row>
    <row r="139" spans="2:13" ht="12.75" customHeight="1">
      <c r="B139" s="93" t="s">
        <v>766</v>
      </c>
      <c r="C139" s="94" t="s">
        <v>560</v>
      </c>
      <c r="D139" s="94">
        <v>6</v>
      </c>
      <c r="E139" s="94">
        <v>1</v>
      </c>
      <c r="F139" s="94">
        <v>14</v>
      </c>
      <c r="G139" s="94"/>
      <c r="H139" s="94">
        <v>3.3</v>
      </c>
      <c r="I139" s="94"/>
      <c r="J139" s="94"/>
      <c r="K139" s="94"/>
      <c r="L139" s="94">
        <f t="shared" si="6"/>
        <v>277.2</v>
      </c>
      <c r="M139" s="94"/>
    </row>
    <row r="140" spans="2:13" ht="12.75" customHeight="1">
      <c r="B140" s="193" t="s">
        <v>785</v>
      </c>
      <c r="C140" s="94" t="s">
        <v>560</v>
      </c>
      <c r="D140" s="94">
        <v>-6</v>
      </c>
      <c r="E140" s="94">
        <v>1</v>
      </c>
      <c r="F140" s="94">
        <v>1.1000000000000001</v>
      </c>
      <c r="G140" s="94"/>
      <c r="H140" s="94">
        <v>2.2000000000000002</v>
      </c>
      <c r="I140" s="94"/>
      <c r="J140" s="94"/>
      <c r="K140" s="94"/>
      <c r="L140" s="94">
        <f t="shared" si="6"/>
        <v>-14.520000000000003</v>
      </c>
      <c r="M140" s="94"/>
    </row>
    <row r="141" spans="2:13" ht="12.75" customHeight="1">
      <c r="B141" s="93" t="s">
        <v>766</v>
      </c>
      <c r="C141" s="94" t="s">
        <v>560</v>
      </c>
      <c r="D141" s="94">
        <v>6</v>
      </c>
      <c r="E141" s="94">
        <v>1</v>
      </c>
      <c r="F141" s="94">
        <v>4.5999999999999996</v>
      </c>
      <c r="G141" s="94"/>
      <c r="H141" s="94">
        <v>3.3</v>
      </c>
      <c r="I141" s="94"/>
      <c r="J141" s="94"/>
      <c r="K141" s="94"/>
      <c r="L141" s="94">
        <f t="shared" si="6"/>
        <v>91.079999999999984</v>
      </c>
      <c r="M141" s="94"/>
    </row>
    <row r="142" spans="2:13" ht="12.75" customHeight="1">
      <c r="B142" s="193" t="s">
        <v>773</v>
      </c>
      <c r="C142" s="94" t="s">
        <v>560</v>
      </c>
      <c r="D142" s="94">
        <v>-6</v>
      </c>
      <c r="E142" s="94">
        <v>1</v>
      </c>
      <c r="F142" s="94">
        <v>0.8</v>
      </c>
      <c r="G142" s="94"/>
      <c r="H142" s="94">
        <v>2.2000000000000002</v>
      </c>
      <c r="I142" s="94"/>
      <c r="J142" s="94"/>
      <c r="K142" s="94"/>
      <c r="L142" s="94">
        <f t="shared" si="6"/>
        <v>-10.560000000000002</v>
      </c>
      <c r="M142" s="94"/>
    </row>
    <row r="143" spans="2:13" ht="12.75" customHeight="1">
      <c r="B143" s="93" t="s">
        <v>766</v>
      </c>
      <c r="C143" s="94" t="s">
        <v>560</v>
      </c>
      <c r="D143" s="94">
        <v>6</v>
      </c>
      <c r="E143" s="94">
        <v>1</v>
      </c>
      <c r="F143" s="94">
        <v>8.1999999999999993</v>
      </c>
      <c r="G143" s="94"/>
      <c r="H143" s="94">
        <v>3.3</v>
      </c>
      <c r="I143" s="94"/>
      <c r="J143" s="94"/>
      <c r="K143" s="94"/>
      <c r="L143" s="94">
        <f t="shared" si="6"/>
        <v>162.35999999999999</v>
      </c>
      <c r="M143" s="94"/>
    </row>
    <row r="144" spans="2:13" ht="12.75" customHeight="1">
      <c r="B144" s="193" t="s">
        <v>770</v>
      </c>
      <c r="C144" s="94" t="s">
        <v>560</v>
      </c>
      <c r="D144" s="94">
        <v>-6</v>
      </c>
      <c r="E144" s="94">
        <v>1</v>
      </c>
      <c r="F144" s="94">
        <v>1</v>
      </c>
      <c r="G144" s="94"/>
      <c r="H144" s="94">
        <v>2.2000000000000002</v>
      </c>
      <c r="I144" s="94"/>
      <c r="J144" s="94"/>
      <c r="K144" s="94"/>
      <c r="L144" s="94">
        <f t="shared" si="6"/>
        <v>-13.200000000000001</v>
      </c>
      <c r="M144" s="94"/>
    </row>
    <row r="145" spans="2:13" ht="12.75" customHeight="1">
      <c r="B145" s="93" t="s">
        <v>766</v>
      </c>
      <c r="C145" s="94" t="s">
        <v>560</v>
      </c>
      <c r="D145" s="94">
        <v>1</v>
      </c>
      <c r="E145" s="94">
        <v>1</v>
      </c>
      <c r="F145" s="94">
        <f>33*2+23*2</f>
        <v>112</v>
      </c>
      <c r="G145" s="94"/>
      <c r="H145" s="94">
        <v>1.6</v>
      </c>
      <c r="I145" s="94"/>
      <c r="J145" s="94"/>
      <c r="K145" s="94"/>
      <c r="L145" s="94">
        <f t="shared" si="6"/>
        <v>179.20000000000002</v>
      </c>
      <c r="M145" s="94"/>
    </row>
    <row r="146" spans="2:13" ht="12.75" customHeight="1">
      <c r="B146" s="193"/>
      <c r="C146" s="94"/>
      <c r="D146" s="94"/>
      <c r="E146" s="94"/>
      <c r="F146" s="94"/>
      <c r="G146" s="94"/>
      <c r="H146" s="94"/>
      <c r="I146" s="94"/>
      <c r="J146" s="94"/>
      <c r="K146" s="94"/>
      <c r="L146" s="94"/>
      <c r="M146" s="94"/>
    </row>
    <row r="147" spans="2:13" ht="12.75" customHeight="1">
      <c r="B147" s="93" t="s">
        <v>767</v>
      </c>
      <c r="C147" s="94" t="s">
        <v>560</v>
      </c>
      <c r="D147" s="94">
        <v>6</v>
      </c>
      <c r="E147" s="94">
        <v>1</v>
      </c>
      <c r="F147" s="94">
        <v>1.3</v>
      </c>
      <c r="G147" s="94"/>
      <c r="H147" s="94">
        <v>3.3</v>
      </c>
      <c r="I147" s="94"/>
      <c r="J147" s="94"/>
      <c r="K147" s="94"/>
      <c r="L147" s="94"/>
      <c r="M147" s="194">
        <f t="shared" ref="M147:M168" si="8">PRODUCT(D147:I147)</f>
        <v>25.740000000000002</v>
      </c>
    </row>
    <row r="148" spans="2:13" ht="12.75" customHeight="1">
      <c r="B148" s="193" t="s">
        <v>776</v>
      </c>
      <c r="C148" s="94" t="s">
        <v>560</v>
      </c>
      <c r="D148" s="94">
        <v>-6</v>
      </c>
      <c r="E148" s="94">
        <v>1</v>
      </c>
      <c r="F148" s="94">
        <v>0.8</v>
      </c>
      <c r="G148" s="94"/>
      <c r="H148" s="94">
        <v>2.2000000000000002</v>
      </c>
      <c r="I148" s="94"/>
      <c r="J148" s="94"/>
      <c r="K148" s="94"/>
      <c r="L148" s="94"/>
      <c r="M148" s="194">
        <f t="shared" si="8"/>
        <v>-10.560000000000002</v>
      </c>
    </row>
    <row r="149" spans="2:13" ht="12.75" customHeight="1">
      <c r="B149" s="93" t="s">
        <v>767</v>
      </c>
      <c r="C149" s="94" t="s">
        <v>560</v>
      </c>
      <c r="D149" s="94">
        <v>6</v>
      </c>
      <c r="E149" s="94">
        <v>1</v>
      </c>
      <c r="F149" s="94">
        <f>2.8+1.9</f>
        <v>4.6999999999999993</v>
      </c>
      <c r="G149" s="94"/>
      <c r="H149" s="94">
        <v>3.3</v>
      </c>
      <c r="I149" s="94"/>
      <c r="J149" s="94"/>
      <c r="K149" s="94"/>
      <c r="L149" s="94"/>
      <c r="M149" s="194">
        <f t="shared" si="8"/>
        <v>93.059999999999974</v>
      </c>
    </row>
    <row r="150" spans="2:13" ht="12.75" customHeight="1">
      <c r="B150" s="193" t="s">
        <v>788</v>
      </c>
      <c r="C150" s="94" t="s">
        <v>560</v>
      </c>
      <c r="D150" s="94">
        <v>-6</v>
      </c>
      <c r="E150" s="94">
        <v>1</v>
      </c>
      <c r="F150" s="94">
        <v>0.9</v>
      </c>
      <c r="G150" s="94"/>
      <c r="H150" s="94">
        <v>2.2000000000000002</v>
      </c>
      <c r="I150" s="94"/>
      <c r="J150" s="94"/>
      <c r="K150" s="94"/>
      <c r="L150" s="94"/>
      <c r="M150" s="194">
        <f t="shared" si="8"/>
        <v>-11.880000000000003</v>
      </c>
    </row>
    <row r="151" spans="2:13" ht="12.75" customHeight="1">
      <c r="B151" s="93" t="s">
        <v>767</v>
      </c>
      <c r="C151" s="94" t="s">
        <v>560</v>
      </c>
      <c r="D151" s="94">
        <v>6</v>
      </c>
      <c r="E151" s="94">
        <v>1</v>
      </c>
      <c r="F151" s="94">
        <f>2.1+2.3+1.6</f>
        <v>6</v>
      </c>
      <c r="G151" s="94"/>
      <c r="H151" s="94">
        <v>3.3</v>
      </c>
      <c r="I151" s="94"/>
      <c r="J151" s="94"/>
      <c r="K151" s="94"/>
      <c r="L151" s="94"/>
      <c r="M151" s="194">
        <f t="shared" si="8"/>
        <v>118.8</v>
      </c>
    </row>
    <row r="152" spans="2:13" ht="12.75" customHeight="1">
      <c r="B152" s="193" t="s">
        <v>788</v>
      </c>
      <c r="C152" s="94" t="s">
        <v>560</v>
      </c>
      <c r="D152" s="94">
        <v>-6</v>
      </c>
      <c r="E152" s="94">
        <v>1</v>
      </c>
      <c r="F152" s="94">
        <v>0.9</v>
      </c>
      <c r="G152" s="94"/>
      <c r="H152" s="94">
        <v>2.2000000000000002</v>
      </c>
      <c r="I152" s="94"/>
      <c r="J152" s="94"/>
      <c r="K152" s="94"/>
      <c r="L152" s="94"/>
      <c r="M152" s="194">
        <f t="shared" si="8"/>
        <v>-11.880000000000003</v>
      </c>
    </row>
    <row r="153" spans="2:13" ht="12.75" customHeight="1">
      <c r="B153" s="93" t="s">
        <v>767</v>
      </c>
      <c r="C153" s="94" t="s">
        <v>560</v>
      </c>
      <c r="D153" s="94">
        <v>6</v>
      </c>
      <c r="E153" s="94">
        <v>1</v>
      </c>
      <c r="F153" s="94">
        <v>3</v>
      </c>
      <c r="G153" s="94"/>
      <c r="H153" s="94">
        <v>3.3</v>
      </c>
      <c r="I153" s="94"/>
      <c r="J153" s="94"/>
      <c r="K153" s="94"/>
      <c r="L153" s="94"/>
      <c r="M153" s="194">
        <f t="shared" si="8"/>
        <v>59.4</v>
      </c>
    </row>
    <row r="154" spans="2:13" ht="12.75" customHeight="1">
      <c r="B154" s="193" t="s">
        <v>788</v>
      </c>
      <c r="C154" s="94" t="s">
        <v>560</v>
      </c>
      <c r="D154" s="94">
        <v>-6</v>
      </c>
      <c r="E154" s="94">
        <v>1</v>
      </c>
      <c r="F154" s="94">
        <v>0.9</v>
      </c>
      <c r="G154" s="94"/>
      <c r="H154" s="94">
        <v>2.2000000000000002</v>
      </c>
      <c r="I154" s="94"/>
      <c r="J154" s="94"/>
      <c r="K154" s="94"/>
      <c r="L154" s="94"/>
      <c r="M154" s="194">
        <f t="shared" si="8"/>
        <v>-11.880000000000003</v>
      </c>
    </row>
    <row r="155" spans="2:13" ht="12.75" customHeight="1">
      <c r="B155" s="93" t="s">
        <v>767</v>
      </c>
      <c r="C155" s="94" t="s">
        <v>560</v>
      </c>
      <c r="D155" s="94">
        <v>6</v>
      </c>
      <c r="E155" s="94">
        <v>1</v>
      </c>
      <c r="F155" s="94">
        <v>4.4000000000000004</v>
      </c>
      <c r="G155" s="94"/>
      <c r="H155" s="94">
        <v>3.3</v>
      </c>
      <c r="I155" s="94"/>
      <c r="J155" s="94"/>
      <c r="K155" s="94"/>
      <c r="L155" s="94"/>
      <c r="M155" s="194">
        <f t="shared" si="8"/>
        <v>87.12</v>
      </c>
    </row>
    <row r="156" spans="2:13" ht="12.75" customHeight="1">
      <c r="B156" s="193" t="s">
        <v>788</v>
      </c>
      <c r="C156" s="94" t="s">
        <v>560</v>
      </c>
      <c r="D156" s="94">
        <v>-6</v>
      </c>
      <c r="E156" s="94">
        <v>1</v>
      </c>
      <c r="F156" s="94">
        <v>0.9</v>
      </c>
      <c r="G156" s="94"/>
      <c r="H156" s="94">
        <v>2.2000000000000002</v>
      </c>
      <c r="I156" s="94"/>
      <c r="J156" s="94"/>
      <c r="K156" s="94"/>
      <c r="L156" s="94"/>
      <c r="M156" s="194">
        <f t="shared" si="8"/>
        <v>-11.880000000000003</v>
      </c>
    </row>
    <row r="157" spans="2:13" ht="12.75" customHeight="1">
      <c r="B157" s="93" t="s">
        <v>767</v>
      </c>
      <c r="C157" s="94" t="s">
        <v>560</v>
      </c>
      <c r="D157" s="94">
        <v>6</v>
      </c>
      <c r="E157" s="94">
        <v>1</v>
      </c>
      <c r="F157" s="94">
        <v>1.6</v>
      </c>
      <c r="G157" s="94"/>
      <c r="H157" s="94">
        <v>3.3</v>
      </c>
      <c r="I157" s="94"/>
      <c r="J157" s="94"/>
      <c r="K157" s="94"/>
      <c r="L157" s="94"/>
      <c r="M157" s="194">
        <f t="shared" si="8"/>
        <v>31.680000000000003</v>
      </c>
    </row>
    <row r="158" spans="2:13" ht="12.75" customHeight="1">
      <c r="B158" s="93" t="s">
        <v>767</v>
      </c>
      <c r="C158" s="94" t="s">
        <v>560</v>
      </c>
      <c r="D158" s="94">
        <v>6</v>
      </c>
      <c r="E158" s="94">
        <v>1</v>
      </c>
      <c r="F158" s="94">
        <f>3.6+2.9</f>
        <v>6.5</v>
      </c>
      <c r="G158" s="94"/>
      <c r="H158" s="94">
        <v>3.3</v>
      </c>
      <c r="I158" s="94"/>
      <c r="J158" s="94"/>
      <c r="K158" s="94"/>
      <c r="L158" s="94"/>
      <c r="M158" s="194">
        <f t="shared" si="8"/>
        <v>128.69999999999999</v>
      </c>
    </row>
    <row r="159" spans="2:13" ht="12.75" customHeight="1">
      <c r="B159" s="193" t="s">
        <v>788</v>
      </c>
      <c r="C159" s="94" t="s">
        <v>560</v>
      </c>
      <c r="D159" s="94">
        <v>-6</v>
      </c>
      <c r="E159" s="94">
        <v>1</v>
      </c>
      <c r="F159" s="94">
        <v>0.9</v>
      </c>
      <c r="G159" s="94"/>
      <c r="H159" s="94">
        <v>2.2000000000000002</v>
      </c>
      <c r="I159" s="94"/>
      <c r="J159" s="94"/>
      <c r="K159" s="94"/>
      <c r="L159" s="94"/>
      <c r="M159" s="194">
        <f t="shared" si="8"/>
        <v>-11.880000000000003</v>
      </c>
    </row>
    <row r="160" spans="2:13" ht="12.75" customHeight="1">
      <c r="B160" s="193" t="s">
        <v>776</v>
      </c>
      <c r="C160" s="94" t="s">
        <v>560</v>
      </c>
      <c r="D160" s="94">
        <v>-6</v>
      </c>
      <c r="E160" s="94">
        <v>1</v>
      </c>
      <c r="F160" s="94">
        <v>0.8</v>
      </c>
      <c r="G160" s="94"/>
      <c r="H160" s="94">
        <v>2.2000000000000002</v>
      </c>
      <c r="I160" s="94"/>
      <c r="J160" s="94"/>
      <c r="K160" s="94"/>
      <c r="L160" s="94"/>
      <c r="M160" s="194">
        <f t="shared" si="8"/>
        <v>-10.560000000000002</v>
      </c>
    </row>
    <row r="161" spans="1:13" ht="12.75" customHeight="1">
      <c r="B161" s="93" t="s">
        <v>767</v>
      </c>
      <c r="C161" s="94" t="s">
        <v>560</v>
      </c>
      <c r="D161" s="94">
        <v>6</v>
      </c>
      <c r="E161" s="94">
        <v>1</v>
      </c>
      <c r="F161" s="94">
        <v>3.5</v>
      </c>
      <c r="G161" s="94"/>
      <c r="H161" s="94">
        <v>3.3</v>
      </c>
      <c r="I161" s="94"/>
      <c r="J161" s="94"/>
      <c r="K161" s="94"/>
      <c r="L161" s="94"/>
      <c r="M161" s="194">
        <f t="shared" si="8"/>
        <v>69.3</v>
      </c>
    </row>
    <row r="162" spans="1:13" ht="12.75" customHeight="1">
      <c r="B162" s="193" t="s">
        <v>776</v>
      </c>
      <c r="C162" s="94" t="s">
        <v>560</v>
      </c>
      <c r="D162" s="94">
        <v>-6</v>
      </c>
      <c r="E162" s="94">
        <v>1</v>
      </c>
      <c r="F162" s="94">
        <v>0.8</v>
      </c>
      <c r="G162" s="94"/>
      <c r="H162" s="94">
        <v>2.2000000000000002</v>
      </c>
      <c r="I162" s="94"/>
      <c r="J162" s="94"/>
      <c r="K162" s="94"/>
      <c r="L162" s="94"/>
      <c r="M162" s="194">
        <f t="shared" si="8"/>
        <v>-10.560000000000002</v>
      </c>
    </row>
    <row r="163" spans="1:13" ht="12.75" customHeight="1">
      <c r="B163" s="93" t="s">
        <v>767</v>
      </c>
      <c r="C163" s="94" t="s">
        <v>560</v>
      </c>
      <c r="D163" s="94">
        <v>6</v>
      </c>
      <c r="E163" s="94">
        <v>1</v>
      </c>
      <c r="F163" s="94">
        <v>8.1</v>
      </c>
      <c r="G163" s="94"/>
      <c r="H163" s="94">
        <v>3.3</v>
      </c>
      <c r="I163" s="94"/>
      <c r="J163" s="94"/>
      <c r="K163" s="94"/>
      <c r="L163" s="94"/>
      <c r="M163" s="194">
        <f t="shared" si="8"/>
        <v>160.37999999999997</v>
      </c>
    </row>
    <row r="164" spans="1:13" ht="12.75" customHeight="1">
      <c r="B164" s="193" t="s">
        <v>770</v>
      </c>
      <c r="C164" s="94" t="s">
        <v>560</v>
      </c>
      <c r="D164" s="94">
        <v>-6</v>
      </c>
      <c r="E164" s="94">
        <v>1</v>
      </c>
      <c r="F164" s="94">
        <v>1</v>
      </c>
      <c r="G164" s="94"/>
      <c r="H164" s="94">
        <v>2.2000000000000002</v>
      </c>
      <c r="I164" s="94"/>
      <c r="J164" s="94"/>
      <c r="K164" s="94"/>
      <c r="L164" s="94"/>
      <c r="M164" s="194">
        <f t="shared" si="8"/>
        <v>-13.200000000000001</v>
      </c>
    </row>
    <row r="165" spans="1:13" ht="12.75" customHeight="1">
      <c r="B165" s="93" t="s">
        <v>767</v>
      </c>
      <c r="C165" s="94" t="s">
        <v>560</v>
      </c>
      <c r="D165" s="94">
        <v>6</v>
      </c>
      <c r="E165" s="94">
        <v>1</v>
      </c>
      <c r="F165" s="94">
        <v>7.9</v>
      </c>
      <c r="G165" s="94"/>
      <c r="H165" s="94">
        <v>3.3</v>
      </c>
      <c r="I165" s="94"/>
      <c r="J165" s="94"/>
      <c r="K165" s="94"/>
      <c r="L165" s="94"/>
      <c r="M165" s="194">
        <f t="shared" si="8"/>
        <v>156.42000000000002</v>
      </c>
    </row>
    <row r="166" spans="1:13" ht="12.75" customHeight="1">
      <c r="B166" s="193" t="s">
        <v>788</v>
      </c>
      <c r="C166" s="94" t="s">
        <v>560</v>
      </c>
      <c r="D166" s="94">
        <v>-6</v>
      </c>
      <c r="E166" s="94">
        <v>2</v>
      </c>
      <c r="F166" s="94">
        <v>0.9</v>
      </c>
      <c r="G166" s="94"/>
      <c r="H166" s="94">
        <v>2.2000000000000002</v>
      </c>
      <c r="I166" s="94"/>
      <c r="J166" s="94"/>
      <c r="K166" s="94"/>
      <c r="L166" s="94"/>
      <c r="M166" s="194">
        <f t="shared" si="8"/>
        <v>-23.760000000000005</v>
      </c>
    </row>
    <row r="167" spans="1:13" ht="12.75" customHeight="1">
      <c r="B167" s="93" t="s">
        <v>767</v>
      </c>
      <c r="C167" s="94" t="s">
        <v>560</v>
      </c>
      <c r="D167" s="94">
        <v>6</v>
      </c>
      <c r="E167" s="94">
        <v>1</v>
      </c>
      <c r="F167" s="94">
        <f>5.8+2.7</f>
        <v>8.5</v>
      </c>
      <c r="G167" s="94"/>
      <c r="H167" s="94">
        <v>3.3</v>
      </c>
      <c r="I167" s="94"/>
      <c r="J167" s="94"/>
      <c r="K167" s="94"/>
      <c r="L167" s="94"/>
      <c r="M167" s="194">
        <f t="shared" si="8"/>
        <v>168.29999999999998</v>
      </c>
    </row>
    <row r="168" spans="1:13" ht="12.75" customHeight="1">
      <c r="B168" s="193" t="s">
        <v>776</v>
      </c>
      <c r="C168" s="94" t="s">
        <v>560</v>
      </c>
      <c r="D168" s="94">
        <v>-6</v>
      </c>
      <c r="E168" s="94">
        <v>3</v>
      </c>
      <c r="F168" s="94">
        <v>0.8</v>
      </c>
      <c r="G168" s="94"/>
      <c r="H168" s="94">
        <v>2.2000000000000002</v>
      </c>
      <c r="I168" s="94"/>
      <c r="J168" s="94"/>
      <c r="K168" s="94"/>
      <c r="L168" s="94"/>
      <c r="M168" s="194">
        <f t="shared" si="8"/>
        <v>-31.680000000000003</v>
      </c>
    </row>
    <row r="169" spans="1:13" ht="12.75" customHeight="1">
      <c r="A169" s="196"/>
      <c r="B169" s="196" t="s">
        <v>194</v>
      </c>
      <c r="C169" s="197"/>
      <c r="D169" s="197"/>
      <c r="E169" s="197"/>
      <c r="F169" s="197"/>
      <c r="G169" s="197"/>
      <c r="H169" s="197"/>
      <c r="I169" s="197"/>
      <c r="J169" s="197"/>
      <c r="K169" s="198">
        <f t="shared" ref="K169:M169" si="9">SUM(K6:K168)</f>
        <v>30.369999999999997</v>
      </c>
      <c r="L169" s="198">
        <f t="shared" si="9"/>
        <v>4553.0495000000001</v>
      </c>
      <c r="M169" s="198">
        <f t="shared" si="9"/>
        <v>943.07499999999993</v>
      </c>
    </row>
    <row r="170" spans="1:13" ht="12.75" customHeight="1">
      <c r="C170" s="94"/>
      <c r="D170" s="94"/>
      <c r="E170" s="94"/>
      <c r="F170" s="94"/>
      <c r="G170" s="94"/>
      <c r="H170" s="94"/>
      <c r="I170" s="94"/>
      <c r="J170" s="94"/>
      <c r="K170" s="94"/>
      <c r="L170" s="94"/>
    </row>
    <row r="171" spans="1:13" ht="12.75" customHeight="1">
      <c r="C171" s="94"/>
      <c r="D171" s="94"/>
      <c r="E171" s="94"/>
      <c r="F171" s="94"/>
      <c r="G171" s="94"/>
      <c r="H171" s="94"/>
      <c r="I171" s="94"/>
      <c r="J171" s="94"/>
      <c r="K171" s="94"/>
      <c r="L171" s="94"/>
    </row>
    <row r="172" spans="1:13" ht="12.75" customHeight="1">
      <c r="B172" s="93" t="s">
        <v>789</v>
      </c>
      <c r="C172" s="94" t="s">
        <v>560</v>
      </c>
      <c r="D172" s="94">
        <v>1</v>
      </c>
      <c r="E172" s="94">
        <v>1</v>
      </c>
      <c r="F172" s="94">
        <v>112</v>
      </c>
      <c r="G172" s="94"/>
      <c r="H172" s="94">
        <v>1.6</v>
      </c>
      <c r="I172" s="94"/>
      <c r="J172" s="94"/>
      <c r="K172" s="94"/>
      <c r="L172" s="94">
        <f>PRODUCT(D172:H172)</f>
        <v>179.20000000000002</v>
      </c>
    </row>
    <row r="173" spans="1:13" ht="12.75" customHeight="1">
      <c r="C173" s="94"/>
      <c r="D173" s="94"/>
      <c r="E173" s="94"/>
      <c r="F173" s="94"/>
      <c r="G173" s="94"/>
      <c r="H173" s="94"/>
      <c r="I173" s="94"/>
      <c r="J173" s="94"/>
      <c r="K173" s="94"/>
      <c r="L173" s="94"/>
    </row>
    <row r="174" spans="1:13" ht="12.75" customHeight="1">
      <c r="A174" s="196"/>
      <c r="B174" s="196" t="s">
        <v>194</v>
      </c>
      <c r="C174" s="197"/>
      <c r="D174" s="197"/>
      <c r="E174" s="197"/>
      <c r="F174" s="197"/>
      <c r="G174" s="197"/>
      <c r="H174" s="197"/>
      <c r="I174" s="197"/>
      <c r="J174" s="197"/>
      <c r="K174" s="198">
        <f t="shared" ref="K174:L174" si="10">SUM(K172:K173)</f>
        <v>0</v>
      </c>
      <c r="L174" s="198">
        <f t="shared" si="10"/>
        <v>179.20000000000002</v>
      </c>
    </row>
    <row r="175" spans="1:13" ht="12.75" customHeight="1">
      <c r="C175" s="94"/>
      <c r="D175" s="94"/>
      <c r="E175" s="94"/>
      <c r="F175" s="94"/>
      <c r="G175" s="94"/>
      <c r="H175" s="94"/>
      <c r="I175" s="94"/>
      <c r="J175" s="94"/>
      <c r="K175" s="94"/>
      <c r="L175" s="94"/>
    </row>
    <row r="176" spans="1:13" ht="12.75" customHeight="1">
      <c r="B176" s="93" t="s">
        <v>790</v>
      </c>
      <c r="C176" s="94"/>
      <c r="D176" s="94"/>
      <c r="E176" s="94"/>
      <c r="F176" s="94"/>
      <c r="G176" s="94"/>
      <c r="H176" s="94"/>
      <c r="I176" s="94"/>
      <c r="J176" s="94"/>
      <c r="K176" s="94"/>
      <c r="L176" s="94"/>
    </row>
    <row r="177" spans="1:12" ht="12.75" customHeight="1">
      <c r="B177" s="93" t="s">
        <v>791</v>
      </c>
      <c r="C177" s="94" t="s">
        <v>560</v>
      </c>
      <c r="D177" s="94">
        <v>1</v>
      </c>
      <c r="E177" s="94">
        <v>5</v>
      </c>
      <c r="F177" s="94">
        <v>11.5</v>
      </c>
      <c r="G177" s="94"/>
      <c r="H177" s="94">
        <f t="shared" ref="H177:H178" si="11">3.3-0.6</f>
        <v>2.6999999999999997</v>
      </c>
      <c r="I177" s="94"/>
      <c r="J177" s="94"/>
      <c r="K177" s="94">
        <f t="shared" ref="K177:K178" si="12">PRODUCT(D177:H177)</f>
        <v>155.24999999999997</v>
      </c>
      <c r="L177" s="94"/>
    </row>
    <row r="178" spans="1:12" ht="12.75" customHeight="1">
      <c r="B178" s="93" t="s">
        <v>791</v>
      </c>
      <c r="C178" s="94" t="s">
        <v>560</v>
      </c>
      <c r="D178" s="94">
        <v>1</v>
      </c>
      <c r="E178" s="94">
        <v>1</v>
      </c>
      <c r="F178" s="94">
        <f>11.5-1.75</f>
        <v>9.75</v>
      </c>
      <c r="G178" s="94"/>
      <c r="H178" s="94">
        <f t="shared" si="11"/>
        <v>2.6999999999999997</v>
      </c>
      <c r="I178" s="94"/>
      <c r="J178" s="94"/>
      <c r="K178" s="94">
        <f t="shared" si="12"/>
        <v>26.324999999999996</v>
      </c>
      <c r="L178" s="94"/>
    </row>
    <row r="179" spans="1:12" ht="12.75" customHeight="1">
      <c r="C179" s="94"/>
      <c r="D179" s="94"/>
      <c r="E179" s="94"/>
      <c r="F179" s="94"/>
      <c r="G179" s="94"/>
      <c r="H179" s="94"/>
      <c r="I179" s="94"/>
      <c r="J179" s="94"/>
      <c r="K179" s="94"/>
      <c r="L179" s="94"/>
    </row>
    <row r="180" spans="1:12" ht="12.75" customHeight="1">
      <c r="A180" s="196"/>
      <c r="B180" s="196" t="s">
        <v>194</v>
      </c>
      <c r="C180" s="197"/>
      <c r="D180" s="197"/>
      <c r="E180" s="197"/>
      <c r="F180" s="197"/>
      <c r="G180" s="197"/>
      <c r="H180" s="197"/>
      <c r="I180" s="197"/>
      <c r="J180" s="197"/>
      <c r="K180" s="198">
        <f t="shared" ref="K180:L180" si="13">SUM(K177:K179)</f>
        <v>181.57499999999996</v>
      </c>
      <c r="L180" s="198">
        <f t="shared" si="13"/>
        <v>0</v>
      </c>
    </row>
    <row r="181" spans="1:12" ht="12.75" customHeight="1">
      <c r="C181" s="94"/>
      <c r="D181" s="94"/>
      <c r="E181" s="94"/>
      <c r="F181" s="94"/>
      <c r="G181" s="94"/>
      <c r="H181" s="94"/>
      <c r="I181" s="94"/>
      <c r="J181" s="94"/>
      <c r="K181" s="94"/>
      <c r="L181" s="94"/>
    </row>
    <row r="182" spans="1:12" ht="12.75" customHeight="1">
      <c r="C182" s="94"/>
      <c r="D182" s="94"/>
      <c r="E182" s="94"/>
      <c r="F182" s="94"/>
      <c r="G182" s="94"/>
      <c r="H182" s="94"/>
      <c r="I182" s="94"/>
      <c r="J182" s="94"/>
      <c r="K182" s="94"/>
      <c r="L182" s="94"/>
    </row>
    <row r="183" spans="1:12" ht="12.75" customHeight="1">
      <c r="C183" s="94"/>
      <c r="D183" s="94"/>
      <c r="E183" s="94"/>
      <c r="F183" s="94"/>
      <c r="G183" s="94"/>
      <c r="H183" s="94"/>
      <c r="I183" s="94"/>
      <c r="J183" s="94"/>
      <c r="K183" s="94"/>
      <c r="L183" s="94"/>
    </row>
    <row r="184" spans="1:12" ht="12.75" customHeight="1">
      <c r="C184" s="94"/>
      <c r="D184" s="94"/>
      <c r="E184" s="94"/>
      <c r="F184" s="94"/>
      <c r="G184" s="94"/>
      <c r="H184" s="94"/>
      <c r="I184" s="94"/>
      <c r="J184" s="94"/>
      <c r="K184" s="94"/>
      <c r="L184" s="94"/>
    </row>
    <row r="185" spans="1:12" ht="12.75" customHeight="1">
      <c r="C185" s="94"/>
      <c r="D185" s="94"/>
      <c r="E185" s="94"/>
      <c r="F185" s="94"/>
      <c r="G185" s="94"/>
      <c r="H185" s="94"/>
      <c r="I185" s="94"/>
      <c r="J185" s="94"/>
      <c r="K185" s="94"/>
      <c r="L185" s="94"/>
    </row>
    <row r="186" spans="1:12" ht="12.75" customHeight="1">
      <c r="C186" s="94"/>
      <c r="D186" s="94"/>
      <c r="E186" s="94"/>
      <c r="F186" s="94"/>
      <c r="G186" s="94"/>
      <c r="H186" s="94"/>
      <c r="I186" s="94"/>
      <c r="J186" s="94"/>
      <c r="K186" s="94"/>
      <c r="L186" s="94"/>
    </row>
    <row r="187" spans="1:12" ht="12.75" customHeight="1">
      <c r="C187" s="94"/>
      <c r="D187" s="94"/>
      <c r="E187" s="94"/>
      <c r="F187" s="94"/>
      <c r="G187" s="94"/>
      <c r="H187" s="94"/>
      <c r="I187" s="94"/>
      <c r="J187" s="94"/>
      <c r="K187" s="94"/>
      <c r="L187" s="94"/>
    </row>
    <row r="188" spans="1:12" ht="12.75" customHeight="1">
      <c r="C188" s="94"/>
      <c r="D188" s="94"/>
      <c r="E188" s="94"/>
      <c r="F188" s="94"/>
      <c r="G188" s="94"/>
      <c r="H188" s="94"/>
      <c r="I188" s="94"/>
      <c r="J188" s="94"/>
      <c r="K188" s="94"/>
      <c r="L188" s="94"/>
    </row>
    <row r="189" spans="1:12" ht="12.75" customHeight="1">
      <c r="C189" s="94"/>
      <c r="D189" s="94"/>
      <c r="E189" s="94"/>
      <c r="F189" s="94"/>
      <c r="G189" s="94"/>
      <c r="H189" s="94"/>
      <c r="I189" s="94"/>
      <c r="J189" s="94"/>
      <c r="K189" s="94"/>
      <c r="L189" s="94"/>
    </row>
    <row r="190" spans="1:12" ht="12.75" customHeight="1">
      <c r="C190" s="94"/>
      <c r="D190" s="94"/>
      <c r="E190" s="94"/>
      <c r="F190" s="94"/>
      <c r="G190" s="94"/>
      <c r="H190" s="94"/>
      <c r="I190" s="94"/>
      <c r="J190" s="94"/>
      <c r="K190" s="94"/>
      <c r="L190" s="94"/>
    </row>
    <row r="191" spans="1:12" ht="12.75" customHeight="1">
      <c r="C191" s="94"/>
      <c r="D191" s="94"/>
      <c r="E191" s="94"/>
      <c r="F191" s="94"/>
      <c r="G191" s="94"/>
      <c r="H191" s="94"/>
      <c r="I191" s="94"/>
      <c r="J191" s="94"/>
      <c r="K191" s="94"/>
      <c r="L191" s="94"/>
    </row>
    <row r="192" spans="1:12" ht="12.75" customHeight="1">
      <c r="C192" s="94"/>
      <c r="D192" s="94"/>
      <c r="E192" s="94"/>
      <c r="F192" s="94"/>
      <c r="G192" s="94"/>
      <c r="H192" s="94"/>
      <c r="I192" s="94"/>
      <c r="J192" s="94"/>
      <c r="K192" s="94"/>
      <c r="L192" s="94"/>
    </row>
    <row r="193" spans="3:12" ht="12.75" customHeight="1">
      <c r="C193" s="94"/>
      <c r="D193" s="94"/>
      <c r="E193" s="94"/>
      <c r="F193" s="94"/>
      <c r="G193" s="94"/>
      <c r="H193" s="94"/>
      <c r="I193" s="94"/>
      <c r="J193" s="94"/>
      <c r="K193" s="94"/>
      <c r="L193" s="94"/>
    </row>
    <row r="194" spans="3:12" ht="12.75" customHeight="1">
      <c r="C194" s="94"/>
      <c r="D194" s="94"/>
      <c r="E194" s="94"/>
      <c r="F194" s="94"/>
      <c r="G194" s="94"/>
      <c r="H194" s="94"/>
      <c r="I194" s="94"/>
      <c r="J194" s="94"/>
      <c r="K194" s="94"/>
      <c r="L194" s="94"/>
    </row>
    <row r="195" spans="3:12" ht="12.75" customHeight="1">
      <c r="C195" s="94"/>
      <c r="D195" s="94"/>
      <c r="E195" s="94"/>
      <c r="F195" s="94"/>
      <c r="G195" s="94"/>
      <c r="H195" s="94"/>
      <c r="I195" s="94"/>
      <c r="J195" s="94"/>
      <c r="K195" s="94"/>
      <c r="L195" s="94"/>
    </row>
    <row r="196" spans="3:12" ht="12.75" customHeight="1">
      <c r="C196" s="94"/>
      <c r="D196" s="94"/>
      <c r="E196" s="94"/>
      <c r="F196" s="94"/>
      <c r="G196" s="94"/>
      <c r="H196" s="94"/>
      <c r="I196" s="94"/>
      <c r="J196" s="94"/>
      <c r="K196" s="94"/>
      <c r="L196" s="94"/>
    </row>
    <row r="197" spans="3:12" ht="12.75" customHeight="1">
      <c r="C197" s="94"/>
      <c r="D197" s="94"/>
      <c r="E197" s="94"/>
      <c r="F197" s="94"/>
      <c r="G197" s="94"/>
      <c r="H197" s="94"/>
      <c r="I197" s="94"/>
      <c r="J197" s="94"/>
      <c r="K197" s="94"/>
      <c r="L197" s="94"/>
    </row>
    <row r="198" spans="3:12" ht="12.75" customHeight="1">
      <c r="C198" s="94"/>
      <c r="D198" s="94"/>
      <c r="E198" s="94"/>
      <c r="F198" s="94"/>
      <c r="G198" s="94"/>
      <c r="H198" s="94"/>
      <c r="I198" s="94"/>
      <c r="J198" s="94"/>
      <c r="K198" s="94"/>
      <c r="L198" s="94"/>
    </row>
    <row r="199" spans="3:12" ht="12.75" customHeight="1">
      <c r="C199" s="94"/>
      <c r="D199" s="94"/>
      <c r="E199" s="94"/>
      <c r="F199" s="94"/>
      <c r="G199" s="94"/>
      <c r="H199" s="94"/>
      <c r="I199" s="94"/>
      <c r="J199" s="94"/>
      <c r="K199" s="94"/>
      <c r="L199" s="94"/>
    </row>
    <row r="200" spans="3:12" ht="12.75" customHeight="1">
      <c r="C200" s="94"/>
      <c r="D200" s="94"/>
      <c r="E200" s="94"/>
      <c r="F200" s="94"/>
      <c r="G200" s="94"/>
      <c r="H200" s="94"/>
      <c r="I200" s="94"/>
      <c r="J200" s="94"/>
      <c r="K200" s="94"/>
      <c r="L200" s="94"/>
    </row>
    <row r="201" spans="3:12" ht="12.75" customHeight="1">
      <c r="C201" s="94"/>
      <c r="D201" s="94"/>
      <c r="E201" s="94"/>
      <c r="F201" s="94"/>
      <c r="G201" s="94"/>
      <c r="H201" s="94"/>
      <c r="I201" s="94"/>
      <c r="J201" s="94"/>
      <c r="K201" s="94"/>
      <c r="L201" s="94"/>
    </row>
    <row r="202" spans="3:12" ht="12.75" customHeight="1">
      <c r="C202" s="94"/>
      <c r="D202" s="94"/>
      <c r="E202" s="94"/>
      <c r="F202" s="94"/>
      <c r="G202" s="94"/>
      <c r="H202" s="94"/>
      <c r="I202" s="94"/>
      <c r="J202" s="94"/>
      <c r="K202" s="94"/>
      <c r="L202" s="94"/>
    </row>
    <row r="203" spans="3:12" ht="12.75" customHeight="1">
      <c r="C203" s="94"/>
      <c r="D203" s="94"/>
      <c r="E203" s="94"/>
      <c r="F203" s="94"/>
      <c r="G203" s="94"/>
      <c r="H203" s="94"/>
      <c r="I203" s="94"/>
      <c r="J203" s="94"/>
      <c r="K203" s="94"/>
      <c r="L203" s="94"/>
    </row>
    <row r="204" spans="3:12" ht="12.75" customHeight="1">
      <c r="C204" s="94"/>
      <c r="D204" s="94"/>
      <c r="E204" s="94"/>
      <c r="F204" s="94"/>
      <c r="G204" s="94"/>
      <c r="H204" s="94"/>
      <c r="I204" s="94"/>
      <c r="J204" s="94"/>
      <c r="K204" s="94"/>
      <c r="L204" s="94"/>
    </row>
    <row r="205" spans="3:12" ht="12.75" customHeight="1">
      <c r="C205" s="94"/>
      <c r="D205" s="94"/>
      <c r="E205" s="94"/>
      <c r="F205" s="94"/>
      <c r="G205" s="94"/>
      <c r="H205" s="94"/>
      <c r="I205" s="94"/>
      <c r="J205" s="94"/>
      <c r="K205" s="94"/>
      <c r="L205" s="94"/>
    </row>
    <row r="206" spans="3:12" ht="12.75" customHeight="1">
      <c r="C206" s="94"/>
      <c r="D206" s="94"/>
      <c r="E206" s="94"/>
      <c r="F206" s="94"/>
      <c r="G206" s="94"/>
      <c r="H206" s="94"/>
      <c r="I206" s="94"/>
      <c r="J206" s="94"/>
      <c r="K206" s="94"/>
      <c r="L206" s="94"/>
    </row>
    <row r="207" spans="3:12" ht="12.75" customHeight="1">
      <c r="C207" s="94"/>
      <c r="D207" s="94"/>
      <c r="E207" s="94"/>
      <c r="F207" s="94"/>
      <c r="G207" s="94"/>
      <c r="H207" s="94"/>
      <c r="I207" s="94"/>
      <c r="J207" s="94"/>
      <c r="K207" s="94"/>
      <c r="L207" s="94"/>
    </row>
    <row r="208" spans="3:12" ht="12.75" customHeight="1">
      <c r="C208" s="94"/>
      <c r="D208" s="94"/>
      <c r="E208" s="94"/>
      <c r="F208" s="94"/>
      <c r="G208" s="94"/>
      <c r="H208" s="94"/>
      <c r="I208" s="94"/>
      <c r="J208" s="94"/>
      <c r="K208" s="94"/>
      <c r="L208" s="94"/>
    </row>
    <row r="209" spans="3:12" ht="12.75" customHeight="1">
      <c r="C209" s="94"/>
      <c r="D209" s="94"/>
      <c r="E209" s="94"/>
      <c r="F209" s="94"/>
      <c r="G209" s="94"/>
      <c r="H209" s="94"/>
      <c r="I209" s="94"/>
      <c r="J209" s="94"/>
      <c r="K209" s="94"/>
      <c r="L209" s="94"/>
    </row>
    <row r="210" spans="3:12" ht="12.75" customHeight="1">
      <c r="C210" s="94"/>
      <c r="D210" s="94"/>
      <c r="E210" s="94"/>
      <c r="F210" s="94"/>
      <c r="G210" s="94"/>
      <c r="H210" s="94"/>
      <c r="I210" s="94"/>
      <c r="J210" s="94"/>
      <c r="K210" s="94"/>
      <c r="L210" s="94"/>
    </row>
    <row r="211" spans="3:12" ht="12.75" customHeight="1">
      <c r="C211" s="94"/>
      <c r="D211" s="94"/>
      <c r="E211" s="94"/>
      <c r="F211" s="94"/>
      <c r="G211" s="94"/>
      <c r="H211" s="94"/>
      <c r="I211" s="94"/>
      <c r="J211" s="94"/>
      <c r="K211" s="94"/>
      <c r="L211" s="94"/>
    </row>
    <row r="212" spans="3:12" ht="12.75" customHeight="1">
      <c r="C212" s="94"/>
      <c r="D212" s="94"/>
      <c r="E212" s="94"/>
      <c r="F212" s="94"/>
      <c r="G212" s="94"/>
      <c r="H212" s="94"/>
      <c r="I212" s="94"/>
      <c r="J212" s="94"/>
      <c r="K212" s="94"/>
      <c r="L212" s="94"/>
    </row>
    <row r="213" spans="3:12" ht="12.75" customHeight="1">
      <c r="C213" s="94"/>
      <c r="D213" s="94"/>
      <c r="E213" s="94"/>
      <c r="F213" s="94"/>
      <c r="G213" s="94"/>
      <c r="H213" s="94"/>
      <c r="I213" s="94"/>
      <c r="J213" s="94"/>
      <c r="K213" s="94"/>
      <c r="L213" s="94"/>
    </row>
    <row r="214" spans="3:12" ht="12.75" customHeight="1">
      <c r="C214" s="94"/>
      <c r="D214" s="94"/>
      <c r="E214" s="94"/>
      <c r="F214" s="94"/>
      <c r="G214" s="94"/>
      <c r="H214" s="94"/>
      <c r="I214" s="94"/>
      <c r="J214" s="94"/>
      <c r="K214" s="94"/>
      <c r="L214" s="94"/>
    </row>
    <row r="215" spans="3:12" ht="12.75" customHeight="1">
      <c r="C215" s="94"/>
      <c r="D215" s="94"/>
      <c r="E215" s="94"/>
      <c r="F215" s="94"/>
      <c r="G215" s="94"/>
      <c r="H215" s="94"/>
      <c r="I215" s="94"/>
      <c r="J215" s="94"/>
      <c r="K215" s="94"/>
      <c r="L215" s="94"/>
    </row>
    <row r="216" spans="3:12" ht="12.75" customHeight="1">
      <c r="C216" s="94"/>
      <c r="D216" s="94"/>
      <c r="E216" s="94"/>
      <c r="F216" s="94"/>
      <c r="G216" s="94"/>
      <c r="H216" s="94"/>
      <c r="I216" s="94"/>
      <c r="J216" s="94"/>
      <c r="K216" s="94"/>
      <c r="L216" s="94"/>
    </row>
    <row r="217" spans="3:12" ht="12.75" customHeight="1">
      <c r="C217" s="94"/>
      <c r="D217" s="94"/>
      <c r="E217" s="94"/>
      <c r="F217" s="94"/>
      <c r="G217" s="94"/>
      <c r="H217" s="94"/>
      <c r="I217" s="94"/>
      <c r="J217" s="94"/>
      <c r="K217" s="94"/>
      <c r="L217" s="94"/>
    </row>
    <row r="218" spans="3:12" ht="12.75" customHeight="1">
      <c r="C218" s="94"/>
      <c r="D218" s="94"/>
      <c r="E218" s="94"/>
      <c r="F218" s="94"/>
      <c r="G218" s="94"/>
      <c r="H218" s="94"/>
      <c r="I218" s="94"/>
      <c r="J218" s="94"/>
      <c r="K218" s="94"/>
      <c r="L218" s="94"/>
    </row>
    <row r="219" spans="3:12" ht="12.75" customHeight="1">
      <c r="C219" s="94"/>
      <c r="D219" s="94"/>
      <c r="E219" s="94"/>
      <c r="F219" s="94"/>
      <c r="G219" s="94"/>
      <c r="H219" s="94"/>
      <c r="I219" s="94"/>
      <c r="J219" s="94"/>
      <c r="K219" s="94"/>
      <c r="L219" s="94"/>
    </row>
    <row r="220" spans="3:12" ht="12.75" customHeight="1">
      <c r="C220" s="94"/>
      <c r="D220" s="94"/>
      <c r="E220" s="94"/>
      <c r="F220" s="94"/>
      <c r="G220" s="94"/>
      <c r="H220" s="94"/>
      <c r="I220" s="94"/>
      <c r="J220" s="94"/>
      <c r="K220" s="94"/>
      <c r="L220" s="94"/>
    </row>
    <row r="221" spans="3:12" ht="12.75" customHeight="1">
      <c r="C221" s="94"/>
      <c r="D221" s="94"/>
      <c r="E221" s="94"/>
      <c r="F221" s="94"/>
      <c r="G221" s="94"/>
      <c r="H221" s="94"/>
      <c r="I221" s="94"/>
      <c r="J221" s="94"/>
      <c r="K221" s="94"/>
      <c r="L221" s="94"/>
    </row>
    <row r="222" spans="3:12" ht="12.75" customHeight="1">
      <c r="C222" s="94"/>
      <c r="D222" s="94"/>
      <c r="E222" s="94"/>
      <c r="F222" s="94"/>
      <c r="G222" s="94"/>
      <c r="H222" s="94"/>
      <c r="I222" s="94"/>
      <c r="J222" s="94"/>
      <c r="K222" s="94"/>
      <c r="L222" s="94"/>
    </row>
    <row r="223" spans="3:12" ht="12.75" customHeight="1">
      <c r="C223" s="94"/>
      <c r="D223" s="94"/>
      <c r="E223" s="94"/>
      <c r="F223" s="94"/>
      <c r="G223" s="94"/>
      <c r="H223" s="94"/>
      <c r="I223" s="94"/>
      <c r="J223" s="94"/>
      <c r="K223" s="94"/>
      <c r="L223" s="94"/>
    </row>
    <row r="224" spans="3:12" ht="12.75" customHeight="1">
      <c r="C224" s="94"/>
      <c r="D224" s="94"/>
      <c r="E224" s="94"/>
      <c r="F224" s="94"/>
      <c r="G224" s="94"/>
      <c r="H224" s="94"/>
      <c r="I224" s="94"/>
      <c r="J224" s="94"/>
      <c r="K224" s="94"/>
      <c r="L224" s="94"/>
    </row>
    <row r="225" spans="3:12" ht="12.75" customHeight="1">
      <c r="C225" s="94"/>
      <c r="D225" s="94"/>
      <c r="E225" s="94"/>
      <c r="F225" s="94"/>
      <c r="G225" s="94"/>
      <c r="H225" s="94"/>
      <c r="I225" s="94"/>
      <c r="J225" s="94"/>
      <c r="K225" s="94"/>
      <c r="L225" s="94"/>
    </row>
    <row r="226" spans="3:12" ht="12.75" customHeight="1">
      <c r="C226" s="94"/>
      <c r="D226" s="94"/>
      <c r="E226" s="94"/>
      <c r="F226" s="94"/>
      <c r="G226" s="94"/>
      <c r="H226" s="94"/>
      <c r="I226" s="94"/>
      <c r="J226" s="94"/>
      <c r="K226" s="94"/>
      <c r="L226" s="94"/>
    </row>
    <row r="227" spans="3:12" ht="12.75" customHeight="1">
      <c r="C227" s="94"/>
      <c r="D227" s="94"/>
      <c r="E227" s="94"/>
      <c r="F227" s="94"/>
      <c r="G227" s="94"/>
      <c r="H227" s="94"/>
      <c r="I227" s="94"/>
      <c r="J227" s="94"/>
      <c r="K227" s="94"/>
      <c r="L227" s="94"/>
    </row>
    <row r="228" spans="3:12" ht="12.75" customHeight="1">
      <c r="C228" s="94"/>
      <c r="D228" s="94"/>
      <c r="E228" s="94"/>
      <c r="F228" s="94"/>
      <c r="G228" s="94"/>
      <c r="H228" s="94"/>
      <c r="I228" s="94"/>
      <c r="J228" s="94"/>
      <c r="K228" s="94"/>
      <c r="L228" s="94"/>
    </row>
    <row r="229" spans="3:12" ht="12.75" customHeight="1">
      <c r="C229" s="94"/>
      <c r="D229" s="94"/>
      <c r="E229" s="94"/>
      <c r="F229" s="94"/>
      <c r="G229" s="94"/>
      <c r="H229" s="94"/>
      <c r="I229" s="94"/>
      <c r="J229" s="94"/>
      <c r="K229" s="94"/>
      <c r="L229" s="94"/>
    </row>
    <row r="230" spans="3:12" ht="12.75" customHeight="1">
      <c r="C230" s="94"/>
      <c r="D230" s="94"/>
      <c r="E230" s="94"/>
      <c r="F230" s="94"/>
      <c r="G230" s="94"/>
      <c r="H230" s="94"/>
      <c r="I230" s="94"/>
      <c r="J230" s="94"/>
      <c r="K230" s="94"/>
      <c r="L230" s="94"/>
    </row>
    <row r="231" spans="3:12" ht="12.75" customHeight="1">
      <c r="C231" s="94"/>
      <c r="D231" s="94"/>
      <c r="E231" s="94"/>
      <c r="F231" s="94"/>
      <c r="G231" s="94"/>
      <c r="H231" s="94"/>
      <c r="I231" s="94"/>
      <c r="J231" s="94"/>
      <c r="K231" s="94"/>
      <c r="L231" s="94"/>
    </row>
    <row r="232" spans="3:12" ht="12.75" customHeight="1">
      <c r="C232" s="94"/>
      <c r="D232" s="94"/>
      <c r="E232" s="94"/>
      <c r="F232" s="94"/>
      <c r="G232" s="94"/>
      <c r="H232" s="94"/>
      <c r="I232" s="94"/>
      <c r="J232" s="94"/>
      <c r="K232" s="94"/>
      <c r="L232" s="94"/>
    </row>
    <row r="233" spans="3:12" ht="12.75" customHeight="1">
      <c r="C233" s="94"/>
      <c r="D233" s="94"/>
      <c r="E233" s="94"/>
      <c r="F233" s="94"/>
      <c r="G233" s="94"/>
      <c r="H233" s="94"/>
      <c r="I233" s="94"/>
      <c r="J233" s="94"/>
      <c r="K233" s="94"/>
      <c r="L233" s="94"/>
    </row>
    <row r="234" spans="3:12" ht="12.75" customHeight="1">
      <c r="C234" s="94"/>
      <c r="D234" s="94"/>
      <c r="E234" s="94"/>
      <c r="F234" s="94"/>
      <c r="G234" s="94"/>
      <c r="H234" s="94"/>
      <c r="I234" s="94"/>
      <c r="J234" s="94"/>
      <c r="K234" s="94"/>
      <c r="L234" s="94"/>
    </row>
    <row r="235" spans="3:12" ht="12.75" customHeight="1">
      <c r="C235" s="94"/>
      <c r="D235" s="94"/>
      <c r="E235" s="94"/>
      <c r="F235" s="94"/>
      <c r="G235" s="94"/>
      <c r="H235" s="94"/>
      <c r="I235" s="94"/>
      <c r="J235" s="94"/>
      <c r="K235" s="94"/>
      <c r="L235" s="94"/>
    </row>
    <row r="236" spans="3:12" ht="12.75" customHeight="1">
      <c r="C236" s="94"/>
      <c r="D236" s="94"/>
      <c r="E236" s="94"/>
      <c r="F236" s="94"/>
      <c r="G236" s="94"/>
      <c r="H236" s="94"/>
      <c r="I236" s="94"/>
      <c r="J236" s="94"/>
      <c r="K236" s="94"/>
      <c r="L236" s="94"/>
    </row>
    <row r="237" spans="3:12" ht="12.75" customHeight="1">
      <c r="C237" s="94"/>
      <c r="D237" s="94"/>
      <c r="E237" s="94"/>
      <c r="F237" s="94"/>
      <c r="G237" s="94"/>
      <c r="H237" s="94"/>
      <c r="I237" s="94"/>
      <c r="J237" s="94"/>
      <c r="K237" s="94"/>
      <c r="L237" s="94"/>
    </row>
    <row r="238" spans="3:12" ht="12.75" customHeight="1">
      <c r="C238" s="94"/>
      <c r="D238" s="94"/>
      <c r="E238" s="94"/>
      <c r="F238" s="94"/>
      <c r="G238" s="94"/>
      <c r="H238" s="94"/>
      <c r="I238" s="94"/>
      <c r="J238" s="94"/>
      <c r="K238" s="94"/>
      <c r="L238" s="94"/>
    </row>
    <row r="239" spans="3:12" ht="12.75" customHeight="1">
      <c r="C239" s="94"/>
      <c r="D239" s="94"/>
      <c r="E239" s="94"/>
      <c r="F239" s="94"/>
      <c r="G239" s="94"/>
      <c r="H239" s="94"/>
      <c r="I239" s="94"/>
      <c r="J239" s="94"/>
      <c r="K239" s="94"/>
      <c r="L239" s="94"/>
    </row>
    <row r="240" spans="3:12" ht="12.75" customHeight="1">
      <c r="C240" s="94"/>
      <c r="D240" s="94"/>
      <c r="E240" s="94"/>
      <c r="F240" s="94"/>
      <c r="G240" s="94"/>
      <c r="H240" s="94"/>
      <c r="I240" s="94"/>
      <c r="J240" s="94"/>
      <c r="K240" s="94"/>
      <c r="L240" s="94"/>
    </row>
    <row r="241" spans="3:12" ht="12.75" customHeight="1">
      <c r="C241" s="94"/>
      <c r="D241" s="94"/>
      <c r="E241" s="94"/>
      <c r="F241" s="94"/>
      <c r="G241" s="94"/>
      <c r="H241" s="94"/>
      <c r="I241" s="94"/>
      <c r="J241" s="94"/>
      <c r="K241" s="94"/>
      <c r="L241" s="94"/>
    </row>
    <row r="242" spans="3:12" ht="12.75" customHeight="1">
      <c r="C242" s="94"/>
      <c r="D242" s="94"/>
      <c r="E242" s="94"/>
      <c r="F242" s="94"/>
      <c r="G242" s="94"/>
      <c r="H242" s="94"/>
      <c r="I242" s="94"/>
      <c r="J242" s="94"/>
      <c r="K242" s="94"/>
      <c r="L242" s="94"/>
    </row>
    <row r="243" spans="3:12" ht="12.75" customHeight="1">
      <c r="C243" s="94"/>
      <c r="D243" s="94"/>
      <c r="E243" s="94"/>
      <c r="F243" s="94"/>
      <c r="G243" s="94"/>
      <c r="H243" s="94"/>
      <c r="I243" s="94"/>
      <c r="J243" s="94"/>
      <c r="K243" s="94"/>
      <c r="L243" s="94"/>
    </row>
    <row r="244" spans="3:12" ht="12.75" customHeight="1">
      <c r="C244" s="94"/>
      <c r="D244" s="94"/>
      <c r="E244" s="94"/>
      <c r="F244" s="94"/>
      <c r="G244" s="94"/>
      <c r="H244" s="94"/>
      <c r="I244" s="94"/>
      <c r="J244" s="94"/>
      <c r="K244" s="94"/>
      <c r="L244" s="94"/>
    </row>
    <row r="245" spans="3:12" ht="12.75" customHeight="1">
      <c r="C245" s="94"/>
      <c r="D245" s="94"/>
      <c r="E245" s="94"/>
      <c r="F245" s="94"/>
      <c r="G245" s="94"/>
      <c r="H245" s="94"/>
      <c r="I245" s="94"/>
      <c r="J245" s="94"/>
      <c r="K245" s="94"/>
      <c r="L245" s="94"/>
    </row>
    <row r="246" spans="3:12" ht="12.75" customHeight="1">
      <c r="C246" s="94"/>
      <c r="D246" s="94"/>
      <c r="E246" s="94"/>
      <c r="F246" s="94"/>
      <c r="G246" s="94"/>
      <c r="H246" s="94"/>
      <c r="I246" s="94"/>
      <c r="J246" s="94"/>
      <c r="K246" s="94"/>
      <c r="L246" s="94"/>
    </row>
    <row r="247" spans="3:12" ht="12.75" customHeight="1">
      <c r="C247" s="94"/>
      <c r="D247" s="94"/>
      <c r="E247" s="94"/>
      <c r="F247" s="94"/>
      <c r="G247" s="94"/>
      <c r="H247" s="94"/>
      <c r="I247" s="94"/>
      <c r="J247" s="94"/>
      <c r="K247" s="94"/>
      <c r="L247" s="94"/>
    </row>
    <row r="248" spans="3:12" ht="12.75" customHeight="1">
      <c r="C248" s="94"/>
      <c r="D248" s="94"/>
      <c r="E248" s="94"/>
      <c r="F248" s="94"/>
      <c r="G248" s="94"/>
      <c r="H248" s="94"/>
      <c r="I248" s="94"/>
      <c r="J248" s="94"/>
      <c r="K248" s="94"/>
      <c r="L248" s="94"/>
    </row>
    <row r="249" spans="3:12" ht="12.75" customHeight="1">
      <c r="C249" s="94"/>
      <c r="D249" s="94"/>
      <c r="E249" s="94"/>
      <c r="F249" s="94"/>
      <c r="G249" s="94"/>
      <c r="H249" s="94"/>
      <c r="I249" s="94"/>
      <c r="J249" s="94"/>
      <c r="K249" s="94"/>
      <c r="L249" s="94"/>
    </row>
    <row r="250" spans="3:12" ht="12.75" customHeight="1">
      <c r="C250" s="94"/>
      <c r="D250" s="94"/>
      <c r="E250" s="94"/>
      <c r="F250" s="94"/>
      <c r="G250" s="94"/>
      <c r="H250" s="94"/>
      <c r="I250" s="94"/>
      <c r="J250" s="94"/>
      <c r="K250" s="94"/>
      <c r="L250" s="94"/>
    </row>
    <row r="251" spans="3:12" ht="12.75" customHeight="1">
      <c r="C251" s="94"/>
      <c r="D251" s="94"/>
      <c r="E251" s="94"/>
      <c r="F251" s="94"/>
      <c r="G251" s="94"/>
      <c r="H251" s="94"/>
      <c r="I251" s="94"/>
      <c r="J251" s="94"/>
      <c r="K251" s="94"/>
      <c r="L251" s="94"/>
    </row>
    <row r="252" spans="3:12" ht="12.75" customHeight="1">
      <c r="C252" s="94"/>
      <c r="D252" s="94"/>
      <c r="E252" s="94"/>
      <c r="F252" s="94"/>
      <c r="G252" s="94"/>
      <c r="H252" s="94"/>
      <c r="I252" s="94"/>
      <c r="J252" s="94"/>
      <c r="K252" s="94"/>
      <c r="L252" s="94"/>
    </row>
    <row r="253" spans="3:12" ht="12.75" customHeight="1">
      <c r="C253" s="94"/>
      <c r="D253" s="94"/>
      <c r="E253" s="94"/>
      <c r="F253" s="94"/>
      <c r="G253" s="94"/>
      <c r="H253" s="94"/>
      <c r="I253" s="94"/>
      <c r="J253" s="94"/>
      <c r="K253" s="94"/>
      <c r="L253" s="94"/>
    </row>
    <row r="254" spans="3:12" ht="12.75" customHeight="1">
      <c r="C254" s="94"/>
      <c r="D254" s="94"/>
      <c r="E254" s="94"/>
      <c r="F254" s="94"/>
      <c r="G254" s="94"/>
      <c r="H254" s="94"/>
      <c r="I254" s="94"/>
      <c r="J254" s="94"/>
      <c r="K254" s="94"/>
      <c r="L254" s="94"/>
    </row>
    <row r="255" spans="3:12" ht="12.75" customHeight="1">
      <c r="C255" s="94"/>
      <c r="D255" s="94"/>
      <c r="E255" s="94"/>
      <c r="F255" s="94"/>
      <c r="G255" s="94"/>
      <c r="H255" s="94"/>
      <c r="I255" s="94"/>
      <c r="J255" s="94"/>
      <c r="K255" s="94"/>
      <c r="L255" s="94"/>
    </row>
    <row r="256" spans="3:12" ht="12.75" customHeight="1">
      <c r="C256" s="94"/>
      <c r="D256" s="94"/>
      <c r="E256" s="94"/>
      <c r="F256" s="94"/>
      <c r="G256" s="94"/>
      <c r="H256" s="94"/>
      <c r="I256" s="94"/>
      <c r="J256" s="94"/>
      <c r="K256" s="94"/>
      <c r="L256" s="94"/>
    </row>
    <row r="257" spans="3:12" ht="12.75" customHeight="1">
      <c r="C257" s="94"/>
      <c r="D257" s="94"/>
      <c r="E257" s="94"/>
      <c r="F257" s="94"/>
      <c r="G257" s="94"/>
      <c r="H257" s="94"/>
      <c r="I257" s="94"/>
      <c r="J257" s="94"/>
      <c r="K257" s="94"/>
      <c r="L257" s="94"/>
    </row>
    <row r="258" spans="3:12" ht="12.75" customHeight="1">
      <c r="C258" s="94"/>
      <c r="D258" s="94"/>
      <c r="E258" s="94"/>
      <c r="F258" s="94"/>
      <c r="G258" s="94"/>
      <c r="H258" s="94"/>
      <c r="I258" s="94"/>
      <c r="J258" s="94"/>
      <c r="K258" s="94"/>
      <c r="L258" s="94"/>
    </row>
    <row r="259" spans="3:12" ht="12.75" customHeight="1">
      <c r="C259" s="94"/>
      <c r="D259" s="94"/>
      <c r="E259" s="94"/>
      <c r="F259" s="94"/>
      <c r="G259" s="94"/>
      <c r="H259" s="94"/>
      <c r="I259" s="94"/>
      <c r="J259" s="94"/>
      <c r="K259" s="94"/>
      <c r="L259" s="94"/>
    </row>
    <row r="260" spans="3:12" ht="12.75" customHeight="1">
      <c r="C260" s="94"/>
      <c r="D260" s="94"/>
      <c r="E260" s="94"/>
      <c r="F260" s="94"/>
      <c r="G260" s="94"/>
      <c r="H260" s="94"/>
      <c r="I260" s="94"/>
      <c r="J260" s="94"/>
      <c r="K260" s="94"/>
      <c r="L260" s="94"/>
    </row>
    <row r="261" spans="3:12" ht="12.75" customHeight="1">
      <c r="C261" s="94"/>
      <c r="D261" s="94"/>
      <c r="E261" s="94"/>
      <c r="F261" s="94"/>
      <c r="G261" s="94"/>
      <c r="H261" s="94"/>
      <c r="I261" s="94"/>
      <c r="J261" s="94"/>
      <c r="K261" s="94"/>
      <c r="L261" s="94"/>
    </row>
    <row r="262" spans="3:12" ht="12.75" customHeight="1">
      <c r="C262" s="94"/>
      <c r="D262" s="94"/>
      <c r="E262" s="94"/>
      <c r="F262" s="94"/>
      <c r="G262" s="94"/>
      <c r="H262" s="94"/>
      <c r="I262" s="94"/>
      <c r="J262" s="94"/>
      <c r="K262" s="94"/>
      <c r="L262" s="94"/>
    </row>
    <row r="263" spans="3:12" ht="12.75" customHeight="1">
      <c r="C263" s="94"/>
      <c r="D263" s="94"/>
      <c r="E263" s="94"/>
      <c r="F263" s="94"/>
      <c r="G263" s="94"/>
      <c r="H263" s="94"/>
      <c r="I263" s="94"/>
      <c r="J263" s="94"/>
      <c r="K263" s="94"/>
      <c r="L263" s="94"/>
    </row>
    <row r="264" spans="3:12" ht="12.75" customHeight="1">
      <c r="C264" s="94"/>
      <c r="D264" s="94"/>
      <c r="E264" s="94"/>
      <c r="F264" s="94"/>
      <c r="G264" s="94"/>
      <c r="H264" s="94"/>
      <c r="I264" s="94"/>
      <c r="J264" s="94"/>
      <c r="K264" s="94"/>
      <c r="L264" s="94"/>
    </row>
    <row r="265" spans="3:12" ht="12.75" customHeight="1">
      <c r="C265" s="94"/>
      <c r="D265" s="94"/>
      <c r="E265" s="94"/>
      <c r="F265" s="94"/>
      <c r="G265" s="94"/>
      <c r="H265" s="94"/>
      <c r="I265" s="94"/>
      <c r="J265" s="94"/>
      <c r="K265" s="94"/>
      <c r="L265" s="94"/>
    </row>
    <row r="266" spans="3:12" ht="12.75" customHeight="1">
      <c r="C266" s="94"/>
      <c r="D266" s="94"/>
      <c r="E266" s="94"/>
      <c r="F266" s="94"/>
      <c r="G266" s="94"/>
      <c r="H266" s="94"/>
      <c r="I266" s="94"/>
      <c r="J266" s="94"/>
      <c r="K266" s="94"/>
      <c r="L266" s="94"/>
    </row>
    <row r="267" spans="3:12" ht="12.75" customHeight="1">
      <c r="C267" s="94"/>
      <c r="D267" s="94"/>
      <c r="E267" s="94"/>
      <c r="F267" s="94"/>
      <c r="G267" s="94"/>
      <c r="H267" s="94"/>
      <c r="I267" s="94"/>
      <c r="J267" s="94"/>
      <c r="K267" s="94"/>
      <c r="L267" s="94"/>
    </row>
    <row r="268" spans="3:12" ht="12.75" customHeight="1">
      <c r="C268" s="94"/>
      <c r="D268" s="94"/>
      <c r="E268" s="94"/>
      <c r="F268" s="94"/>
      <c r="G268" s="94"/>
      <c r="H268" s="94"/>
      <c r="I268" s="94"/>
      <c r="J268" s="94"/>
      <c r="K268" s="94"/>
      <c r="L268" s="94"/>
    </row>
    <row r="269" spans="3:12" ht="12.75" customHeight="1">
      <c r="C269" s="94"/>
      <c r="D269" s="94"/>
      <c r="E269" s="94"/>
      <c r="F269" s="94"/>
      <c r="G269" s="94"/>
      <c r="H269" s="94"/>
      <c r="I269" s="94"/>
      <c r="J269" s="94"/>
      <c r="K269" s="94"/>
      <c r="L269" s="94"/>
    </row>
    <row r="270" spans="3:12" ht="12.75" customHeight="1">
      <c r="C270" s="94"/>
      <c r="D270" s="94"/>
      <c r="E270" s="94"/>
      <c r="F270" s="94"/>
      <c r="G270" s="94"/>
      <c r="H270" s="94"/>
      <c r="I270" s="94"/>
      <c r="J270" s="94"/>
      <c r="K270" s="94"/>
      <c r="L270" s="94"/>
    </row>
    <row r="271" spans="3:12" ht="12.75" customHeight="1">
      <c r="C271" s="94"/>
      <c r="D271" s="94"/>
      <c r="E271" s="94"/>
      <c r="F271" s="94"/>
      <c r="G271" s="94"/>
      <c r="H271" s="94"/>
      <c r="I271" s="94"/>
      <c r="J271" s="94"/>
      <c r="K271" s="94"/>
      <c r="L271" s="94"/>
    </row>
    <row r="272" spans="3:12" ht="12.75" customHeight="1">
      <c r="C272" s="94"/>
      <c r="D272" s="94"/>
      <c r="E272" s="94"/>
      <c r="F272" s="94"/>
      <c r="G272" s="94"/>
      <c r="H272" s="94"/>
      <c r="I272" s="94"/>
      <c r="J272" s="94"/>
      <c r="K272" s="94"/>
      <c r="L272" s="94"/>
    </row>
    <row r="273" spans="3:12" ht="12.75" customHeight="1">
      <c r="C273" s="94"/>
      <c r="D273" s="94"/>
      <c r="E273" s="94"/>
      <c r="F273" s="94"/>
      <c r="G273" s="94"/>
      <c r="H273" s="94"/>
      <c r="I273" s="94"/>
      <c r="J273" s="94"/>
      <c r="K273" s="94"/>
      <c r="L273" s="94"/>
    </row>
    <row r="274" spans="3:12" ht="12.75" customHeight="1">
      <c r="C274" s="94"/>
      <c r="D274" s="94"/>
      <c r="E274" s="94"/>
      <c r="F274" s="94"/>
      <c r="G274" s="94"/>
      <c r="H274" s="94"/>
      <c r="I274" s="94"/>
      <c r="J274" s="94"/>
      <c r="K274" s="94"/>
      <c r="L274" s="94"/>
    </row>
    <row r="275" spans="3:12" ht="12.75" customHeight="1">
      <c r="C275" s="94"/>
      <c r="D275" s="94"/>
      <c r="E275" s="94"/>
      <c r="F275" s="94"/>
      <c r="G275" s="94"/>
      <c r="H275" s="94"/>
      <c r="I275" s="94"/>
      <c r="J275" s="94"/>
      <c r="K275" s="94"/>
      <c r="L275" s="94"/>
    </row>
    <row r="276" spans="3:12" ht="12.75" customHeight="1">
      <c r="C276" s="94"/>
      <c r="D276" s="94"/>
      <c r="E276" s="94"/>
      <c r="F276" s="94"/>
      <c r="G276" s="94"/>
      <c r="H276" s="94"/>
      <c r="I276" s="94"/>
      <c r="J276" s="94"/>
      <c r="K276" s="94"/>
      <c r="L276" s="94"/>
    </row>
    <row r="277" spans="3:12" ht="12.75" customHeight="1">
      <c r="C277" s="94"/>
      <c r="D277" s="94"/>
      <c r="E277" s="94"/>
      <c r="F277" s="94"/>
      <c r="G277" s="94"/>
      <c r="H277" s="94"/>
      <c r="I277" s="94"/>
      <c r="J277" s="94"/>
      <c r="K277" s="94"/>
      <c r="L277" s="94"/>
    </row>
    <row r="278" spans="3:12" ht="12.75" customHeight="1">
      <c r="C278" s="94"/>
      <c r="D278" s="94"/>
      <c r="E278" s="94"/>
      <c r="F278" s="94"/>
      <c r="G278" s="94"/>
      <c r="H278" s="94"/>
      <c r="I278" s="94"/>
      <c r="J278" s="94"/>
      <c r="K278" s="94"/>
      <c r="L278" s="94"/>
    </row>
    <row r="279" spans="3:12" ht="12.75" customHeight="1">
      <c r="C279" s="94"/>
      <c r="D279" s="94"/>
      <c r="E279" s="94"/>
      <c r="F279" s="94"/>
      <c r="G279" s="94"/>
      <c r="H279" s="94"/>
      <c r="I279" s="94"/>
      <c r="J279" s="94"/>
      <c r="K279" s="94"/>
      <c r="L279" s="94"/>
    </row>
    <row r="280" spans="3:12" ht="12.75" customHeight="1">
      <c r="C280" s="94"/>
      <c r="D280" s="94"/>
      <c r="E280" s="94"/>
      <c r="F280" s="94"/>
      <c r="G280" s="94"/>
      <c r="H280" s="94"/>
      <c r="I280" s="94"/>
      <c r="J280" s="94"/>
      <c r="K280" s="94"/>
      <c r="L280" s="94"/>
    </row>
    <row r="281" spans="3:12" ht="12.75" customHeight="1">
      <c r="C281" s="94"/>
      <c r="D281" s="94"/>
      <c r="E281" s="94"/>
      <c r="F281" s="94"/>
      <c r="G281" s="94"/>
      <c r="H281" s="94"/>
      <c r="I281" s="94"/>
      <c r="J281" s="94"/>
      <c r="K281" s="94"/>
      <c r="L281" s="94"/>
    </row>
    <row r="282" spans="3:12" ht="12.75" customHeight="1">
      <c r="C282" s="94"/>
      <c r="D282" s="94"/>
      <c r="E282" s="94"/>
      <c r="F282" s="94"/>
      <c r="G282" s="94"/>
      <c r="H282" s="94"/>
      <c r="I282" s="94"/>
      <c r="J282" s="94"/>
      <c r="K282" s="94"/>
      <c r="L282" s="94"/>
    </row>
    <row r="283" spans="3:12" ht="12.75" customHeight="1">
      <c r="C283" s="94"/>
      <c r="D283" s="94"/>
      <c r="E283" s="94"/>
      <c r="F283" s="94"/>
      <c r="G283" s="94"/>
      <c r="H283" s="94"/>
      <c r="I283" s="94"/>
      <c r="J283" s="94"/>
      <c r="K283" s="94"/>
      <c r="L283" s="94"/>
    </row>
    <row r="284" spans="3:12" ht="12.75" customHeight="1">
      <c r="C284" s="94"/>
      <c r="D284" s="94"/>
      <c r="E284" s="94"/>
      <c r="F284" s="94"/>
      <c r="G284" s="94"/>
      <c r="H284" s="94"/>
      <c r="I284" s="94"/>
      <c r="J284" s="94"/>
      <c r="K284" s="94"/>
      <c r="L284" s="94"/>
    </row>
    <row r="285" spans="3:12" ht="12.75" customHeight="1">
      <c r="C285" s="94"/>
      <c r="D285" s="94"/>
      <c r="E285" s="94"/>
      <c r="F285" s="94"/>
      <c r="G285" s="94"/>
      <c r="H285" s="94"/>
      <c r="I285" s="94"/>
      <c r="J285" s="94"/>
      <c r="K285" s="94"/>
      <c r="L285" s="94"/>
    </row>
    <row r="286" spans="3:12" ht="12.75" customHeight="1">
      <c r="C286" s="94"/>
      <c r="D286" s="94"/>
      <c r="E286" s="94"/>
      <c r="F286" s="94"/>
      <c r="G286" s="94"/>
      <c r="H286" s="94"/>
      <c r="I286" s="94"/>
      <c r="J286" s="94"/>
      <c r="K286" s="94"/>
      <c r="L286" s="94"/>
    </row>
    <row r="287" spans="3:12" ht="12.75" customHeight="1">
      <c r="C287" s="94"/>
      <c r="D287" s="94"/>
      <c r="E287" s="94"/>
      <c r="F287" s="94"/>
      <c r="G287" s="94"/>
      <c r="H287" s="94"/>
      <c r="I287" s="94"/>
      <c r="J287" s="94"/>
      <c r="K287" s="94"/>
      <c r="L287" s="94"/>
    </row>
    <row r="288" spans="3:12" ht="12.75" customHeight="1">
      <c r="C288" s="94"/>
      <c r="D288" s="94"/>
      <c r="E288" s="94"/>
      <c r="F288" s="94"/>
      <c r="G288" s="94"/>
      <c r="H288" s="94"/>
      <c r="I288" s="94"/>
      <c r="J288" s="94"/>
      <c r="K288" s="94"/>
      <c r="L288" s="94"/>
    </row>
    <row r="289" spans="3:12" ht="12.75" customHeight="1">
      <c r="C289" s="94"/>
      <c r="D289" s="94"/>
      <c r="E289" s="94"/>
      <c r="F289" s="94"/>
      <c r="G289" s="94"/>
      <c r="H289" s="94"/>
      <c r="I289" s="94"/>
      <c r="J289" s="94"/>
      <c r="K289" s="94"/>
      <c r="L289" s="94"/>
    </row>
    <row r="290" spans="3:12" ht="12.75" customHeight="1">
      <c r="C290" s="94"/>
      <c r="D290" s="94"/>
      <c r="E290" s="94"/>
      <c r="F290" s="94"/>
      <c r="G290" s="94"/>
      <c r="H290" s="94"/>
      <c r="I290" s="94"/>
      <c r="J290" s="94"/>
      <c r="K290" s="94"/>
      <c r="L290" s="94"/>
    </row>
    <row r="291" spans="3:12" ht="12.75" customHeight="1">
      <c r="C291" s="94"/>
      <c r="D291" s="94"/>
      <c r="E291" s="94"/>
      <c r="F291" s="94"/>
      <c r="G291" s="94"/>
      <c r="H291" s="94"/>
      <c r="I291" s="94"/>
      <c r="J291" s="94"/>
      <c r="K291" s="94"/>
      <c r="L291" s="94"/>
    </row>
    <row r="292" spans="3:12" ht="12.75" customHeight="1">
      <c r="C292" s="94"/>
      <c r="D292" s="94"/>
      <c r="E292" s="94"/>
      <c r="F292" s="94"/>
      <c r="G292" s="94"/>
      <c r="H292" s="94"/>
      <c r="I292" s="94"/>
      <c r="J292" s="94"/>
      <c r="K292" s="94"/>
      <c r="L292" s="94"/>
    </row>
    <row r="293" spans="3:12" ht="12.75" customHeight="1">
      <c r="C293" s="94"/>
      <c r="D293" s="94"/>
      <c r="E293" s="94"/>
      <c r="F293" s="94"/>
      <c r="G293" s="94"/>
      <c r="H293" s="94"/>
      <c r="I293" s="94"/>
      <c r="J293" s="94"/>
      <c r="K293" s="94"/>
      <c r="L293" s="94"/>
    </row>
    <row r="294" spans="3:12" ht="12.75" customHeight="1">
      <c r="C294" s="94"/>
      <c r="D294" s="94"/>
      <c r="E294" s="94"/>
      <c r="F294" s="94"/>
      <c r="G294" s="94"/>
      <c r="H294" s="94"/>
      <c r="I294" s="94"/>
      <c r="J294" s="94"/>
      <c r="K294" s="94"/>
      <c r="L294" s="94"/>
    </row>
    <row r="295" spans="3:12" ht="12.75" customHeight="1">
      <c r="C295" s="94"/>
      <c r="D295" s="94"/>
      <c r="E295" s="94"/>
      <c r="F295" s="94"/>
      <c r="G295" s="94"/>
      <c r="H295" s="94"/>
      <c r="I295" s="94"/>
      <c r="J295" s="94"/>
      <c r="K295" s="94"/>
      <c r="L295" s="94"/>
    </row>
    <row r="296" spans="3:12" ht="12.75" customHeight="1">
      <c r="C296" s="94"/>
      <c r="D296" s="94"/>
      <c r="E296" s="94"/>
      <c r="F296" s="94"/>
      <c r="G296" s="94"/>
      <c r="H296" s="94"/>
      <c r="I296" s="94"/>
      <c r="J296" s="94"/>
      <c r="K296" s="94"/>
      <c r="L296" s="94"/>
    </row>
    <row r="297" spans="3:12" ht="12.75" customHeight="1">
      <c r="C297" s="94"/>
      <c r="D297" s="94"/>
      <c r="E297" s="94"/>
      <c r="F297" s="94"/>
      <c r="G297" s="94"/>
      <c r="H297" s="94"/>
      <c r="I297" s="94"/>
      <c r="J297" s="94"/>
      <c r="K297" s="94"/>
      <c r="L297" s="94"/>
    </row>
    <row r="298" spans="3:12" ht="12.75" customHeight="1">
      <c r="C298" s="94"/>
      <c r="D298" s="94"/>
      <c r="E298" s="94"/>
      <c r="F298" s="94"/>
      <c r="G298" s="94"/>
      <c r="H298" s="94"/>
      <c r="I298" s="94"/>
      <c r="J298" s="94"/>
      <c r="K298" s="94"/>
      <c r="L298" s="94"/>
    </row>
    <row r="299" spans="3:12" ht="12.75" customHeight="1">
      <c r="C299" s="94"/>
      <c r="D299" s="94"/>
      <c r="E299" s="94"/>
      <c r="F299" s="94"/>
      <c r="G299" s="94"/>
      <c r="H299" s="94"/>
      <c r="I299" s="94"/>
      <c r="J299" s="94"/>
      <c r="K299" s="94"/>
      <c r="L299" s="94"/>
    </row>
    <row r="300" spans="3:12" ht="12.75" customHeight="1">
      <c r="C300" s="94"/>
      <c r="D300" s="94"/>
      <c r="E300" s="94"/>
      <c r="F300" s="94"/>
      <c r="G300" s="94"/>
      <c r="H300" s="94"/>
      <c r="I300" s="94"/>
      <c r="J300" s="94"/>
      <c r="K300" s="94"/>
      <c r="L300" s="94"/>
    </row>
    <row r="301" spans="3:12" ht="12.75" customHeight="1">
      <c r="C301" s="94"/>
      <c r="D301" s="94"/>
      <c r="E301" s="94"/>
      <c r="F301" s="94"/>
      <c r="G301" s="94"/>
      <c r="H301" s="94"/>
      <c r="I301" s="94"/>
      <c r="J301" s="94"/>
      <c r="K301" s="94"/>
      <c r="L301" s="94"/>
    </row>
    <row r="302" spans="3:12" ht="12.75" customHeight="1">
      <c r="C302" s="94"/>
      <c r="D302" s="94"/>
      <c r="E302" s="94"/>
      <c r="F302" s="94"/>
      <c r="G302" s="94"/>
      <c r="H302" s="94"/>
      <c r="I302" s="94"/>
      <c r="J302" s="94"/>
      <c r="K302" s="94"/>
      <c r="L302" s="94"/>
    </row>
    <row r="303" spans="3:12" ht="12.75" customHeight="1">
      <c r="C303" s="94"/>
      <c r="D303" s="94"/>
      <c r="E303" s="94"/>
      <c r="F303" s="94"/>
      <c r="G303" s="94"/>
      <c r="H303" s="94"/>
      <c r="I303" s="94"/>
      <c r="J303" s="94"/>
      <c r="K303" s="94"/>
      <c r="L303" s="94"/>
    </row>
    <row r="304" spans="3:12" ht="12.75" customHeight="1">
      <c r="C304" s="94"/>
      <c r="D304" s="94"/>
      <c r="E304" s="94"/>
      <c r="F304" s="94"/>
      <c r="G304" s="94"/>
      <c r="H304" s="94"/>
      <c r="I304" s="94"/>
      <c r="J304" s="94"/>
      <c r="K304" s="94"/>
      <c r="L304" s="94"/>
    </row>
    <row r="305" spans="3:12" ht="12.75" customHeight="1">
      <c r="C305" s="94"/>
      <c r="D305" s="94"/>
      <c r="E305" s="94"/>
      <c r="F305" s="94"/>
      <c r="G305" s="94"/>
      <c r="H305" s="94"/>
      <c r="I305" s="94"/>
      <c r="J305" s="94"/>
      <c r="K305" s="94"/>
      <c r="L305" s="94"/>
    </row>
    <row r="306" spans="3:12" ht="12.75" customHeight="1">
      <c r="C306" s="94"/>
      <c r="D306" s="94"/>
      <c r="E306" s="94"/>
      <c r="F306" s="94"/>
      <c r="G306" s="94"/>
      <c r="H306" s="94"/>
      <c r="I306" s="94"/>
      <c r="J306" s="94"/>
      <c r="K306" s="94"/>
      <c r="L306" s="94"/>
    </row>
    <row r="307" spans="3:12" ht="12.75" customHeight="1">
      <c r="C307" s="94"/>
      <c r="D307" s="94"/>
      <c r="E307" s="94"/>
      <c r="F307" s="94"/>
      <c r="G307" s="94"/>
      <c r="H307" s="94"/>
      <c r="I307" s="94"/>
      <c r="J307" s="94"/>
      <c r="K307" s="94"/>
      <c r="L307" s="94"/>
    </row>
    <row r="308" spans="3:12" ht="12.75" customHeight="1">
      <c r="C308" s="94"/>
      <c r="D308" s="94"/>
      <c r="E308" s="94"/>
      <c r="F308" s="94"/>
      <c r="G308" s="94"/>
      <c r="H308" s="94"/>
      <c r="I308" s="94"/>
      <c r="J308" s="94"/>
      <c r="K308" s="94"/>
      <c r="L308" s="94"/>
    </row>
    <row r="309" spans="3:12" ht="12.75" customHeight="1">
      <c r="C309" s="94"/>
      <c r="D309" s="94"/>
      <c r="E309" s="94"/>
      <c r="F309" s="94"/>
      <c r="G309" s="94"/>
      <c r="H309" s="94"/>
      <c r="I309" s="94"/>
      <c r="J309" s="94"/>
      <c r="K309" s="94"/>
      <c r="L309" s="94"/>
    </row>
    <row r="310" spans="3:12" ht="12.75" customHeight="1">
      <c r="C310" s="94"/>
      <c r="D310" s="94"/>
      <c r="E310" s="94"/>
      <c r="F310" s="94"/>
      <c r="G310" s="94"/>
      <c r="H310" s="94"/>
      <c r="I310" s="94"/>
      <c r="J310" s="94"/>
      <c r="K310" s="94"/>
      <c r="L310" s="94"/>
    </row>
    <row r="311" spans="3:12" ht="12.75" customHeight="1">
      <c r="C311" s="94"/>
      <c r="D311" s="94"/>
      <c r="E311" s="94"/>
      <c r="F311" s="94"/>
      <c r="G311" s="94"/>
      <c r="H311" s="94"/>
      <c r="I311" s="94"/>
      <c r="J311" s="94"/>
      <c r="K311" s="94"/>
      <c r="L311" s="94"/>
    </row>
    <row r="312" spans="3:12" ht="12.75" customHeight="1">
      <c r="C312" s="94"/>
      <c r="D312" s="94"/>
      <c r="E312" s="94"/>
      <c r="F312" s="94"/>
      <c r="G312" s="94"/>
      <c r="H312" s="94"/>
      <c r="I312" s="94"/>
      <c r="J312" s="94"/>
      <c r="K312" s="94"/>
      <c r="L312" s="94"/>
    </row>
    <row r="313" spans="3:12" ht="12.75" customHeight="1">
      <c r="C313" s="94"/>
      <c r="D313" s="94"/>
      <c r="E313" s="94"/>
      <c r="F313" s="94"/>
      <c r="G313" s="94"/>
      <c r="H313" s="94"/>
      <c r="I313" s="94"/>
      <c r="J313" s="94"/>
      <c r="K313" s="94"/>
      <c r="L313" s="94"/>
    </row>
    <row r="314" spans="3:12" ht="12.75" customHeight="1">
      <c r="C314" s="94"/>
      <c r="D314" s="94"/>
      <c r="E314" s="94"/>
      <c r="F314" s="94"/>
      <c r="G314" s="94"/>
      <c r="H314" s="94"/>
      <c r="I314" s="94"/>
      <c r="J314" s="94"/>
      <c r="K314" s="94"/>
      <c r="L314" s="94"/>
    </row>
    <row r="315" spans="3:12" ht="12.75" customHeight="1">
      <c r="C315" s="94"/>
      <c r="D315" s="94"/>
      <c r="E315" s="94"/>
      <c r="F315" s="94"/>
      <c r="G315" s="94"/>
      <c r="H315" s="94"/>
      <c r="I315" s="94"/>
      <c r="J315" s="94"/>
      <c r="K315" s="94"/>
      <c r="L315" s="94"/>
    </row>
    <row r="316" spans="3:12" ht="12.75" customHeight="1">
      <c r="C316" s="94"/>
      <c r="D316" s="94"/>
      <c r="E316" s="94"/>
      <c r="F316" s="94"/>
      <c r="G316" s="94"/>
      <c r="H316" s="94"/>
      <c r="I316" s="94"/>
      <c r="J316" s="94"/>
      <c r="K316" s="94"/>
      <c r="L316" s="94"/>
    </row>
    <row r="317" spans="3:12" ht="12.75" customHeight="1">
      <c r="C317" s="94"/>
      <c r="D317" s="94"/>
      <c r="E317" s="94"/>
      <c r="F317" s="94"/>
      <c r="G317" s="94"/>
      <c r="H317" s="94"/>
      <c r="I317" s="94"/>
      <c r="J317" s="94"/>
      <c r="K317" s="94"/>
      <c r="L317" s="94"/>
    </row>
    <row r="318" spans="3:12" ht="12.75" customHeight="1">
      <c r="C318" s="94"/>
      <c r="D318" s="94"/>
      <c r="E318" s="94"/>
      <c r="F318" s="94"/>
      <c r="G318" s="94"/>
      <c r="H318" s="94"/>
      <c r="I318" s="94"/>
      <c r="J318" s="94"/>
      <c r="K318" s="94"/>
      <c r="L318" s="94"/>
    </row>
    <row r="319" spans="3:12" ht="12.75" customHeight="1">
      <c r="C319" s="94"/>
      <c r="D319" s="94"/>
      <c r="E319" s="94"/>
      <c r="F319" s="94"/>
      <c r="G319" s="94"/>
      <c r="H319" s="94"/>
      <c r="I319" s="94"/>
      <c r="J319" s="94"/>
      <c r="K319" s="94"/>
      <c r="L319" s="94"/>
    </row>
    <row r="320" spans="3:12" ht="12.75" customHeight="1">
      <c r="C320" s="94"/>
      <c r="D320" s="94"/>
      <c r="E320" s="94"/>
      <c r="F320" s="94"/>
      <c r="G320" s="94"/>
      <c r="H320" s="94"/>
      <c r="I320" s="94"/>
      <c r="J320" s="94"/>
      <c r="K320" s="94"/>
      <c r="L320" s="94"/>
    </row>
    <row r="321" spans="3:12" ht="12.75" customHeight="1">
      <c r="C321" s="94"/>
      <c r="D321" s="94"/>
      <c r="E321" s="94"/>
      <c r="F321" s="94"/>
      <c r="G321" s="94"/>
      <c r="H321" s="94"/>
      <c r="I321" s="94"/>
      <c r="J321" s="94"/>
      <c r="K321" s="94"/>
      <c r="L321" s="94"/>
    </row>
    <row r="322" spans="3:12" ht="12.75" customHeight="1">
      <c r="C322" s="94"/>
      <c r="D322" s="94"/>
      <c r="E322" s="94"/>
      <c r="F322" s="94"/>
      <c r="G322" s="94"/>
      <c r="H322" s="94"/>
      <c r="I322" s="94"/>
      <c r="J322" s="94"/>
      <c r="K322" s="94"/>
      <c r="L322" s="94"/>
    </row>
    <row r="323" spans="3:12" ht="12.75" customHeight="1">
      <c r="C323" s="94"/>
      <c r="D323" s="94"/>
      <c r="E323" s="94"/>
      <c r="F323" s="94"/>
      <c r="G323" s="94"/>
      <c r="H323" s="94"/>
      <c r="I323" s="94"/>
      <c r="J323" s="94"/>
      <c r="K323" s="94"/>
      <c r="L323" s="94"/>
    </row>
    <row r="324" spans="3:12" ht="12.75" customHeight="1">
      <c r="C324" s="94"/>
      <c r="D324" s="94"/>
      <c r="E324" s="94"/>
      <c r="F324" s="94"/>
      <c r="G324" s="94"/>
      <c r="H324" s="94"/>
      <c r="I324" s="94"/>
      <c r="J324" s="94"/>
      <c r="K324" s="94"/>
      <c r="L324" s="94"/>
    </row>
    <row r="325" spans="3:12" ht="12.75" customHeight="1">
      <c r="C325" s="94"/>
      <c r="D325" s="94"/>
      <c r="E325" s="94"/>
      <c r="F325" s="94"/>
      <c r="G325" s="94"/>
      <c r="H325" s="94"/>
      <c r="I325" s="94"/>
      <c r="J325" s="94"/>
      <c r="K325" s="94"/>
      <c r="L325" s="94"/>
    </row>
    <row r="326" spans="3:12" ht="12.75" customHeight="1">
      <c r="C326" s="94"/>
      <c r="D326" s="94"/>
      <c r="E326" s="94"/>
      <c r="F326" s="94"/>
      <c r="G326" s="94"/>
      <c r="H326" s="94"/>
      <c r="I326" s="94"/>
      <c r="J326" s="94"/>
      <c r="K326" s="94"/>
      <c r="L326" s="94"/>
    </row>
    <row r="327" spans="3:12" ht="12.75" customHeight="1">
      <c r="C327" s="94"/>
      <c r="D327" s="94"/>
      <c r="E327" s="94"/>
      <c r="F327" s="94"/>
      <c r="G327" s="94"/>
      <c r="H327" s="94"/>
      <c r="I327" s="94"/>
      <c r="J327" s="94"/>
      <c r="K327" s="94"/>
      <c r="L327" s="94"/>
    </row>
    <row r="328" spans="3:12" ht="12.75" customHeight="1">
      <c r="C328" s="94"/>
      <c r="D328" s="94"/>
      <c r="E328" s="94"/>
      <c r="F328" s="94"/>
      <c r="G328" s="94"/>
      <c r="H328" s="94"/>
      <c r="I328" s="94"/>
      <c r="J328" s="94"/>
      <c r="K328" s="94"/>
      <c r="L328" s="94"/>
    </row>
    <row r="329" spans="3:12" ht="12.75" customHeight="1">
      <c r="C329" s="94"/>
      <c r="D329" s="94"/>
      <c r="E329" s="94"/>
      <c r="F329" s="94"/>
      <c r="G329" s="94"/>
      <c r="H329" s="94"/>
      <c r="I329" s="94"/>
      <c r="J329" s="94"/>
      <c r="K329" s="94"/>
      <c r="L329" s="94"/>
    </row>
    <row r="330" spans="3:12" ht="12.75" customHeight="1">
      <c r="C330" s="94"/>
      <c r="D330" s="94"/>
      <c r="E330" s="94"/>
      <c r="F330" s="94"/>
      <c r="G330" s="94"/>
      <c r="H330" s="94"/>
      <c r="I330" s="94"/>
      <c r="J330" s="94"/>
      <c r="K330" s="94"/>
      <c r="L330" s="94"/>
    </row>
    <row r="331" spans="3:12" ht="12.75" customHeight="1">
      <c r="C331" s="94"/>
      <c r="D331" s="94"/>
      <c r="E331" s="94"/>
      <c r="F331" s="94"/>
      <c r="G331" s="94"/>
      <c r="H331" s="94"/>
      <c r="I331" s="94"/>
      <c r="J331" s="94"/>
      <c r="K331" s="94"/>
      <c r="L331" s="94"/>
    </row>
    <row r="332" spans="3:12" ht="12.75" customHeight="1">
      <c r="C332" s="94"/>
      <c r="D332" s="94"/>
      <c r="E332" s="94"/>
      <c r="F332" s="94"/>
      <c r="G332" s="94"/>
      <c r="H332" s="94"/>
      <c r="I332" s="94"/>
      <c r="J332" s="94"/>
      <c r="K332" s="94"/>
      <c r="L332" s="94"/>
    </row>
    <row r="333" spans="3:12" ht="12.75" customHeight="1">
      <c r="C333" s="94"/>
      <c r="D333" s="94"/>
      <c r="E333" s="94"/>
      <c r="F333" s="94"/>
      <c r="G333" s="94"/>
      <c r="H333" s="94"/>
      <c r="I333" s="94"/>
      <c r="J333" s="94"/>
      <c r="K333" s="94"/>
      <c r="L333" s="94"/>
    </row>
    <row r="334" spans="3:12" ht="12.75" customHeight="1">
      <c r="C334" s="94"/>
      <c r="D334" s="94"/>
      <c r="E334" s="94"/>
      <c r="F334" s="94"/>
      <c r="G334" s="94"/>
      <c r="H334" s="94"/>
      <c r="I334" s="94"/>
      <c r="J334" s="94"/>
      <c r="K334" s="94"/>
      <c r="L334" s="94"/>
    </row>
    <row r="335" spans="3:12" ht="12.75" customHeight="1">
      <c r="C335" s="94"/>
      <c r="D335" s="94"/>
      <c r="E335" s="94"/>
      <c r="F335" s="94"/>
      <c r="G335" s="94"/>
      <c r="H335" s="94"/>
      <c r="I335" s="94"/>
      <c r="J335" s="94"/>
      <c r="K335" s="94"/>
      <c r="L335" s="94"/>
    </row>
    <row r="336" spans="3:12" ht="12.75" customHeight="1">
      <c r="C336" s="94"/>
      <c r="D336" s="94"/>
      <c r="E336" s="94"/>
      <c r="F336" s="94"/>
      <c r="G336" s="94"/>
      <c r="H336" s="94"/>
      <c r="I336" s="94"/>
      <c r="J336" s="94"/>
      <c r="K336" s="94"/>
      <c r="L336" s="94"/>
    </row>
    <row r="337" spans="3:12" ht="12.75" customHeight="1">
      <c r="C337" s="94"/>
      <c r="D337" s="94"/>
      <c r="E337" s="94"/>
      <c r="F337" s="94"/>
      <c r="G337" s="94"/>
      <c r="H337" s="94"/>
      <c r="I337" s="94"/>
      <c r="J337" s="94"/>
      <c r="K337" s="94"/>
      <c r="L337" s="94"/>
    </row>
    <row r="338" spans="3:12" ht="12.75" customHeight="1">
      <c r="C338" s="94"/>
      <c r="D338" s="94"/>
      <c r="E338" s="94"/>
      <c r="F338" s="94"/>
      <c r="G338" s="94"/>
      <c r="H338" s="94"/>
      <c r="I338" s="94"/>
      <c r="J338" s="94"/>
      <c r="K338" s="94"/>
      <c r="L338" s="94"/>
    </row>
    <row r="339" spans="3:12" ht="12.75" customHeight="1">
      <c r="C339" s="94"/>
      <c r="D339" s="94"/>
      <c r="E339" s="94"/>
      <c r="F339" s="94"/>
      <c r="G339" s="94"/>
      <c r="H339" s="94"/>
      <c r="I339" s="94"/>
      <c r="J339" s="94"/>
      <c r="K339" s="94"/>
      <c r="L339" s="94"/>
    </row>
    <row r="340" spans="3:12" ht="12.75" customHeight="1">
      <c r="C340" s="94"/>
      <c r="D340" s="94"/>
      <c r="E340" s="94"/>
      <c r="F340" s="94"/>
      <c r="G340" s="94"/>
      <c r="H340" s="94"/>
      <c r="I340" s="94"/>
      <c r="J340" s="94"/>
      <c r="K340" s="94"/>
      <c r="L340" s="94"/>
    </row>
    <row r="341" spans="3:12" ht="12.75" customHeight="1">
      <c r="C341" s="94"/>
      <c r="D341" s="94"/>
      <c r="E341" s="94"/>
      <c r="F341" s="94"/>
      <c r="G341" s="94"/>
      <c r="H341" s="94"/>
      <c r="I341" s="94"/>
      <c r="J341" s="94"/>
      <c r="K341" s="94"/>
      <c r="L341" s="94"/>
    </row>
    <row r="342" spans="3:12" ht="12.75" customHeight="1">
      <c r="C342" s="94"/>
      <c r="D342" s="94"/>
      <c r="E342" s="94"/>
      <c r="F342" s="94"/>
      <c r="G342" s="94"/>
      <c r="H342" s="94"/>
      <c r="I342" s="94"/>
      <c r="J342" s="94"/>
      <c r="K342" s="94"/>
      <c r="L342" s="94"/>
    </row>
    <row r="343" spans="3:12" ht="12.75" customHeight="1">
      <c r="C343" s="94"/>
      <c r="D343" s="94"/>
      <c r="E343" s="94"/>
      <c r="F343" s="94"/>
      <c r="G343" s="94"/>
      <c r="H343" s="94"/>
      <c r="I343" s="94"/>
      <c r="J343" s="94"/>
      <c r="K343" s="94"/>
      <c r="L343" s="94"/>
    </row>
    <row r="344" spans="3:12" ht="12.75" customHeight="1">
      <c r="C344" s="94"/>
      <c r="D344" s="94"/>
      <c r="E344" s="94"/>
      <c r="F344" s="94"/>
      <c r="G344" s="94"/>
      <c r="H344" s="94"/>
      <c r="I344" s="94"/>
      <c r="J344" s="94"/>
      <c r="K344" s="94"/>
      <c r="L344" s="94"/>
    </row>
    <row r="345" spans="3:12" ht="12.75" customHeight="1">
      <c r="C345" s="94"/>
      <c r="D345" s="94"/>
      <c r="E345" s="94"/>
      <c r="F345" s="94"/>
      <c r="G345" s="94"/>
      <c r="H345" s="94"/>
      <c r="I345" s="94"/>
      <c r="J345" s="94"/>
      <c r="K345" s="94"/>
      <c r="L345" s="94"/>
    </row>
    <row r="346" spans="3:12" ht="12.75" customHeight="1">
      <c r="C346" s="94"/>
      <c r="D346" s="94"/>
      <c r="E346" s="94"/>
      <c r="F346" s="94"/>
      <c r="G346" s="94"/>
      <c r="H346" s="94"/>
      <c r="I346" s="94"/>
      <c r="J346" s="94"/>
      <c r="K346" s="94"/>
      <c r="L346" s="94"/>
    </row>
    <row r="347" spans="3:12" ht="12.75" customHeight="1">
      <c r="C347" s="94"/>
      <c r="D347" s="94"/>
      <c r="E347" s="94"/>
      <c r="F347" s="94"/>
      <c r="G347" s="94"/>
      <c r="H347" s="94"/>
      <c r="I347" s="94"/>
      <c r="J347" s="94"/>
      <c r="K347" s="94"/>
      <c r="L347" s="94"/>
    </row>
    <row r="348" spans="3:12" ht="12.75" customHeight="1">
      <c r="C348" s="94"/>
      <c r="D348" s="94"/>
      <c r="E348" s="94"/>
      <c r="F348" s="94"/>
      <c r="G348" s="94"/>
      <c r="H348" s="94"/>
      <c r="I348" s="94"/>
      <c r="J348" s="94"/>
      <c r="K348" s="94"/>
      <c r="L348" s="94"/>
    </row>
    <row r="349" spans="3:12" ht="12.75" customHeight="1">
      <c r="C349" s="94"/>
      <c r="D349" s="94"/>
      <c r="E349" s="94"/>
      <c r="F349" s="94"/>
      <c r="G349" s="94"/>
      <c r="H349" s="94"/>
      <c r="I349" s="94"/>
      <c r="J349" s="94"/>
      <c r="K349" s="94"/>
      <c r="L349" s="94"/>
    </row>
    <row r="350" spans="3:12" ht="12.75" customHeight="1">
      <c r="C350" s="94"/>
      <c r="D350" s="94"/>
      <c r="E350" s="94"/>
      <c r="F350" s="94"/>
      <c r="G350" s="94"/>
      <c r="H350" s="94"/>
      <c r="I350" s="94"/>
      <c r="J350" s="94"/>
      <c r="K350" s="94"/>
      <c r="L350" s="94"/>
    </row>
    <row r="351" spans="3:12" ht="12.75" customHeight="1">
      <c r="C351" s="94"/>
      <c r="D351" s="94"/>
      <c r="E351" s="94"/>
      <c r="F351" s="94"/>
      <c r="G351" s="94"/>
      <c r="H351" s="94"/>
      <c r="I351" s="94"/>
      <c r="J351" s="94"/>
      <c r="K351" s="94"/>
      <c r="L351" s="94"/>
    </row>
    <row r="352" spans="3:12" ht="12.75" customHeight="1">
      <c r="C352" s="94"/>
      <c r="D352" s="94"/>
      <c r="E352" s="94"/>
      <c r="F352" s="94"/>
      <c r="G352" s="94"/>
      <c r="H352" s="94"/>
      <c r="I352" s="94"/>
      <c r="J352" s="94"/>
      <c r="K352" s="94"/>
      <c r="L352" s="94"/>
    </row>
    <row r="353" spans="3:12" ht="12.75" customHeight="1">
      <c r="C353" s="94"/>
      <c r="D353" s="94"/>
      <c r="E353" s="94"/>
      <c r="F353" s="94"/>
      <c r="G353" s="94"/>
      <c r="H353" s="94"/>
      <c r="I353" s="94"/>
      <c r="J353" s="94"/>
      <c r="K353" s="94"/>
      <c r="L353" s="94"/>
    </row>
    <row r="354" spans="3:12" ht="12.75" customHeight="1">
      <c r="C354" s="94"/>
      <c r="D354" s="94"/>
      <c r="E354" s="94"/>
      <c r="F354" s="94"/>
      <c r="G354" s="94"/>
      <c r="H354" s="94"/>
      <c r="I354" s="94"/>
      <c r="J354" s="94"/>
      <c r="K354" s="94"/>
      <c r="L354" s="94"/>
    </row>
    <row r="355" spans="3:12" ht="12.75" customHeight="1">
      <c r="C355" s="94"/>
      <c r="D355" s="94"/>
      <c r="E355" s="94"/>
      <c r="F355" s="94"/>
      <c r="G355" s="94"/>
      <c r="H355" s="94"/>
      <c r="I355" s="94"/>
      <c r="J355" s="94"/>
      <c r="K355" s="94"/>
      <c r="L355" s="94"/>
    </row>
    <row r="356" spans="3:12" ht="12.75" customHeight="1">
      <c r="C356" s="94"/>
      <c r="D356" s="94"/>
      <c r="E356" s="94"/>
      <c r="F356" s="94"/>
      <c r="G356" s="94"/>
      <c r="H356" s="94"/>
      <c r="I356" s="94"/>
      <c r="J356" s="94"/>
      <c r="K356" s="94"/>
      <c r="L356" s="94"/>
    </row>
    <row r="357" spans="3:12" ht="12.75" customHeight="1">
      <c r="C357" s="94"/>
      <c r="D357" s="94"/>
      <c r="E357" s="94"/>
      <c r="F357" s="94"/>
      <c r="G357" s="94"/>
      <c r="H357" s="94"/>
      <c r="I357" s="94"/>
      <c r="J357" s="94"/>
      <c r="K357" s="94"/>
      <c r="L357" s="94"/>
    </row>
    <row r="358" spans="3:12" ht="12.75" customHeight="1">
      <c r="C358" s="94"/>
      <c r="D358" s="94"/>
      <c r="E358" s="94"/>
      <c r="F358" s="94"/>
      <c r="G358" s="94"/>
      <c r="H358" s="94"/>
      <c r="I358" s="94"/>
      <c r="J358" s="94"/>
      <c r="K358" s="94"/>
      <c r="L358" s="94"/>
    </row>
    <row r="359" spans="3:12" ht="12.75" customHeight="1">
      <c r="C359" s="94"/>
      <c r="D359" s="94"/>
      <c r="E359" s="94"/>
      <c r="F359" s="94"/>
      <c r="G359" s="94"/>
      <c r="H359" s="94"/>
      <c r="I359" s="94"/>
      <c r="J359" s="94"/>
      <c r="K359" s="94"/>
      <c r="L359" s="94"/>
    </row>
    <row r="360" spans="3:12" ht="12.75" customHeight="1">
      <c r="C360" s="94"/>
      <c r="D360" s="94"/>
      <c r="E360" s="94"/>
      <c r="F360" s="94"/>
      <c r="G360" s="94"/>
      <c r="H360" s="94"/>
      <c r="I360" s="94"/>
      <c r="J360" s="94"/>
      <c r="K360" s="94"/>
      <c r="L360" s="94"/>
    </row>
    <row r="361" spans="3:12" ht="12.75" customHeight="1">
      <c r="C361" s="94"/>
      <c r="D361" s="94"/>
      <c r="E361" s="94"/>
      <c r="F361" s="94"/>
      <c r="G361" s="94"/>
      <c r="H361" s="94"/>
      <c r="I361" s="94"/>
      <c r="J361" s="94"/>
      <c r="K361" s="94"/>
      <c r="L361" s="94"/>
    </row>
    <row r="362" spans="3:12" ht="12.75" customHeight="1">
      <c r="C362" s="94"/>
      <c r="D362" s="94"/>
      <c r="E362" s="94"/>
      <c r="F362" s="94"/>
      <c r="G362" s="94"/>
      <c r="H362" s="94"/>
      <c r="I362" s="94"/>
      <c r="J362" s="94"/>
      <c r="K362" s="94"/>
      <c r="L362" s="94"/>
    </row>
    <row r="363" spans="3:12" ht="12.75" customHeight="1">
      <c r="C363" s="94"/>
      <c r="D363" s="94"/>
      <c r="E363" s="94"/>
      <c r="F363" s="94"/>
      <c r="G363" s="94"/>
      <c r="H363" s="94"/>
      <c r="I363" s="94"/>
      <c r="J363" s="94"/>
      <c r="K363" s="94"/>
      <c r="L363" s="94"/>
    </row>
    <row r="364" spans="3:12" ht="12.75" customHeight="1">
      <c r="C364" s="94"/>
      <c r="D364" s="94"/>
      <c r="E364" s="94"/>
      <c r="F364" s="94"/>
      <c r="G364" s="94"/>
      <c r="H364" s="94"/>
      <c r="I364" s="94"/>
      <c r="J364" s="94"/>
      <c r="K364" s="94"/>
      <c r="L364" s="94"/>
    </row>
    <row r="365" spans="3:12" ht="12.75" customHeight="1">
      <c r="C365" s="94"/>
      <c r="D365" s="94"/>
      <c r="E365" s="94"/>
      <c r="F365" s="94"/>
      <c r="G365" s="94"/>
      <c r="H365" s="94"/>
      <c r="I365" s="94"/>
      <c r="J365" s="94"/>
      <c r="K365" s="94"/>
      <c r="L365" s="94"/>
    </row>
    <row r="366" spans="3:12" ht="12.75" customHeight="1">
      <c r="C366" s="94"/>
      <c r="D366" s="94"/>
      <c r="E366" s="94"/>
      <c r="F366" s="94"/>
      <c r="G366" s="94"/>
      <c r="H366" s="94"/>
      <c r="I366" s="94"/>
      <c r="J366" s="94"/>
      <c r="K366" s="94"/>
      <c r="L366" s="94"/>
    </row>
    <row r="367" spans="3:12" ht="12.75" customHeight="1">
      <c r="C367" s="94"/>
      <c r="D367" s="94"/>
      <c r="E367" s="94"/>
      <c r="F367" s="94"/>
      <c r="G367" s="94"/>
      <c r="H367" s="94"/>
      <c r="I367" s="94"/>
      <c r="J367" s="94"/>
      <c r="K367" s="94"/>
      <c r="L367" s="94"/>
    </row>
    <row r="368" spans="3:12" ht="12.75" customHeight="1">
      <c r="C368" s="94"/>
      <c r="D368" s="94"/>
      <c r="E368" s="94"/>
      <c r="F368" s="94"/>
      <c r="G368" s="94"/>
      <c r="H368" s="94"/>
      <c r="I368" s="94"/>
      <c r="J368" s="94"/>
      <c r="K368" s="94"/>
      <c r="L368" s="94"/>
    </row>
    <row r="369" spans="3:12" ht="12.75" customHeight="1">
      <c r="C369" s="94"/>
      <c r="D369" s="94"/>
      <c r="E369" s="94"/>
      <c r="F369" s="94"/>
      <c r="G369" s="94"/>
      <c r="H369" s="94"/>
      <c r="I369" s="94"/>
      <c r="J369" s="94"/>
      <c r="K369" s="94"/>
      <c r="L369" s="94"/>
    </row>
    <row r="370" spans="3:12" ht="12.75" customHeight="1">
      <c r="C370" s="94"/>
      <c r="D370" s="94"/>
      <c r="E370" s="94"/>
      <c r="F370" s="94"/>
      <c r="G370" s="94"/>
      <c r="H370" s="94"/>
      <c r="I370" s="94"/>
      <c r="J370" s="94"/>
      <c r="K370" s="94"/>
      <c r="L370" s="94"/>
    </row>
    <row r="371" spans="3:12" ht="12.75" customHeight="1">
      <c r="C371" s="94"/>
      <c r="D371" s="94"/>
      <c r="E371" s="94"/>
      <c r="F371" s="94"/>
      <c r="G371" s="94"/>
      <c r="H371" s="94"/>
      <c r="I371" s="94"/>
      <c r="J371" s="94"/>
      <c r="K371" s="94"/>
      <c r="L371" s="94"/>
    </row>
    <row r="372" spans="3:12" ht="12.75" customHeight="1">
      <c r="C372" s="94"/>
      <c r="D372" s="94"/>
      <c r="E372" s="94"/>
      <c r="F372" s="94"/>
      <c r="G372" s="94"/>
      <c r="H372" s="94"/>
      <c r="I372" s="94"/>
      <c r="J372" s="94"/>
      <c r="K372" s="94"/>
      <c r="L372" s="94"/>
    </row>
    <row r="373" spans="3:12" ht="12.75" customHeight="1">
      <c r="C373" s="94"/>
      <c r="D373" s="94"/>
      <c r="E373" s="94"/>
      <c r="F373" s="94"/>
      <c r="G373" s="94"/>
      <c r="H373" s="94"/>
      <c r="I373" s="94"/>
      <c r="J373" s="94"/>
      <c r="K373" s="94"/>
      <c r="L373" s="94"/>
    </row>
    <row r="374" spans="3:12" ht="12.75" customHeight="1">
      <c r="C374" s="94"/>
      <c r="D374" s="94"/>
      <c r="E374" s="94"/>
      <c r="F374" s="94"/>
      <c r="G374" s="94"/>
      <c r="H374" s="94"/>
      <c r="I374" s="94"/>
      <c r="J374" s="94"/>
      <c r="K374" s="94"/>
      <c r="L374" s="94"/>
    </row>
    <row r="375" spans="3:12" ht="12.75" customHeight="1">
      <c r="C375" s="94"/>
      <c r="D375" s="94"/>
      <c r="E375" s="94"/>
      <c r="F375" s="94"/>
      <c r="G375" s="94"/>
      <c r="H375" s="94"/>
      <c r="I375" s="94"/>
      <c r="J375" s="94"/>
      <c r="K375" s="94"/>
      <c r="L375" s="94"/>
    </row>
    <row r="376" spans="3:12" ht="12.75" customHeight="1">
      <c r="C376" s="94"/>
      <c r="D376" s="94"/>
      <c r="E376" s="94"/>
      <c r="F376" s="94"/>
      <c r="G376" s="94"/>
      <c r="H376" s="94"/>
      <c r="I376" s="94"/>
      <c r="J376" s="94"/>
      <c r="K376" s="94"/>
      <c r="L376" s="94"/>
    </row>
    <row r="377" spans="3:12" ht="12.75" customHeight="1">
      <c r="C377" s="94"/>
      <c r="D377" s="94"/>
      <c r="E377" s="94"/>
      <c r="F377" s="94"/>
      <c r="G377" s="94"/>
      <c r="H377" s="94"/>
      <c r="I377" s="94"/>
      <c r="J377" s="94"/>
      <c r="K377" s="94"/>
      <c r="L377" s="94"/>
    </row>
    <row r="378" spans="3:12" ht="12.75" customHeight="1">
      <c r="C378" s="94"/>
      <c r="D378" s="94"/>
      <c r="E378" s="94"/>
      <c r="F378" s="94"/>
      <c r="G378" s="94"/>
      <c r="H378" s="94"/>
      <c r="I378" s="94"/>
      <c r="J378" s="94"/>
      <c r="K378" s="94"/>
      <c r="L378" s="94"/>
    </row>
    <row r="379" spans="3:12" ht="12.75" customHeight="1">
      <c r="C379" s="94"/>
      <c r="D379" s="94"/>
      <c r="E379" s="94"/>
      <c r="F379" s="94"/>
      <c r="G379" s="94"/>
      <c r="H379" s="94"/>
      <c r="I379" s="94"/>
      <c r="J379" s="94"/>
      <c r="K379" s="94"/>
      <c r="L379" s="94"/>
    </row>
    <row r="380" spans="3:12" ht="12.75" customHeight="1">
      <c r="C380" s="94"/>
      <c r="D380" s="94"/>
      <c r="E380" s="94"/>
      <c r="F380" s="94"/>
      <c r="G380" s="94"/>
      <c r="H380" s="94"/>
      <c r="I380" s="94"/>
      <c r="J380" s="94"/>
      <c r="K380" s="94"/>
      <c r="L380" s="94"/>
    </row>
    <row r="381" spans="3:12" ht="12.75" customHeight="1">
      <c r="C381" s="94"/>
      <c r="D381" s="94"/>
      <c r="E381" s="94"/>
      <c r="F381" s="94"/>
      <c r="G381" s="94"/>
      <c r="H381" s="94"/>
      <c r="I381" s="94"/>
      <c r="J381" s="94"/>
      <c r="K381" s="94"/>
      <c r="L381" s="94"/>
    </row>
    <row r="382" spans="3:12" ht="12.75" customHeight="1">
      <c r="C382" s="94"/>
      <c r="D382" s="94"/>
      <c r="E382" s="94"/>
      <c r="F382" s="94"/>
      <c r="G382" s="94"/>
      <c r="H382" s="94"/>
      <c r="I382" s="94"/>
      <c r="J382" s="94"/>
      <c r="K382" s="94"/>
      <c r="L382" s="94"/>
    </row>
    <row r="383" spans="3:12" ht="12.75" customHeight="1">
      <c r="C383" s="94"/>
      <c r="D383" s="94"/>
      <c r="E383" s="94"/>
      <c r="F383" s="94"/>
      <c r="G383" s="94"/>
      <c r="H383" s="94"/>
      <c r="I383" s="94"/>
      <c r="J383" s="94"/>
      <c r="K383" s="94"/>
      <c r="L383" s="94"/>
    </row>
    <row r="384" spans="3:12" ht="12.75" customHeight="1">
      <c r="C384" s="94"/>
      <c r="D384" s="94"/>
      <c r="E384" s="94"/>
      <c r="F384" s="94"/>
      <c r="G384" s="94"/>
      <c r="H384" s="94"/>
      <c r="I384" s="94"/>
      <c r="J384" s="94"/>
      <c r="K384" s="94"/>
      <c r="L384" s="94"/>
    </row>
    <row r="385" spans="3:12" ht="12.75" customHeight="1">
      <c r="C385" s="94"/>
      <c r="D385" s="94"/>
      <c r="E385" s="94"/>
      <c r="F385" s="94"/>
      <c r="G385" s="94"/>
      <c r="H385" s="94"/>
      <c r="I385" s="94"/>
      <c r="J385" s="94"/>
      <c r="K385" s="94"/>
      <c r="L385" s="94"/>
    </row>
    <row r="386" spans="3:12" ht="12.75" customHeight="1">
      <c r="C386" s="94"/>
      <c r="D386" s="94"/>
      <c r="E386" s="94"/>
      <c r="F386" s="94"/>
      <c r="G386" s="94"/>
      <c r="H386" s="94"/>
      <c r="I386" s="94"/>
      <c r="J386" s="94"/>
      <c r="K386" s="94"/>
      <c r="L386" s="94"/>
    </row>
    <row r="387" spans="3:12" ht="12.75" customHeight="1">
      <c r="C387" s="94"/>
      <c r="D387" s="94"/>
      <c r="E387" s="94"/>
      <c r="F387" s="94"/>
      <c r="G387" s="94"/>
      <c r="H387" s="94"/>
      <c r="I387" s="94"/>
      <c r="J387" s="94"/>
      <c r="K387" s="94"/>
      <c r="L387" s="94"/>
    </row>
    <row r="388" spans="3:12" ht="12.75" customHeight="1">
      <c r="C388" s="94"/>
      <c r="D388" s="94"/>
      <c r="E388" s="94"/>
      <c r="F388" s="94"/>
      <c r="G388" s="94"/>
      <c r="H388" s="94"/>
      <c r="I388" s="94"/>
      <c r="J388" s="94"/>
      <c r="K388" s="94"/>
      <c r="L388" s="94"/>
    </row>
    <row r="389" spans="3:12" ht="12.75" customHeight="1">
      <c r="C389" s="94"/>
      <c r="D389" s="94"/>
      <c r="E389" s="94"/>
      <c r="F389" s="94"/>
      <c r="G389" s="94"/>
      <c r="H389" s="94"/>
      <c r="I389" s="94"/>
      <c r="J389" s="94"/>
      <c r="K389" s="94"/>
      <c r="L389" s="94"/>
    </row>
    <row r="390" spans="3:12" ht="12.75" customHeight="1">
      <c r="C390" s="94"/>
      <c r="D390" s="94"/>
      <c r="E390" s="94"/>
      <c r="F390" s="94"/>
      <c r="G390" s="94"/>
      <c r="H390" s="94"/>
      <c r="I390" s="94"/>
      <c r="J390" s="94"/>
      <c r="K390" s="94"/>
      <c r="L390" s="94"/>
    </row>
    <row r="391" spans="3:12" ht="12.75" customHeight="1">
      <c r="C391" s="94"/>
      <c r="D391" s="94"/>
      <c r="E391" s="94"/>
      <c r="F391" s="94"/>
      <c r="G391" s="94"/>
      <c r="H391" s="94"/>
      <c r="I391" s="94"/>
      <c r="J391" s="94"/>
      <c r="K391" s="94"/>
      <c r="L391" s="94"/>
    </row>
    <row r="392" spans="3:12" ht="12.75" customHeight="1">
      <c r="C392" s="94"/>
      <c r="D392" s="94"/>
      <c r="E392" s="94"/>
      <c r="F392" s="94"/>
      <c r="G392" s="94"/>
      <c r="H392" s="94"/>
      <c r="I392" s="94"/>
      <c r="J392" s="94"/>
      <c r="K392" s="94"/>
      <c r="L392" s="94"/>
    </row>
    <row r="393" spans="3:12" ht="12.75" customHeight="1">
      <c r="C393" s="94"/>
      <c r="D393" s="94"/>
      <c r="E393" s="94"/>
      <c r="F393" s="94"/>
      <c r="G393" s="94"/>
      <c r="H393" s="94"/>
      <c r="I393" s="94"/>
      <c r="J393" s="94"/>
      <c r="K393" s="94"/>
      <c r="L393" s="94"/>
    </row>
    <row r="394" spans="3:12" ht="12.75" customHeight="1">
      <c r="C394" s="94"/>
      <c r="D394" s="94"/>
      <c r="E394" s="94"/>
      <c r="F394" s="94"/>
      <c r="G394" s="94"/>
      <c r="H394" s="94"/>
      <c r="I394" s="94"/>
      <c r="J394" s="94"/>
      <c r="K394" s="94"/>
      <c r="L394" s="94"/>
    </row>
    <row r="395" spans="3:12" ht="12.75" customHeight="1">
      <c r="C395" s="94"/>
      <c r="D395" s="94"/>
      <c r="E395" s="94"/>
      <c r="F395" s="94"/>
      <c r="G395" s="94"/>
      <c r="H395" s="94"/>
      <c r="I395" s="94"/>
      <c r="J395" s="94"/>
      <c r="K395" s="94"/>
      <c r="L395" s="94"/>
    </row>
    <row r="396" spans="3:12" ht="12.75" customHeight="1">
      <c r="C396" s="94"/>
      <c r="D396" s="94"/>
      <c r="E396" s="94"/>
      <c r="F396" s="94"/>
      <c r="G396" s="94"/>
      <c r="H396" s="94"/>
      <c r="I396" s="94"/>
      <c r="J396" s="94"/>
      <c r="K396" s="94"/>
      <c r="L396" s="94"/>
    </row>
    <row r="397" spans="3:12" ht="12.75" customHeight="1">
      <c r="C397" s="94"/>
      <c r="D397" s="94"/>
      <c r="E397" s="94"/>
      <c r="F397" s="94"/>
      <c r="G397" s="94"/>
      <c r="H397" s="94"/>
      <c r="I397" s="94"/>
      <c r="J397" s="94"/>
      <c r="K397" s="94"/>
      <c r="L397" s="94"/>
    </row>
    <row r="398" spans="3:12" ht="12.75" customHeight="1">
      <c r="C398" s="94"/>
      <c r="D398" s="94"/>
      <c r="E398" s="94"/>
      <c r="F398" s="94"/>
      <c r="G398" s="94"/>
      <c r="H398" s="94"/>
      <c r="I398" s="94"/>
      <c r="J398" s="94"/>
      <c r="K398" s="94"/>
      <c r="L398" s="94"/>
    </row>
    <row r="399" spans="3:12" ht="12.75" customHeight="1">
      <c r="C399" s="94"/>
      <c r="D399" s="94"/>
      <c r="E399" s="94"/>
      <c r="F399" s="94"/>
      <c r="G399" s="94"/>
      <c r="H399" s="94"/>
      <c r="I399" s="94"/>
      <c r="J399" s="94"/>
      <c r="K399" s="94"/>
      <c r="L399" s="94"/>
    </row>
    <row r="400" spans="3:12" ht="12.75" customHeight="1">
      <c r="C400" s="94"/>
      <c r="D400" s="94"/>
      <c r="E400" s="94"/>
      <c r="F400" s="94"/>
      <c r="G400" s="94"/>
      <c r="H400" s="94"/>
      <c r="I400" s="94"/>
      <c r="J400" s="94"/>
      <c r="K400" s="94"/>
      <c r="L400" s="94"/>
    </row>
    <row r="401" spans="3:12" ht="12.75" customHeight="1">
      <c r="C401" s="94"/>
      <c r="D401" s="94"/>
      <c r="E401" s="94"/>
      <c r="F401" s="94"/>
      <c r="G401" s="94"/>
      <c r="H401" s="94"/>
      <c r="I401" s="94"/>
      <c r="J401" s="94"/>
      <c r="K401" s="94"/>
      <c r="L401" s="94"/>
    </row>
    <row r="402" spans="3:12" ht="12.75" customHeight="1">
      <c r="C402" s="94"/>
      <c r="D402" s="94"/>
      <c r="E402" s="94"/>
      <c r="F402" s="94"/>
      <c r="G402" s="94"/>
      <c r="H402" s="94"/>
      <c r="I402" s="94"/>
      <c r="J402" s="94"/>
      <c r="K402" s="94"/>
      <c r="L402" s="94"/>
    </row>
    <row r="403" spans="3:12" ht="12.75" customHeight="1">
      <c r="C403" s="94"/>
      <c r="D403" s="94"/>
      <c r="E403" s="94"/>
      <c r="F403" s="94"/>
      <c r="G403" s="94"/>
      <c r="H403" s="94"/>
      <c r="I403" s="94"/>
      <c r="J403" s="94"/>
      <c r="K403" s="94"/>
      <c r="L403" s="94"/>
    </row>
    <row r="404" spans="3:12" ht="12.75" customHeight="1">
      <c r="C404" s="94"/>
      <c r="D404" s="94"/>
      <c r="E404" s="94"/>
      <c r="F404" s="94"/>
      <c r="G404" s="94"/>
      <c r="H404" s="94"/>
      <c r="I404" s="94"/>
      <c r="J404" s="94"/>
      <c r="K404" s="94"/>
      <c r="L404" s="94"/>
    </row>
    <row r="405" spans="3:12" ht="12.75" customHeight="1">
      <c r="C405" s="94"/>
      <c r="D405" s="94"/>
      <c r="E405" s="94"/>
      <c r="F405" s="94"/>
      <c r="G405" s="94"/>
      <c r="H405" s="94"/>
      <c r="I405" s="94"/>
      <c r="J405" s="94"/>
      <c r="K405" s="94"/>
      <c r="L405" s="94"/>
    </row>
    <row r="406" spans="3:12" ht="12.75" customHeight="1">
      <c r="C406" s="94"/>
      <c r="D406" s="94"/>
      <c r="E406" s="94"/>
      <c r="F406" s="94"/>
      <c r="G406" s="94"/>
      <c r="H406" s="94"/>
      <c r="I406" s="94"/>
      <c r="J406" s="94"/>
      <c r="K406" s="94"/>
      <c r="L406" s="94"/>
    </row>
    <row r="407" spans="3:12" ht="12.75" customHeight="1">
      <c r="C407" s="94"/>
      <c r="D407" s="94"/>
      <c r="E407" s="94"/>
      <c r="F407" s="94"/>
      <c r="G407" s="94"/>
      <c r="H407" s="94"/>
      <c r="I407" s="94"/>
      <c r="J407" s="94"/>
      <c r="K407" s="94"/>
      <c r="L407" s="94"/>
    </row>
    <row r="408" spans="3:12" ht="12.75" customHeight="1">
      <c r="C408" s="94"/>
      <c r="D408" s="94"/>
      <c r="E408" s="94"/>
      <c r="F408" s="94"/>
      <c r="G408" s="94"/>
      <c r="H408" s="94"/>
      <c r="I408" s="94"/>
      <c r="J408" s="94"/>
      <c r="K408" s="94"/>
      <c r="L408" s="94"/>
    </row>
    <row r="409" spans="3:12" ht="12.75" customHeight="1">
      <c r="C409" s="94"/>
      <c r="D409" s="94"/>
      <c r="E409" s="94"/>
      <c r="F409" s="94"/>
      <c r="G409" s="94"/>
      <c r="H409" s="94"/>
      <c r="I409" s="94"/>
      <c r="J409" s="94"/>
      <c r="K409" s="94"/>
      <c r="L409" s="94"/>
    </row>
    <row r="410" spans="3:12" ht="12.75" customHeight="1">
      <c r="C410" s="94"/>
      <c r="D410" s="94"/>
      <c r="E410" s="94"/>
      <c r="F410" s="94"/>
      <c r="G410" s="94"/>
      <c r="H410" s="94"/>
      <c r="I410" s="94"/>
      <c r="J410" s="94"/>
      <c r="K410" s="94"/>
      <c r="L410" s="94"/>
    </row>
    <row r="411" spans="3:12" ht="12.75" customHeight="1">
      <c r="C411" s="94"/>
      <c r="D411" s="94"/>
      <c r="E411" s="94"/>
      <c r="F411" s="94"/>
      <c r="G411" s="94"/>
      <c r="H411" s="94"/>
      <c r="I411" s="94"/>
      <c r="J411" s="94"/>
      <c r="K411" s="94"/>
      <c r="L411" s="94"/>
    </row>
    <row r="412" spans="3:12" ht="12.75" customHeight="1">
      <c r="C412" s="94"/>
      <c r="D412" s="94"/>
      <c r="E412" s="94"/>
      <c r="F412" s="94"/>
      <c r="G412" s="94"/>
      <c r="H412" s="94"/>
      <c r="I412" s="94"/>
      <c r="J412" s="94"/>
      <c r="K412" s="94"/>
      <c r="L412" s="94"/>
    </row>
    <row r="413" spans="3:12" ht="12.75" customHeight="1">
      <c r="C413" s="94"/>
      <c r="D413" s="94"/>
      <c r="E413" s="94"/>
      <c r="F413" s="94"/>
      <c r="G413" s="94"/>
      <c r="H413" s="94"/>
      <c r="I413" s="94"/>
      <c r="J413" s="94"/>
      <c r="K413" s="94"/>
      <c r="L413" s="94"/>
    </row>
    <row r="414" spans="3:12" ht="12.75" customHeight="1">
      <c r="C414" s="94"/>
      <c r="D414" s="94"/>
      <c r="E414" s="94"/>
      <c r="F414" s="94"/>
      <c r="G414" s="94"/>
      <c r="H414" s="94"/>
      <c r="I414" s="94"/>
      <c r="J414" s="94"/>
      <c r="K414" s="94"/>
      <c r="L414" s="94"/>
    </row>
    <row r="415" spans="3:12" ht="12.75" customHeight="1">
      <c r="C415" s="94"/>
      <c r="D415" s="94"/>
      <c r="E415" s="94"/>
      <c r="F415" s="94"/>
      <c r="G415" s="94"/>
      <c r="H415" s="94"/>
      <c r="I415" s="94"/>
      <c r="J415" s="94"/>
      <c r="K415" s="94"/>
      <c r="L415" s="94"/>
    </row>
    <row r="416" spans="3:12" ht="12.75" customHeight="1">
      <c r="C416" s="94"/>
      <c r="D416" s="94"/>
      <c r="E416" s="94"/>
      <c r="F416" s="94"/>
      <c r="G416" s="94"/>
      <c r="H416" s="94"/>
      <c r="I416" s="94"/>
      <c r="J416" s="94"/>
      <c r="K416" s="94"/>
      <c r="L416" s="94"/>
    </row>
    <row r="417" spans="3:12" ht="12.75" customHeight="1">
      <c r="C417" s="94"/>
      <c r="D417" s="94"/>
      <c r="E417" s="94"/>
      <c r="F417" s="94"/>
      <c r="G417" s="94"/>
      <c r="H417" s="94"/>
      <c r="I417" s="94"/>
      <c r="J417" s="94"/>
      <c r="K417" s="94"/>
      <c r="L417" s="94"/>
    </row>
    <row r="418" spans="3:12" ht="12.75" customHeight="1">
      <c r="C418" s="94"/>
      <c r="D418" s="94"/>
      <c r="E418" s="94"/>
      <c r="F418" s="94"/>
      <c r="G418" s="94"/>
      <c r="H418" s="94"/>
      <c r="I418" s="94"/>
      <c r="J418" s="94"/>
      <c r="K418" s="94"/>
      <c r="L418" s="94"/>
    </row>
    <row r="419" spans="3:12" ht="12.75" customHeight="1">
      <c r="C419" s="94"/>
      <c r="D419" s="94"/>
      <c r="E419" s="94"/>
      <c r="F419" s="94"/>
      <c r="G419" s="94"/>
      <c r="H419" s="94"/>
      <c r="I419" s="94"/>
      <c r="J419" s="94"/>
      <c r="K419" s="94"/>
      <c r="L419" s="94"/>
    </row>
    <row r="420" spans="3:12" ht="12.75" customHeight="1">
      <c r="C420" s="94"/>
      <c r="D420" s="94"/>
      <c r="E420" s="94"/>
      <c r="F420" s="94"/>
      <c r="G420" s="94"/>
      <c r="H420" s="94"/>
      <c r="I420" s="94"/>
      <c r="J420" s="94"/>
      <c r="K420" s="94"/>
      <c r="L420" s="94"/>
    </row>
    <row r="421" spans="3:12" ht="12.75" customHeight="1">
      <c r="C421" s="94"/>
      <c r="D421" s="94"/>
      <c r="E421" s="94"/>
      <c r="F421" s="94"/>
      <c r="G421" s="94"/>
      <c r="H421" s="94"/>
      <c r="I421" s="94"/>
      <c r="J421" s="94"/>
      <c r="K421" s="94"/>
      <c r="L421" s="94"/>
    </row>
    <row r="422" spans="3:12" ht="12.75" customHeight="1">
      <c r="C422" s="94"/>
      <c r="D422" s="94"/>
      <c r="E422" s="94"/>
      <c r="F422" s="94"/>
      <c r="G422" s="94"/>
      <c r="H422" s="94"/>
      <c r="I422" s="94"/>
      <c r="J422" s="94"/>
      <c r="K422" s="94"/>
      <c r="L422" s="94"/>
    </row>
    <row r="423" spans="3:12" ht="12.75" customHeight="1">
      <c r="C423" s="94"/>
      <c r="D423" s="94"/>
      <c r="E423" s="94"/>
      <c r="F423" s="94"/>
      <c r="G423" s="94"/>
      <c r="H423" s="94"/>
      <c r="I423" s="94"/>
      <c r="J423" s="94"/>
      <c r="K423" s="94"/>
      <c r="L423" s="94"/>
    </row>
    <row r="424" spans="3:12" ht="12.75" customHeight="1">
      <c r="C424" s="94"/>
      <c r="D424" s="94"/>
      <c r="E424" s="94"/>
      <c r="F424" s="94"/>
      <c r="G424" s="94"/>
      <c r="H424" s="94"/>
      <c r="I424" s="94"/>
      <c r="J424" s="94"/>
      <c r="K424" s="94"/>
      <c r="L424" s="94"/>
    </row>
    <row r="425" spans="3:12" ht="12.75" customHeight="1">
      <c r="C425" s="94"/>
      <c r="D425" s="94"/>
      <c r="E425" s="94"/>
      <c r="F425" s="94"/>
      <c r="G425" s="94"/>
      <c r="H425" s="94"/>
      <c r="I425" s="94"/>
      <c r="J425" s="94"/>
      <c r="K425" s="94"/>
      <c r="L425" s="94"/>
    </row>
    <row r="426" spans="3:12" ht="12.75" customHeight="1">
      <c r="C426" s="94"/>
      <c r="D426" s="94"/>
      <c r="E426" s="94"/>
      <c r="F426" s="94"/>
      <c r="G426" s="94"/>
      <c r="H426" s="94"/>
      <c r="I426" s="94"/>
      <c r="J426" s="94"/>
      <c r="K426" s="94"/>
      <c r="L426" s="94"/>
    </row>
    <row r="427" spans="3:12" ht="12.75" customHeight="1">
      <c r="C427" s="94"/>
      <c r="D427" s="94"/>
      <c r="E427" s="94"/>
      <c r="F427" s="94"/>
      <c r="G427" s="94"/>
      <c r="H427" s="94"/>
      <c r="I427" s="94"/>
      <c r="J427" s="94"/>
      <c r="K427" s="94"/>
      <c r="L427" s="94"/>
    </row>
    <row r="428" spans="3:12" ht="12.75" customHeight="1">
      <c r="C428" s="94"/>
      <c r="D428" s="94"/>
      <c r="E428" s="94"/>
      <c r="F428" s="94"/>
      <c r="G428" s="94"/>
      <c r="H428" s="94"/>
      <c r="I428" s="94"/>
      <c r="J428" s="94"/>
      <c r="K428" s="94"/>
      <c r="L428" s="94"/>
    </row>
    <row r="429" spans="3:12" ht="12.75" customHeight="1">
      <c r="C429" s="94"/>
      <c r="D429" s="94"/>
      <c r="E429" s="94"/>
      <c r="F429" s="94"/>
      <c r="G429" s="94"/>
      <c r="H429" s="94"/>
      <c r="I429" s="94"/>
      <c r="J429" s="94"/>
      <c r="K429" s="94"/>
      <c r="L429" s="94"/>
    </row>
    <row r="430" spans="3:12" ht="12.75" customHeight="1">
      <c r="C430" s="94"/>
      <c r="D430" s="94"/>
      <c r="E430" s="94"/>
      <c r="F430" s="94"/>
      <c r="G430" s="94"/>
      <c r="H430" s="94"/>
      <c r="I430" s="94"/>
      <c r="J430" s="94"/>
      <c r="K430" s="94"/>
      <c r="L430" s="94"/>
    </row>
    <row r="431" spans="3:12" ht="12.75" customHeight="1">
      <c r="C431" s="94"/>
      <c r="D431" s="94"/>
      <c r="E431" s="94"/>
      <c r="F431" s="94"/>
      <c r="G431" s="94"/>
      <c r="H431" s="94"/>
      <c r="I431" s="94"/>
      <c r="J431" s="94"/>
      <c r="K431" s="94"/>
      <c r="L431" s="94"/>
    </row>
    <row r="432" spans="3:12" ht="12.75" customHeight="1">
      <c r="C432" s="94"/>
      <c r="D432" s="94"/>
      <c r="E432" s="94"/>
      <c r="F432" s="94"/>
      <c r="G432" s="94"/>
      <c r="H432" s="94"/>
      <c r="I432" s="94"/>
      <c r="J432" s="94"/>
      <c r="K432" s="94"/>
      <c r="L432" s="94"/>
    </row>
    <row r="433" spans="3:12" ht="12.75" customHeight="1">
      <c r="C433" s="94"/>
      <c r="D433" s="94"/>
      <c r="E433" s="94"/>
      <c r="F433" s="94"/>
      <c r="G433" s="94"/>
      <c r="H433" s="94"/>
      <c r="I433" s="94"/>
      <c r="J433" s="94"/>
      <c r="K433" s="94"/>
      <c r="L433" s="94"/>
    </row>
    <row r="434" spans="3:12" ht="12.75" customHeight="1">
      <c r="C434" s="94"/>
      <c r="D434" s="94"/>
      <c r="E434" s="94"/>
      <c r="F434" s="94"/>
      <c r="G434" s="94"/>
      <c r="H434" s="94"/>
      <c r="I434" s="94"/>
      <c r="J434" s="94"/>
      <c r="K434" s="94"/>
      <c r="L434" s="94"/>
    </row>
    <row r="435" spans="3:12" ht="12.75" customHeight="1">
      <c r="C435" s="94"/>
      <c r="D435" s="94"/>
      <c r="E435" s="94"/>
      <c r="F435" s="94"/>
      <c r="G435" s="94"/>
      <c r="H435" s="94"/>
      <c r="I435" s="94"/>
      <c r="J435" s="94"/>
      <c r="K435" s="94"/>
      <c r="L435" s="94"/>
    </row>
    <row r="436" spans="3:12" ht="12.75" customHeight="1">
      <c r="C436" s="94"/>
      <c r="D436" s="94"/>
      <c r="E436" s="94"/>
      <c r="F436" s="94"/>
      <c r="G436" s="94"/>
      <c r="H436" s="94"/>
      <c r="I436" s="94"/>
      <c r="J436" s="94"/>
      <c r="K436" s="94"/>
      <c r="L436" s="94"/>
    </row>
    <row r="437" spans="3:12" ht="12.75" customHeight="1">
      <c r="C437" s="94"/>
      <c r="D437" s="94"/>
      <c r="E437" s="94"/>
      <c r="F437" s="94"/>
      <c r="G437" s="94"/>
      <c r="H437" s="94"/>
      <c r="I437" s="94"/>
      <c r="J437" s="94"/>
      <c r="K437" s="94"/>
      <c r="L437" s="94"/>
    </row>
    <row r="438" spans="3:12" ht="12.75" customHeight="1">
      <c r="C438" s="94"/>
      <c r="D438" s="94"/>
      <c r="E438" s="94"/>
      <c r="F438" s="94"/>
      <c r="G438" s="94"/>
      <c r="H438" s="94"/>
      <c r="I438" s="94"/>
      <c r="J438" s="94"/>
      <c r="K438" s="94"/>
      <c r="L438" s="94"/>
    </row>
    <row r="439" spans="3:12" ht="12.75" customHeight="1">
      <c r="C439" s="94"/>
      <c r="D439" s="94"/>
      <c r="E439" s="94"/>
      <c r="F439" s="94"/>
      <c r="G439" s="94"/>
      <c r="H439" s="94"/>
      <c r="I439" s="94"/>
      <c r="J439" s="94"/>
      <c r="K439" s="94"/>
      <c r="L439" s="94"/>
    </row>
    <row r="440" spans="3:12" ht="12.75" customHeight="1">
      <c r="C440" s="94"/>
      <c r="D440" s="94"/>
      <c r="E440" s="94"/>
      <c r="F440" s="94"/>
      <c r="G440" s="94"/>
      <c r="H440" s="94"/>
      <c r="I440" s="94"/>
      <c r="J440" s="94"/>
      <c r="K440" s="94"/>
      <c r="L440" s="94"/>
    </row>
    <row r="441" spans="3:12" ht="12.75" customHeight="1">
      <c r="C441" s="94"/>
      <c r="D441" s="94"/>
      <c r="E441" s="94"/>
      <c r="F441" s="94"/>
      <c r="G441" s="94"/>
      <c r="H441" s="94"/>
      <c r="I441" s="94"/>
      <c r="J441" s="94"/>
      <c r="K441" s="94"/>
      <c r="L441" s="94"/>
    </row>
    <row r="442" spans="3:12" ht="12.75" customHeight="1">
      <c r="C442" s="94"/>
      <c r="D442" s="94"/>
      <c r="E442" s="94"/>
      <c r="F442" s="94"/>
      <c r="G442" s="94"/>
      <c r="H442" s="94"/>
      <c r="I442" s="94"/>
      <c r="J442" s="94"/>
      <c r="K442" s="94"/>
      <c r="L442" s="94"/>
    </row>
    <row r="443" spans="3:12" ht="12.75" customHeight="1">
      <c r="C443" s="94"/>
      <c r="D443" s="94"/>
      <c r="E443" s="94"/>
      <c r="F443" s="94"/>
      <c r="G443" s="94"/>
      <c r="H443" s="94"/>
      <c r="I443" s="94"/>
      <c r="J443" s="94"/>
      <c r="K443" s="94"/>
      <c r="L443" s="94"/>
    </row>
    <row r="444" spans="3:12" ht="12.75" customHeight="1">
      <c r="C444" s="94"/>
      <c r="D444" s="94"/>
      <c r="E444" s="94"/>
      <c r="F444" s="94"/>
      <c r="G444" s="94"/>
      <c r="H444" s="94"/>
      <c r="I444" s="94"/>
      <c r="J444" s="94"/>
      <c r="K444" s="94"/>
      <c r="L444" s="94"/>
    </row>
    <row r="445" spans="3:12" ht="12.75" customHeight="1">
      <c r="C445" s="94"/>
      <c r="D445" s="94"/>
      <c r="E445" s="94"/>
      <c r="F445" s="94"/>
      <c r="G445" s="94"/>
      <c r="H445" s="94"/>
      <c r="I445" s="94"/>
      <c r="J445" s="94"/>
      <c r="K445" s="94"/>
      <c r="L445" s="94"/>
    </row>
    <row r="446" spans="3:12" ht="12.75" customHeight="1">
      <c r="C446" s="94"/>
      <c r="D446" s="94"/>
      <c r="E446" s="94"/>
      <c r="F446" s="94"/>
      <c r="G446" s="94"/>
      <c r="H446" s="94"/>
      <c r="I446" s="94"/>
      <c r="J446" s="94"/>
      <c r="K446" s="94"/>
      <c r="L446" s="94"/>
    </row>
    <row r="447" spans="3:12" ht="12.75" customHeight="1">
      <c r="C447" s="94"/>
      <c r="D447" s="94"/>
      <c r="E447" s="94"/>
      <c r="F447" s="94"/>
      <c r="G447" s="94"/>
      <c r="H447" s="94"/>
      <c r="I447" s="94"/>
      <c r="J447" s="94"/>
      <c r="K447" s="94"/>
      <c r="L447" s="94"/>
    </row>
    <row r="448" spans="3:12" ht="12.75" customHeight="1">
      <c r="C448" s="94"/>
      <c r="D448" s="94"/>
      <c r="E448" s="94"/>
      <c r="F448" s="94"/>
      <c r="G448" s="94"/>
      <c r="H448" s="94"/>
      <c r="I448" s="94"/>
      <c r="J448" s="94"/>
      <c r="K448" s="94"/>
      <c r="L448" s="94"/>
    </row>
    <row r="449" spans="3:12" ht="12.75" customHeight="1">
      <c r="C449" s="94"/>
      <c r="D449" s="94"/>
      <c r="E449" s="94"/>
      <c r="F449" s="94"/>
      <c r="G449" s="94"/>
      <c r="H449" s="94"/>
      <c r="I449" s="94"/>
      <c r="J449" s="94"/>
      <c r="K449" s="94"/>
      <c r="L449" s="94"/>
    </row>
    <row r="450" spans="3:12" ht="12.75" customHeight="1">
      <c r="C450" s="94"/>
      <c r="D450" s="94"/>
      <c r="E450" s="94"/>
      <c r="F450" s="94"/>
      <c r="G450" s="94"/>
      <c r="H450" s="94"/>
      <c r="I450" s="94"/>
      <c r="J450" s="94"/>
      <c r="K450" s="94"/>
      <c r="L450" s="94"/>
    </row>
    <row r="451" spans="3:12" ht="12.75" customHeight="1">
      <c r="C451" s="94"/>
      <c r="D451" s="94"/>
      <c r="E451" s="94"/>
      <c r="F451" s="94"/>
      <c r="G451" s="94"/>
      <c r="H451" s="94"/>
      <c r="I451" s="94"/>
      <c r="J451" s="94"/>
      <c r="K451" s="94"/>
      <c r="L451" s="94"/>
    </row>
    <row r="452" spans="3:12" ht="12.75" customHeight="1">
      <c r="C452" s="94"/>
      <c r="D452" s="94"/>
      <c r="E452" s="94"/>
      <c r="F452" s="94"/>
      <c r="G452" s="94"/>
      <c r="H452" s="94"/>
      <c r="I452" s="94"/>
      <c r="J452" s="94"/>
      <c r="K452" s="94"/>
      <c r="L452" s="94"/>
    </row>
    <row r="453" spans="3:12" ht="12.75" customHeight="1">
      <c r="C453" s="94"/>
      <c r="D453" s="94"/>
      <c r="E453" s="94"/>
      <c r="F453" s="94"/>
      <c r="G453" s="94"/>
      <c r="H453" s="94"/>
      <c r="I453" s="94"/>
      <c r="J453" s="94"/>
      <c r="K453" s="94"/>
      <c r="L453" s="94"/>
    </row>
    <row r="454" spans="3:12" ht="12.75" customHeight="1">
      <c r="C454" s="94"/>
      <c r="D454" s="94"/>
      <c r="E454" s="94"/>
      <c r="F454" s="94"/>
      <c r="G454" s="94"/>
      <c r="H454" s="94"/>
      <c r="I454" s="94"/>
      <c r="J454" s="94"/>
      <c r="K454" s="94"/>
      <c r="L454" s="94"/>
    </row>
    <row r="455" spans="3:12" ht="12.75" customHeight="1">
      <c r="C455" s="94"/>
      <c r="D455" s="94"/>
      <c r="E455" s="94"/>
      <c r="F455" s="94"/>
      <c r="G455" s="94"/>
      <c r="H455" s="94"/>
      <c r="I455" s="94"/>
      <c r="J455" s="94"/>
      <c r="K455" s="94"/>
      <c r="L455" s="94"/>
    </row>
    <row r="456" spans="3:12" ht="12.75" customHeight="1">
      <c r="C456" s="94"/>
      <c r="D456" s="94"/>
      <c r="E456" s="94"/>
      <c r="F456" s="94"/>
      <c r="G456" s="94"/>
      <c r="H456" s="94"/>
      <c r="I456" s="94"/>
      <c r="J456" s="94"/>
      <c r="K456" s="94"/>
      <c r="L456" s="94"/>
    </row>
    <row r="457" spans="3:12" ht="12.75" customHeight="1">
      <c r="C457" s="94"/>
      <c r="D457" s="94"/>
      <c r="E457" s="94"/>
      <c r="F457" s="94"/>
      <c r="G457" s="94"/>
      <c r="H457" s="94"/>
      <c r="I457" s="94"/>
      <c r="J457" s="94"/>
      <c r="K457" s="94"/>
      <c r="L457" s="94"/>
    </row>
    <row r="458" spans="3:12" ht="12.75" customHeight="1">
      <c r="C458" s="94"/>
      <c r="D458" s="94"/>
      <c r="E458" s="94"/>
      <c r="F458" s="94"/>
      <c r="G458" s="94"/>
      <c r="H458" s="94"/>
      <c r="I458" s="94"/>
      <c r="J458" s="94"/>
      <c r="K458" s="94"/>
      <c r="L458" s="94"/>
    </row>
    <row r="459" spans="3:12" ht="12.75" customHeight="1">
      <c r="C459" s="94"/>
      <c r="D459" s="94"/>
      <c r="E459" s="94"/>
      <c r="F459" s="94"/>
      <c r="G459" s="94"/>
      <c r="H459" s="94"/>
      <c r="I459" s="94"/>
      <c r="J459" s="94"/>
      <c r="K459" s="94"/>
      <c r="L459" s="94"/>
    </row>
    <row r="460" spans="3:12" ht="12.75" customHeight="1">
      <c r="C460" s="94"/>
      <c r="D460" s="94"/>
      <c r="E460" s="94"/>
      <c r="F460" s="94"/>
      <c r="G460" s="94"/>
      <c r="H460" s="94"/>
      <c r="I460" s="94"/>
      <c r="J460" s="94"/>
      <c r="K460" s="94"/>
      <c r="L460" s="94"/>
    </row>
    <row r="461" spans="3:12" ht="12.75" customHeight="1">
      <c r="C461" s="94"/>
      <c r="D461" s="94"/>
      <c r="E461" s="94"/>
      <c r="F461" s="94"/>
      <c r="G461" s="94"/>
      <c r="H461" s="94"/>
      <c r="I461" s="94"/>
      <c r="J461" s="94"/>
      <c r="K461" s="94"/>
      <c r="L461" s="94"/>
    </row>
    <row r="462" spans="3:12" ht="12.75" customHeight="1">
      <c r="C462" s="94"/>
      <c r="D462" s="94"/>
      <c r="E462" s="94"/>
      <c r="F462" s="94"/>
      <c r="G462" s="94"/>
      <c r="H462" s="94"/>
      <c r="I462" s="94"/>
      <c r="J462" s="94"/>
      <c r="K462" s="94"/>
      <c r="L462" s="94"/>
    </row>
    <row r="463" spans="3:12" ht="12.75" customHeight="1">
      <c r="C463" s="94"/>
      <c r="D463" s="94"/>
      <c r="E463" s="94"/>
      <c r="F463" s="94"/>
      <c r="G463" s="94"/>
      <c r="H463" s="94"/>
      <c r="I463" s="94"/>
      <c r="J463" s="94"/>
      <c r="K463" s="94"/>
      <c r="L463" s="94"/>
    </row>
    <row r="464" spans="3:12" ht="12.75" customHeight="1">
      <c r="C464" s="94"/>
      <c r="D464" s="94"/>
      <c r="E464" s="94"/>
      <c r="F464" s="94"/>
      <c r="G464" s="94"/>
      <c r="H464" s="94"/>
      <c r="I464" s="94"/>
      <c r="J464" s="94"/>
      <c r="K464" s="94"/>
      <c r="L464" s="94"/>
    </row>
    <row r="465" spans="3:12" ht="12.75" customHeight="1">
      <c r="C465" s="94"/>
      <c r="D465" s="94"/>
      <c r="E465" s="94"/>
      <c r="F465" s="94"/>
      <c r="G465" s="94"/>
      <c r="H465" s="94"/>
      <c r="I465" s="94"/>
      <c r="J465" s="94"/>
      <c r="K465" s="94"/>
      <c r="L465" s="94"/>
    </row>
    <row r="466" spans="3:12" ht="12.75" customHeight="1">
      <c r="C466" s="94"/>
      <c r="D466" s="94"/>
      <c r="E466" s="94"/>
      <c r="F466" s="94"/>
      <c r="G466" s="94"/>
      <c r="H466" s="94"/>
      <c r="I466" s="94"/>
      <c r="J466" s="94"/>
      <c r="K466" s="94"/>
      <c r="L466" s="94"/>
    </row>
    <row r="467" spans="3:12" ht="12.75" customHeight="1">
      <c r="C467" s="94"/>
      <c r="D467" s="94"/>
      <c r="E467" s="94"/>
      <c r="F467" s="94"/>
      <c r="G467" s="94"/>
      <c r="H467" s="94"/>
      <c r="I467" s="94"/>
      <c r="J467" s="94"/>
      <c r="K467" s="94"/>
      <c r="L467" s="94"/>
    </row>
    <row r="468" spans="3:12" ht="12.75" customHeight="1">
      <c r="C468" s="94"/>
      <c r="D468" s="94"/>
      <c r="E468" s="94"/>
      <c r="F468" s="94"/>
      <c r="G468" s="94"/>
      <c r="H468" s="94"/>
      <c r="I468" s="94"/>
      <c r="J468" s="94"/>
      <c r="K468" s="94"/>
      <c r="L468" s="94"/>
    </row>
    <row r="469" spans="3:12" ht="12.75" customHeight="1">
      <c r="C469" s="94"/>
      <c r="D469" s="94"/>
      <c r="E469" s="94"/>
      <c r="F469" s="94"/>
      <c r="G469" s="94"/>
      <c r="H469" s="94"/>
      <c r="I469" s="94"/>
      <c r="J469" s="94"/>
      <c r="K469" s="94"/>
      <c r="L469" s="94"/>
    </row>
    <row r="470" spans="3:12" ht="12.75" customHeight="1">
      <c r="C470" s="94"/>
      <c r="D470" s="94"/>
      <c r="E470" s="94"/>
      <c r="F470" s="94"/>
      <c r="G470" s="94"/>
      <c r="H470" s="94"/>
      <c r="I470" s="94"/>
      <c r="J470" s="94"/>
      <c r="K470" s="94"/>
      <c r="L470" s="94"/>
    </row>
    <row r="471" spans="3:12" ht="12.75" customHeight="1">
      <c r="C471" s="94"/>
      <c r="D471" s="94"/>
      <c r="E471" s="94"/>
      <c r="F471" s="94"/>
      <c r="G471" s="94"/>
      <c r="H471" s="94"/>
      <c r="I471" s="94"/>
      <c r="J471" s="94"/>
      <c r="K471" s="94"/>
      <c r="L471" s="94"/>
    </row>
    <row r="472" spans="3:12" ht="12.75" customHeight="1">
      <c r="C472" s="94"/>
      <c r="D472" s="94"/>
      <c r="E472" s="94"/>
      <c r="F472" s="94"/>
      <c r="G472" s="94"/>
      <c r="H472" s="94"/>
      <c r="I472" s="94"/>
      <c r="J472" s="94"/>
      <c r="K472" s="94"/>
      <c r="L472" s="94"/>
    </row>
    <row r="473" spans="3:12" ht="12.75" customHeight="1">
      <c r="C473" s="94"/>
      <c r="D473" s="94"/>
      <c r="E473" s="94"/>
      <c r="F473" s="94"/>
      <c r="G473" s="94"/>
      <c r="H473" s="94"/>
      <c r="I473" s="94"/>
      <c r="J473" s="94"/>
      <c r="K473" s="94"/>
      <c r="L473" s="94"/>
    </row>
    <row r="474" spans="3:12" ht="12.75" customHeight="1">
      <c r="C474" s="94"/>
      <c r="D474" s="94"/>
      <c r="E474" s="94"/>
      <c r="F474" s="94"/>
      <c r="G474" s="94"/>
      <c r="H474" s="94"/>
      <c r="I474" s="94"/>
      <c r="J474" s="94"/>
      <c r="K474" s="94"/>
      <c r="L474" s="94"/>
    </row>
    <row r="475" spans="3:12" ht="12.75" customHeight="1">
      <c r="C475" s="94"/>
      <c r="D475" s="94"/>
      <c r="E475" s="94"/>
      <c r="F475" s="94"/>
      <c r="G475" s="94"/>
      <c r="H475" s="94"/>
      <c r="I475" s="94"/>
      <c r="J475" s="94"/>
      <c r="K475" s="94"/>
      <c r="L475" s="94"/>
    </row>
    <row r="476" spans="3:12" ht="12.75" customHeight="1">
      <c r="C476" s="94"/>
      <c r="D476" s="94"/>
      <c r="E476" s="94"/>
      <c r="F476" s="94"/>
      <c r="G476" s="94"/>
      <c r="H476" s="94"/>
      <c r="I476" s="94"/>
      <c r="J476" s="94"/>
      <c r="K476" s="94"/>
      <c r="L476" s="94"/>
    </row>
    <row r="477" spans="3:12" ht="12.75" customHeight="1">
      <c r="C477" s="94"/>
      <c r="D477" s="94"/>
      <c r="E477" s="94"/>
      <c r="F477" s="94"/>
      <c r="G477" s="94"/>
      <c r="H477" s="94"/>
      <c r="I477" s="94"/>
      <c r="J477" s="94"/>
      <c r="K477" s="94"/>
      <c r="L477" s="94"/>
    </row>
    <row r="478" spans="3:12" ht="12.75" customHeight="1">
      <c r="C478" s="94"/>
      <c r="D478" s="94"/>
      <c r="E478" s="94"/>
      <c r="F478" s="94"/>
      <c r="G478" s="94"/>
      <c r="H478" s="94"/>
      <c r="I478" s="94"/>
      <c r="J478" s="94"/>
      <c r="K478" s="94"/>
      <c r="L478" s="94"/>
    </row>
    <row r="479" spans="3:12" ht="12.75" customHeight="1">
      <c r="C479" s="94"/>
      <c r="D479" s="94"/>
      <c r="E479" s="94"/>
      <c r="F479" s="94"/>
      <c r="G479" s="94"/>
      <c r="H479" s="94"/>
      <c r="I479" s="94"/>
      <c r="J479" s="94"/>
      <c r="K479" s="94"/>
      <c r="L479" s="94"/>
    </row>
    <row r="480" spans="3:12" ht="12.75" customHeight="1">
      <c r="C480" s="94"/>
      <c r="D480" s="94"/>
      <c r="E480" s="94"/>
      <c r="F480" s="94"/>
      <c r="G480" s="94"/>
      <c r="H480" s="94"/>
      <c r="I480" s="94"/>
      <c r="J480" s="94"/>
      <c r="K480" s="94"/>
      <c r="L480" s="94"/>
    </row>
    <row r="481" spans="3:12" ht="12.75" customHeight="1">
      <c r="C481" s="94"/>
      <c r="D481" s="94"/>
      <c r="E481" s="94"/>
      <c r="F481" s="94"/>
      <c r="G481" s="94"/>
      <c r="H481" s="94"/>
      <c r="I481" s="94"/>
      <c r="J481" s="94"/>
      <c r="K481" s="94"/>
      <c r="L481" s="94"/>
    </row>
    <row r="482" spans="3:12" ht="12.75" customHeight="1">
      <c r="C482" s="94"/>
      <c r="D482" s="94"/>
      <c r="E482" s="94"/>
      <c r="F482" s="94"/>
      <c r="G482" s="94"/>
      <c r="H482" s="94"/>
      <c r="I482" s="94"/>
      <c r="J482" s="94"/>
      <c r="K482" s="94"/>
      <c r="L482" s="94"/>
    </row>
    <row r="483" spans="3:12" ht="12.75" customHeight="1">
      <c r="C483" s="94"/>
      <c r="D483" s="94"/>
      <c r="E483" s="94"/>
      <c r="F483" s="94"/>
      <c r="G483" s="94"/>
      <c r="H483" s="94"/>
      <c r="I483" s="94"/>
      <c r="J483" s="94"/>
      <c r="K483" s="94"/>
      <c r="L483" s="94"/>
    </row>
    <row r="484" spans="3:12" ht="12.75" customHeight="1">
      <c r="C484" s="94"/>
      <c r="D484" s="94"/>
      <c r="E484" s="94"/>
      <c r="F484" s="94"/>
      <c r="G484" s="94"/>
      <c r="H484" s="94"/>
      <c r="I484" s="94"/>
      <c r="J484" s="94"/>
      <c r="K484" s="94"/>
      <c r="L484" s="94"/>
    </row>
    <row r="485" spans="3:12" ht="12.75" customHeight="1">
      <c r="C485" s="94"/>
      <c r="D485" s="94"/>
      <c r="E485" s="94"/>
      <c r="F485" s="94"/>
      <c r="G485" s="94"/>
      <c r="H485" s="94"/>
      <c r="I485" s="94"/>
      <c r="J485" s="94"/>
      <c r="K485" s="94"/>
      <c r="L485" s="94"/>
    </row>
    <row r="486" spans="3:12" ht="12.75" customHeight="1">
      <c r="C486" s="94"/>
      <c r="D486" s="94"/>
      <c r="E486" s="94"/>
      <c r="F486" s="94"/>
      <c r="G486" s="94"/>
      <c r="H486" s="94"/>
      <c r="I486" s="94"/>
      <c r="J486" s="94"/>
      <c r="K486" s="94"/>
      <c r="L486" s="94"/>
    </row>
    <row r="487" spans="3:12" ht="12.75" customHeight="1">
      <c r="C487" s="94"/>
      <c r="D487" s="94"/>
      <c r="E487" s="94"/>
      <c r="F487" s="94"/>
      <c r="G487" s="94"/>
      <c r="H487" s="94"/>
      <c r="I487" s="94"/>
      <c r="J487" s="94"/>
      <c r="K487" s="94"/>
      <c r="L487" s="94"/>
    </row>
    <row r="488" spans="3:12" ht="12.75" customHeight="1">
      <c r="C488" s="94"/>
      <c r="D488" s="94"/>
      <c r="E488" s="94"/>
      <c r="F488" s="94"/>
      <c r="G488" s="94"/>
      <c r="H488" s="94"/>
      <c r="I488" s="94"/>
      <c r="J488" s="94"/>
      <c r="K488" s="94"/>
      <c r="L488" s="94"/>
    </row>
    <row r="489" spans="3:12" ht="12.75" customHeight="1">
      <c r="C489" s="94"/>
      <c r="D489" s="94"/>
      <c r="E489" s="94"/>
      <c r="F489" s="94"/>
      <c r="G489" s="94"/>
      <c r="H489" s="94"/>
      <c r="I489" s="94"/>
      <c r="J489" s="94"/>
      <c r="K489" s="94"/>
      <c r="L489" s="94"/>
    </row>
    <row r="490" spans="3:12" ht="12.75" customHeight="1">
      <c r="C490" s="94"/>
      <c r="D490" s="94"/>
      <c r="E490" s="94"/>
      <c r="F490" s="94"/>
      <c r="G490" s="94"/>
      <c r="H490" s="94"/>
      <c r="I490" s="94"/>
      <c r="J490" s="94"/>
      <c r="K490" s="94"/>
      <c r="L490" s="94"/>
    </row>
    <row r="491" spans="3:12" ht="12.75" customHeight="1">
      <c r="C491" s="94"/>
      <c r="D491" s="94"/>
      <c r="E491" s="94"/>
      <c r="F491" s="94"/>
      <c r="G491" s="94"/>
      <c r="H491" s="94"/>
      <c r="I491" s="94"/>
      <c r="J491" s="94"/>
      <c r="K491" s="94"/>
      <c r="L491" s="94"/>
    </row>
    <row r="492" spans="3:12" ht="12.75" customHeight="1">
      <c r="C492" s="94"/>
      <c r="D492" s="94"/>
      <c r="E492" s="94"/>
      <c r="F492" s="94"/>
      <c r="G492" s="94"/>
      <c r="H492" s="94"/>
      <c r="I492" s="94"/>
      <c r="J492" s="94"/>
      <c r="K492" s="94"/>
      <c r="L492" s="94"/>
    </row>
    <row r="493" spans="3:12" ht="12.75" customHeight="1">
      <c r="C493" s="94"/>
      <c r="D493" s="94"/>
      <c r="E493" s="94"/>
      <c r="F493" s="94"/>
      <c r="G493" s="94"/>
      <c r="H493" s="94"/>
      <c r="I493" s="94"/>
      <c r="J493" s="94"/>
      <c r="K493" s="94"/>
      <c r="L493" s="94"/>
    </row>
    <row r="494" spans="3:12" ht="12.75" customHeight="1">
      <c r="C494" s="94"/>
      <c r="D494" s="94"/>
      <c r="E494" s="94"/>
      <c r="F494" s="94"/>
      <c r="G494" s="94"/>
      <c r="H494" s="94"/>
      <c r="I494" s="94"/>
      <c r="J494" s="94"/>
      <c r="K494" s="94"/>
      <c r="L494" s="94"/>
    </row>
    <row r="495" spans="3:12" ht="12.75" customHeight="1">
      <c r="C495" s="94"/>
      <c r="D495" s="94"/>
      <c r="E495" s="94"/>
      <c r="F495" s="94"/>
      <c r="G495" s="94"/>
      <c r="H495" s="94"/>
      <c r="I495" s="94"/>
      <c r="J495" s="94"/>
      <c r="K495" s="94"/>
      <c r="L495" s="94"/>
    </row>
    <row r="496" spans="3:12" ht="12.75" customHeight="1">
      <c r="C496" s="94"/>
      <c r="D496" s="94"/>
      <c r="E496" s="94"/>
      <c r="F496" s="94"/>
      <c r="G496" s="94"/>
      <c r="H496" s="94"/>
      <c r="I496" s="94"/>
      <c r="J496" s="94"/>
      <c r="K496" s="94"/>
      <c r="L496" s="94"/>
    </row>
    <row r="497" spans="3:12" ht="12.75" customHeight="1">
      <c r="C497" s="94"/>
      <c r="D497" s="94"/>
      <c r="E497" s="94"/>
      <c r="F497" s="94"/>
      <c r="G497" s="94"/>
      <c r="H497" s="94"/>
      <c r="I497" s="94"/>
      <c r="J497" s="94"/>
      <c r="K497" s="94"/>
      <c r="L497" s="94"/>
    </row>
    <row r="498" spans="3:12" ht="12.75" customHeight="1">
      <c r="C498" s="94"/>
      <c r="D498" s="94"/>
      <c r="E498" s="94"/>
      <c r="F498" s="94"/>
      <c r="G498" s="94"/>
      <c r="H498" s="94"/>
      <c r="I498" s="94"/>
      <c r="J498" s="94"/>
      <c r="K498" s="94"/>
      <c r="L498" s="94"/>
    </row>
    <row r="499" spans="3:12" ht="12.75" customHeight="1">
      <c r="C499" s="94"/>
      <c r="D499" s="94"/>
      <c r="E499" s="94"/>
      <c r="F499" s="94"/>
      <c r="G499" s="94"/>
      <c r="H499" s="94"/>
      <c r="I499" s="94"/>
      <c r="J499" s="94"/>
      <c r="K499" s="94"/>
      <c r="L499" s="94"/>
    </row>
    <row r="500" spans="3:12" ht="12.75" customHeight="1">
      <c r="C500" s="94"/>
      <c r="D500" s="94"/>
      <c r="E500" s="94"/>
      <c r="F500" s="94"/>
      <c r="G500" s="94"/>
      <c r="H500" s="94"/>
      <c r="I500" s="94"/>
      <c r="J500" s="94"/>
      <c r="K500" s="94"/>
      <c r="L500" s="94"/>
    </row>
    <row r="501" spans="3:12" ht="12.75" customHeight="1">
      <c r="C501" s="94"/>
      <c r="D501" s="94"/>
      <c r="E501" s="94"/>
      <c r="F501" s="94"/>
      <c r="G501" s="94"/>
      <c r="H501" s="94"/>
      <c r="I501" s="94"/>
      <c r="J501" s="94"/>
      <c r="K501" s="94"/>
      <c r="L501" s="94"/>
    </row>
    <row r="502" spans="3:12" ht="12.75" customHeight="1">
      <c r="C502" s="94"/>
      <c r="D502" s="94"/>
      <c r="E502" s="94"/>
      <c r="F502" s="94"/>
      <c r="G502" s="94"/>
      <c r="H502" s="94"/>
      <c r="I502" s="94"/>
      <c r="J502" s="94"/>
      <c r="K502" s="94"/>
      <c r="L502" s="94"/>
    </row>
    <row r="503" spans="3:12" ht="12.75" customHeight="1">
      <c r="C503" s="94"/>
      <c r="D503" s="94"/>
      <c r="E503" s="94"/>
      <c r="F503" s="94"/>
      <c r="G503" s="94"/>
      <c r="H503" s="94"/>
      <c r="I503" s="94"/>
      <c r="J503" s="94"/>
      <c r="K503" s="94"/>
      <c r="L503" s="94"/>
    </row>
    <row r="504" spans="3:12" ht="12.75" customHeight="1">
      <c r="C504" s="94"/>
      <c r="D504" s="94"/>
      <c r="E504" s="94"/>
      <c r="F504" s="94"/>
      <c r="G504" s="94"/>
      <c r="H504" s="94"/>
      <c r="I504" s="94"/>
      <c r="J504" s="94"/>
      <c r="K504" s="94"/>
      <c r="L504" s="94"/>
    </row>
    <row r="505" spans="3:12" ht="12.75" customHeight="1">
      <c r="C505" s="94"/>
      <c r="D505" s="94"/>
      <c r="E505" s="94"/>
      <c r="F505" s="94"/>
      <c r="G505" s="94"/>
      <c r="H505" s="94"/>
      <c r="I505" s="94"/>
      <c r="J505" s="94"/>
      <c r="K505" s="94"/>
      <c r="L505" s="94"/>
    </row>
    <row r="506" spans="3:12" ht="12.75" customHeight="1">
      <c r="C506" s="94"/>
      <c r="D506" s="94"/>
      <c r="E506" s="94"/>
      <c r="F506" s="94"/>
      <c r="G506" s="94"/>
      <c r="H506" s="94"/>
      <c r="I506" s="94"/>
      <c r="J506" s="94"/>
      <c r="K506" s="94"/>
      <c r="L506" s="94"/>
    </row>
    <row r="507" spans="3:12" ht="12.75" customHeight="1">
      <c r="C507" s="94"/>
      <c r="D507" s="94"/>
      <c r="E507" s="94"/>
      <c r="F507" s="94"/>
      <c r="G507" s="94"/>
      <c r="H507" s="94"/>
      <c r="I507" s="94"/>
      <c r="J507" s="94"/>
      <c r="K507" s="94"/>
      <c r="L507" s="94"/>
    </row>
    <row r="508" spans="3:12" ht="12.75" customHeight="1">
      <c r="C508" s="94"/>
      <c r="D508" s="94"/>
      <c r="E508" s="94"/>
      <c r="F508" s="94"/>
      <c r="G508" s="94"/>
      <c r="H508" s="94"/>
      <c r="I508" s="94"/>
      <c r="J508" s="94"/>
      <c r="K508" s="94"/>
      <c r="L508" s="94"/>
    </row>
    <row r="509" spans="3:12" ht="12.75" customHeight="1">
      <c r="C509" s="94"/>
      <c r="D509" s="94"/>
      <c r="E509" s="94"/>
      <c r="F509" s="94"/>
      <c r="G509" s="94"/>
      <c r="H509" s="94"/>
      <c r="I509" s="94"/>
      <c r="J509" s="94"/>
      <c r="K509" s="94"/>
      <c r="L509" s="94"/>
    </row>
    <row r="510" spans="3:12" ht="12.75" customHeight="1">
      <c r="C510" s="94"/>
      <c r="D510" s="94"/>
      <c r="E510" s="94"/>
      <c r="F510" s="94"/>
      <c r="G510" s="94"/>
      <c r="H510" s="94"/>
      <c r="I510" s="94"/>
      <c r="J510" s="94"/>
      <c r="K510" s="94"/>
      <c r="L510" s="94"/>
    </row>
    <row r="511" spans="3:12" ht="12.75" customHeight="1">
      <c r="C511" s="94"/>
      <c r="D511" s="94"/>
      <c r="E511" s="94"/>
      <c r="F511" s="94"/>
      <c r="G511" s="94"/>
      <c r="H511" s="94"/>
      <c r="I511" s="94"/>
      <c r="J511" s="94"/>
      <c r="K511" s="94"/>
      <c r="L511" s="94"/>
    </row>
    <row r="512" spans="3:12" ht="12.75" customHeight="1">
      <c r="C512" s="94"/>
      <c r="D512" s="94"/>
      <c r="E512" s="94"/>
      <c r="F512" s="94"/>
      <c r="G512" s="94"/>
      <c r="H512" s="94"/>
      <c r="I512" s="94"/>
      <c r="J512" s="94"/>
      <c r="K512" s="94"/>
      <c r="L512" s="94"/>
    </row>
    <row r="513" spans="3:12" ht="12.75" customHeight="1">
      <c r="C513" s="94"/>
      <c r="D513" s="94"/>
      <c r="E513" s="94"/>
      <c r="F513" s="94"/>
      <c r="G513" s="94"/>
      <c r="H513" s="94"/>
      <c r="I513" s="94"/>
      <c r="J513" s="94"/>
      <c r="K513" s="94"/>
      <c r="L513" s="94"/>
    </row>
    <row r="514" spans="3:12" ht="12.75" customHeight="1">
      <c r="C514" s="94"/>
      <c r="D514" s="94"/>
      <c r="E514" s="94"/>
      <c r="F514" s="94"/>
      <c r="G514" s="94"/>
      <c r="H514" s="94"/>
      <c r="I514" s="94"/>
      <c r="J514" s="94"/>
      <c r="K514" s="94"/>
      <c r="L514" s="94"/>
    </row>
    <row r="515" spans="3:12" ht="12.75" customHeight="1">
      <c r="C515" s="94"/>
      <c r="D515" s="94"/>
      <c r="E515" s="94"/>
      <c r="F515" s="94"/>
      <c r="G515" s="94"/>
      <c r="H515" s="94"/>
      <c r="I515" s="94"/>
      <c r="J515" s="94"/>
      <c r="K515" s="94"/>
      <c r="L515" s="94"/>
    </row>
    <row r="516" spans="3:12" ht="12.75" customHeight="1">
      <c r="C516" s="94"/>
      <c r="D516" s="94"/>
      <c r="E516" s="94"/>
      <c r="F516" s="94"/>
      <c r="G516" s="94"/>
      <c r="H516" s="94"/>
      <c r="I516" s="94"/>
      <c r="J516" s="94"/>
      <c r="K516" s="94"/>
      <c r="L516" s="94"/>
    </row>
    <row r="517" spans="3:12" ht="12.75" customHeight="1">
      <c r="C517" s="94"/>
      <c r="D517" s="94"/>
      <c r="E517" s="94"/>
      <c r="F517" s="94"/>
      <c r="G517" s="94"/>
      <c r="H517" s="94"/>
      <c r="I517" s="94"/>
      <c r="J517" s="94"/>
      <c r="K517" s="94"/>
      <c r="L517" s="94"/>
    </row>
    <row r="518" spans="3:12" ht="12.75" customHeight="1">
      <c r="C518" s="94"/>
      <c r="D518" s="94"/>
      <c r="E518" s="94"/>
      <c r="F518" s="94"/>
      <c r="G518" s="94"/>
      <c r="H518" s="94"/>
      <c r="I518" s="94"/>
      <c r="J518" s="94"/>
      <c r="K518" s="94"/>
      <c r="L518" s="94"/>
    </row>
    <row r="519" spans="3:12" ht="12.75" customHeight="1">
      <c r="C519" s="94"/>
      <c r="D519" s="94"/>
      <c r="E519" s="94"/>
      <c r="F519" s="94"/>
      <c r="G519" s="94"/>
      <c r="H519" s="94"/>
      <c r="I519" s="94"/>
      <c r="J519" s="94"/>
      <c r="K519" s="94"/>
      <c r="L519" s="94"/>
    </row>
    <row r="520" spans="3:12" ht="12.75" customHeight="1">
      <c r="C520" s="94"/>
      <c r="D520" s="94"/>
      <c r="E520" s="94"/>
      <c r="F520" s="94"/>
      <c r="G520" s="94"/>
      <c r="H520" s="94"/>
      <c r="I520" s="94"/>
      <c r="J520" s="94"/>
      <c r="K520" s="94"/>
      <c r="L520" s="94"/>
    </row>
    <row r="521" spans="3:12" ht="12.75" customHeight="1">
      <c r="C521" s="94"/>
      <c r="D521" s="94"/>
      <c r="E521" s="94"/>
      <c r="F521" s="94"/>
      <c r="G521" s="94"/>
      <c r="H521" s="94"/>
      <c r="I521" s="94"/>
      <c r="J521" s="94"/>
      <c r="K521" s="94"/>
      <c r="L521" s="94"/>
    </row>
    <row r="522" spans="3:12" ht="12.75" customHeight="1">
      <c r="C522" s="94"/>
      <c r="D522" s="94"/>
      <c r="E522" s="94"/>
      <c r="F522" s="94"/>
      <c r="G522" s="94"/>
      <c r="H522" s="94"/>
      <c r="I522" s="94"/>
      <c r="J522" s="94"/>
      <c r="K522" s="94"/>
      <c r="L522" s="94"/>
    </row>
    <row r="523" spans="3:12" ht="12.75" customHeight="1">
      <c r="C523" s="94"/>
      <c r="D523" s="94"/>
      <c r="E523" s="94"/>
      <c r="F523" s="94"/>
      <c r="G523" s="94"/>
      <c r="H523" s="94"/>
      <c r="I523" s="94"/>
      <c r="J523" s="94"/>
      <c r="K523" s="94"/>
      <c r="L523" s="94"/>
    </row>
    <row r="524" spans="3:12" ht="12.75" customHeight="1">
      <c r="C524" s="94"/>
      <c r="D524" s="94"/>
      <c r="E524" s="94"/>
      <c r="F524" s="94"/>
      <c r="G524" s="94"/>
      <c r="H524" s="94"/>
      <c r="I524" s="94"/>
      <c r="J524" s="94"/>
      <c r="K524" s="94"/>
      <c r="L524" s="94"/>
    </row>
    <row r="525" spans="3:12" ht="12.75" customHeight="1">
      <c r="C525" s="94"/>
      <c r="D525" s="94"/>
      <c r="E525" s="94"/>
      <c r="F525" s="94"/>
      <c r="G525" s="94"/>
      <c r="H525" s="94"/>
      <c r="I525" s="94"/>
      <c r="J525" s="94"/>
      <c r="K525" s="94"/>
      <c r="L525" s="94"/>
    </row>
    <row r="526" spans="3:12" ht="12.75" customHeight="1">
      <c r="C526" s="94"/>
      <c r="D526" s="94"/>
      <c r="E526" s="94"/>
      <c r="F526" s="94"/>
      <c r="G526" s="94"/>
      <c r="H526" s="94"/>
      <c r="I526" s="94"/>
      <c r="J526" s="94"/>
      <c r="K526" s="94"/>
      <c r="L526" s="94"/>
    </row>
    <row r="527" spans="3:12" ht="12.75" customHeight="1">
      <c r="C527" s="94"/>
      <c r="D527" s="94"/>
      <c r="E527" s="94"/>
      <c r="F527" s="94"/>
      <c r="G527" s="94"/>
      <c r="H527" s="94"/>
      <c r="I527" s="94"/>
      <c r="J527" s="94"/>
      <c r="K527" s="94"/>
      <c r="L527" s="94"/>
    </row>
    <row r="528" spans="3:12" ht="12.75" customHeight="1">
      <c r="C528" s="94"/>
      <c r="D528" s="94"/>
      <c r="E528" s="94"/>
      <c r="F528" s="94"/>
      <c r="G528" s="94"/>
      <c r="H528" s="94"/>
      <c r="I528" s="94"/>
      <c r="J528" s="94"/>
      <c r="K528" s="94"/>
      <c r="L528" s="94"/>
    </row>
    <row r="529" spans="3:12" ht="12.75" customHeight="1">
      <c r="C529" s="94"/>
      <c r="D529" s="94"/>
      <c r="E529" s="94"/>
      <c r="F529" s="94"/>
      <c r="G529" s="94"/>
      <c r="H529" s="94"/>
      <c r="I529" s="94"/>
      <c r="J529" s="94"/>
      <c r="K529" s="94"/>
      <c r="L529" s="94"/>
    </row>
    <row r="530" spans="3:12" ht="12.75" customHeight="1">
      <c r="C530" s="94"/>
      <c r="D530" s="94"/>
      <c r="E530" s="94"/>
      <c r="F530" s="94"/>
      <c r="G530" s="94"/>
      <c r="H530" s="94"/>
      <c r="I530" s="94"/>
      <c r="J530" s="94"/>
      <c r="K530" s="94"/>
      <c r="L530" s="94"/>
    </row>
    <row r="531" spans="3:12" ht="12.75" customHeight="1">
      <c r="C531" s="94"/>
      <c r="D531" s="94"/>
      <c r="E531" s="94"/>
      <c r="F531" s="94"/>
      <c r="G531" s="94"/>
      <c r="H531" s="94"/>
      <c r="I531" s="94"/>
      <c r="J531" s="94"/>
      <c r="K531" s="94"/>
      <c r="L531" s="94"/>
    </row>
    <row r="532" spans="3:12" ht="12.75" customHeight="1">
      <c r="C532" s="94"/>
      <c r="D532" s="94"/>
      <c r="E532" s="94"/>
      <c r="F532" s="94"/>
      <c r="G532" s="94"/>
      <c r="H532" s="94"/>
      <c r="I532" s="94"/>
      <c r="J532" s="94"/>
      <c r="K532" s="94"/>
      <c r="L532" s="94"/>
    </row>
    <row r="533" spans="3:12" ht="12.75" customHeight="1">
      <c r="C533" s="94"/>
      <c r="D533" s="94"/>
      <c r="E533" s="94"/>
      <c r="F533" s="94"/>
      <c r="G533" s="94"/>
      <c r="H533" s="94"/>
      <c r="I533" s="94"/>
      <c r="J533" s="94"/>
      <c r="K533" s="94"/>
      <c r="L533" s="94"/>
    </row>
    <row r="534" spans="3:12" ht="12.75" customHeight="1">
      <c r="C534" s="94"/>
      <c r="D534" s="94"/>
      <c r="E534" s="94"/>
      <c r="F534" s="94"/>
      <c r="G534" s="94"/>
      <c r="H534" s="94"/>
      <c r="I534" s="94"/>
      <c r="J534" s="94"/>
      <c r="K534" s="94"/>
      <c r="L534" s="94"/>
    </row>
    <row r="535" spans="3:12" ht="12.75" customHeight="1">
      <c r="C535" s="94"/>
      <c r="D535" s="94"/>
      <c r="E535" s="94"/>
      <c r="F535" s="94"/>
      <c r="G535" s="94"/>
      <c r="H535" s="94"/>
      <c r="I535" s="94"/>
      <c r="J535" s="94"/>
      <c r="K535" s="94"/>
      <c r="L535" s="94"/>
    </row>
    <row r="536" spans="3:12" ht="12.75" customHeight="1">
      <c r="C536" s="94"/>
      <c r="D536" s="94"/>
      <c r="E536" s="94"/>
      <c r="F536" s="94"/>
      <c r="G536" s="94"/>
      <c r="H536" s="94"/>
      <c r="I536" s="94"/>
      <c r="J536" s="94"/>
      <c r="K536" s="94"/>
      <c r="L536" s="94"/>
    </row>
    <row r="537" spans="3:12" ht="12.75" customHeight="1">
      <c r="C537" s="94"/>
      <c r="D537" s="94"/>
      <c r="E537" s="94"/>
      <c r="F537" s="94"/>
      <c r="G537" s="94"/>
      <c r="H537" s="94"/>
      <c r="I537" s="94"/>
      <c r="J537" s="94"/>
      <c r="K537" s="94"/>
      <c r="L537" s="94"/>
    </row>
    <row r="538" spans="3:12" ht="12.75" customHeight="1">
      <c r="C538" s="94"/>
      <c r="D538" s="94"/>
      <c r="E538" s="94"/>
      <c r="F538" s="94"/>
      <c r="G538" s="94"/>
      <c r="H538" s="94"/>
      <c r="I538" s="94"/>
      <c r="J538" s="94"/>
      <c r="K538" s="94"/>
      <c r="L538" s="94"/>
    </row>
    <row r="539" spans="3:12" ht="12.75" customHeight="1">
      <c r="C539" s="94"/>
      <c r="D539" s="94"/>
      <c r="E539" s="94"/>
      <c r="F539" s="94"/>
      <c r="G539" s="94"/>
      <c r="H539" s="94"/>
      <c r="I539" s="94"/>
      <c r="J539" s="94"/>
      <c r="K539" s="94"/>
      <c r="L539" s="94"/>
    </row>
    <row r="540" spans="3:12" ht="12.75" customHeight="1">
      <c r="C540" s="94"/>
      <c r="D540" s="94"/>
      <c r="E540" s="94"/>
      <c r="F540" s="94"/>
      <c r="G540" s="94"/>
      <c r="H540" s="94"/>
      <c r="I540" s="94"/>
      <c r="J540" s="94"/>
      <c r="K540" s="94"/>
      <c r="L540" s="94"/>
    </row>
    <row r="541" spans="3:12" ht="12.75" customHeight="1">
      <c r="C541" s="94"/>
      <c r="D541" s="94"/>
      <c r="E541" s="94"/>
      <c r="F541" s="94"/>
      <c r="G541" s="94"/>
      <c r="H541" s="94"/>
      <c r="I541" s="94"/>
      <c r="J541" s="94"/>
      <c r="K541" s="94"/>
      <c r="L541" s="94"/>
    </row>
    <row r="542" spans="3:12" ht="12.75" customHeight="1">
      <c r="C542" s="94"/>
      <c r="D542" s="94"/>
      <c r="E542" s="94"/>
      <c r="F542" s="94"/>
      <c r="G542" s="94"/>
      <c r="H542" s="94"/>
      <c r="I542" s="94"/>
      <c r="J542" s="94"/>
      <c r="K542" s="94"/>
      <c r="L542" s="94"/>
    </row>
    <row r="543" spans="3:12" ht="12.75" customHeight="1">
      <c r="C543" s="94"/>
      <c r="D543" s="94"/>
      <c r="E543" s="94"/>
      <c r="F543" s="94"/>
      <c r="G543" s="94"/>
      <c r="H543" s="94"/>
      <c r="I543" s="94"/>
      <c r="J543" s="94"/>
      <c r="K543" s="94"/>
      <c r="L543" s="94"/>
    </row>
    <row r="544" spans="3:12" ht="12.75" customHeight="1">
      <c r="C544" s="94"/>
      <c r="D544" s="94"/>
      <c r="E544" s="94"/>
      <c r="F544" s="94"/>
      <c r="G544" s="94"/>
      <c r="H544" s="94"/>
      <c r="I544" s="94"/>
      <c r="J544" s="94"/>
      <c r="K544" s="94"/>
      <c r="L544" s="94"/>
    </row>
    <row r="545" spans="3:12" ht="12.75" customHeight="1">
      <c r="C545" s="94"/>
      <c r="D545" s="94"/>
      <c r="E545" s="94"/>
      <c r="F545" s="94"/>
      <c r="G545" s="94"/>
      <c r="H545" s="94"/>
      <c r="I545" s="94"/>
      <c r="J545" s="94"/>
      <c r="K545" s="94"/>
      <c r="L545" s="94"/>
    </row>
    <row r="546" spans="3:12" ht="12.75" customHeight="1">
      <c r="C546" s="94"/>
      <c r="D546" s="94"/>
      <c r="E546" s="94"/>
      <c r="F546" s="94"/>
      <c r="G546" s="94"/>
      <c r="H546" s="94"/>
      <c r="I546" s="94"/>
      <c r="J546" s="94"/>
      <c r="K546" s="94"/>
      <c r="L546" s="94"/>
    </row>
    <row r="547" spans="3:12" ht="12.75" customHeight="1">
      <c r="C547" s="94"/>
      <c r="D547" s="94"/>
      <c r="E547" s="94"/>
      <c r="F547" s="94"/>
      <c r="G547" s="94"/>
      <c r="H547" s="94"/>
      <c r="I547" s="94"/>
      <c r="J547" s="94"/>
      <c r="K547" s="94"/>
      <c r="L547" s="94"/>
    </row>
    <row r="548" spans="3:12" ht="12.75" customHeight="1">
      <c r="C548" s="94"/>
      <c r="D548" s="94"/>
      <c r="E548" s="94"/>
      <c r="F548" s="94"/>
      <c r="G548" s="94"/>
      <c r="H548" s="94"/>
      <c r="I548" s="94"/>
      <c r="J548" s="94"/>
      <c r="K548" s="94"/>
      <c r="L548" s="94"/>
    </row>
    <row r="549" spans="3:12" ht="12.75" customHeight="1">
      <c r="C549" s="94"/>
      <c r="D549" s="94"/>
      <c r="E549" s="94"/>
      <c r="F549" s="94"/>
      <c r="G549" s="94"/>
      <c r="H549" s="94"/>
      <c r="I549" s="94"/>
      <c r="J549" s="94"/>
      <c r="K549" s="94"/>
      <c r="L549" s="94"/>
    </row>
    <row r="550" spans="3:12" ht="12.75" customHeight="1">
      <c r="C550" s="94"/>
      <c r="D550" s="94"/>
      <c r="E550" s="94"/>
      <c r="F550" s="94"/>
      <c r="G550" s="94"/>
      <c r="H550" s="94"/>
      <c r="I550" s="94"/>
      <c r="J550" s="94"/>
      <c r="K550" s="94"/>
      <c r="L550" s="94"/>
    </row>
    <row r="551" spans="3:12" ht="12.75" customHeight="1">
      <c r="C551" s="94"/>
      <c r="D551" s="94"/>
      <c r="E551" s="94"/>
      <c r="F551" s="94"/>
      <c r="G551" s="94"/>
      <c r="H551" s="94"/>
      <c r="I551" s="94"/>
      <c r="J551" s="94"/>
      <c r="K551" s="94"/>
      <c r="L551" s="94"/>
    </row>
    <row r="552" spans="3:12" ht="12.75" customHeight="1">
      <c r="C552" s="94"/>
      <c r="D552" s="94"/>
      <c r="E552" s="94"/>
      <c r="F552" s="94"/>
      <c r="G552" s="94"/>
      <c r="H552" s="94"/>
      <c r="I552" s="94"/>
      <c r="J552" s="94"/>
      <c r="K552" s="94"/>
      <c r="L552" s="94"/>
    </row>
    <row r="553" spans="3:12" ht="12.75" customHeight="1">
      <c r="C553" s="94"/>
      <c r="D553" s="94"/>
      <c r="E553" s="94"/>
      <c r="F553" s="94"/>
      <c r="G553" s="94"/>
      <c r="H553" s="94"/>
      <c r="I553" s="94"/>
      <c r="J553" s="94"/>
      <c r="K553" s="94"/>
      <c r="L553" s="94"/>
    </row>
    <row r="554" spans="3:12" ht="12.75" customHeight="1">
      <c r="C554" s="94"/>
      <c r="D554" s="94"/>
      <c r="E554" s="94"/>
      <c r="F554" s="94"/>
      <c r="G554" s="94"/>
      <c r="H554" s="94"/>
      <c r="I554" s="94"/>
      <c r="J554" s="94"/>
      <c r="K554" s="94"/>
      <c r="L554" s="94"/>
    </row>
    <row r="555" spans="3:12" ht="12.75" customHeight="1">
      <c r="C555" s="94"/>
      <c r="D555" s="94"/>
      <c r="E555" s="94"/>
      <c r="F555" s="94"/>
      <c r="G555" s="94"/>
      <c r="H555" s="94"/>
      <c r="I555" s="94"/>
      <c r="J555" s="94"/>
      <c r="K555" s="94"/>
      <c r="L555" s="94"/>
    </row>
    <row r="556" spans="3:12" ht="12.75" customHeight="1">
      <c r="C556" s="94"/>
      <c r="D556" s="94"/>
      <c r="E556" s="94"/>
      <c r="F556" s="94"/>
      <c r="G556" s="94"/>
      <c r="H556" s="94"/>
      <c r="I556" s="94"/>
      <c r="J556" s="94"/>
      <c r="K556" s="94"/>
      <c r="L556" s="94"/>
    </row>
    <row r="557" spans="3:12" ht="12.75" customHeight="1">
      <c r="C557" s="94"/>
      <c r="D557" s="94"/>
      <c r="E557" s="94"/>
      <c r="F557" s="94"/>
      <c r="G557" s="94"/>
      <c r="H557" s="94"/>
      <c r="I557" s="94"/>
      <c r="J557" s="94"/>
      <c r="K557" s="94"/>
      <c r="L557" s="94"/>
    </row>
    <row r="558" spans="3:12" ht="12.75" customHeight="1">
      <c r="C558" s="94"/>
      <c r="D558" s="94"/>
      <c r="E558" s="94"/>
      <c r="F558" s="94"/>
      <c r="G558" s="94"/>
      <c r="H558" s="94"/>
      <c r="I558" s="94"/>
      <c r="J558" s="94"/>
      <c r="K558" s="94"/>
      <c r="L558" s="94"/>
    </row>
    <row r="559" spans="3:12" ht="12.75" customHeight="1">
      <c r="C559" s="94"/>
      <c r="D559" s="94"/>
      <c r="E559" s="94"/>
      <c r="F559" s="94"/>
      <c r="G559" s="94"/>
      <c r="H559" s="94"/>
      <c r="I559" s="94"/>
      <c r="J559" s="94"/>
      <c r="K559" s="94"/>
      <c r="L559" s="94"/>
    </row>
    <row r="560" spans="3:12" ht="12.75" customHeight="1">
      <c r="C560" s="94"/>
      <c r="D560" s="94"/>
      <c r="E560" s="94"/>
      <c r="F560" s="94"/>
      <c r="G560" s="94"/>
      <c r="H560" s="94"/>
      <c r="I560" s="94"/>
      <c r="J560" s="94"/>
      <c r="K560" s="94"/>
      <c r="L560" s="94"/>
    </row>
    <row r="561" spans="3:12" ht="12.75" customHeight="1">
      <c r="C561" s="94"/>
      <c r="D561" s="94"/>
      <c r="E561" s="94"/>
      <c r="F561" s="94"/>
      <c r="G561" s="94"/>
      <c r="H561" s="94"/>
      <c r="I561" s="94"/>
      <c r="J561" s="94"/>
      <c r="K561" s="94"/>
      <c r="L561" s="94"/>
    </row>
    <row r="562" spans="3:12" ht="12.75" customHeight="1">
      <c r="C562" s="94"/>
      <c r="D562" s="94"/>
      <c r="E562" s="94"/>
      <c r="F562" s="94"/>
      <c r="G562" s="94"/>
      <c r="H562" s="94"/>
      <c r="I562" s="94"/>
      <c r="J562" s="94"/>
      <c r="K562" s="94"/>
      <c r="L562" s="94"/>
    </row>
    <row r="563" spans="3:12" ht="12.75" customHeight="1">
      <c r="C563" s="94"/>
      <c r="D563" s="94"/>
      <c r="E563" s="94"/>
      <c r="F563" s="94"/>
      <c r="G563" s="94"/>
      <c r="H563" s="94"/>
      <c r="I563" s="94"/>
      <c r="J563" s="94"/>
      <c r="K563" s="94"/>
      <c r="L563" s="94"/>
    </row>
    <row r="564" spans="3:12" ht="12.75" customHeight="1">
      <c r="C564" s="94"/>
      <c r="D564" s="94"/>
      <c r="E564" s="94"/>
      <c r="F564" s="94"/>
      <c r="G564" s="94"/>
      <c r="H564" s="94"/>
      <c r="I564" s="94"/>
      <c r="J564" s="94"/>
      <c r="K564" s="94"/>
      <c r="L564" s="94"/>
    </row>
    <row r="565" spans="3:12" ht="12.75" customHeight="1">
      <c r="C565" s="94"/>
      <c r="D565" s="94"/>
      <c r="E565" s="94"/>
      <c r="F565" s="94"/>
      <c r="G565" s="94"/>
      <c r="H565" s="94"/>
      <c r="I565" s="94"/>
      <c r="J565" s="94"/>
      <c r="K565" s="94"/>
      <c r="L565" s="94"/>
    </row>
    <row r="566" spans="3:12" ht="12.75" customHeight="1">
      <c r="C566" s="94"/>
      <c r="D566" s="94"/>
      <c r="E566" s="94"/>
      <c r="F566" s="94"/>
      <c r="G566" s="94"/>
      <c r="H566" s="94"/>
      <c r="I566" s="94"/>
      <c r="J566" s="94"/>
      <c r="K566" s="94"/>
      <c r="L566" s="94"/>
    </row>
    <row r="567" spans="3:12" ht="12.75" customHeight="1">
      <c r="C567" s="94"/>
      <c r="D567" s="94"/>
      <c r="E567" s="94"/>
      <c r="F567" s="94"/>
      <c r="G567" s="94"/>
      <c r="H567" s="94"/>
      <c r="I567" s="94"/>
      <c r="J567" s="94"/>
      <c r="K567" s="94"/>
      <c r="L567" s="94"/>
    </row>
    <row r="568" spans="3:12" ht="12.75" customHeight="1">
      <c r="C568" s="94"/>
      <c r="D568" s="94"/>
      <c r="E568" s="94"/>
      <c r="F568" s="94"/>
      <c r="G568" s="94"/>
      <c r="H568" s="94"/>
      <c r="I568" s="94"/>
      <c r="J568" s="94"/>
      <c r="K568" s="94"/>
      <c r="L568" s="94"/>
    </row>
    <row r="569" spans="3:12" ht="12.75" customHeight="1">
      <c r="C569" s="94"/>
      <c r="D569" s="94"/>
      <c r="E569" s="94"/>
      <c r="F569" s="94"/>
      <c r="G569" s="94"/>
      <c r="H569" s="94"/>
      <c r="I569" s="94"/>
      <c r="J569" s="94"/>
      <c r="K569" s="94"/>
      <c r="L569" s="94"/>
    </row>
    <row r="570" spans="3:12" ht="12.75" customHeight="1">
      <c r="C570" s="94"/>
      <c r="D570" s="94"/>
      <c r="E570" s="94"/>
      <c r="F570" s="94"/>
      <c r="G570" s="94"/>
      <c r="H570" s="94"/>
      <c r="I570" s="94"/>
      <c r="J570" s="94"/>
      <c r="K570" s="94"/>
      <c r="L570" s="94"/>
    </row>
    <row r="571" spans="3:12" ht="12.75" customHeight="1">
      <c r="C571" s="94"/>
      <c r="D571" s="94"/>
      <c r="E571" s="94"/>
      <c r="F571" s="94"/>
      <c r="G571" s="94"/>
      <c r="H571" s="94"/>
      <c r="I571" s="94"/>
      <c r="J571" s="94"/>
      <c r="K571" s="94"/>
      <c r="L571" s="94"/>
    </row>
    <row r="572" spans="3:12" ht="12.75" customHeight="1">
      <c r="C572" s="94"/>
      <c r="D572" s="94"/>
      <c r="E572" s="94"/>
      <c r="F572" s="94"/>
      <c r="G572" s="94"/>
      <c r="H572" s="94"/>
      <c r="I572" s="94"/>
      <c r="J572" s="94"/>
      <c r="K572" s="94"/>
      <c r="L572" s="94"/>
    </row>
    <row r="573" spans="3:12" ht="12.75" customHeight="1">
      <c r="C573" s="94"/>
      <c r="D573" s="94"/>
      <c r="E573" s="94"/>
      <c r="F573" s="94"/>
      <c r="G573" s="94"/>
      <c r="H573" s="94"/>
      <c r="I573" s="94"/>
      <c r="J573" s="94"/>
      <c r="K573" s="94"/>
      <c r="L573" s="94"/>
    </row>
    <row r="574" spans="3:12" ht="12.75" customHeight="1">
      <c r="C574" s="94"/>
      <c r="D574" s="94"/>
      <c r="E574" s="94"/>
      <c r="F574" s="94"/>
      <c r="G574" s="94"/>
      <c r="H574" s="94"/>
      <c r="I574" s="94"/>
      <c r="J574" s="94"/>
      <c r="K574" s="94"/>
      <c r="L574" s="94"/>
    </row>
    <row r="575" spans="3:12" ht="12.75" customHeight="1">
      <c r="C575" s="94"/>
      <c r="D575" s="94"/>
      <c r="E575" s="94"/>
      <c r="F575" s="94"/>
      <c r="G575" s="94"/>
      <c r="H575" s="94"/>
      <c r="I575" s="94"/>
      <c r="J575" s="94"/>
      <c r="K575" s="94"/>
      <c r="L575" s="94"/>
    </row>
    <row r="576" spans="3:12" ht="12.75" customHeight="1">
      <c r="C576" s="94"/>
      <c r="D576" s="94"/>
      <c r="E576" s="94"/>
      <c r="F576" s="94"/>
      <c r="G576" s="94"/>
      <c r="H576" s="94"/>
      <c r="I576" s="94"/>
      <c r="J576" s="94"/>
      <c r="K576" s="94"/>
      <c r="L576" s="94"/>
    </row>
    <row r="577" spans="3:12" ht="12.75" customHeight="1">
      <c r="C577" s="94"/>
      <c r="D577" s="94"/>
      <c r="E577" s="94"/>
      <c r="F577" s="94"/>
      <c r="G577" s="94"/>
      <c r="H577" s="94"/>
      <c r="I577" s="94"/>
      <c r="J577" s="94"/>
      <c r="K577" s="94"/>
      <c r="L577" s="94"/>
    </row>
    <row r="578" spans="3:12" ht="12.75" customHeight="1">
      <c r="C578" s="94"/>
      <c r="D578" s="94"/>
      <c r="E578" s="94"/>
      <c r="F578" s="94"/>
      <c r="G578" s="94"/>
      <c r="H578" s="94"/>
      <c r="I578" s="94"/>
      <c r="J578" s="94"/>
      <c r="K578" s="94"/>
      <c r="L578" s="94"/>
    </row>
    <row r="579" spans="3:12" ht="12.75" customHeight="1">
      <c r="C579" s="94"/>
      <c r="D579" s="94"/>
      <c r="E579" s="94"/>
      <c r="F579" s="94"/>
      <c r="G579" s="94"/>
      <c r="H579" s="94"/>
      <c r="I579" s="94"/>
      <c r="J579" s="94"/>
      <c r="K579" s="94"/>
      <c r="L579" s="94"/>
    </row>
    <row r="580" spans="3:12" ht="12.75" customHeight="1">
      <c r="C580" s="94"/>
      <c r="D580" s="94"/>
      <c r="E580" s="94"/>
      <c r="F580" s="94"/>
      <c r="G580" s="94"/>
      <c r="H580" s="94"/>
      <c r="I580" s="94"/>
      <c r="J580" s="94"/>
      <c r="K580" s="94"/>
      <c r="L580" s="94"/>
    </row>
    <row r="581" spans="3:12" ht="12.75" customHeight="1">
      <c r="C581" s="94"/>
      <c r="D581" s="94"/>
      <c r="E581" s="94"/>
      <c r="F581" s="94"/>
      <c r="G581" s="94"/>
      <c r="H581" s="94"/>
      <c r="I581" s="94"/>
      <c r="J581" s="94"/>
      <c r="K581" s="94"/>
      <c r="L581" s="94"/>
    </row>
    <row r="582" spans="3:12" ht="12.75" customHeight="1">
      <c r="C582" s="94"/>
      <c r="D582" s="94"/>
      <c r="E582" s="94"/>
      <c r="F582" s="94"/>
      <c r="G582" s="94"/>
      <c r="H582" s="94"/>
      <c r="I582" s="94"/>
      <c r="J582" s="94"/>
      <c r="K582" s="94"/>
      <c r="L582" s="94"/>
    </row>
    <row r="583" spans="3:12" ht="12.75" customHeight="1">
      <c r="C583" s="94"/>
      <c r="D583" s="94"/>
      <c r="E583" s="94"/>
      <c r="F583" s="94"/>
      <c r="G583" s="94"/>
      <c r="H583" s="94"/>
      <c r="I583" s="94"/>
      <c r="J583" s="94"/>
      <c r="K583" s="94"/>
      <c r="L583" s="94"/>
    </row>
    <row r="584" spans="3:12" ht="12.75" customHeight="1">
      <c r="C584" s="94"/>
      <c r="D584" s="94"/>
      <c r="E584" s="94"/>
      <c r="F584" s="94"/>
      <c r="G584" s="94"/>
      <c r="H584" s="94"/>
      <c r="I584" s="94"/>
      <c r="J584" s="94"/>
      <c r="K584" s="94"/>
      <c r="L584" s="94"/>
    </row>
    <row r="585" spans="3:12" ht="12.75" customHeight="1">
      <c r="C585" s="94"/>
      <c r="D585" s="94"/>
      <c r="E585" s="94"/>
      <c r="F585" s="94"/>
      <c r="G585" s="94"/>
      <c r="H585" s="94"/>
      <c r="I585" s="94"/>
      <c r="J585" s="94"/>
      <c r="K585" s="94"/>
      <c r="L585" s="94"/>
    </row>
    <row r="586" spans="3:12" ht="12.75" customHeight="1">
      <c r="C586" s="94"/>
      <c r="D586" s="94"/>
      <c r="E586" s="94"/>
      <c r="F586" s="94"/>
      <c r="G586" s="94"/>
      <c r="H586" s="94"/>
      <c r="I586" s="94"/>
      <c r="J586" s="94"/>
      <c r="K586" s="94"/>
      <c r="L586" s="94"/>
    </row>
    <row r="587" spans="3:12" ht="12.75" customHeight="1">
      <c r="C587" s="94"/>
      <c r="D587" s="94"/>
      <c r="E587" s="94"/>
      <c r="F587" s="94"/>
      <c r="G587" s="94"/>
      <c r="H587" s="94"/>
      <c r="I587" s="94"/>
      <c r="J587" s="94"/>
      <c r="K587" s="94"/>
      <c r="L587" s="94"/>
    </row>
    <row r="588" spans="3:12" ht="12.75" customHeight="1">
      <c r="C588" s="94"/>
      <c r="D588" s="94"/>
      <c r="E588" s="94"/>
      <c r="F588" s="94"/>
      <c r="G588" s="94"/>
      <c r="H588" s="94"/>
      <c r="I588" s="94"/>
      <c r="J588" s="94"/>
      <c r="K588" s="94"/>
      <c r="L588" s="94"/>
    </row>
    <row r="589" spans="3:12" ht="12.75" customHeight="1">
      <c r="C589" s="94"/>
      <c r="D589" s="94"/>
      <c r="E589" s="94"/>
      <c r="F589" s="94"/>
      <c r="G589" s="94"/>
      <c r="H589" s="94"/>
      <c r="I589" s="94"/>
      <c r="J589" s="94"/>
      <c r="K589" s="94"/>
      <c r="L589" s="94"/>
    </row>
    <row r="590" spans="3:12" ht="12.75" customHeight="1">
      <c r="C590" s="94"/>
      <c r="D590" s="94"/>
      <c r="E590" s="94"/>
      <c r="F590" s="94"/>
      <c r="G590" s="94"/>
      <c r="H590" s="94"/>
      <c r="I590" s="94"/>
      <c r="J590" s="94"/>
      <c r="K590" s="94"/>
      <c r="L590" s="94"/>
    </row>
    <row r="591" spans="3:12" ht="12.75" customHeight="1">
      <c r="C591" s="94"/>
      <c r="D591" s="94"/>
      <c r="E591" s="94"/>
      <c r="F591" s="94"/>
      <c r="G591" s="94"/>
      <c r="H591" s="94"/>
      <c r="I591" s="94"/>
      <c r="J591" s="94"/>
      <c r="K591" s="94"/>
      <c r="L591" s="94"/>
    </row>
    <row r="592" spans="3:12" ht="12.75" customHeight="1">
      <c r="C592" s="94"/>
      <c r="D592" s="94"/>
      <c r="E592" s="94"/>
      <c r="F592" s="94"/>
      <c r="G592" s="94"/>
      <c r="H592" s="94"/>
      <c r="I592" s="94"/>
      <c r="J592" s="94"/>
      <c r="K592" s="94"/>
      <c r="L592" s="94"/>
    </row>
    <row r="593" spans="3:12" ht="12.75" customHeight="1">
      <c r="C593" s="94"/>
      <c r="D593" s="94"/>
      <c r="E593" s="94"/>
      <c r="F593" s="94"/>
      <c r="G593" s="94"/>
      <c r="H593" s="94"/>
      <c r="I593" s="94"/>
      <c r="J593" s="94"/>
      <c r="K593" s="94"/>
      <c r="L593" s="94"/>
    </row>
    <row r="594" spans="3:12" ht="12.75" customHeight="1">
      <c r="C594" s="94"/>
      <c r="D594" s="94"/>
      <c r="E594" s="94"/>
      <c r="F594" s="94"/>
      <c r="G594" s="94"/>
      <c r="H594" s="94"/>
      <c r="I594" s="94"/>
      <c r="J594" s="94"/>
      <c r="K594" s="94"/>
      <c r="L594" s="94"/>
    </row>
    <row r="595" spans="3:12" ht="12.75" customHeight="1">
      <c r="C595" s="94"/>
      <c r="D595" s="94"/>
      <c r="E595" s="94"/>
      <c r="F595" s="94"/>
      <c r="G595" s="94"/>
      <c r="H595" s="94"/>
      <c r="I595" s="94"/>
      <c r="J595" s="94"/>
      <c r="K595" s="94"/>
      <c r="L595" s="94"/>
    </row>
    <row r="596" spans="3:12" ht="12.75" customHeight="1">
      <c r="C596" s="94"/>
      <c r="D596" s="94"/>
      <c r="E596" s="94"/>
      <c r="F596" s="94"/>
      <c r="G596" s="94"/>
      <c r="H596" s="94"/>
      <c r="I596" s="94"/>
      <c r="J596" s="94"/>
      <c r="K596" s="94"/>
      <c r="L596" s="94"/>
    </row>
    <row r="597" spans="3:12" ht="12.75" customHeight="1">
      <c r="C597" s="94"/>
      <c r="D597" s="94"/>
      <c r="E597" s="94"/>
      <c r="F597" s="94"/>
      <c r="G597" s="94"/>
      <c r="H597" s="94"/>
      <c r="I597" s="94"/>
      <c r="J597" s="94"/>
      <c r="K597" s="94"/>
      <c r="L597" s="94"/>
    </row>
    <row r="598" spans="3:12" ht="12.75" customHeight="1">
      <c r="C598" s="94"/>
      <c r="D598" s="94"/>
      <c r="E598" s="94"/>
      <c r="F598" s="94"/>
      <c r="G598" s="94"/>
      <c r="H598" s="94"/>
      <c r="I598" s="94"/>
      <c r="J598" s="94"/>
      <c r="K598" s="94"/>
      <c r="L598" s="94"/>
    </row>
    <row r="599" spans="3:12" ht="12.75" customHeight="1">
      <c r="C599" s="94"/>
      <c r="D599" s="94"/>
      <c r="E599" s="94"/>
      <c r="F599" s="94"/>
      <c r="G599" s="94"/>
      <c r="H599" s="94"/>
      <c r="I599" s="94"/>
      <c r="J599" s="94"/>
      <c r="K599" s="94"/>
      <c r="L599" s="94"/>
    </row>
    <row r="600" spans="3:12" ht="12.75" customHeight="1">
      <c r="C600" s="94"/>
      <c r="D600" s="94"/>
      <c r="E600" s="94"/>
      <c r="F600" s="94"/>
      <c r="G600" s="94"/>
      <c r="H600" s="94"/>
      <c r="I600" s="94"/>
      <c r="J600" s="94"/>
      <c r="K600" s="94"/>
      <c r="L600" s="94"/>
    </row>
    <row r="601" spans="3:12" ht="12.75" customHeight="1">
      <c r="C601" s="94"/>
      <c r="D601" s="94"/>
      <c r="E601" s="94"/>
      <c r="F601" s="94"/>
      <c r="G601" s="94"/>
      <c r="H601" s="94"/>
      <c r="I601" s="94"/>
      <c r="J601" s="94"/>
      <c r="K601" s="94"/>
      <c r="L601" s="94"/>
    </row>
    <row r="602" spans="3:12" ht="12.75" customHeight="1">
      <c r="C602" s="94"/>
      <c r="D602" s="94"/>
      <c r="E602" s="94"/>
      <c r="F602" s="94"/>
      <c r="G602" s="94"/>
      <c r="H602" s="94"/>
      <c r="I602" s="94"/>
      <c r="J602" s="94"/>
      <c r="K602" s="94"/>
      <c r="L602" s="94"/>
    </row>
    <row r="603" spans="3:12" ht="12.75" customHeight="1">
      <c r="C603" s="94"/>
      <c r="D603" s="94"/>
      <c r="E603" s="94"/>
      <c r="F603" s="94"/>
      <c r="G603" s="94"/>
      <c r="H603" s="94"/>
      <c r="I603" s="94"/>
      <c r="J603" s="94"/>
      <c r="K603" s="94"/>
      <c r="L603" s="94"/>
    </row>
    <row r="604" spans="3:12" ht="12.75" customHeight="1">
      <c r="C604" s="94"/>
      <c r="D604" s="94"/>
      <c r="E604" s="94"/>
      <c r="F604" s="94"/>
      <c r="G604" s="94"/>
      <c r="H604" s="94"/>
      <c r="I604" s="94"/>
      <c r="J604" s="94"/>
      <c r="K604" s="94"/>
      <c r="L604" s="94"/>
    </row>
    <row r="605" spans="3:12" ht="12.75" customHeight="1">
      <c r="C605" s="94"/>
      <c r="D605" s="94"/>
      <c r="E605" s="94"/>
      <c r="F605" s="94"/>
      <c r="G605" s="94"/>
      <c r="H605" s="94"/>
      <c r="I605" s="94"/>
      <c r="J605" s="94"/>
      <c r="K605" s="94"/>
      <c r="L605" s="94"/>
    </row>
    <row r="606" spans="3:12" ht="12.75" customHeight="1">
      <c r="C606" s="94"/>
      <c r="D606" s="94"/>
      <c r="E606" s="94"/>
      <c r="F606" s="94"/>
      <c r="G606" s="94"/>
      <c r="H606" s="94"/>
      <c r="I606" s="94"/>
      <c r="J606" s="94"/>
      <c r="K606" s="94"/>
      <c r="L606" s="94"/>
    </row>
    <row r="607" spans="3:12" ht="12.75" customHeight="1">
      <c r="C607" s="94"/>
      <c r="D607" s="94"/>
      <c r="E607" s="94"/>
      <c r="F607" s="94"/>
      <c r="G607" s="94"/>
      <c r="H607" s="94"/>
      <c r="I607" s="94"/>
      <c r="J607" s="94"/>
      <c r="K607" s="94"/>
      <c r="L607" s="94"/>
    </row>
    <row r="608" spans="3:12" ht="12.75" customHeight="1">
      <c r="C608" s="94"/>
      <c r="D608" s="94"/>
      <c r="E608" s="94"/>
      <c r="F608" s="94"/>
      <c r="G608" s="94"/>
      <c r="H608" s="94"/>
      <c r="I608" s="94"/>
      <c r="J608" s="94"/>
      <c r="K608" s="94"/>
      <c r="L608" s="94"/>
    </row>
    <row r="609" spans="3:12" ht="12.75" customHeight="1">
      <c r="C609" s="94"/>
      <c r="D609" s="94"/>
      <c r="E609" s="94"/>
      <c r="F609" s="94"/>
      <c r="G609" s="94"/>
      <c r="H609" s="94"/>
      <c r="I609" s="94"/>
      <c r="J609" s="94"/>
      <c r="K609" s="94"/>
      <c r="L609" s="94"/>
    </row>
    <row r="610" spans="3:12" ht="12.75" customHeight="1">
      <c r="C610" s="94"/>
      <c r="D610" s="94"/>
      <c r="E610" s="94"/>
      <c r="F610" s="94"/>
      <c r="G610" s="94"/>
      <c r="H610" s="94"/>
      <c r="I610" s="94"/>
      <c r="J610" s="94"/>
      <c r="K610" s="94"/>
      <c r="L610" s="94"/>
    </row>
    <row r="611" spans="3:12" ht="12.75" customHeight="1">
      <c r="C611" s="94"/>
      <c r="D611" s="94"/>
      <c r="E611" s="94"/>
      <c r="F611" s="94"/>
      <c r="G611" s="94"/>
      <c r="H611" s="94"/>
      <c r="I611" s="94"/>
      <c r="J611" s="94"/>
      <c r="K611" s="94"/>
      <c r="L611" s="94"/>
    </row>
    <row r="612" spans="3:12" ht="12.75" customHeight="1">
      <c r="C612" s="94"/>
      <c r="D612" s="94"/>
      <c r="E612" s="94"/>
      <c r="F612" s="94"/>
      <c r="G612" s="94"/>
      <c r="H612" s="94"/>
      <c r="I612" s="94"/>
      <c r="J612" s="94"/>
      <c r="K612" s="94"/>
      <c r="L612" s="94"/>
    </row>
    <row r="613" spans="3:12" ht="12.75" customHeight="1">
      <c r="C613" s="94"/>
      <c r="D613" s="94"/>
      <c r="E613" s="94"/>
      <c r="F613" s="94"/>
      <c r="G613" s="94"/>
      <c r="H613" s="94"/>
      <c r="I613" s="94"/>
      <c r="J613" s="94"/>
      <c r="K613" s="94"/>
      <c r="L613" s="94"/>
    </row>
    <row r="614" spans="3:12" ht="12.75" customHeight="1">
      <c r="C614" s="94"/>
      <c r="D614" s="94"/>
      <c r="E614" s="94"/>
      <c r="F614" s="94"/>
      <c r="G614" s="94"/>
      <c r="H614" s="94"/>
      <c r="I614" s="94"/>
      <c r="J614" s="94"/>
      <c r="K614" s="94"/>
      <c r="L614" s="94"/>
    </row>
    <row r="615" spans="3:12" ht="12.75" customHeight="1">
      <c r="C615" s="94"/>
      <c r="D615" s="94"/>
      <c r="E615" s="94"/>
      <c r="F615" s="94"/>
      <c r="G615" s="94"/>
      <c r="H615" s="94"/>
      <c r="I615" s="94"/>
      <c r="J615" s="94"/>
      <c r="K615" s="94"/>
      <c r="L615" s="94"/>
    </row>
    <row r="616" spans="3:12" ht="12.75" customHeight="1">
      <c r="C616" s="94"/>
      <c r="D616" s="94"/>
      <c r="E616" s="94"/>
      <c r="F616" s="94"/>
      <c r="G616" s="94"/>
      <c r="H616" s="94"/>
      <c r="I616" s="94"/>
      <c r="J616" s="94"/>
      <c r="K616" s="94"/>
      <c r="L616" s="94"/>
    </row>
    <row r="617" spans="3:12" ht="12.75" customHeight="1">
      <c r="C617" s="94"/>
      <c r="D617" s="94"/>
      <c r="E617" s="94"/>
      <c r="F617" s="94"/>
      <c r="G617" s="94"/>
      <c r="H617" s="94"/>
      <c r="I617" s="94"/>
      <c r="J617" s="94"/>
      <c r="K617" s="94"/>
      <c r="L617" s="94"/>
    </row>
    <row r="618" spans="3:12" ht="12.75" customHeight="1">
      <c r="C618" s="94"/>
      <c r="D618" s="94"/>
      <c r="E618" s="94"/>
      <c r="F618" s="94"/>
      <c r="G618" s="94"/>
      <c r="H618" s="94"/>
      <c r="I618" s="94"/>
      <c r="J618" s="94"/>
      <c r="K618" s="94"/>
      <c r="L618" s="94"/>
    </row>
    <row r="619" spans="3:12" ht="12.75" customHeight="1">
      <c r="C619" s="94"/>
      <c r="D619" s="94"/>
      <c r="E619" s="94"/>
      <c r="F619" s="94"/>
      <c r="G619" s="94"/>
      <c r="H619" s="94"/>
      <c r="I619" s="94"/>
      <c r="J619" s="94"/>
      <c r="K619" s="94"/>
      <c r="L619" s="94"/>
    </row>
    <row r="620" spans="3:12" ht="12.75" customHeight="1">
      <c r="C620" s="94"/>
      <c r="D620" s="94"/>
      <c r="E620" s="94"/>
      <c r="F620" s="94"/>
      <c r="G620" s="94"/>
      <c r="H620" s="94"/>
      <c r="I620" s="94"/>
      <c r="J620" s="94"/>
      <c r="K620" s="94"/>
      <c r="L620" s="94"/>
    </row>
    <row r="621" spans="3:12" ht="12.75" customHeight="1">
      <c r="C621" s="94"/>
      <c r="D621" s="94"/>
      <c r="E621" s="94"/>
      <c r="F621" s="94"/>
      <c r="G621" s="94"/>
      <c r="H621" s="94"/>
      <c r="I621" s="94"/>
      <c r="J621" s="94"/>
      <c r="K621" s="94"/>
      <c r="L621" s="94"/>
    </row>
    <row r="622" spans="3:12" ht="12.75" customHeight="1">
      <c r="C622" s="94"/>
      <c r="D622" s="94"/>
      <c r="E622" s="94"/>
      <c r="F622" s="94"/>
      <c r="G622" s="94"/>
      <c r="H622" s="94"/>
      <c r="I622" s="94"/>
      <c r="J622" s="94"/>
      <c r="K622" s="94"/>
      <c r="L622" s="94"/>
    </row>
    <row r="623" spans="3:12" ht="12.75" customHeight="1">
      <c r="C623" s="94"/>
      <c r="D623" s="94"/>
      <c r="E623" s="94"/>
      <c r="F623" s="94"/>
      <c r="G623" s="94"/>
      <c r="H623" s="94"/>
      <c r="I623" s="94"/>
      <c r="J623" s="94"/>
      <c r="K623" s="94"/>
      <c r="L623" s="94"/>
    </row>
    <row r="624" spans="3:12" ht="12.75" customHeight="1">
      <c r="C624" s="94"/>
      <c r="D624" s="94"/>
      <c r="E624" s="94"/>
      <c r="F624" s="94"/>
      <c r="G624" s="94"/>
      <c r="H624" s="94"/>
      <c r="I624" s="94"/>
      <c r="J624" s="94"/>
      <c r="K624" s="94"/>
      <c r="L624" s="94"/>
    </row>
    <row r="625" spans="3:12" ht="12.75" customHeight="1">
      <c r="C625" s="94"/>
      <c r="D625" s="94"/>
      <c r="E625" s="94"/>
      <c r="F625" s="94"/>
      <c r="G625" s="94"/>
      <c r="H625" s="94"/>
      <c r="I625" s="94"/>
      <c r="J625" s="94"/>
      <c r="K625" s="94"/>
      <c r="L625" s="94"/>
    </row>
    <row r="626" spans="3:12" ht="12.75" customHeight="1">
      <c r="C626" s="94"/>
      <c r="D626" s="94"/>
      <c r="E626" s="94"/>
      <c r="F626" s="94"/>
      <c r="G626" s="94"/>
      <c r="H626" s="94"/>
      <c r="I626" s="94"/>
      <c r="J626" s="94"/>
      <c r="K626" s="94"/>
      <c r="L626" s="94"/>
    </row>
    <row r="627" spans="3:12" ht="12.75" customHeight="1">
      <c r="C627" s="94"/>
      <c r="D627" s="94"/>
      <c r="E627" s="94"/>
      <c r="F627" s="94"/>
      <c r="G627" s="94"/>
      <c r="H627" s="94"/>
      <c r="I627" s="94"/>
      <c r="J627" s="94"/>
      <c r="K627" s="94"/>
      <c r="L627" s="94"/>
    </row>
    <row r="628" spans="3:12" ht="12.75" customHeight="1">
      <c r="C628" s="94"/>
      <c r="D628" s="94"/>
      <c r="E628" s="94"/>
      <c r="F628" s="94"/>
      <c r="G628" s="94"/>
      <c r="H628" s="94"/>
      <c r="I628" s="94"/>
      <c r="J628" s="94"/>
      <c r="K628" s="94"/>
      <c r="L628" s="94"/>
    </row>
    <row r="629" spans="3:12" ht="12.75" customHeight="1">
      <c r="C629" s="94"/>
      <c r="D629" s="94"/>
      <c r="E629" s="94"/>
      <c r="F629" s="94"/>
      <c r="G629" s="94"/>
      <c r="H629" s="94"/>
      <c r="I629" s="94"/>
      <c r="J629" s="94"/>
      <c r="K629" s="94"/>
      <c r="L629" s="94"/>
    </row>
    <row r="630" spans="3:12" ht="12.75" customHeight="1">
      <c r="C630" s="94"/>
      <c r="D630" s="94"/>
      <c r="E630" s="94"/>
      <c r="F630" s="94"/>
      <c r="G630" s="94"/>
      <c r="H630" s="94"/>
      <c r="I630" s="94"/>
      <c r="J630" s="94"/>
      <c r="K630" s="94"/>
      <c r="L630" s="94"/>
    </row>
    <row r="631" spans="3:12" ht="12.75" customHeight="1">
      <c r="C631" s="94"/>
      <c r="D631" s="94"/>
      <c r="E631" s="94"/>
      <c r="F631" s="94"/>
      <c r="G631" s="94"/>
      <c r="H631" s="94"/>
      <c r="I631" s="94"/>
      <c r="J631" s="94"/>
      <c r="K631" s="94"/>
      <c r="L631" s="94"/>
    </row>
    <row r="632" spans="3:12" ht="12.75" customHeight="1">
      <c r="C632" s="94"/>
      <c r="D632" s="94"/>
      <c r="E632" s="94"/>
      <c r="F632" s="94"/>
      <c r="G632" s="94"/>
      <c r="H632" s="94"/>
      <c r="I632" s="94"/>
      <c r="J632" s="94"/>
      <c r="K632" s="94"/>
      <c r="L632" s="94"/>
    </row>
    <row r="633" spans="3:12" ht="12.75" customHeight="1">
      <c r="C633" s="94"/>
      <c r="D633" s="94"/>
      <c r="E633" s="94"/>
      <c r="F633" s="94"/>
      <c r="G633" s="94"/>
      <c r="H633" s="94"/>
      <c r="I633" s="94"/>
      <c r="J633" s="94"/>
      <c r="K633" s="94"/>
      <c r="L633" s="94"/>
    </row>
    <row r="634" spans="3:12" ht="12.75" customHeight="1">
      <c r="C634" s="94"/>
      <c r="D634" s="94"/>
      <c r="E634" s="94"/>
      <c r="F634" s="94"/>
      <c r="G634" s="94"/>
      <c r="H634" s="94"/>
      <c r="I634" s="94"/>
      <c r="J634" s="94"/>
      <c r="K634" s="94"/>
      <c r="L634" s="94"/>
    </row>
    <row r="635" spans="3:12" ht="12.75" customHeight="1">
      <c r="C635" s="94"/>
      <c r="D635" s="94"/>
      <c r="E635" s="94"/>
      <c r="F635" s="94"/>
      <c r="G635" s="94"/>
      <c r="H635" s="94"/>
      <c r="I635" s="94"/>
      <c r="J635" s="94"/>
      <c r="K635" s="94"/>
      <c r="L635" s="94"/>
    </row>
    <row r="636" spans="3:12" ht="12.75" customHeight="1">
      <c r="C636" s="94"/>
      <c r="D636" s="94"/>
      <c r="E636" s="94"/>
      <c r="F636" s="94"/>
      <c r="G636" s="94"/>
      <c r="H636" s="94"/>
      <c r="I636" s="94"/>
      <c r="J636" s="94"/>
      <c r="K636" s="94"/>
      <c r="L636" s="94"/>
    </row>
    <row r="637" spans="3:12" ht="12.75" customHeight="1">
      <c r="C637" s="94"/>
      <c r="D637" s="94"/>
      <c r="E637" s="94"/>
      <c r="F637" s="94"/>
      <c r="G637" s="94"/>
      <c r="H637" s="94"/>
      <c r="I637" s="94"/>
      <c r="J637" s="94"/>
      <c r="K637" s="94"/>
      <c r="L637" s="94"/>
    </row>
    <row r="638" spans="3:12" ht="12.75" customHeight="1">
      <c r="C638" s="94"/>
      <c r="D638" s="94"/>
      <c r="E638" s="94"/>
      <c r="F638" s="94"/>
      <c r="G638" s="94"/>
      <c r="H638" s="94"/>
      <c r="I638" s="94"/>
      <c r="J638" s="94"/>
      <c r="K638" s="94"/>
      <c r="L638" s="94"/>
    </row>
    <row r="639" spans="3:12" ht="12.75" customHeight="1">
      <c r="C639" s="94"/>
      <c r="D639" s="94"/>
      <c r="E639" s="94"/>
      <c r="F639" s="94"/>
      <c r="G639" s="94"/>
      <c r="H639" s="94"/>
      <c r="I639" s="94"/>
      <c r="J639" s="94"/>
      <c r="K639" s="94"/>
      <c r="L639" s="94"/>
    </row>
    <row r="640" spans="3:12" ht="12.75" customHeight="1">
      <c r="C640" s="94"/>
      <c r="D640" s="94"/>
      <c r="E640" s="94"/>
      <c r="F640" s="94"/>
      <c r="G640" s="94"/>
      <c r="H640" s="94"/>
      <c r="I640" s="94"/>
      <c r="J640" s="94"/>
      <c r="K640" s="94"/>
      <c r="L640" s="94"/>
    </row>
    <row r="641" spans="3:12" ht="12.75" customHeight="1">
      <c r="C641" s="94"/>
      <c r="D641" s="94"/>
      <c r="E641" s="94"/>
      <c r="F641" s="94"/>
      <c r="G641" s="94"/>
      <c r="H641" s="94"/>
      <c r="I641" s="94"/>
      <c r="J641" s="94"/>
      <c r="K641" s="94"/>
      <c r="L641" s="94"/>
    </row>
    <row r="642" spans="3:12" ht="12.75" customHeight="1">
      <c r="C642" s="94"/>
      <c r="D642" s="94"/>
      <c r="E642" s="94"/>
      <c r="F642" s="94"/>
      <c r="G642" s="94"/>
      <c r="H642" s="94"/>
      <c r="I642" s="94"/>
      <c r="J642" s="94"/>
      <c r="K642" s="94"/>
      <c r="L642" s="94"/>
    </row>
    <row r="643" spans="3:12" ht="12.75" customHeight="1">
      <c r="C643" s="94"/>
      <c r="D643" s="94"/>
      <c r="E643" s="94"/>
      <c r="F643" s="94"/>
      <c r="G643" s="94"/>
      <c r="H643" s="94"/>
      <c r="I643" s="94"/>
      <c r="J643" s="94"/>
      <c r="K643" s="94"/>
      <c r="L643" s="94"/>
    </row>
    <row r="644" spans="3:12" ht="12.75" customHeight="1">
      <c r="C644" s="94"/>
      <c r="D644" s="94"/>
      <c r="E644" s="94"/>
      <c r="F644" s="94"/>
      <c r="G644" s="94"/>
      <c r="H644" s="94"/>
      <c r="I644" s="94"/>
      <c r="J644" s="94"/>
      <c r="K644" s="94"/>
      <c r="L644" s="94"/>
    </row>
    <row r="645" spans="3:12" ht="12.75" customHeight="1">
      <c r="C645" s="94"/>
      <c r="D645" s="94"/>
      <c r="E645" s="94"/>
      <c r="F645" s="94"/>
      <c r="G645" s="94"/>
      <c r="H645" s="94"/>
      <c r="I645" s="94"/>
      <c r="J645" s="94"/>
      <c r="K645" s="94"/>
      <c r="L645" s="94"/>
    </row>
    <row r="646" spans="3:12" ht="12.75" customHeight="1">
      <c r="C646" s="94"/>
      <c r="D646" s="94"/>
      <c r="E646" s="94"/>
      <c r="F646" s="94"/>
      <c r="G646" s="94"/>
      <c r="H646" s="94"/>
      <c r="I646" s="94"/>
      <c r="J646" s="94"/>
      <c r="K646" s="94"/>
      <c r="L646" s="94"/>
    </row>
    <row r="647" spans="3:12" ht="12.75" customHeight="1">
      <c r="C647" s="94"/>
      <c r="D647" s="94"/>
      <c r="E647" s="94"/>
      <c r="F647" s="94"/>
      <c r="G647" s="94"/>
      <c r="H647" s="94"/>
      <c r="I647" s="94"/>
      <c r="J647" s="94"/>
      <c r="K647" s="94"/>
      <c r="L647" s="94"/>
    </row>
    <row r="648" spans="3:12" ht="12.75" customHeight="1">
      <c r="C648" s="94"/>
      <c r="D648" s="94"/>
      <c r="E648" s="94"/>
      <c r="F648" s="94"/>
      <c r="G648" s="94"/>
      <c r="H648" s="94"/>
      <c r="I648" s="94"/>
      <c r="J648" s="94"/>
      <c r="K648" s="94"/>
      <c r="L648" s="94"/>
    </row>
    <row r="649" spans="3:12" ht="12.75" customHeight="1">
      <c r="C649" s="94"/>
      <c r="D649" s="94"/>
      <c r="E649" s="94"/>
      <c r="F649" s="94"/>
      <c r="G649" s="94"/>
      <c r="H649" s="94"/>
      <c r="I649" s="94"/>
      <c r="J649" s="94"/>
      <c r="K649" s="94"/>
      <c r="L649" s="94"/>
    </row>
    <row r="650" spans="3:12" ht="12.75" customHeight="1">
      <c r="C650" s="94"/>
      <c r="D650" s="94"/>
      <c r="E650" s="94"/>
      <c r="F650" s="94"/>
      <c r="G650" s="94"/>
      <c r="H650" s="94"/>
      <c r="I650" s="94"/>
      <c r="J650" s="94"/>
      <c r="K650" s="94"/>
      <c r="L650" s="94"/>
    </row>
    <row r="651" spans="3:12" ht="12.75" customHeight="1">
      <c r="C651" s="94"/>
      <c r="D651" s="94"/>
      <c r="E651" s="94"/>
      <c r="F651" s="94"/>
      <c r="G651" s="94"/>
      <c r="H651" s="94"/>
      <c r="I651" s="94"/>
      <c r="J651" s="94"/>
      <c r="K651" s="94"/>
      <c r="L651" s="94"/>
    </row>
    <row r="652" spans="3:12" ht="12.75" customHeight="1">
      <c r="C652" s="94"/>
      <c r="D652" s="94"/>
      <c r="E652" s="94"/>
      <c r="F652" s="94"/>
      <c r="G652" s="94"/>
      <c r="H652" s="94"/>
      <c r="I652" s="94"/>
      <c r="J652" s="94"/>
      <c r="K652" s="94"/>
      <c r="L652" s="94"/>
    </row>
    <row r="653" spans="3:12" ht="12.75" customHeight="1">
      <c r="C653" s="94"/>
      <c r="D653" s="94"/>
      <c r="E653" s="94"/>
      <c r="F653" s="94"/>
      <c r="G653" s="94"/>
      <c r="H653" s="94"/>
      <c r="I653" s="94"/>
      <c r="J653" s="94"/>
      <c r="K653" s="94"/>
      <c r="L653" s="94"/>
    </row>
    <row r="654" spans="3:12" ht="12.75" customHeight="1">
      <c r="C654" s="94"/>
      <c r="D654" s="94"/>
      <c r="E654" s="94"/>
      <c r="F654" s="94"/>
      <c r="G654" s="94"/>
      <c r="H654" s="94"/>
      <c r="I654" s="94"/>
      <c r="J654" s="94"/>
      <c r="K654" s="94"/>
      <c r="L654" s="94"/>
    </row>
    <row r="655" spans="3:12" ht="12.75" customHeight="1">
      <c r="C655" s="94"/>
      <c r="D655" s="94"/>
      <c r="E655" s="94"/>
      <c r="F655" s="94"/>
      <c r="G655" s="94"/>
      <c r="H655" s="94"/>
      <c r="I655" s="94"/>
      <c r="J655" s="94"/>
      <c r="K655" s="94"/>
      <c r="L655" s="94"/>
    </row>
    <row r="656" spans="3:12" ht="12.75" customHeight="1">
      <c r="C656" s="94"/>
      <c r="D656" s="94"/>
      <c r="E656" s="94"/>
      <c r="F656" s="94"/>
      <c r="G656" s="94"/>
      <c r="H656" s="94"/>
      <c r="I656" s="94"/>
      <c r="J656" s="94"/>
      <c r="K656" s="94"/>
      <c r="L656" s="94"/>
    </row>
    <row r="657" spans="3:12" ht="12.75" customHeight="1">
      <c r="C657" s="94"/>
      <c r="D657" s="94"/>
      <c r="E657" s="94"/>
      <c r="F657" s="94"/>
      <c r="G657" s="94"/>
      <c r="H657" s="94"/>
      <c r="I657" s="94"/>
      <c r="J657" s="94"/>
      <c r="K657" s="94"/>
      <c r="L657" s="94"/>
    </row>
    <row r="658" spans="3:12" ht="12.75" customHeight="1">
      <c r="C658" s="94"/>
      <c r="D658" s="94"/>
      <c r="E658" s="94"/>
      <c r="F658" s="94"/>
      <c r="G658" s="94"/>
      <c r="H658" s="94"/>
      <c r="I658" s="94"/>
      <c r="J658" s="94"/>
      <c r="K658" s="94"/>
      <c r="L658" s="94"/>
    </row>
    <row r="659" spans="3:12" ht="12.75" customHeight="1">
      <c r="C659" s="94"/>
      <c r="D659" s="94"/>
      <c r="E659" s="94"/>
      <c r="F659" s="94"/>
      <c r="G659" s="94"/>
      <c r="H659" s="94"/>
      <c r="I659" s="94"/>
      <c r="J659" s="94"/>
      <c r="K659" s="94"/>
      <c r="L659" s="94"/>
    </row>
    <row r="660" spans="3:12" ht="12.75" customHeight="1">
      <c r="C660" s="94"/>
      <c r="D660" s="94"/>
      <c r="E660" s="94"/>
      <c r="F660" s="94"/>
      <c r="G660" s="94"/>
      <c r="H660" s="94"/>
      <c r="I660" s="94"/>
      <c r="J660" s="94"/>
      <c r="K660" s="94"/>
      <c r="L660" s="94"/>
    </row>
    <row r="661" spans="3:12" ht="12.75" customHeight="1">
      <c r="C661" s="94"/>
      <c r="D661" s="94"/>
      <c r="E661" s="94"/>
      <c r="F661" s="94"/>
      <c r="G661" s="94"/>
      <c r="H661" s="94"/>
      <c r="I661" s="94"/>
      <c r="J661" s="94"/>
      <c r="K661" s="94"/>
      <c r="L661" s="94"/>
    </row>
    <row r="662" spans="3:12" ht="12.75" customHeight="1">
      <c r="C662" s="94"/>
      <c r="D662" s="94"/>
      <c r="E662" s="94"/>
      <c r="F662" s="94"/>
      <c r="G662" s="94"/>
      <c r="H662" s="94"/>
      <c r="I662" s="94"/>
      <c r="J662" s="94"/>
      <c r="K662" s="94"/>
      <c r="L662" s="94"/>
    </row>
    <row r="663" spans="3:12" ht="12.75" customHeight="1">
      <c r="C663" s="94"/>
      <c r="D663" s="94"/>
      <c r="E663" s="94"/>
      <c r="F663" s="94"/>
      <c r="G663" s="94"/>
      <c r="H663" s="94"/>
      <c r="I663" s="94"/>
      <c r="J663" s="94"/>
      <c r="K663" s="94"/>
      <c r="L663" s="94"/>
    </row>
    <row r="664" spans="3:12" ht="12.75" customHeight="1">
      <c r="C664" s="94"/>
      <c r="D664" s="94"/>
      <c r="E664" s="94"/>
      <c r="F664" s="94"/>
      <c r="G664" s="94"/>
      <c r="H664" s="94"/>
      <c r="I664" s="94"/>
      <c r="J664" s="94"/>
      <c r="K664" s="94"/>
      <c r="L664" s="94"/>
    </row>
    <row r="665" spans="3:12" ht="12.75" customHeight="1">
      <c r="C665" s="94"/>
      <c r="D665" s="94"/>
      <c r="E665" s="94"/>
      <c r="F665" s="94"/>
      <c r="G665" s="94"/>
      <c r="H665" s="94"/>
      <c r="I665" s="94"/>
      <c r="J665" s="94"/>
      <c r="K665" s="94"/>
      <c r="L665" s="94"/>
    </row>
    <row r="666" spans="3:12" ht="12.75" customHeight="1">
      <c r="C666" s="94"/>
      <c r="D666" s="94"/>
      <c r="E666" s="94"/>
      <c r="F666" s="94"/>
      <c r="G666" s="94"/>
      <c r="H666" s="94"/>
      <c r="I666" s="94"/>
      <c r="J666" s="94"/>
      <c r="K666" s="94"/>
      <c r="L666" s="94"/>
    </row>
    <row r="667" spans="3:12" ht="12.75" customHeight="1">
      <c r="C667" s="94"/>
      <c r="D667" s="94"/>
      <c r="E667" s="94"/>
      <c r="F667" s="94"/>
      <c r="G667" s="94"/>
      <c r="H667" s="94"/>
      <c r="I667" s="94"/>
      <c r="J667" s="94"/>
      <c r="K667" s="94"/>
      <c r="L667" s="94"/>
    </row>
    <row r="668" spans="3:12" ht="12.75" customHeight="1">
      <c r="C668" s="94"/>
      <c r="D668" s="94"/>
      <c r="E668" s="94"/>
      <c r="F668" s="94"/>
      <c r="G668" s="94"/>
      <c r="H668" s="94"/>
      <c r="I668" s="94"/>
      <c r="J668" s="94"/>
      <c r="K668" s="94"/>
      <c r="L668" s="94"/>
    </row>
    <row r="669" spans="3:12" ht="12.75" customHeight="1">
      <c r="C669" s="94"/>
      <c r="D669" s="94"/>
      <c r="E669" s="94"/>
      <c r="F669" s="94"/>
      <c r="G669" s="94"/>
      <c r="H669" s="94"/>
      <c r="I669" s="94"/>
      <c r="J669" s="94"/>
      <c r="K669" s="94"/>
      <c r="L669" s="94"/>
    </row>
    <row r="670" spans="3:12" ht="12.75" customHeight="1">
      <c r="C670" s="94"/>
      <c r="D670" s="94"/>
      <c r="E670" s="94"/>
      <c r="F670" s="94"/>
      <c r="G670" s="94"/>
      <c r="H670" s="94"/>
      <c r="I670" s="94"/>
      <c r="J670" s="94"/>
      <c r="K670" s="94"/>
      <c r="L670" s="94"/>
    </row>
    <row r="671" spans="3:12" ht="12.75" customHeight="1">
      <c r="C671" s="94"/>
      <c r="D671" s="94"/>
      <c r="E671" s="94"/>
      <c r="F671" s="94"/>
      <c r="G671" s="94"/>
      <c r="H671" s="94"/>
      <c r="I671" s="94"/>
      <c r="J671" s="94"/>
      <c r="K671" s="94"/>
      <c r="L671" s="94"/>
    </row>
    <row r="672" spans="3:12" ht="12.75" customHeight="1">
      <c r="C672" s="94"/>
      <c r="D672" s="94"/>
      <c r="E672" s="94"/>
      <c r="F672" s="94"/>
      <c r="G672" s="94"/>
      <c r="H672" s="94"/>
      <c r="I672" s="94"/>
      <c r="J672" s="94"/>
      <c r="K672" s="94"/>
      <c r="L672" s="94"/>
    </row>
    <row r="673" spans="3:12" ht="12.75" customHeight="1">
      <c r="C673" s="94"/>
      <c r="D673" s="94"/>
      <c r="E673" s="94"/>
      <c r="F673" s="94"/>
      <c r="G673" s="94"/>
      <c r="H673" s="94"/>
      <c r="I673" s="94"/>
      <c r="J673" s="94"/>
      <c r="K673" s="94"/>
      <c r="L673" s="94"/>
    </row>
    <row r="674" spans="3:12" ht="12.75" customHeight="1">
      <c r="C674" s="94"/>
      <c r="D674" s="94"/>
      <c r="E674" s="94"/>
      <c r="F674" s="94"/>
      <c r="G674" s="94"/>
      <c r="H674" s="94"/>
      <c r="I674" s="94"/>
      <c r="J674" s="94"/>
      <c r="K674" s="94"/>
      <c r="L674" s="94"/>
    </row>
    <row r="675" spans="3:12" ht="12.75" customHeight="1">
      <c r="C675" s="94"/>
      <c r="D675" s="94"/>
      <c r="E675" s="94"/>
      <c r="F675" s="94"/>
      <c r="G675" s="94"/>
      <c r="H675" s="94"/>
      <c r="I675" s="94"/>
      <c r="J675" s="94"/>
      <c r="K675" s="94"/>
      <c r="L675" s="94"/>
    </row>
    <row r="676" spans="3:12" ht="12.75" customHeight="1">
      <c r="C676" s="94"/>
      <c r="D676" s="94"/>
      <c r="E676" s="94"/>
      <c r="F676" s="94"/>
      <c r="G676" s="94"/>
      <c r="H676" s="94"/>
      <c r="I676" s="94"/>
      <c r="J676" s="94"/>
      <c r="K676" s="94"/>
      <c r="L676" s="94"/>
    </row>
    <row r="677" spans="3:12" ht="12.75" customHeight="1">
      <c r="C677" s="94"/>
      <c r="D677" s="94"/>
      <c r="E677" s="94"/>
      <c r="F677" s="94"/>
      <c r="G677" s="94"/>
      <c r="H677" s="94"/>
      <c r="I677" s="94"/>
      <c r="J677" s="94"/>
      <c r="K677" s="94"/>
      <c r="L677" s="94"/>
    </row>
    <row r="678" spans="3:12" ht="12.75" customHeight="1">
      <c r="C678" s="94"/>
      <c r="D678" s="94"/>
      <c r="E678" s="94"/>
      <c r="F678" s="94"/>
      <c r="G678" s="94"/>
      <c r="H678" s="94"/>
      <c r="I678" s="94"/>
      <c r="J678" s="94"/>
      <c r="K678" s="94"/>
      <c r="L678" s="94"/>
    </row>
    <row r="679" spans="3:12" ht="12.75" customHeight="1">
      <c r="C679" s="94"/>
      <c r="D679" s="94"/>
      <c r="E679" s="94"/>
      <c r="F679" s="94"/>
      <c r="G679" s="94"/>
      <c r="H679" s="94"/>
      <c r="I679" s="94"/>
      <c r="J679" s="94"/>
      <c r="K679" s="94"/>
      <c r="L679" s="94"/>
    </row>
    <row r="680" spans="3:12" ht="12.75" customHeight="1">
      <c r="C680" s="94"/>
      <c r="D680" s="94"/>
      <c r="E680" s="94"/>
      <c r="F680" s="94"/>
      <c r="G680" s="94"/>
      <c r="H680" s="94"/>
      <c r="I680" s="94"/>
      <c r="J680" s="94"/>
      <c r="K680" s="94"/>
      <c r="L680" s="94"/>
    </row>
    <row r="681" spans="3:12" ht="12.75" customHeight="1">
      <c r="C681" s="94"/>
      <c r="D681" s="94"/>
      <c r="E681" s="94"/>
      <c r="F681" s="94"/>
      <c r="G681" s="94"/>
      <c r="H681" s="94"/>
      <c r="I681" s="94"/>
      <c r="J681" s="94"/>
      <c r="K681" s="94"/>
      <c r="L681" s="94"/>
    </row>
    <row r="682" spans="3:12" ht="12.75" customHeight="1">
      <c r="C682" s="94"/>
      <c r="D682" s="94"/>
      <c r="E682" s="94"/>
      <c r="F682" s="94"/>
      <c r="G682" s="94"/>
      <c r="H682" s="94"/>
      <c r="I682" s="94"/>
      <c r="J682" s="94"/>
      <c r="K682" s="94"/>
      <c r="L682" s="94"/>
    </row>
    <row r="683" spans="3:12" ht="12.75" customHeight="1">
      <c r="C683" s="94"/>
      <c r="D683" s="94"/>
      <c r="E683" s="94"/>
      <c r="F683" s="94"/>
      <c r="G683" s="94"/>
      <c r="H683" s="94"/>
      <c r="I683" s="94"/>
      <c r="J683" s="94"/>
      <c r="K683" s="94"/>
      <c r="L683" s="94"/>
    </row>
    <row r="684" spans="3:12" ht="12.75" customHeight="1">
      <c r="C684" s="94"/>
      <c r="D684" s="94"/>
      <c r="E684" s="94"/>
      <c r="F684" s="94"/>
      <c r="G684" s="94"/>
      <c r="H684" s="94"/>
      <c r="I684" s="94"/>
      <c r="J684" s="94"/>
      <c r="K684" s="94"/>
      <c r="L684" s="94"/>
    </row>
    <row r="685" spans="3:12" ht="12.75" customHeight="1">
      <c r="C685" s="94"/>
      <c r="D685" s="94"/>
      <c r="E685" s="94"/>
      <c r="F685" s="94"/>
      <c r="G685" s="94"/>
      <c r="H685" s="94"/>
      <c r="I685" s="94"/>
      <c r="J685" s="94"/>
      <c r="K685" s="94"/>
      <c r="L685" s="94"/>
    </row>
    <row r="686" spans="3:12" ht="12.75" customHeight="1">
      <c r="C686" s="94"/>
      <c r="D686" s="94"/>
      <c r="E686" s="94"/>
      <c r="F686" s="94"/>
      <c r="G686" s="94"/>
      <c r="H686" s="94"/>
      <c r="I686" s="94"/>
      <c r="J686" s="94"/>
      <c r="K686" s="94"/>
      <c r="L686" s="94"/>
    </row>
    <row r="687" spans="3:12" ht="12.75" customHeight="1">
      <c r="C687" s="94"/>
      <c r="D687" s="94"/>
      <c r="E687" s="94"/>
      <c r="F687" s="94"/>
      <c r="G687" s="94"/>
      <c r="H687" s="94"/>
      <c r="I687" s="94"/>
      <c r="J687" s="94"/>
      <c r="K687" s="94"/>
      <c r="L687" s="94"/>
    </row>
    <row r="688" spans="3:12" ht="12.75" customHeight="1">
      <c r="C688" s="94"/>
      <c r="D688" s="94"/>
      <c r="E688" s="94"/>
      <c r="F688" s="94"/>
      <c r="G688" s="94"/>
      <c r="H688" s="94"/>
      <c r="I688" s="94"/>
      <c r="J688" s="94"/>
      <c r="K688" s="94"/>
      <c r="L688" s="94"/>
    </row>
    <row r="689" spans="3:12" ht="12.75" customHeight="1">
      <c r="C689" s="94"/>
      <c r="D689" s="94"/>
      <c r="E689" s="94"/>
      <c r="F689" s="94"/>
      <c r="G689" s="94"/>
      <c r="H689" s="94"/>
      <c r="I689" s="94"/>
      <c r="J689" s="94"/>
      <c r="K689" s="94"/>
      <c r="L689" s="94"/>
    </row>
    <row r="690" spans="3:12" ht="12.75" customHeight="1">
      <c r="C690" s="94"/>
      <c r="D690" s="94"/>
      <c r="E690" s="94"/>
      <c r="F690" s="94"/>
      <c r="G690" s="94"/>
      <c r="H690" s="94"/>
      <c r="I690" s="94"/>
      <c r="J690" s="94"/>
      <c r="K690" s="94"/>
      <c r="L690" s="94"/>
    </row>
    <row r="691" spans="3:12" ht="12.75" customHeight="1">
      <c r="C691" s="94"/>
      <c r="D691" s="94"/>
      <c r="E691" s="94"/>
      <c r="F691" s="94"/>
      <c r="G691" s="94"/>
      <c r="H691" s="94"/>
      <c r="I691" s="94"/>
      <c r="J691" s="94"/>
      <c r="K691" s="94"/>
      <c r="L691" s="94"/>
    </row>
    <row r="692" spans="3:12" ht="12.75" customHeight="1">
      <c r="C692" s="94"/>
      <c r="D692" s="94"/>
      <c r="E692" s="94"/>
      <c r="F692" s="94"/>
      <c r="G692" s="94"/>
      <c r="H692" s="94"/>
      <c r="I692" s="94"/>
      <c r="J692" s="94"/>
      <c r="K692" s="94"/>
      <c r="L692" s="94"/>
    </row>
    <row r="693" spans="3:12" ht="12.75" customHeight="1">
      <c r="C693" s="94"/>
      <c r="D693" s="94"/>
      <c r="E693" s="94"/>
      <c r="F693" s="94"/>
      <c r="G693" s="94"/>
      <c r="H693" s="94"/>
      <c r="I693" s="94"/>
      <c r="J693" s="94"/>
      <c r="K693" s="94"/>
      <c r="L693" s="94"/>
    </row>
    <row r="694" spans="3:12" ht="12.75" customHeight="1">
      <c r="C694" s="94"/>
      <c r="D694" s="94"/>
      <c r="E694" s="94"/>
      <c r="F694" s="94"/>
      <c r="G694" s="94"/>
      <c r="H694" s="94"/>
      <c r="I694" s="94"/>
      <c r="J694" s="94"/>
      <c r="K694" s="94"/>
      <c r="L694" s="94"/>
    </row>
    <row r="695" spans="3:12" ht="12.75" customHeight="1">
      <c r="C695" s="94"/>
      <c r="D695" s="94"/>
      <c r="E695" s="94"/>
      <c r="F695" s="94"/>
      <c r="G695" s="94"/>
      <c r="H695" s="94"/>
      <c r="I695" s="94"/>
      <c r="J695" s="94"/>
      <c r="K695" s="94"/>
      <c r="L695" s="94"/>
    </row>
    <row r="696" spans="3:12" ht="12.75" customHeight="1">
      <c r="C696" s="94"/>
      <c r="D696" s="94"/>
      <c r="E696" s="94"/>
      <c r="F696" s="94"/>
      <c r="G696" s="94"/>
      <c r="H696" s="94"/>
      <c r="I696" s="94"/>
      <c r="J696" s="94"/>
      <c r="K696" s="94"/>
      <c r="L696" s="94"/>
    </row>
    <row r="697" spans="3:12" ht="12.75" customHeight="1">
      <c r="C697" s="94"/>
      <c r="D697" s="94"/>
      <c r="E697" s="94"/>
      <c r="F697" s="94"/>
      <c r="G697" s="94"/>
      <c r="H697" s="94"/>
      <c r="I697" s="94"/>
      <c r="J697" s="94"/>
      <c r="K697" s="94"/>
      <c r="L697" s="94"/>
    </row>
    <row r="698" spans="3:12" ht="12.75" customHeight="1">
      <c r="C698" s="94"/>
      <c r="D698" s="94"/>
      <c r="E698" s="94"/>
      <c r="F698" s="94"/>
      <c r="G698" s="94"/>
      <c r="H698" s="94"/>
      <c r="I698" s="94"/>
      <c r="J698" s="94"/>
      <c r="K698" s="94"/>
      <c r="L698" s="94"/>
    </row>
    <row r="699" spans="3:12" ht="12.75" customHeight="1">
      <c r="C699" s="94"/>
      <c r="D699" s="94"/>
      <c r="E699" s="94"/>
      <c r="F699" s="94"/>
      <c r="G699" s="94"/>
      <c r="H699" s="94"/>
      <c r="I699" s="94"/>
      <c r="J699" s="94"/>
      <c r="K699" s="94"/>
      <c r="L699" s="94"/>
    </row>
    <row r="700" spans="3:12" ht="12.75" customHeight="1">
      <c r="C700" s="94"/>
      <c r="D700" s="94"/>
      <c r="E700" s="94"/>
      <c r="F700" s="94"/>
      <c r="G700" s="94"/>
      <c r="H700" s="94"/>
      <c r="I700" s="94"/>
      <c r="J700" s="94"/>
      <c r="K700" s="94"/>
      <c r="L700" s="94"/>
    </row>
    <row r="701" spans="3:12" ht="12.75" customHeight="1">
      <c r="C701" s="94"/>
      <c r="D701" s="94"/>
      <c r="E701" s="94"/>
      <c r="F701" s="94"/>
      <c r="G701" s="94"/>
      <c r="H701" s="94"/>
      <c r="I701" s="94"/>
      <c r="J701" s="94"/>
      <c r="K701" s="94"/>
      <c r="L701" s="94"/>
    </row>
    <row r="702" spans="3:12" ht="12.75" customHeight="1">
      <c r="C702" s="94"/>
      <c r="D702" s="94"/>
      <c r="E702" s="94"/>
      <c r="F702" s="94"/>
      <c r="G702" s="94"/>
      <c r="H702" s="94"/>
      <c r="I702" s="94"/>
      <c r="J702" s="94"/>
      <c r="K702" s="94"/>
      <c r="L702" s="94"/>
    </row>
    <row r="703" spans="3:12" ht="12.75" customHeight="1">
      <c r="C703" s="94"/>
      <c r="D703" s="94"/>
      <c r="E703" s="94"/>
      <c r="F703" s="94"/>
      <c r="G703" s="94"/>
      <c r="H703" s="94"/>
      <c r="I703" s="94"/>
      <c r="J703" s="94"/>
      <c r="K703" s="94"/>
      <c r="L703" s="94"/>
    </row>
    <row r="704" spans="3:12" ht="12.75" customHeight="1">
      <c r="C704" s="94"/>
      <c r="D704" s="94"/>
      <c r="E704" s="94"/>
      <c r="F704" s="94"/>
      <c r="G704" s="94"/>
      <c r="H704" s="94"/>
      <c r="I704" s="94"/>
      <c r="J704" s="94"/>
      <c r="K704" s="94"/>
      <c r="L704" s="94"/>
    </row>
    <row r="705" spans="3:12" ht="12.75" customHeight="1">
      <c r="C705" s="94"/>
      <c r="D705" s="94"/>
      <c r="E705" s="94"/>
      <c r="F705" s="94"/>
      <c r="G705" s="94"/>
      <c r="H705" s="94"/>
      <c r="I705" s="94"/>
      <c r="J705" s="94"/>
      <c r="K705" s="94"/>
      <c r="L705" s="94"/>
    </row>
    <row r="706" spans="3:12" ht="12.75" customHeight="1">
      <c r="C706" s="94"/>
      <c r="D706" s="94"/>
      <c r="E706" s="94"/>
      <c r="F706" s="94"/>
      <c r="G706" s="94"/>
      <c r="H706" s="94"/>
      <c r="I706" s="94"/>
      <c r="J706" s="94"/>
      <c r="K706" s="94"/>
      <c r="L706" s="94"/>
    </row>
    <row r="707" spans="3:12" ht="12.75" customHeight="1">
      <c r="C707" s="94"/>
      <c r="D707" s="94"/>
      <c r="E707" s="94"/>
      <c r="F707" s="94"/>
      <c r="G707" s="94"/>
      <c r="H707" s="94"/>
      <c r="I707" s="94"/>
      <c r="J707" s="94"/>
      <c r="K707" s="94"/>
      <c r="L707" s="94"/>
    </row>
    <row r="708" spans="3:12" ht="12.75" customHeight="1">
      <c r="C708" s="94"/>
      <c r="D708" s="94"/>
      <c r="E708" s="94"/>
      <c r="F708" s="94"/>
      <c r="G708" s="94"/>
      <c r="H708" s="94"/>
      <c r="I708" s="94"/>
      <c r="J708" s="94"/>
      <c r="K708" s="94"/>
      <c r="L708" s="94"/>
    </row>
    <row r="709" spans="3:12" ht="12.75" customHeight="1">
      <c r="C709" s="94"/>
      <c r="D709" s="94"/>
      <c r="E709" s="94"/>
      <c r="F709" s="94"/>
      <c r="G709" s="94"/>
      <c r="H709" s="94"/>
      <c r="I709" s="94"/>
      <c r="J709" s="94"/>
      <c r="K709" s="94"/>
      <c r="L709" s="94"/>
    </row>
    <row r="710" spans="3:12" ht="12.75" customHeight="1">
      <c r="C710" s="94"/>
      <c r="D710" s="94"/>
      <c r="E710" s="94"/>
      <c r="F710" s="94"/>
      <c r="G710" s="94"/>
      <c r="H710" s="94"/>
      <c r="I710" s="94"/>
      <c r="J710" s="94"/>
      <c r="K710" s="94"/>
      <c r="L710" s="94"/>
    </row>
    <row r="711" spans="3:12" ht="12.75" customHeight="1">
      <c r="C711" s="94"/>
      <c r="D711" s="94"/>
      <c r="E711" s="94"/>
      <c r="F711" s="94"/>
      <c r="G711" s="94"/>
      <c r="H711" s="94"/>
      <c r="I711" s="94"/>
      <c r="J711" s="94"/>
      <c r="K711" s="94"/>
      <c r="L711" s="94"/>
    </row>
    <row r="712" spans="3:12" ht="12.75" customHeight="1">
      <c r="C712" s="94"/>
      <c r="D712" s="94"/>
      <c r="E712" s="94"/>
      <c r="F712" s="94"/>
      <c r="G712" s="94"/>
      <c r="H712" s="94"/>
      <c r="I712" s="94"/>
      <c r="J712" s="94"/>
      <c r="K712" s="94"/>
      <c r="L712" s="94"/>
    </row>
    <row r="713" spans="3:12" ht="12.75" customHeight="1">
      <c r="C713" s="94"/>
      <c r="D713" s="94"/>
      <c r="E713" s="94"/>
      <c r="F713" s="94"/>
      <c r="G713" s="94"/>
      <c r="H713" s="94"/>
      <c r="I713" s="94"/>
      <c r="J713" s="94"/>
      <c r="K713" s="94"/>
      <c r="L713" s="94"/>
    </row>
    <row r="714" spans="3:12" ht="12.75" customHeight="1">
      <c r="C714" s="94"/>
      <c r="D714" s="94"/>
      <c r="E714" s="94"/>
      <c r="F714" s="94"/>
      <c r="G714" s="94"/>
      <c r="H714" s="94"/>
      <c r="I714" s="94"/>
      <c r="J714" s="94"/>
      <c r="K714" s="94"/>
      <c r="L714" s="94"/>
    </row>
    <row r="715" spans="3:12" ht="12.75" customHeight="1">
      <c r="C715" s="94"/>
      <c r="D715" s="94"/>
      <c r="E715" s="94"/>
      <c r="F715" s="94"/>
      <c r="G715" s="94"/>
      <c r="H715" s="94"/>
      <c r="I715" s="94"/>
      <c r="J715" s="94"/>
      <c r="K715" s="94"/>
      <c r="L715" s="94"/>
    </row>
    <row r="716" spans="3:12" ht="12.75" customHeight="1">
      <c r="C716" s="94"/>
      <c r="D716" s="94"/>
      <c r="E716" s="94"/>
      <c r="F716" s="94"/>
      <c r="G716" s="94"/>
      <c r="H716" s="94"/>
      <c r="I716" s="94"/>
      <c r="J716" s="94"/>
      <c r="K716" s="94"/>
      <c r="L716" s="94"/>
    </row>
    <row r="717" spans="3:12" ht="12.75" customHeight="1">
      <c r="C717" s="94"/>
      <c r="D717" s="94"/>
      <c r="E717" s="94"/>
      <c r="F717" s="94"/>
      <c r="G717" s="94"/>
      <c r="H717" s="94"/>
      <c r="I717" s="94"/>
      <c r="J717" s="94"/>
      <c r="K717" s="94"/>
      <c r="L717" s="94"/>
    </row>
    <row r="718" spans="3:12" ht="12.75" customHeight="1">
      <c r="C718" s="94"/>
      <c r="D718" s="94"/>
      <c r="E718" s="94"/>
      <c r="F718" s="94"/>
      <c r="G718" s="94"/>
      <c r="H718" s="94"/>
      <c r="I718" s="94"/>
      <c r="J718" s="94"/>
      <c r="K718" s="94"/>
      <c r="L718" s="94"/>
    </row>
    <row r="719" spans="3:12" ht="12.75" customHeight="1">
      <c r="C719" s="94"/>
      <c r="D719" s="94"/>
      <c r="E719" s="94"/>
      <c r="F719" s="94"/>
      <c r="G719" s="94"/>
      <c r="H719" s="94"/>
      <c r="I719" s="94"/>
      <c r="J719" s="94"/>
      <c r="K719" s="94"/>
      <c r="L719" s="94"/>
    </row>
    <row r="720" spans="3:12" ht="12.75" customHeight="1">
      <c r="C720" s="94"/>
      <c r="D720" s="94"/>
      <c r="E720" s="94"/>
      <c r="F720" s="94"/>
      <c r="G720" s="94"/>
      <c r="H720" s="94"/>
      <c r="I720" s="94"/>
      <c r="J720" s="94"/>
      <c r="K720" s="94"/>
      <c r="L720" s="94"/>
    </row>
    <row r="721" spans="3:12" ht="12.75" customHeight="1">
      <c r="C721" s="94"/>
      <c r="D721" s="94"/>
      <c r="E721" s="94"/>
      <c r="F721" s="94"/>
      <c r="G721" s="94"/>
      <c r="H721" s="94"/>
      <c r="I721" s="94"/>
      <c r="J721" s="94"/>
      <c r="K721" s="94"/>
      <c r="L721" s="94"/>
    </row>
    <row r="722" spans="3:12" ht="12.75" customHeight="1">
      <c r="C722" s="94"/>
      <c r="D722" s="94"/>
      <c r="E722" s="94"/>
      <c r="F722" s="94"/>
      <c r="G722" s="94"/>
      <c r="H722" s="94"/>
      <c r="I722" s="94"/>
      <c r="J722" s="94"/>
      <c r="K722" s="94"/>
      <c r="L722" s="94"/>
    </row>
    <row r="723" spans="3:12" ht="12.75" customHeight="1">
      <c r="C723" s="94"/>
      <c r="D723" s="94"/>
      <c r="E723" s="94"/>
      <c r="F723" s="94"/>
      <c r="G723" s="94"/>
      <c r="H723" s="94"/>
      <c r="I723" s="94"/>
      <c r="J723" s="94"/>
      <c r="K723" s="94"/>
      <c r="L723" s="94"/>
    </row>
    <row r="724" spans="3:12" ht="12.75" customHeight="1">
      <c r="C724" s="94"/>
      <c r="D724" s="94"/>
      <c r="E724" s="94"/>
      <c r="F724" s="94"/>
      <c r="G724" s="94"/>
      <c r="H724" s="94"/>
      <c r="I724" s="94"/>
      <c r="J724" s="94"/>
      <c r="K724" s="94"/>
      <c r="L724" s="94"/>
    </row>
    <row r="725" spans="3:12" ht="12.75" customHeight="1">
      <c r="C725" s="94"/>
      <c r="D725" s="94"/>
      <c r="E725" s="94"/>
      <c r="F725" s="94"/>
      <c r="G725" s="94"/>
      <c r="H725" s="94"/>
      <c r="I725" s="94"/>
      <c r="J725" s="94"/>
      <c r="K725" s="94"/>
      <c r="L725" s="94"/>
    </row>
    <row r="726" spans="3:12" ht="12.75" customHeight="1">
      <c r="C726" s="94"/>
      <c r="D726" s="94"/>
      <c r="E726" s="94"/>
      <c r="F726" s="94"/>
      <c r="G726" s="94"/>
      <c r="H726" s="94"/>
      <c r="I726" s="94"/>
      <c r="J726" s="94"/>
      <c r="K726" s="94"/>
      <c r="L726" s="94"/>
    </row>
    <row r="727" spans="3:12" ht="12.75" customHeight="1">
      <c r="C727" s="94"/>
      <c r="D727" s="94"/>
      <c r="E727" s="94"/>
      <c r="F727" s="94"/>
      <c r="G727" s="94"/>
      <c r="H727" s="94"/>
      <c r="I727" s="94"/>
      <c r="J727" s="94"/>
      <c r="K727" s="94"/>
      <c r="L727" s="94"/>
    </row>
    <row r="728" spans="3:12" ht="12.75" customHeight="1">
      <c r="C728" s="94"/>
      <c r="D728" s="94"/>
      <c r="E728" s="94"/>
      <c r="F728" s="94"/>
      <c r="G728" s="94"/>
      <c r="H728" s="94"/>
      <c r="I728" s="94"/>
      <c r="J728" s="94"/>
      <c r="K728" s="94"/>
      <c r="L728" s="94"/>
    </row>
    <row r="729" spans="3:12" ht="12.75" customHeight="1">
      <c r="C729" s="94"/>
      <c r="D729" s="94"/>
      <c r="E729" s="94"/>
      <c r="F729" s="94"/>
      <c r="G729" s="94"/>
      <c r="H729" s="94"/>
      <c r="I729" s="94"/>
      <c r="J729" s="94"/>
      <c r="K729" s="94"/>
      <c r="L729" s="94"/>
    </row>
    <row r="730" spans="3:12" ht="12.75" customHeight="1">
      <c r="C730" s="94"/>
      <c r="D730" s="94"/>
      <c r="E730" s="94"/>
      <c r="F730" s="94"/>
      <c r="G730" s="94"/>
      <c r="H730" s="94"/>
      <c r="I730" s="94"/>
      <c r="J730" s="94"/>
      <c r="K730" s="94"/>
      <c r="L730" s="94"/>
    </row>
    <row r="731" spans="3:12" ht="12.75" customHeight="1">
      <c r="C731" s="94"/>
      <c r="D731" s="94"/>
      <c r="E731" s="94"/>
      <c r="F731" s="94"/>
      <c r="G731" s="94"/>
      <c r="H731" s="94"/>
      <c r="I731" s="94"/>
      <c r="J731" s="94"/>
      <c r="K731" s="94"/>
      <c r="L731" s="94"/>
    </row>
    <row r="732" spans="3:12" ht="12.75" customHeight="1">
      <c r="C732" s="94"/>
      <c r="D732" s="94"/>
      <c r="E732" s="94"/>
      <c r="F732" s="94"/>
      <c r="G732" s="94"/>
      <c r="H732" s="94"/>
      <c r="I732" s="94"/>
      <c r="J732" s="94"/>
      <c r="K732" s="94"/>
      <c r="L732" s="94"/>
    </row>
    <row r="733" spans="3:12" ht="12.75" customHeight="1">
      <c r="C733" s="94"/>
      <c r="D733" s="94"/>
      <c r="E733" s="94"/>
      <c r="F733" s="94"/>
      <c r="G733" s="94"/>
      <c r="H733" s="94"/>
      <c r="I733" s="94"/>
      <c r="J733" s="94"/>
      <c r="K733" s="94"/>
      <c r="L733" s="94"/>
    </row>
    <row r="734" spans="3:12" ht="12.75" customHeight="1">
      <c r="C734" s="94"/>
      <c r="D734" s="94"/>
      <c r="E734" s="94"/>
      <c r="F734" s="94"/>
      <c r="G734" s="94"/>
      <c r="H734" s="94"/>
      <c r="I734" s="94"/>
      <c r="J734" s="94"/>
      <c r="K734" s="94"/>
      <c r="L734" s="94"/>
    </row>
    <row r="735" spans="3:12" ht="12.75" customHeight="1">
      <c r="C735" s="94"/>
      <c r="D735" s="94"/>
      <c r="E735" s="94"/>
      <c r="F735" s="94"/>
      <c r="G735" s="94"/>
      <c r="H735" s="94"/>
      <c r="I735" s="94"/>
      <c r="J735" s="94"/>
      <c r="K735" s="94"/>
      <c r="L735" s="94"/>
    </row>
    <row r="736" spans="3:12" ht="12.75" customHeight="1">
      <c r="C736" s="94"/>
      <c r="D736" s="94"/>
      <c r="E736" s="94"/>
      <c r="F736" s="94"/>
      <c r="G736" s="94"/>
      <c r="H736" s="94"/>
      <c r="I736" s="94"/>
      <c r="J736" s="94"/>
      <c r="K736" s="94"/>
      <c r="L736" s="94"/>
    </row>
    <row r="737" spans="3:12" ht="12.75" customHeight="1">
      <c r="C737" s="94"/>
      <c r="D737" s="94"/>
      <c r="E737" s="94"/>
      <c r="F737" s="94"/>
      <c r="G737" s="94"/>
      <c r="H737" s="94"/>
      <c r="I737" s="94"/>
      <c r="J737" s="94"/>
      <c r="K737" s="94"/>
      <c r="L737" s="94"/>
    </row>
    <row r="738" spans="3:12" ht="12.75" customHeight="1">
      <c r="C738" s="94"/>
      <c r="D738" s="94"/>
      <c r="E738" s="94"/>
      <c r="F738" s="94"/>
      <c r="G738" s="94"/>
      <c r="H738" s="94"/>
      <c r="I738" s="94"/>
      <c r="J738" s="94"/>
      <c r="K738" s="94"/>
      <c r="L738" s="94"/>
    </row>
    <row r="739" spans="3:12" ht="12.75" customHeight="1">
      <c r="C739" s="94"/>
      <c r="D739" s="94"/>
      <c r="E739" s="94"/>
      <c r="F739" s="94"/>
      <c r="G739" s="94"/>
      <c r="H739" s="94"/>
      <c r="I739" s="94"/>
      <c r="J739" s="94"/>
      <c r="K739" s="94"/>
      <c r="L739" s="94"/>
    </row>
    <row r="740" spans="3:12" ht="12.75" customHeight="1">
      <c r="C740" s="94"/>
      <c r="D740" s="94"/>
      <c r="E740" s="94"/>
      <c r="F740" s="94"/>
      <c r="G740" s="94"/>
      <c r="H740" s="94"/>
      <c r="I740" s="94"/>
      <c r="J740" s="94"/>
      <c r="K740" s="94"/>
      <c r="L740" s="94"/>
    </row>
    <row r="741" spans="3:12" ht="12.75" customHeight="1">
      <c r="C741" s="94"/>
      <c r="D741" s="94"/>
      <c r="E741" s="94"/>
      <c r="F741" s="94"/>
      <c r="G741" s="94"/>
      <c r="H741" s="94"/>
      <c r="I741" s="94"/>
      <c r="J741" s="94"/>
      <c r="K741" s="94"/>
      <c r="L741" s="94"/>
    </row>
    <row r="742" spans="3:12" ht="12.75" customHeight="1">
      <c r="C742" s="94"/>
      <c r="D742" s="94"/>
      <c r="E742" s="94"/>
      <c r="F742" s="94"/>
      <c r="G742" s="94"/>
      <c r="H742" s="94"/>
      <c r="I742" s="94"/>
      <c r="J742" s="94"/>
      <c r="K742" s="94"/>
      <c r="L742" s="94"/>
    </row>
    <row r="743" spans="3:12" ht="12.75" customHeight="1">
      <c r="C743" s="94"/>
      <c r="D743" s="94"/>
      <c r="E743" s="94"/>
      <c r="F743" s="94"/>
      <c r="G743" s="94"/>
      <c r="H743" s="94"/>
      <c r="I743" s="94"/>
      <c r="J743" s="94"/>
      <c r="K743" s="94"/>
      <c r="L743" s="94"/>
    </row>
    <row r="744" spans="3:12" ht="12.75" customHeight="1">
      <c r="C744" s="94"/>
      <c r="D744" s="94"/>
      <c r="E744" s="94"/>
      <c r="F744" s="94"/>
      <c r="G744" s="94"/>
      <c r="H744" s="94"/>
      <c r="I744" s="94"/>
      <c r="J744" s="94"/>
      <c r="K744" s="94"/>
      <c r="L744" s="94"/>
    </row>
    <row r="745" spans="3:12" ht="12.75" customHeight="1">
      <c r="C745" s="94"/>
      <c r="D745" s="94"/>
      <c r="E745" s="94"/>
      <c r="F745" s="94"/>
      <c r="G745" s="94"/>
      <c r="H745" s="94"/>
      <c r="I745" s="94"/>
      <c r="J745" s="94"/>
      <c r="K745" s="94"/>
      <c r="L745" s="94"/>
    </row>
    <row r="746" spans="3:12" ht="12.75" customHeight="1">
      <c r="C746" s="94"/>
      <c r="D746" s="94"/>
      <c r="E746" s="94"/>
      <c r="F746" s="94"/>
      <c r="G746" s="94"/>
      <c r="H746" s="94"/>
      <c r="I746" s="94"/>
      <c r="J746" s="94"/>
      <c r="K746" s="94"/>
      <c r="L746" s="94"/>
    </row>
    <row r="747" spans="3:12" ht="12.75" customHeight="1">
      <c r="C747" s="94"/>
      <c r="D747" s="94"/>
      <c r="E747" s="94"/>
      <c r="F747" s="94"/>
      <c r="G747" s="94"/>
      <c r="H747" s="94"/>
      <c r="I747" s="94"/>
      <c r="J747" s="94"/>
      <c r="K747" s="94"/>
      <c r="L747" s="94"/>
    </row>
    <row r="748" spans="3:12" ht="12.75" customHeight="1">
      <c r="C748" s="94"/>
      <c r="D748" s="94"/>
      <c r="E748" s="94"/>
      <c r="F748" s="94"/>
      <c r="G748" s="94"/>
      <c r="H748" s="94"/>
      <c r="I748" s="94"/>
      <c r="J748" s="94"/>
      <c r="K748" s="94"/>
      <c r="L748" s="94"/>
    </row>
    <row r="749" spans="3:12" ht="12.75" customHeight="1">
      <c r="C749" s="94"/>
      <c r="D749" s="94"/>
      <c r="E749" s="94"/>
      <c r="F749" s="94"/>
      <c r="G749" s="94"/>
      <c r="H749" s="94"/>
      <c r="I749" s="94"/>
      <c r="J749" s="94"/>
      <c r="K749" s="94"/>
      <c r="L749" s="94"/>
    </row>
    <row r="750" spans="3:12" ht="12.75" customHeight="1">
      <c r="C750" s="94"/>
      <c r="D750" s="94"/>
      <c r="E750" s="94"/>
      <c r="F750" s="94"/>
      <c r="G750" s="94"/>
      <c r="H750" s="94"/>
      <c r="I750" s="94"/>
      <c r="J750" s="94"/>
      <c r="K750" s="94"/>
      <c r="L750" s="94"/>
    </row>
    <row r="751" spans="3:12" ht="12.75" customHeight="1">
      <c r="C751" s="94"/>
      <c r="D751" s="94"/>
      <c r="E751" s="94"/>
      <c r="F751" s="94"/>
      <c r="G751" s="94"/>
      <c r="H751" s="94"/>
      <c r="I751" s="94"/>
      <c r="J751" s="94"/>
      <c r="K751" s="94"/>
      <c r="L751" s="94"/>
    </row>
    <row r="752" spans="3:12" ht="12.75" customHeight="1">
      <c r="C752" s="94"/>
      <c r="D752" s="94"/>
      <c r="E752" s="94"/>
      <c r="F752" s="94"/>
      <c r="G752" s="94"/>
      <c r="H752" s="94"/>
      <c r="I752" s="94"/>
      <c r="J752" s="94"/>
      <c r="K752" s="94"/>
      <c r="L752" s="94"/>
    </row>
    <row r="753" spans="3:12" ht="12.75" customHeight="1">
      <c r="C753" s="94"/>
      <c r="D753" s="94"/>
      <c r="E753" s="94"/>
      <c r="F753" s="94"/>
      <c r="G753" s="94"/>
      <c r="H753" s="94"/>
      <c r="I753" s="94"/>
      <c r="J753" s="94"/>
      <c r="K753" s="94"/>
      <c r="L753" s="94"/>
    </row>
    <row r="754" spans="3:12" ht="12.75" customHeight="1">
      <c r="C754" s="94"/>
      <c r="D754" s="94"/>
      <c r="E754" s="94"/>
      <c r="F754" s="94"/>
      <c r="G754" s="94"/>
      <c r="H754" s="94"/>
      <c r="I754" s="94"/>
      <c r="J754" s="94"/>
      <c r="K754" s="94"/>
      <c r="L754" s="94"/>
    </row>
    <row r="755" spans="3:12" ht="12.75" customHeight="1">
      <c r="C755" s="94"/>
      <c r="D755" s="94"/>
      <c r="E755" s="94"/>
      <c r="F755" s="94"/>
      <c r="G755" s="94"/>
      <c r="H755" s="94"/>
      <c r="I755" s="94"/>
      <c r="J755" s="94"/>
      <c r="K755" s="94"/>
      <c r="L755" s="94"/>
    </row>
    <row r="756" spans="3:12" ht="12.75" customHeight="1">
      <c r="C756" s="94"/>
      <c r="D756" s="94"/>
      <c r="E756" s="94"/>
      <c r="F756" s="94"/>
      <c r="G756" s="94"/>
      <c r="H756" s="94"/>
      <c r="I756" s="94"/>
      <c r="J756" s="94"/>
      <c r="K756" s="94"/>
      <c r="L756" s="94"/>
    </row>
    <row r="757" spans="3:12" ht="12.75" customHeight="1">
      <c r="C757" s="94"/>
      <c r="D757" s="94"/>
      <c r="E757" s="94"/>
      <c r="F757" s="94"/>
      <c r="G757" s="94"/>
      <c r="H757" s="94"/>
      <c r="I757" s="94"/>
      <c r="J757" s="94"/>
      <c r="K757" s="94"/>
      <c r="L757" s="94"/>
    </row>
    <row r="758" spans="3:12" ht="12.75" customHeight="1">
      <c r="C758" s="94"/>
      <c r="D758" s="94"/>
      <c r="E758" s="94"/>
      <c r="F758" s="94"/>
      <c r="G758" s="94"/>
      <c r="H758" s="94"/>
      <c r="I758" s="94"/>
      <c r="J758" s="94"/>
      <c r="K758" s="94"/>
      <c r="L758" s="94"/>
    </row>
    <row r="759" spans="3:12" ht="12.75" customHeight="1">
      <c r="C759" s="94"/>
      <c r="D759" s="94"/>
      <c r="E759" s="94"/>
      <c r="F759" s="94"/>
      <c r="G759" s="94"/>
      <c r="H759" s="94"/>
      <c r="I759" s="94"/>
      <c r="J759" s="94"/>
      <c r="K759" s="94"/>
      <c r="L759" s="94"/>
    </row>
    <row r="760" spans="3:12" ht="12.75" customHeight="1">
      <c r="C760" s="94"/>
      <c r="D760" s="94"/>
      <c r="E760" s="94"/>
      <c r="F760" s="94"/>
      <c r="G760" s="94"/>
      <c r="H760" s="94"/>
      <c r="I760" s="94"/>
      <c r="J760" s="94"/>
      <c r="K760" s="94"/>
      <c r="L760" s="94"/>
    </row>
    <row r="761" spans="3:12" ht="12.75" customHeight="1">
      <c r="C761" s="94"/>
      <c r="D761" s="94"/>
      <c r="E761" s="94"/>
      <c r="F761" s="94"/>
      <c r="G761" s="94"/>
      <c r="H761" s="94"/>
      <c r="I761" s="94"/>
      <c r="J761" s="94"/>
      <c r="K761" s="94"/>
      <c r="L761" s="94"/>
    </row>
    <row r="762" spans="3:12" ht="12.75" customHeight="1">
      <c r="C762" s="94"/>
      <c r="D762" s="94"/>
      <c r="E762" s="94"/>
      <c r="F762" s="94"/>
      <c r="G762" s="94"/>
      <c r="H762" s="94"/>
      <c r="I762" s="94"/>
      <c r="J762" s="94"/>
      <c r="K762" s="94"/>
      <c r="L762" s="94"/>
    </row>
    <row r="763" spans="3:12" ht="12.75" customHeight="1">
      <c r="C763" s="94"/>
      <c r="D763" s="94"/>
      <c r="E763" s="94"/>
      <c r="F763" s="94"/>
      <c r="G763" s="94"/>
      <c r="H763" s="94"/>
      <c r="I763" s="94"/>
      <c r="J763" s="94"/>
      <c r="K763" s="94"/>
      <c r="L763" s="94"/>
    </row>
    <row r="764" spans="3:12" ht="12.75" customHeight="1">
      <c r="C764" s="94"/>
      <c r="D764" s="94"/>
      <c r="E764" s="94"/>
      <c r="F764" s="94"/>
      <c r="G764" s="94"/>
      <c r="H764" s="94"/>
      <c r="I764" s="94"/>
      <c r="J764" s="94"/>
      <c r="K764" s="94"/>
      <c r="L764" s="94"/>
    </row>
    <row r="765" spans="3:12" ht="12.75" customHeight="1">
      <c r="C765" s="94"/>
      <c r="D765" s="94"/>
      <c r="E765" s="94"/>
      <c r="F765" s="94"/>
      <c r="G765" s="94"/>
      <c r="H765" s="94"/>
      <c r="I765" s="94"/>
      <c r="J765" s="94"/>
      <c r="K765" s="94"/>
      <c r="L765" s="94"/>
    </row>
    <row r="766" spans="3:12" ht="12.75" customHeight="1">
      <c r="C766" s="94"/>
      <c r="D766" s="94"/>
      <c r="E766" s="94"/>
      <c r="F766" s="94"/>
      <c r="G766" s="94"/>
      <c r="H766" s="94"/>
      <c r="I766" s="94"/>
      <c r="J766" s="94"/>
      <c r="K766" s="94"/>
      <c r="L766" s="94"/>
    </row>
    <row r="767" spans="3:12" ht="12.75" customHeight="1">
      <c r="C767" s="94"/>
      <c r="D767" s="94"/>
      <c r="E767" s="94"/>
      <c r="F767" s="94"/>
      <c r="G767" s="94"/>
      <c r="H767" s="94"/>
      <c r="I767" s="94"/>
      <c r="J767" s="94"/>
      <c r="K767" s="94"/>
      <c r="L767" s="94"/>
    </row>
    <row r="768" spans="3:12" ht="12.75" customHeight="1">
      <c r="C768" s="94"/>
      <c r="D768" s="94"/>
      <c r="E768" s="94"/>
      <c r="F768" s="94"/>
      <c r="G768" s="94"/>
      <c r="H768" s="94"/>
      <c r="I768" s="94"/>
      <c r="J768" s="94"/>
      <c r="K768" s="94"/>
      <c r="L768" s="94"/>
    </row>
    <row r="769" spans="3:12" ht="12.75" customHeight="1">
      <c r="C769" s="94"/>
      <c r="D769" s="94"/>
      <c r="E769" s="94"/>
      <c r="F769" s="94"/>
      <c r="G769" s="94"/>
      <c r="H769" s="94"/>
      <c r="I769" s="94"/>
      <c r="J769" s="94"/>
      <c r="K769" s="94"/>
      <c r="L769" s="94"/>
    </row>
    <row r="770" spans="3:12" ht="12.75" customHeight="1">
      <c r="C770" s="94"/>
      <c r="D770" s="94"/>
      <c r="E770" s="94"/>
      <c r="F770" s="94"/>
      <c r="G770" s="94"/>
      <c r="H770" s="94"/>
      <c r="I770" s="94"/>
      <c r="J770" s="94"/>
      <c r="K770" s="94"/>
      <c r="L770" s="94"/>
    </row>
    <row r="771" spans="3:12" ht="12.75" customHeight="1">
      <c r="C771" s="94"/>
      <c r="D771" s="94"/>
      <c r="E771" s="94"/>
      <c r="F771" s="94"/>
      <c r="G771" s="94"/>
      <c r="H771" s="94"/>
      <c r="I771" s="94"/>
      <c r="J771" s="94"/>
      <c r="K771" s="94"/>
      <c r="L771" s="94"/>
    </row>
    <row r="772" spans="3:12" ht="12.75" customHeight="1">
      <c r="C772" s="94"/>
      <c r="D772" s="94"/>
      <c r="E772" s="94"/>
      <c r="F772" s="94"/>
      <c r="G772" s="94"/>
      <c r="H772" s="94"/>
      <c r="I772" s="94"/>
      <c r="J772" s="94"/>
      <c r="K772" s="94"/>
      <c r="L772" s="94"/>
    </row>
    <row r="773" spans="3:12" ht="12.75" customHeight="1">
      <c r="C773" s="94"/>
      <c r="D773" s="94"/>
      <c r="E773" s="94"/>
      <c r="F773" s="94"/>
      <c r="G773" s="94"/>
      <c r="H773" s="94"/>
      <c r="I773" s="94"/>
      <c r="J773" s="94"/>
      <c r="K773" s="94"/>
      <c r="L773" s="94"/>
    </row>
    <row r="774" spans="3:12" ht="12.75" customHeight="1">
      <c r="C774" s="94"/>
      <c r="D774" s="94"/>
      <c r="E774" s="94"/>
      <c r="F774" s="94"/>
      <c r="G774" s="94"/>
      <c r="H774" s="94"/>
      <c r="I774" s="94"/>
      <c r="J774" s="94"/>
      <c r="K774" s="94"/>
      <c r="L774" s="94"/>
    </row>
    <row r="775" spans="3:12" ht="12.75" customHeight="1">
      <c r="C775" s="94"/>
      <c r="D775" s="94"/>
      <c r="E775" s="94"/>
      <c r="F775" s="94"/>
      <c r="G775" s="94"/>
      <c r="H775" s="94"/>
      <c r="I775" s="94"/>
      <c r="J775" s="94"/>
      <c r="K775" s="94"/>
      <c r="L775" s="94"/>
    </row>
    <row r="776" spans="3:12" ht="12.75" customHeight="1">
      <c r="C776" s="94"/>
      <c r="D776" s="94"/>
      <c r="E776" s="94"/>
      <c r="F776" s="94"/>
      <c r="G776" s="94"/>
      <c r="H776" s="94"/>
      <c r="I776" s="94"/>
      <c r="J776" s="94"/>
      <c r="K776" s="94"/>
      <c r="L776" s="94"/>
    </row>
    <row r="777" spans="3:12" ht="12.75" customHeight="1">
      <c r="C777" s="94"/>
      <c r="D777" s="94"/>
      <c r="E777" s="94"/>
      <c r="F777" s="94"/>
      <c r="G777" s="94"/>
      <c r="H777" s="94"/>
      <c r="I777" s="94"/>
      <c r="J777" s="94"/>
      <c r="K777" s="94"/>
      <c r="L777" s="94"/>
    </row>
    <row r="778" spans="3:12" ht="12.75" customHeight="1">
      <c r="C778" s="94"/>
      <c r="D778" s="94"/>
      <c r="E778" s="94"/>
      <c r="F778" s="94"/>
      <c r="G778" s="94"/>
      <c r="H778" s="94"/>
      <c r="I778" s="94"/>
      <c r="J778" s="94"/>
      <c r="K778" s="94"/>
      <c r="L778" s="94"/>
    </row>
    <row r="779" spans="3:12" ht="12.75" customHeight="1">
      <c r="C779" s="94"/>
      <c r="D779" s="94"/>
      <c r="E779" s="94"/>
      <c r="F779" s="94"/>
      <c r="G779" s="94"/>
      <c r="H779" s="94"/>
      <c r="I779" s="94"/>
      <c r="J779" s="94"/>
      <c r="K779" s="94"/>
      <c r="L779" s="94"/>
    </row>
    <row r="780" spans="3:12" ht="12.75" customHeight="1">
      <c r="C780" s="94"/>
      <c r="D780" s="94"/>
      <c r="E780" s="94"/>
      <c r="F780" s="94"/>
      <c r="G780" s="94"/>
      <c r="H780" s="94"/>
      <c r="I780" s="94"/>
      <c r="J780" s="94"/>
      <c r="K780" s="94"/>
      <c r="L780" s="94"/>
    </row>
    <row r="781" spans="3:12" ht="12.75" customHeight="1">
      <c r="C781" s="94"/>
      <c r="D781" s="94"/>
      <c r="E781" s="94"/>
      <c r="F781" s="94"/>
      <c r="G781" s="94"/>
      <c r="H781" s="94"/>
      <c r="I781" s="94"/>
      <c r="J781" s="94"/>
      <c r="K781" s="94"/>
      <c r="L781" s="94"/>
    </row>
    <row r="782" spans="3:12" ht="12.75" customHeight="1">
      <c r="C782" s="94"/>
      <c r="D782" s="94"/>
      <c r="E782" s="94"/>
      <c r="F782" s="94"/>
      <c r="G782" s="94"/>
      <c r="H782" s="94"/>
      <c r="I782" s="94"/>
      <c r="J782" s="94"/>
      <c r="K782" s="94"/>
      <c r="L782" s="94"/>
    </row>
    <row r="783" spans="3:12" ht="12.75" customHeight="1">
      <c r="C783" s="94"/>
      <c r="D783" s="94"/>
      <c r="E783" s="94"/>
      <c r="F783" s="94"/>
      <c r="G783" s="94"/>
      <c r="H783" s="94"/>
      <c r="I783" s="94"/>
      <c r="J783" s="94"/>
      <c r="K783" s="94"/>
      <c r="L783" s="94"/>
    </row>
    <row r="784" spans="3:12" ht="12.75" customHeight="1">
      <c r="C784" s="94"/>
      <c r="D784" s="94"/>
      <c r="E784" s="94"/>
      <c r="F784" s="94"/>
      <c r="G784" s="94"/>
      <c r="H784" s="94"/>
      <c r="I784" s="94"/>
      <c r="J784" s="94"/>
      <c r="K784" s="94"/>
      <c r="L784" s="94"/>
    </row>
    <row r="785" spans="3:12" ht="12.75" customHeight="1">
      <c r="C785" s="94"/>
      <c r="D785" s="94"/>
      <c r="E785" s="94"/>
      <c r="F785" s="94"/>
      <c r="G785" s="94"/>
      <c r="H785" s="94"/>
      <c r="I785" s="94"/>
      <c r="J785" s="94"/>
      <c r="K785" s="94"/>
      <c r="L785" s="94"/>
    </row>
    <row r="786" spans="3:12" ht="12.75" customHeight="1">
      <c r="C786" s="94"/>
      <c r="D786" s="94"/>
      <c r="E786" s="94"/>
      <c r="F786" s="94"/>
      <c r="G786" s="94"/>
      <c r="H786" s="94"/>
      <c r="I786" s="94"/>
      <c r="J786" s="94"/>
      <c r="K786" s="94"/>
      <c r="L786" s="94"/>
    </row>
    <row r="787" spans="3:12" ht="12.75" customHeight="1">
      <c r="C787" s="94"/>
      <c r="D787" s="94"/>
      <c r="E787" s="94"/>
      <c r="F787" s="94"/>
      <c r="G787" s="94"/>
      <c r="H787" s="94"/>
      <c r="I787" s="94"/>
      <c r="J787" s="94"/>
      <c r="K787" s="94"/>
      <c r="L787" s="94"/>
    </row>
    <row r="788" spans="3:12" ht="12.75" customHeight="1">
      <c r="C788" s="94"/>
      <c r="D788" s="94"/>
      <c r="E788" s="94"/>
      <c r="F788" s="94"/>
      <c r="G788" s="94"/>
      <c r="H788" s="94"/>
      <c r="I788" s="94"/>
      <c r="J788" s="94"/>
      <c r="K788" s="94"/>
      <c r="L788" s="94"/>
    </row>
    <row r="789" spans="3:12" ht="12.75" customHeight="1">
      <c r="C789" s="94"/>
      <c r="D789" s="94"/>
      <c r="E789" s="94"/>
      <c r="F789" s="94"/>
      <c r="G789" s="94"/>
      <c r="H789" s="94"/>
      <c r="I789" s="94"/>
      <c r="J789" s="94"/>
      <c r="K789" s="94"/>
      <c r="L789" s="94"/>
    </row>
    <row r="790" spans="3:12" ht="12.75" customHeight="1">
      <c r="C790" s="94"/>
      <c r="D790" s="94"/>
      <c r="E790" s="94"/>
      <c r="F790" s="94"/>
      <c r="G790" s="94"/>
      <c r="H790" s="94"/>
      <c r="I790" s="94"/>
      <c r="J790" s="94"/>
      <c r="K790" s="94"/>
      <c r="L790" s="94"/>
    </row>
    <row r="791" spans="3:12" ht="12.75" customHeight="1">
      <c r="C791" s="94"/>
      <c r="D791" s="94"/>
      <c r="E791" s="94"/>
      <c r="F791" s="94"/>
      <c r="G791" s="94"/>
      <c r="H791" s="94"/>
      <c r="I791" s="94"/>
      <c r="J791" s="94"/>
      <c r="K791" s="94"/>
      <c r="L791" s="94"/>
    </row>
    <row r="792" spans="3:12" ht="12.75" customHeight="1">
      <c r="C792" s="94"/>
      <c r="D792" s="94"/>
      <c r="E792" s="94"/>
      <c r="F792" s="94"/>
      <c r="G792" s="94"/>
      <c r="H792" s="94"/>
      <c r="I792" s="94"/>
      <c r="J792" s="94"/>
      <c r="K792" s="94"/>
      <c r="L792" s="94"/>
    </row>
    <row r="793" spans="3:12" ht="12.75" customHeight="1">
      <c r="C793" s="94"/>
      <c r="D793" s="94"/>
      <c r="E793" s="94"/>
      <c r="F793" s="94"/>
      <c r="G793" s="94"/>
      <c r="H793" s="94"/>
      <c r="I793" s="94"/>
      <c r="J793" s="94"/>
      <c r="K793" s="94"/>
      <c r="L793" s="94"/>
    </row>
    <row r="794" spans="3:12" ht="12.75" customHeight="1">
      <c r="C794" s="94"/>
      <c r="D794" s="94"/>
      <c r="E794" s="94"/>
      <c r="F794" s="94"/>
      <c r="G794" s="94"/>
      <c r="H794" s="94"/>
      <c r="I794" s="94"/>
      <c r="J794" s="94"/>
      <c r="K794" s="94"/>
      <c r="L794" s="94"/>
    </row>
    <row r="795" spans="3:12" ht="12.75" customHeight="1">
      <c r="C795" s="94"/>
      <c r="D795" s="94"/>
      <c r="E795" s="94"/>
      <c r="F795" s="94"/>
      <c r="G795" s="94"/>
      <c r="H795" s="94"/>
      <c r="I795" s="94"/>
      <c r="J795" s="94"/>
      <c r="K795" s="94"/>
      <c r="L795" s="94"/>
    </row>
    <row r="796" spans="3:12" ht="12.75" customHeight="1">
      <c r="C796" s="94"/>
      <c r="D796" s="94"/>
      <c r="E796" s="94"/>
      <c r="F796" s="94"/>
      <c r="G796" s="94"/>
      <c r="H796" s="94"/>
      <c r="I796" s="94"/>
      <c r="J796" s="94"/>
      <c r="K796" s="94"/>
      <c r="L796" s="94"/>
    </row>
    <row r="797" spans="3:12" ht="12.75" customHeight="1">
      <c r="C797" s="94"/>
      <c r="D797" s="94"/>
      <c r="E797" s="94"/>
      <c r="F797" s="94"/>
      <c r="G797" s="94"/>
      <c r="H797" s="94"/>
      <c r="I797" s="94"/>
      <c r="J797" s="94"/>
      <c r="K797" s="94"/>
      <c r="L797" s="94"/>
    </row>
    <row r="798" spans="3:12" ht="12.75" customHeight="1">
      <c r="C798" s="94"/>
      <c r="D798" s="94"/>
      <c r="E798" s="94"/>
      <c r="F798" s="94"/>
      <c r="G798" s="94"/>
      <c r="H798" s="94"/>
      <c r="I798" s="94"/>
      <c r="J798" s="94"/>
      <c r="K798" s="94"/>
      <c r="L798" s="94"/>
    </row>
    <row r="799" spans="3:12" ht="12.75" customHeight="1">
      <c r="C799" s="94"/>
      <c r="D799" s="94"/>
      <c r="E799" s="94"/>
      <c r="F799" s="94"/>
      <c r="G799" s="94"/>
      <c r="H799" s="94"/>
      <c r="I799" s="94"/>
      <c r="J799" s="94"/>
      <c r="K799" s="94"/>
      <c r="L799" s="94"/>
    </row>
    <row r="800" spans="3:12" ht="12.75" customHeight="1">
      <c r="C800" s="94"/>
      <c r="D800" s="94"/>
      <c r="E800" s="94"/>
      <c r="F800" s="94"/>
      <c r="G800" s="94"/>
      <c r="H800" s="94"/>
      <c r="I800" s="94"/>
      <c r="J800" s="94"/>
      <c r="K800" s="94"/>
      <c r="L800" s="94"/>
    </row>
    <row r="801" spans="3:12" ht="12.75" customHeight="1">
      <c r="C801" s="94"/>
      <c r="D801" s="94"/>
      <c r="E801" s="94"/>
      <c r="F801" s="94"/>
      <c r="G801" s="94"/>
      <c r="H801" s="94"/>
      <c r="I801" s="94"/>
      <c r="J801" s="94"/>
      <c r="K801" s="94"/>
      <c r="L801" s="94"/>
    </row>
    <row r="802" spans="3:12" ht="12.75" customHeight="1">
      <c r="C802" s="94"/>
      <c r="D802" s="94"/>
      <c r="E802" s="94"/>
      <c r="F802" s="94"/>
      <c r="G802" s="94"/>
      <c r="H802" s="94"/>
      <c r="I802" s="94"/>
      <c r="J802" s="94"/>
      <c r="K802" s="94"/>
      <c r="L802" s="94"/>
    </row>
    <row r="803" spans="3:12" ht="12.75" customHeight="1">
      <c r="C803" s="94"/>
      <c r="D803" s="94"/>
      <c r="E803" s="94"/>
      <c r="F803" s="94"/>
      <c r="G803" s="94"/>
      <c r="H803" s="94"/>
      <c r="I803" s="94"/>
      <c r="J803" s="94"/>
      <c r="K803" s="94"/>
      <c r="L803" s="94"/>
    </row>
    <row r="804" spans="3:12" ht="12.75" customHeight="1">
      <c r="C804" s="94"/>
      <c r="D804" s="94"/>
      <c r="E804" s="94"/>
      <c r="F804" s="94"/>
      <c r="G804" s="94"/>
      <c r="H804" s="94"/>
      <c r="I804" s="94"/>
      <c r="J804" s="94"/>
      <c r="K804" s="94"/>
      <c r="L804" s="94"/>
    </row>
    <row r="805" spans="3:12" ht="12.75" customHeight="1">
      <c r="C805" s="94"/>
      <c r="D805" s="94"/>
      <c r="E805" s="94"/>
      <c r="F805" s="94"/>
      <c r="G805" s="94"/>
      <c r="H805" s="94"/>
      <c r="I805" s="94"/>
      <c r="J805" s="94"/>
      <c r="K805" s="94"/>
      <c r="L805" s="94"/>
    </row>
    <row r="806" spans="3:12" ht="12.75" customHeight="1">
      <c r="C806" s="94"/>
      <c r="D806" s="94"/>
      <c r="E806" s="94"/>
      <c r="F806" s="94"/>
      <c r="G806" s="94"/>
      <c r="H806" s="94"/>
      <c r="I806" s="94"/>
      <c r="J806" s="94"/>
      <c r="K806" s="94"/>
      <c r="L806" s="94"/>
    </row>
    <row r="807" spans="3:12" ht="12.75" customHeight="1">
      <c r="C807" s="94"/>
      <c r="D807" s="94"/>
      <c r="E807" s="94"/>
      <c r="F807" s="94"/>
      <c r="G807" s="94"/>
      <c r="H807" s="94"/>
      <c r="I807" s="94"/>
      <c r="J807" s="94"/>
      <c r="K807" s="94"/>
      <c r="L807" s="94"/>
    </row>
    <row r="808" spans="3:12" ht="12.75" customHeight="1">
      <c r="C808" s="94"/>
      <c r="D808" s="94"/>
      <c r="E808" s="94"/>
      <c r="F808" s="94"/>
      <c r="G808" s="94"/>
      <c r="H808" s="94"/>
      <c r="I808" s="94"/>
      <c r="J808" s="94"/>
      <c r="K808" s="94"/>
      <c r="L808" s="94"/>
    </row>
    <row r="809" spans="3:12" ht="12.75" customHeight="1">
      <c r="C809" s="94"/>
      <c r="D809" s="94"/>
      <c r="E809" s="94"/>
      <c r="F809" s="94"/>
      <c r="G809" s="94"/>
      <c r="H809" s="94"/>
      <c r="I809" s="94"/>
      <c r="J809" s="94"/>
      <c r="K809" s="94"/>
      <c r="L809" s="94"/>
    </row>
    <row r="810" spans="3:12" ht="12.75" customHeight="1">
      <c r="C810" s="94"/>
      <c r="D810" s="94"/>
      <c r="E810" s="94"/>
      <c r="F810" s="94"/>
      <c r="G810" s="94"/>
      <c r="H810" s="94"/>
      <c r="I810" s="94"/>
      <c r="J810" s="94"/>
      <c r="K810" s="94"/>
      <c r="L810" s="94"/>
    </row>
    <row r="811" spans="3:12" ht="12.75" customHeight="1">
      <c r="C811" s="94"/>
      <c r="D811" s="94"/>
      <c r="E811" s="94"/>
      <c r="F811" s="94"/>
      <c r="G811" s="94"/>
      <c r="H811" s="94"/>
      <c r="I811" s="94"/>
      <c r="J811" s="94"/>
      <c r="K811" s="94"/>
      <c r="L811" s="94"/>
    </row>
    <row r="812" spans="3:12" ht="12.75" customHeight="1">
      <c r="C812" s="94"/>
      <c r="D812" s="94"/>
      <c r="E812" s="94"/>
      <c r="F812" s="94"/>
      <c r="G812" s="94"/>
      <c r="H812" s="94"/>
      <c r="I812" s="94"/>
      <c r="J812" s="94"/>
      <c r="K812" s="94"/>
      <c r="L812" s="94"/>
    </row>
    <row r="813" spans="3:12" ht="12.75" customHeight="1">
      <c r="C813" s="94"/>
      <c r="D813" s="94"/>
      <c r="E813" s="94"/>
      <c r="F813" s="94"/>
      <c r="G813" s="94"/>
      <c r="H813" s="94"/>
      <c r="I813" s="94"/>
      <c r="J813" s="94"/>
      <c r="K813" s="94"/>
      <c r="L813" s="94"/>
    </row>
    <row r="814" spans="3:12" ht="12.75" customHeight="1">
      <c r="C814" s="94"/>
      <c r="D814" s="94"/>
      <c r="E814" s="94"/>
      <c r="F814" s="94"/>
      <c r="G814" s="94"/>
      <c r="H814" s="94"/>
      <c r="I814" s="94"/>
      <c r="J814" s="94"/>
      <c r="K814" s="94"/>
      <c r="L814" s="94"/>
    </row>
    <row r="815" spans="3:12" ht="12.75" customHeight="1">
      <c r="C815" s="94"/>
      <c r="D815" s="94"/>
      <c r="E815" s="94"/>
      <c r="F815" s="94"/>
      <c r="G815" s="94"/>
      <c r="H815" s="94"/>
      <c r="I815" s="94"/>
      <c r="J815" s="94"/>
      <c r="K815" s="94"/>
      <c r="L815" s="94"/>
    </row>
    <row r="816" spans="3:12" ht="12.75" customHeight="1">
      <c r="C816" s="94"/>
      <c r="D816" s="94"/>
      <c r="E816" s="94"/>
      <c r="F816" s="94"/>
      <c r="G816" s="94"/>
      <c r="H816" s="94"/>
      <c r="I816" s="94"/>
      <c r="J816" s="94"/>
      <c r="K816" s="94"/>
      <c r="L816" s="94"/>
    </row>
    <row r="817" spans="3:12" ht="12.75" customHeight="1">
      <c r="C817" s="94"/>
      <c r="D817" s="94"/>
      <c r="E817" s="94"/>
      <c r="F817" s="94"/>
      <c r="G817" s="94"/>
      <c r="H817" s="94"/>
      <c r="I817" s="94"/>
      <c r="J817" s="94"/>
      <c r="K817" s="94"/>
      <c r="L817" s="94"/>
    </row>
    <row r="818" spans="3:12" ht="12.75" customHeight="1">
      <c r="C818" s="94"/>
      <c r="D818" s="94"/>
      <c r="E818" s="94"/>
      <c r="F818" s="94"/>
      <c r="G818" s="94"/>
      <c r="H818" s="94"/>
      <c r="I818" s="94"/>
      <c r="J818" s="94"/>
      <c r="K818" s="94"/>
      <c r="L818" s="94"/>
    </row>
    <row r="819" spans="3:12" ht="12.75" customHeight="1">
      <c r="C819" s="94"/>
      <c r="D819" s="94"/>
      <c r="E819" s="94"/>
      <c r="F819" s="94"/>
      <c r="G819" s="94"/>
      <c r="H819" s="94"/>
      <c r="I819" s="94"/>
      <c r="J819" s="94"/>
      <c r="K819" s="94"/>
      <c r="L819" s="94"/>
    </row>
    <row r="820" spans="3:12" ht="12.75" customHeight="1">
      <c r="C820" s="94"/>
      <c r="D820" s="94"/>
      <c r="E820" s="94"/>
      <c r="F820" s="94"/>
      <c r="G820" s="94"/>
      <c r="H820" s="94"/>
      <c r="I820" s="94"/>
      <c r="J820" s="94"/>
      <c r="K820" s="94"/>
      <c r="L820" s="94"/>
    </row>
    <row r="821" spans="3:12" ht="12.75" customHeight="1">
      <c r="C821" s="94"/>
      <c r="D821" s="94"/>
      <c r="E821" s="94"/>
      <c r="F821" s="94"/>
      <c r="G821" s="94"/>
      <c r="H821" s="94"/>
      <c r="I821" s="94"/>
      <c r="J821" s="94"/>
      <c r="K821" s="94"/>
      <c r="L821" s="94"/>
    </row>
    <row r="822" spans="3:12" ht="12.75" customHeight="1">
      <c r="C822" s="94"/>
      <c r="D822" s="94"/>
      <c r="E822" s="94"/>
      <c r="F822" s="94"/>
      <c r="G822" s="94"/>
      <c r="H822" s="94"/>
      <c r="I822" s="94"/>
      <c r="J822" s="94"/>
      <c r="K822" s="94"/>
      <c r="L822" s="94"/>
    </row>
    <row r="823" spans="3:12" ht="12.75" customHeight="1">
      <c r="C823" s="94"/>
      <c r="D823" s="94"/>
      <c r="E823" s="94"/>
      <c r="F823" s="94"/>
      <c r="G823" s="94"/>
      <c r="H823" s="94"/>
      <c r="I823" s="94"/>
      <c r="J823" s="94"/>
      <c r="K823" s="94"/>
      <c r="L823" s="94"/>
    </row>
    <row r="824" spans="3:12" ht="12.75" customHeight="1">
      <c r="C824" s="94"/>
      <c r="D824" s="94"/>
      <c r="E824" s="94"/>
      <c r="F824" s="94"/>
      <c r="G824" s="94"/>
      <c r="H824" s="94"/>
      <c r="I824" s="94"/>
      <c r="J824" s="94"/>
      <c r="K824" s="94"/>
      <c r="L824" s="94"/>
    </row>
    <row r="825" spans="3:12" ht="12.75" customHeight="1">
      <c r="C825" s="94"/>
      <c r="D825" s="94"/>
      <c r="E825" s="94"/>
      <c r="F825" s="94"/>
      <c r="G825" s="94"/>
      <c r="H825" s="94"/>
      <c r="I825" s="94"/>
      <c r="J825" s="94"/>
      <c r="K825" s="94"/>
      <c r="L825" s="94"/>
    </row>
    <row r="826" spans="3:12" ht="12.75" customHeight="1">
      <c r="C826" s="94"/>
      <c r="D826" s="94"/>
      <c r="E826" s="94"/>
      <c r="F826" s="94"/>
      <c r="G826" s="94"/>
      <c r="H826" s="94"/>
      <c r="I826" s="94"/>
      <c r="J826" s="94"/>
      <c r="K826" s="94"/>
      <c r="L826" s="94"/>
    </row>
    <row r="827" spans="3:12" ht="12.75" customHeight="1">
      <c r="C827" s="94"/>
      <c r="D827" s="94"/>
      <c r="E827" s="94"/>
      <c r="F827" s="94"/>
      <c r="G827" s="94"/>
      <c r="H827" s="94"/>
      <c r="I827" s="94"/>
      <c r="J827" s="94"/>
      <c r="K827" s="94"/>
      <c r="L827" s="94"/>
    </row>
    <row r="828" spans="3:12" ht="12.75" customHeight="1">
      <c r="C828" s="94"/>
      <c r="D828" s="94"/>
      <c r="E828" s="94"/>
      <c r="F828" s="94"/>
      <c r="G828" s="94"/>
      <c r="H828" s="94"/>
      <c r="I828" s="94"/>
      <c r="J828" s="94"/>
      <c r="K828" s="94"/>
      <c r="L828" s="94"/>
    </row>
    <row r="829" spans="3:12" ht="12.75" customHeight="1">
      <c r="C829" s="94"/>
      <c r="D829" s="94"/>
      <c r="E829" s="94"/>
      <c r="F829" s="94"/>
      <c r="G829" s="94"/>
      <c r="H829" s="94"/>
      <c r="I829" s="94"/>
      <c r="J829" s="94"/>
      <c r="K829" s="94"/>
      <c r="L829" s="94"/>
    </row>
    <row r="830" spans="3:12" ht="12.75" customHeight="1">
      <c r="C830" s="94"/>
      <c r="D830" s="94"/>
      <c r="E830" s="94"/>
      <c r="F830" s="94"/>
      <c r="G830" s="94"/>
      <c r="H830" s="94"/>
      <c r="I830" s="94"/>
      <c r="J830" s="94"/>
      <c r="K830" s="94"/>
      <c r="L830" s="94"/>
    </row>
    <row r="831" spans="3:12" ht="12.75" customHeight="1">
      <c r="C831" s="94"/>
      <c r="D831" s="94"/>
      <c r="E831" s="94"/>
      <c r="F831" s="94"/>
      <c r="G831" s="94"/>
      <c r="H831" s="94"/>
      <c r="I831" s="94"/>
      <c r="J831" s="94"/>
      <c r="K831" s="94"/>
      <c r="L831" s="94"/>
    </row>
    <row r="832" spans="3:12" ht="12.75" customHeight="1">
      <c r="C832" s="94"/>
      <c r="D832" s="94"/>
      <c r="E832" s="94"/>
      <c r="F832" s="94"/>
      <c r="G832" s="94"/>
      <c r="H832" s="94"/>
      <c r="I832" s="94"/>
      <c r="J832" s="94"/>
      <c r="K832" s="94"/>
      <c r="L832" s="94"/>
    </row>
    <row r="833" spans="3:12" ht="12.75" customHeight="1">
      <c r="C833" s="94"/>
      <c r="D833" s="94"/>
      <c r="E833" s="94"/>
      <c r="F833" s="94"/>
      <c r="G833" s="94"/>
      <c r="H833" s="94"/>
      <c r="I833" s="94"/>
      <c r="J833" s="94"/>
      <c r="K833" s="94"/>
      <c r="L833" s="94"/>
    </row>
    <row r="834" spans="3:12" ht="12.75" customHeight="1">
      <c r="C834" s="94"/>
      <c r="D834" s="94"/>
      <c r="E834" s="94"/>
      <c r="F834" s="94"/>
      <c r="G834" s="94"/>
      <c r="H834" s="94"/>
      <c r="I834" s="94"/>
      <c r="J834" s="94"/>
      <c r="K834" s="94"/>
      <c r="L834" s="94"/>
    </row>
    <row r="835" spans="3:12" ht="12.75" customHeight="1">
      <c r="C835" s="94"/>
      <c r="D835" s="94"/>
      <c r="E835" s="94"/>
      <c r="F835" s="94"/>
      <c r="G835" s="94"/>
      <c r="H835" s="94"/>
      <c r="I835" s="94"/>
      <c r="J835" s="94"/>
      <c r="K835" s="94"/>
      <c r="L835" s="94"/>
    </row>
    <row r="836" spans="3:12" ht="12.75" customHeight="1">
      <c r="C836" s="94"/>
      <c r="D836" s="94"/>
      <c r="E836" s="94"/>
      <c r="F836" s="94"/>
      <c r="G836" s="94"/>
      <c r="H836" s="94"/>
      <c r="I836" s="94"/>
      <c r="J836" s="94"/>
      <c r="K836" s="94"/>
      <c r="L836" s="94"/>
    </row>
    <row r="837" spans="3:12" ht="12.75" customHeight="1">
      <c r="C837" s="94"/>
      <c r="D837" s="94"/>
      <c r="E837" s="94"/>
      <c r="F837" s="94"/>
      <c r="G837" s="94"/>
      <c r="H837" s="94"/>
      <c r="I837" s="94"/>
      <c r="J837" s="94"/>
      <c r="K837" s="94"/>
      <c r="L837" s="94"/>
    </row>
    <row r="838" spans="3:12" ht="12.75" customHeight="1">
      <c r="C838" s="94"/>
      <c r="D838" s="94"/>
      <c r="E838" s="94"/>
      <c r="F838" s="94"/>
      <c r="G838" s="94"/>
      <c r="H838" s="94"/>
      <c r="I838" s="94"/>
      <c r="J838" s="94"/>
      <c r="K838" s="94"/>
      <c r="L838" s="94"/>
    </row>
    <row r="839" spans="3:12" ht="12.75" customHeight="1">
      <c r="C839" s="94"/>
      <c r="D839" s="94"/>
      <c r="E839" s="94"/>
      <c r="F839" s="94"/>
      <c r="G839" s="94"/>
      <c r="H839" s="94"/>
      <c r="I839" s="94"/>
      <c r="J839" s="94"/>
      <c r="K839" s="94"/>
      <c r="L839" s="94"/>
    </row>
    <row r="840" spans="3:12" ht="12.75" customHeight="1">
      <c r="C840" s="94"/>
      <c r="D840" s="94"/>
      <c r="E840" s="94"/>
      <c r="F840" s="94"/>
      <c r="G840" s="94"/>
      <c r="H840" s="94"/>
      <c r="I840" s="94"/>
      <c r="J840" s="94"/>
      <c r="K840" s="94"/>
      <c r="L840" s="94"/>
    </row>
    <row r="841" spans="3:12" ht="12.75" customHeight="1">
      <c r="C841" s="94"/>
      <c r="D841" s="94"/>
      <c r="E841" s="94"/>
      <c r="F841" s="94"/>
      <c r="G841" s="94"/>
      <c r="H841" s="94"/>
      <c r="I841" s="94"/>
      <c r="J841" s="94"/>
      <c r="K841" s="94"/>
      <c r="L841" s="94"/>
    </row>
    <row r="842" spans="3:12" ht="12.75" customHeight="1">
      <c r="C842" s="94"/>
      <c r="D842" s="94"/>
      <c r="E842" s="94"/>
      <c r="F842" s="94"/>
      <c r="G842" s="94"/>
      <c r="H842" s="94"/>
      <c r="I842" s="94"/>
      <c r="J842" s="94"/>
      <c r="K842" s="94"/>
      <c r="L842" s="94"/>
    </row>
    <row r="843" spans="3:12" ht="12.75" customHeight="1">
      <c r="C843" s="94"/>
      <c r="D843" s="94"/>
      <c r="E843" s="94"/>
      <c r="F843" s="94"/>
      <c r="G843" s="94"/>
      <c r="H843" s="94"/>
      <c r="I843" s="94"/>
      <c r="J843" s="94"/>
      <c r="K843" s="94"/>
      <c r="L843" s="94"/>
    </row>
    <row r="844" spans="3:12" ht="12.75" customHeight="1">
      <c r="C844" s="94"/>
      <c r="D844" s="94"/>
      <c r="E844" s="94"/>
      <c r="F844" s="94"/>
      <c r="G844" s="94"/>
      <c r="H844" s="94"/>
      <c r="I844" s="94"/>
      <c r="J844" s="94"/>
      <c r="K844" s="94"/>
      <c r="L844" s="94"/>
    </row>
    <row r="845" spans="3:12" ht="12.75" customHeight="1">
      <c r="C845" s="94"/>
      <c r="D845" s="94"/>
      <c r="E845" s="94"/>
      <c r="F845" s="94"/>
      <c r="G845" s="94"/>
      <c r="H845" s="94"/>
      <c r="I845" s="94"/>
      <c r="J845" s="94"/>
      <c r="K845" s="94"/>
      <c r="L845" s="94"/>
    </row>
    <row r="846" spans="3:12" ht="12.75" customHeight="1">
      <c r="C846" s="94"/>
      <c r="D846" s="94"/>
      <c r="E846" s="94"/>
      <c r="F846" s="94"/>
      <c r="G846" s="94"/>
      <c r="H846" s="94"/>
      <c r="I846" s="94"/>
      <c r="J846" s="94"/>
      <c r="K846" s="94"/>
      <c r="L846" s="94"/>
    </row>
    <row r="847" spans="3:12" ht="12.75" customHeight="1">
      <c r="C847" s="94"/>
      <c r="D847" s="94"/>
      <c r="E847" s="94"/>
      <c r="F847" s="94"/>
      <c r="G847" s="94"/>
      <c r="H847" s="94"/>
      <c r="I847" s="94"/>
      <c r="J847" s="94"/>
      <c r="K847" s="94"/>
      <c r="L847" s="94"/>
    </row>
    <row r="848" spans="3:12" ht="12.75" customHeight="1">
      <c r="C848" s="94"/>
      <c r="D848" s="94"/>
      <c r="E848" s="94"/>
      <c r="F848" s="94"/>
      <c r="G848" s="94"/>
      <c r="H848" s="94"/>
      <c r="I848" s="94"/>
      <c r="J848" s="94"/>
      <c r="K848" s="94"/>
      <c r="L848" s="94"/>
    </row>
    <row r="849" spans="3:12" ht="12.75" customHeight="1">
      <c r="C849" s="94"/>
      <c r="D849" s="94"/>
      <c r="E849" s="94"/>
      <c r="F849" s="94"/>
      <c r="G849" s="94"/>
      <c r="H849" s="94"/>
      <c r="I849" s="94"/>
      <c r="J849" s="94"/>
      <c r="K849" s="94"/>
      <c r="L849" s="94"/>
    </row>
    <row r="850" spans="3:12" ht="12.75" customHeight="1">
      <c r="C850" s="94"/>
      <c r="D850" s="94"/>
      <c r="E850" s="94"/>
      <c r="F850" s="94"/>
      <c r="G850" s="94"/>
      <c r="H850" s="94"/>
      <c r="I850" s="94"/>
      <c r="J850" s="94"/>
      <c r="K850" s="94"/>
      <c r="L850" s="94"/>
    </row>
    <row r="851" spans="3:12" ht="12.75" customHeight="1">
      <c r="C851" s="94"/>
      <c r="D851" s="94"/>
      <c r="E851" s="94"/>
      <c r="F851" s="94"/>
      <c r="G851" s="94"/>
      <c r="H851" s="94"/>
      <c r="I851" s="94"/>
      <c r="J851" s="94"/>
      <c r="K851" s="94"/>
      <c r="L851" s="94"/>
    </row>
    <row r="852" spans="3:12" ht="12.75" customHeight="1">
      <c r="C852" s="94"/>
      <c r="D852" s="94"/>
      <c r="E852" s="94"/>
      <c r="F852" s="94"/>
      <c r="G852" s="94"/>
      <c r="H852" s="94"/>
      <c r="I852" s="94"/>
      <c r="J852" s="94"/>
      <c r="K852" s="94"/>
      <c r="L852" s="94"/>
    </row>
    <row r="853" spans="3:12" ht="12.75" customHeight="1">
      <c r="C853" s="94"/>
      <c r="D853" s="94"/>
      <c r="E853" s="94"/>
      <c r="F853" s="94"/>
      <c r="G853" s="94"/>
      <c r="H853" s="94"/>
      <c r="I853" s="94"/>
      <c r="J853" s="94"/>
      <c r="K853" s="94"/>
      <c r="L853" s="94"/>
    </row>
    <row r="854" spans="3:12" ht="12.75" customHeight="1">
      <c r="C854" s="94"/>
      <c r="D854" s="94"/>
      <c r="E854" s="94"/>
      <c r="F854" s="94"/>
      <c r="G854" s="94"/>
      <c r="H854" s="94"/>
      <c r="I854" s="94"/>
      <c r="J854" s="94"/>
      <c r="K854" s="94"/>
      <c r="L854" s="94"/>
    </row>
    <row r="855" spans="3:12" ht="12.75" customHeight="1">
      <c r="C855" s="94"/>
      <c r="D855" s="94"/>
      <c r="E855" s="94"/>
      <c r="F855" s="94"/>
      <c r="G855" s="94"/>
      <c r="H855" s="94"/>
      <c r="I855" s="94"/>
      <c r="J855" s="94"/>
      <c r="K855" s="94"/>
      <c r="L855" s="94"/>
    </row>
    <row r="856" spans="3:12" ht="12.75" customHeight="1">
      <c r="C856" s="94"/>
      <c r="D856" s="94"/>
      <c r="E856" s="94"/>
      <c r="F856" s="94"/>
      <c r="G856" s="94"/>
      <c r="H856" s="94"/>
      <c r="I856" s="94"/>
      <c r="J856" s="94"/>
      <c r="K856" s="94"/>
      <c r="L856" s="94"/>
    </row>
    <row r="857" spans="3:12" ht="12.75" customHeight="1">
      <c r="C857" s="94"/>
      <c r="D857" s="94"/>
      <c r="E857" s="94"/>
      <c r="F857" s="94"/>
      <c r="G857" s="94"/>
      <c r="H857" s="94"/>
      <c r="I857" s="94"/>
      <c r="J857" s="94"/>
      <c r="K857" s="94"/>
      <c r="L857" s="94"/>
    </row>
    <row r="858" spans="3:12" ht="12.75" customHeight="1">
      <c r="C858" s="94"/>
      <c r="D858" s="94"/>
      <c r="E858" s="94"/>
      <c r="F858" s="94"/>
      <c r="G858" s="94"/>
      <c r="H858" s="94"/>
      <c r="I858" s="94"/>
      <c r="J858" s="94"/>
      <c r="K858" s="94"/>
      <c r="L858" s="94"/>
    </row>
    <row r="859" spans="3:12" ht="12.75" customHeight="1">
      <c r="C859" s="94"/>
      <c r="D859" s="94"/>
      <c r="E859" s="94"/>
      <c r="F859" s="94"/>
      <c r="G859" s="94"/>
      <c r="H859" s="94"/>
      <c r="I859" s="94"/>
      <c r="J859" s="94"/>
      <c r="K859" s="94"/>
      <c r="L859" s="94"/>
    </row>
    <row r="860" spans="3:12" ht="12.75" customHeight="1">
      <c r="C860" s="94"/>
      <c r="D860" s="94"/>
      <c r="E860" s="94"/>
      <c r="F860" s="94"/>
      <c r="G860" s="94"/>
      <c r="H860" s="94"/>
      <c r="I860" s="94"/>
      <c r="J860" s="94"/>
      <c r="K860" s="94"/>
      <c r="L860" s="94"/>
    </row>
    <row r="861" spans="3:12" ht="12.75" customHeight="1">
      <c r="C861" s="94"/>
      <c r="D861" s="94"/>
      <c r="E861" s="94"/>
      <c r="F861" s="94"/>
      <c r="G861" s="94"/>
      <c r="H861" s="94"/>
      <c r="I861" s="94"/>
      <c r="J861" s="94"/>
      <c r="K861" s="94"/>
      <c r="L861" s="94"/>
    </row>
    <row r="862" spans="3:12" ht="12.75" customHeight="1">
      <c r="C862" s="94"/>
      <c r="D862" s="94"/>
      <c r="E862" s="94"/>
      <c r="F862" s="94"/>
      <c r="G862" s="94"/>
      <c r="H862" s="94"/>
      <c r="I862" s="94"/>
      <c r="J862" s="94"/>
      <c r="K862" s="94"/>
      <c r="L862" s="94"/>
    </row>
    <row r="863" spans="3:12" ht="12.75" customHeight="1">
      <c r="C863" s="94"/>
      <c r="D863" s="94"/>
      <c r="E863" s="94"/>
      <c r="F863" s="94"/>
      <c r="G863" s="94"/>
      <c r="H863" s="94"/>
      <c r="I863" s="94"/>
      <c r="J863" s="94"/>
      <c r="K863" s="94"/>
      <c r="L863" s="94"/>
    </row>
    <row r="864" spans="3:12" ht="12.75" customHeight="1">
      <c r="C864" s="94"/>
      <c r="D864" s="94"/>
      <c r="E864" s="94"/>
      <c r="F864" s="94"/>
      <c r="G864" s="94"/>
      <c r="H864" s="94"/>
      <c r="I864" s="94"/>
      <c r="J864" s="94"/>
      <c r="K864" s="94"/>
      <c r="L864" s="94"/>
    </row>
    <row r="865" spans="3:12" ht="12.75" customHeight="1">
      <c r="C865" s="94"/>
      <c r="D865" s="94"/>
      <c r="E865" s="94"/>
      <c r="F865" s="94"/>
      <c r="G865" s="94"/>
      <c r="H865" s="94"/>
      <c r="I865" s="94"/>
      <c r="J865" s="94"/>
      <c r="K865" s="94"/>
      <c r="L865" s="94"/>
    </row>
    <row r="866" spans="3:12" ht="12.75" customHeight="1">
      <c r="C866" s="94"/>
      <c r="D866" s="94"/>
      <c r="E866" s="94"/>
      <c r="F866" s="94"/>
      <c r="G866" s="94"/>
      <c r="H866" s="94"/>
      <c r="I866" s="94"/>
      <c r="J866" s="94"/>
      <c r="K866" s="94"/>
      <c r="L866" s="94"/>
    </row>
    <row r="867" spans="3:12" ht="12.75" customHeight="1">
      <c r="C867" s="94"/>
      <c r="D867" s="94"/>
      <c r="E867" s="94"/>
      <c r="F867" s="94"/>
      <c r="G867" s="94"/>
      <c r="H867" s="94"/>
      <c r="I867" s="94"/>
      <c r="J867" s="94"/>
      <c r="K867" s="94"/>
      <c r="L867" s="94"/>
    </row>
    <row r="868" spans="3:12" ht="12.75" customHeight="1">
      <c r="C868" s="94"/>
      <c r="D868" s="94"/>
      <c r="E868" s="94"/>
      <c r="F868" s="94"/>
      <c r="G868" s="94"/>
      <c r="H868" s="94"/>
      <c r="I868" s="94"/>
      <c r="J868" s="94"/>
      <c r="K868" s="94"/>
      <c r="L868" s="94"/>
    </row>
    <row r="869" spans="3:12" ht="12.75" customHeight="1">
      <c r="C869" s="94"/>
      <c r="D869" s="94"/>
      <c r="E869" s="94"/>
      <c r="F869" s="94"/>
      <c r="G869" s="94"/>
      <c r="H869" s="94"/>
      <c r="I869" s="94"/>
      <c r="J869" s="94"/>
      <c r="K869" s="94"/>
      <c r="L869" s="94"/>
    </row>
    <row r="870" spans="3:12" ht="12.75" customHeight="1">
      <c r="C870" s="94"/>
      <c r="D870" s="94"/>
      <c r="E870" s="94"/>
      <c r="F870" s="94"/>
      <c r="G870" s="94"/>
      <c r="H870" s="94"/>
      <c r="I870" s="94"/>
      <c r="J870" s="94"/>
      <c r="K870" s="94"/>
      <c r="L870" s="94"/>
    </row>
    <row r="871" spans="3:12" ht="12.75" customHeight="1">
      <c r="C871" s="94"/>
      <c r="D871" s="94"/>
      <c r="E871" s="94"/>
      <c r="F871" s="94"/>
      <c r="G871" s="94"/>
      <c r="H871" s="94"/>
      <c r="I871" s="94"/>
      <c r="J871" s="94"/>
      <c r="K871" s="94"/>
      <c r="L871" s="94"/>
    </row>
    <row r="872" spans="3:12" ht="12.75" customHeight="1">
      <c r="C872" s="94"/>
      <c r="D872" s="94"/>
      <c r="E872" s="94"/>
      <c r="F872" s="94"/>
      <c r="G872" s="94"/>
      <c r="H872" s="94"/>
      <c r="I872" s="94"/>
      <c r="J872" s="94"/>
      <c r="K872" s="94"/>
      <c r="L872" s="94"/>
    </row>
    <row r="873" spans="3:12" ht="12.75" customHeight="1">
      <c r="C873" s="94"/>
      <c r="D873" s="94"/>
      <c r="E873" s="94"/>
      <c r="F873" s="94"/>
      <c r="G873" s="94"/>
      <c r="H873" s="94"/>
      <c r="I873" s="94"/>
      <c r="J873" s="94"/>
      <c r="K873" s="94"/>
      <c r="L873" s="94"/>
    </row>
    <row r="874" spans="3:12" ht="12.75" customHeight="1">
      <c r="C874" s="94"/>
      <c r="D874" s="94"/>
      <c r="E874" s="94"/>
      <c r="F874" s="94"/>
      <c r="G874" s="94"/>
      <c r="H874" s="94"/>
      <c r="I874" s="94"/>
      <c r="J874" s="94"/>
      <c r="K874" s="94"/>
      <c r="L874" s="94"/>
    </row>
    <row r="875" spans="3:12" ht="12.75" customHeight="1">
      <c r="C875" s="94"/>
      <c r="D875" s="94"/>
      <c r="E875" s="94"/>
      <c r="F875" s="94"/>
      <c r="G875" s="94"/>
      <c r="H875" s="94"/>
      <c r="I875" s="94"/>
      <c r="J875" s="94"/>
      <c r="K875" s="94"/>
      <c r="L875" s="94"/>
    </row>
    <row r="876" spans="3:12" ht="12.75" customHeight="1">
      <c r="C876" s="94"/>
      <c r="D876" s="94"/>
      <c r="E876" s="94"/>
      <c r="F876" s="94"/>
      <c r="G876" s="94"/>
      <c r="H876" s="94"/>
      <c r="I876" s="94"/>
      <c r="J876" s="94"/>
      <c r="K876" s="94"/>
      <c r="L876" s="94"/>
    </row>
    <row r="877" spans="3:12" ht="12.75" customHeight="1">
      <c r="C877" s="94"/>
      <c r="D877" s="94"/>
      <c r="E877" s="94"/>
      <c r="F877" s="94"/>
      <c r="G877" s="94"/>
      <c r="H877" s="94"/>
      <c r="I877" s="94"/>
      <c r="J877" s="94"/>
      <c r="K877" s="94"/>
      <c r="L877" s="94"/>
    </row>
    <row r="878" spans="3:12" ht="12.75" customHeight="1">
      <c r="C878" s="94"/>
      <c r="D878" s="94"/>
      <c r="E878" s="94"/>
      <c r="F878" s="94"/>
      <c r="G878" s="94"/>
      <c r="H878" s="94"/>
      <c r="I878" s="94"/>
      <c r="J878" s="94"/>
      <c r="K878" s="94"/>
      <c r="L878" s="94"/>
    </row>
    <row r="879" spans="3:12" ht="12.75" customHeight="1">
      <c r="C879" s="94"/>
      <c r="D879" s="94"/>
      <c r="E879" s="94"/>
      <c r="F879" s="94"/>
      <c r="G879" s="94"/>
      <c r="H879" s="94"/>
      <c r="I879" s="94"/>
      <c r="J879" s="94"/>
      <c r="K879" s="94"/>
      <c r="L879" s="94"/>
    </row>
    <row r="880" spans="3:12" ht="12.75" customHeight="1">
      <c r="C880" s="94"/>
      <c r="D880" s="94"/>
      <c r="E880" s="94"/>
      <c r="F880" s="94"/>
      <c r="G880" s="94"/>
      <c r="H880" s="94"/>
      <c r="I880" s="94"/>
      <c r="J880" s="94"/>
      <c r="K880" s="94"/>
      <c r="L880" s="94"/>
    </row>
    <row r="881" spans="3:12" ht="12.75" customHeight="1">
      <c r="C881" s="94"/>
      <c r="D881" s="94"/>
      <c r="E881" s="94"/>
      <c r="F881" s="94"/>
      <c r="G881" s="94"/>
      <c r="H881" s="94"/>
      <c r="I881" s="94"/>
      <c r="J881" s="94"/>
      <c r="K881" s="94"/>
      <c r="L881" s="94"/>
    </row>
    <row r="882" spans="3:12" ht="12.75" customHeight="1">
      <c r="C882" s="94"/>
      <c r="D882" s="94"/>
      <c r="E882" s="94"/>
      <c r="F882" s="94"/>
      <c r="G882" s="94"/>
      <c r="H882" s="94"/>
      <c r="I882" s="94"/>
      <c r="J882" s="94"/>
      <c r="K882" s="94"/>
      <c r="L882" s="94"/>
    </row>
    <row r="883" spans="3:12" ht="12.75" customHeight="1">
      <c r="C883" s="94"/>
      <c r="D883" s="94"/>
      <c r="E883" s="94"/>
      <c r="F883" s="94"/>
      <c r="G883" s="94"/>
      <c r="H883" s="94"/>
      <c r="I883" s="94"/>
      <c r="J883" s="94"/>
      <c r="K883" s="94"/>
      <c r="L883" s="94"/>
    </row>
    <row r="884" spans="3:12" ht="12.75" customHeight="1">
      <c r="C884" s="94"/>
      <c r="D884" s="94"/>
      <c r="E884" s="94"/>
      <c r="F884" s="94"/>
      <c r="G884" s="94"/>
      <c r="H884" s="94"/>
      <c r="I884" s="94"/>
      <c r="J884" s="94"/>
      <c r="K884" s="94"/>
      <c r="L884" s="94"/>
    </row>
    <row r="885" spans="3:12" ht="12.75" customHeight="1">
      <c r="C885" s="94"/>
      <c r="D885" s="94"/>
      <c r="E885" s="94"/>
      <c r="F885" s="94"/>
      <c r="G885" s="94"/>
      <c r="H885" s="94"/>
      <c r="I885" s="94"/>
      <c r="J885" s="94"/>
      <c r="K885" s="94"/>
      <c r="L885" s="94"/>
    </row>
    <row r="886" spans="3:12" ht="12.75" customHeight="1">
      <c r="C886" s="94"/>
      <c r="D886" s="94"/>
      <c r="E886" s="94"/>
      <c r="F886" s="94"/>
      <c r="G886" s="94"/>
      <c r="H886" s="94"/>
      <c r="I886" s="94"/>
      <c r="J886" s="94"/>
      <c r="K886" s="94"/>
      <c r="L886" s="94"/>
    </row>
    <row r="887" spans="3:12" ht="12.75" customHeight="1">
      <c r="C887" s="94"/>
      <c r="D887" s="94"/>
      <c r="E887" s="94"/>
      <c r="F887" s="94"/>
      <c r="G887" s="94"/>
      <c r="H887" s="94"/>
      <c r="I887" s="94"/>
      <c r="J887" s="94"/>
      <c r="K887" s="94"/>
      <c r="L887" s="94"/>
    </row>
    <row r="888" spans="3:12" ht="12.75" customHeight="1">
      <c r="C888" s="94"/>
      <c r="D888" s="94"/>
      <c r="E888" s="94"/>
      <c r="F888" s="94"/>
      <c r="G888" s="94"/>
      <c r="H888" s="94"/>
      <c r="I888" s="94"/>
      <c r="J888" s="94"/>
      <c r="K888" s="94"/>
      <c r="L888" s="94"/>
    </row>
    <row r="889" spans="3:12" ht="12.75" customHeight="1">
      <c r="C889" s="94"/>
      <c r="D889" s="94"/>
      <c r="E889" s="94"/>
      <c r="F889" s="94"/>
      <c r="G889" s="94"/>
      <c r="H889" s="94"/>
      <c r="I889" s="94"/>
      <c r="J889" s="94"/>
      <c r="K889" s="94"/>
      <c r="L889" s="94"/>
    </row>
    <row r="890" spans="3:12" ht="12.75" customHeight="1">
      <c r="C890" s="94"/>
      <c r="D890" s="94"/>
      <c r="E890" s="94"/>
      <c r="F890" s="94"/>
      <c r="G890" s="94"/>
      <c r="H890" s="94"/>
      <c r="I890" s="94"/>
      <c r="J890" s="94"/>
      <c r="K890" s="94"/>
      <c r="L890" s="94"/>
    </row>
    <row r="891" spans="3:12" ht="12.75" customHeight="1">
      <c r="C891" s="94"/>
      <c r="D891" s="94"/>
      <c r="E891" s="94"/>
      <c r="F891" s="94"/>
      <c r="G891" s="94"/>
      <c r="H891" s="94"/>
      <c r="I891" s="94"/>
      <c r="J891" s="94"/>
      <c r="K891" s="94"/>
      <c r="L891" s="94"/>
    </row>
    <row r="892" spans="3:12" ht="12.75" customHeight="1">
      <c r="C892" s="94"/>
      <c r="D892" s="94"/>
      <c r="E892" s="94"/>
      <c r="F892" s="94"/>
      <c r="G892" s="94"/>
      <c r="H892" s="94"/>
      <c r="I892" s="94"/>
      <c r="J892" s="94"/>
      <c r="K892" s="94"/>
      <c r="L892" s="94"/>
    </row>
    <row r="893" spans="3:12" ht="12.75" customHeight="1">
      <c r="C893" s="94"/>
      <c r="D893" s="94"/>
      <c r="E893" s="94"/>
      <c r="F893" s="94"/>
      <c r="G893" s="94"/>
      <c r="H893" s="94"/>
      <c r="I893" s="94"/>
      <c r="J893" s="94"/>
      <c r="K893" s="94"/>
      <c r="L893" s="94"/>
    </row>
    <row r="894" spans="3:12" ht="12.75" customHeight="1">
      <c r="C894" s="94"/>
      <c r="D894" s="94"/>
      <c r="E894" s="94"/>
      <c r="F894" s="94"/>
      <c r="G894" s="94"/>
      <c r="H894" s="94"/>
      <c r="I894" s="94"/>
      <c r="J894" s="94"/>
      <c r="K894" s="94"/>
      <c r="L894" s="94"/>
    </row>
    <row r="895" spans="3:12" ht="12.75" customHeight="1">
      <c r="C895" s="94"/>
      <c r="D895" s="94"/>
      <c r="E895" s="94"/>
      <c r="F895" s="94"/>
      <c r="G895" s="94"/>
      <c r="H895" s="94"/>
      <c r="I895" s="94"/>
      <c r="J895" s="94"/>
      <c r="K895" s="94"/>
      <c r="L895" s="94"/>
    </row>
    <row r="896" spans="3:12" ht="12.75" customHeight="1">
      <c r="C896" s="94"/>
      <c r="D896" s="94"/>
      <c r="E896" s="94"/>
      <c r="F896" s="94"/>
      <c r="G896" s="94"/>
      <c r="H896" s="94"/>
      <c r="I896" s="94"/>
      <c r="J896" s="94"/>
      <c r="K896" s="94"/>
      <c r="L896" s="94"/>
    </row>
    <row r="897" spans="3:12" ht="12.75" customHeight="1">
      <c r="C897" s="94"/>
      <c r="D897" s="94"/>
      <c r="E897" s="94"/>
      <c r="F897" s="94"/>
      <c r="G897" s="94"/>
      <c r="H897" s="94"/>
      <c r="I897" s="94"/>
      <c r="J897" s="94"/>
      <c r="K897" s="94"/>
      <c r="L897" s="94"/>
    </row>
    <row r="898" spans="3:12" ht="12.75" customHeight="1">
      <c r="C898" s="94"/>
      <c r="D898" s="94"/>
      <c r="E898" s="94"/>
      <c r="F898" s="94"/>
      <c r="G898" s="94"/>
      <c r="H898" s="94"/>
      <c r="I898" s="94"/>
      <c r="J898" s="94"/>
      <c r="K898" s="94"/>
      <c r="L898" s="94"/>
    </row>
    <row r="899" spans="3:12" ht="12.75" customHeight="1">
      <c r="C899" s="94"/>
      <c r="D899" s="94"/>
      <c r="E899" s="94"/>
      <c r="F899" s="94"/>
      <c r="G899" s="94"/>
      <c r="H899" s="94"/>
      <c r="I899" s="94"/>
      <c r="J899" s="94"/>
      <c r="K899" s="94"/>
      <c r="L899" s="94"/>
    </row>
    <row r="900" spans="3:12" ht="12.75" customHeight="1">
      <c r="C900" s="94"/>
      <c r="D900" s="94"/>
      <c r="E900" s="94"/>
      <c r="F900" s="94"/>
      <c r="G900" s="94"/>
      <c r="H900" s="94"/>
      <c r="I900" s="94"/>
      <c r="J900" s="94"/>
      <c r="K900" s="94"/>
      <c r="L900" s="94"/>
    </row>
    <row r="901" spans="3:12" ht="12.75" customHeight="1">
      <c r="C901" s="94"/>
      <c r="D901" s="94"/>
      <c r="E901" s="94"/>
      <c r="F901" s="94"/>
      <c r="G901" s="94"/>
      <c r="H901" s="94"/>
      <c r="I901" s="94"/>
      <c r="J901" s="94"/>
      <c r="K901" s="94"/>
      <c r="L901" s="94"/>
    </row>
    <row r="902" spans="3:12" ht="12.75" customHeight="1">
      <c r="C902" s="94"/>
      <c r="D902" s="94"/>
      <c r="E902" s="94"/>
      <c r="F902" s="94"/>
      <c r="G902" s="94"/>
      <c r="H902" s="94"/>
      <c r="I902" s="94"/>
      <c r="J902" s="94"/>
      <c r="K902" s="94"/>
      <c r="L902" s="94"/>
    </row>
    <row r="903" spans="3:12" ht="12.75" customHeight="1">
      <c r="C903" s="94"/>
      <c r="D903" s="94"/>
      <c r="E903" s="94"/>
      <c r="F903" s="94"/>
      <c r="G903" s="94"/>
      <c r="H903" s="94"/>
      <c r="I903" s="94"/>
      <c r="J903" s="94"/>
      <c r="K903" s="94"/>
      <c r="L903" s="94"/>
    </row>
    <row r="904" spans="3:12" ht="12.75" customHeight="1">
      <c r="C904" s="94"/>
      <c r="D904" s="94"/>
      <c r="E904" s="94"/>
      <c r="F904" s="94"/>
      <c r="G904" s="94"/>
      <c r="H904" s="94"/>
      <c r="I904" s="94"/>
      <c r="J904" s="94"/>
      <c r="K904" s="94"/>
      <c r="L904" s="94"/>
    </row>
    <row r="905" spans="3:12" ht="12.75" customHeight="1">
      <c r="C905" s="94"/>
      <c r="D905" s="94"/>
      <c r="E905" s="94"/>
      <c r="F905" s="94"/>
      <c r="G905" s="94"/>
      <c r="H905" s="94"/>
      <c r="I905" s="94"/>
      <c r="J905" s="94"/>
      <c r="K905" s="94"/>
      <c r="L905" s="94"/>
    </row>
    <row r="906" spans="3:12" ht="12.75" customHeight="1">
      <c r="C906" s="94"/>
      <c r="D906" s="94"/>
      <c r="E906" s="94"/>
      <c r="F906" s="94"/>
      <c r="G906" s="94"/>
      <c r="H906" s="94"/>
      <c r="I906" s="94"/>
      <c r="J906" s="94"/>
      <c r="K906" s="94"/>
      <c r="L906" s="94"/>
    </row>
    <row r="907" spans="3:12" ht="12.75" customHeight="1">
      <c r="C907" s="94"/>
      <c r="D907" s="94"/>
      <c r="E907" s="94"/>
      <c r="F907" s="94"/>
      <c r="G907" s="94"/>
      <c r="H907" s="94"/>
      <c r="I907" s="94"/>
      <c r="J907" s="94"/>
      <c r="K907" s="94"/>
      <c r="L907" s="94"/>
    </row>
    <row r="908" spans="3:12" ht="12.75" customHeight="1">
      <c r="C908" s="94"/>
      <c r="D908" s="94"/>
      <c r="E908" s="94"/>
      <c r="F908" s="94"/>
      <c r="G908" s="94"/>
      <c r="H908" s="94"/>
      <c r="I908" s="94"/>
      <c r="J908" s="94"/>
      <c r="K908" s="94"/>
      <c r="L908" s="94"/>
    </row>
    <row r="909" spans="3:12" ht="12.75" customHeight="1">
      <c r="C909" s="94"/>
      <c r="D909" s="94"/>
      <c r="E909" s="94"/>
      <c r="F909" s="94"/>
      <c r="G909" s="94"/>
      <c r="H909" s="94"/>
      <c r="I909" s="94"/>
      <c r="J909" s="94"/>
      <c r="K909" s="94"/>
      <c r="L909" s="94"/>
    </row>
    <row r="910" spans="3:12" ht="12.75" customHeight="1">
      <c r="C910" s="94"/>
      <c r="D910" s="94"/>
      <c r="E910" s="94"/>
      <c r="F910" s="94"/>
      <c r="G910" s="94"/>
      <c r="H910" s="94"/>
      <c r="I910" s="94"/>
      <c r="J910" s="94"/>
      <c r="K910" s="94"/>
      <c r="L910" s="94"/>
    </row>
    <row r="911" spans="3:12" ht="12.75" customHeight="1">
      <c r="C911" s="94"/>
      <c r="D911" s="94"/>
      <c r="E911" s="94"/>
      <c r="F911" s="94"/>
      <c r="G911" s="94"/>
      <c r="H911" s="94"/>
      <c r="I911" s="94"/>
      <c r="J911" s="94"/>
      <c r="K911" s="94"/>
      <c r="L911" s="94"/>
    </row>
    <row r="912" spans="3:12" ht="12.75" customHeight="1">
      <c r="C912" s="94"/>
      <c r="D912" s="94"/>
      <c r="E912" s="94"/>
      <c r="F912" s="94"/>
      <c r="G912" s="94"/>
      <c r="H912" s="94"/>
      <c r="I912" s="94"/>
      <c r="J912" s="94"/>
      <c r="K912" s="94"/>
      <c r="L912" s="94"/>
    </row>
    <row r="913" spans="3:12" ht="12.75" customHeight="1">
      <c r="C913" s="94"/>
      <c r="D913" s="94"/>
      <c r="E913" s="94"/>
      <c r="F913" s="94"/>
      <c r="G913" s="94"/>
      <c r="H913" s="94"/>
      <c r="I913" s="94"/>
      <c r="J913" s="94"/>
      <c r="K913" s="94"/>
      <c r="L913" s="94"/>
    </row>
    <row r="914" spans="3:12" ht="12.75" customHeight="1">
      <c r="C914" s="94"/>
      <c r="D914" s="94"/>
      <c r="E914" s="94"/>
      <c r="F914" s="94"/>
      <c r="G914" s="94"/>
      <c r="H914" s="94"/>
      <c r="I914" s="94"/>
      <c r="J914" s="94"/>
      <c r="K914" s="94"/>
      <c r="L914" s="94"/>
    </row>
    <row r="915" spans="3:12" ht="12.75" customHeight="1">
      <c r="C915" s="94"/>
      <c r="D915" s="94"/>
      <c r="E915" s="94"/>
      <c r="F915" s="94"/>
      <c r="G915" s="94"/>
      <c r="H915" s="94"/>
      <c r="I915" s="94"/>
      <c r="J915" s="94"/>
      <c r="K915" s="94"/>
      <c r="L915" s="94"/>
    </row>
    <row r="916" spans="3:12" ht="12.75" customHeight="1">
      <c r="C916" s="94"/>
      <c r="D916" s="94"/>
      <c r="E916" s="94"/>
      <c r="F916" s="94"/>
      <c r="G916" s="94"/>
      <c r="H916" s="94"/>
      <c r="I916" s="94"/>
      <c r="J916" s="94"/>
      <c r="K916" s="94"/>
      <c r="L916" s="94"/>
    </row>
    <row r="917" spans="3:12" ht="12.75" customHeight="1">
      <c r="C917" s="94"/>
      <c r="D917" s="94"/>
      <c r="E917" s="94"/>
      <c r="F917" s="94"/>
      <c r="G917" s="94"/>
      <c r="H917" s="94"/>
      <c r="I917" s="94"/>
      <c r="J917" s="94"/>
      <c r="K917" s="94"/>
      <c r="L917" s="94"/>
    </row>
    <row r="918" spans="3:12" ht="12.75" customHeight="1">
      <c r="C918" s="94"/>
      <c r="D918" s="94"/>
      <c r="E918" s="94"/>
      <c r="F918" s="94"/>
      <c r="G918" s="94"/>
      <c r="H918" s="94"/>
      <c r="I918" s="94"/>
      <c r="J918" s="94"/>
      <c r="K918" s="94"/>
      <c r="L918" s="94"/>
    </row>
    <row r="919" spans="3:12" ht="12.75" customHeight="1">
      <c r="C919" s="94"/>
      <c r="D919" s="94"/>
      <c r="E919" s="94"/>
      <c r="F919" s="94"/>
      <c r="G919" s="94"/>
      <c r="H919" s="94"/>
      <c r="I919" s="94"/>
      <c r="J919" s="94"/>
      <c r="K919" s="94"/>
      <c r="L919" s="94"/>
    </row>
    <row r="920" spans="3:12" ht="12.75" customHeight="1">
      <c r="C920" s="94"/>
      <c r="D920" s="94"/>
      <c r="E920" s="94"/>
      <c r="F920" s="94"/>
      <c r="G920" s="94"/>
      <c r="H920" s="94"/>
      <c r="I920" s="94"/>
      <c r="J920" s="94"/>
      <c r="K920" s="94"/>
      <c r="L920" s="94"/>
    </row>
    <row r="921" spans="3:12" ht="12.75" customHeight="1">
      <c r="C921" s="94"/>
      <c r="D921" s="94"/>
      <c r="E921" s="94"/>
      <c r="F921" s="94"/>
      <c r="G921" s="94"/>
      <c r="H921" s="94"/>
      <c r="I921" s="94"/>
      <c r="J921" s="94"/>
      <c r="K921" s="94"/>
      <c r="L921" s="94"/>
    </row>
    <row r="922" spans="3:12" ht="12.75" customHeight="1">
      <c r="C922" s="94"/>
      <c r="D922" s="94"/>
      <c r="E922" s="94"/>
      <c r="F922" s="94"/>
      <c r="G922" s="94"/>
      <c r="H922" s="94"/>
      <c r="I922" s="94"/>
      <c r="J922" s="94"/>
      <c r="K922" s="94"/>
      <c r="L922" s="94"/>
    </row>
    <row r="923" spans="3:12" ht="12.75" customHeight="1">
      <c r="C923" s="94"/>
      <c r="D923" s="94"/>
      <c r="E923" s="94"/>
      <c r="F923" s="94"/>
      <c r="G923" s="94"/>
      <c r="H923" s="94"/>
      <c r="I923" s="94"/>
      <c r="J923" s="94"/>
      <c r="K923" s="94"/>
      <c r="L923" s="94"/>
    </row>
    <row r="924" spans="3:12" ht="12.75" customHeight="1">
      <c r="C924" s="94"/>
      <c r="D924" s="94"/>
      <c r="E924" s="94"/>
      <c r="F924" s="94"/>
      <c r="G924" s="94"/>
      <c r="H924" s="94"/>
      <c r="I924" s="94"/>
      <c r="J924" s="94"/>
      <c r="K924" s="94"/>
      <c r="L924" s="94"/>
    </row>
    <row r="925" spans="3:12" ht="12.75" customHeight="1">
      <c r="C925" s="94"/>
      <c r="D925" s="94"/>
      <c r="E925" s="94"/>
      <c r="F925" s="94"/>
      <c r="G925" s="94"/>
      <c r="H925" s="94"/>
      <c r="I925" s="94"/>
      <c r="J925" s="94"/>
      <c r="K925" s="94"/>
      <c r="L925" s="94"/>
    </row>
    <row r="926" spans="3:12" ht="12.75" customHeight="1">
      <c r="C926" s="94"/>
      <c r="D926" s="94"/>
      <c r="E926" s="94"/>
      <c r="F926" s="94"/>
      <c r="G926" s="94"/>
      <c r="H926" s="94"/>
      <c r="I926" s="94"/>
      <c r="J926" s="94"/>
      <c r="K926" s="94"/>
      <c r="L926" s="94"/>
    </row>
    <row r="927" spans="3:12" ht="12.75" customHeight="1">
      <c r="C927" s="94"/>
      <c r="D927" s="94"/>
      <c r="E927" s="94"/>
      <c r="F927" s="94"/>
      <c r="G927" s="94"/>
      <c r="H927" s="94"/>
      <c r="I927" s="94"/>
      <c r="J927" s="94"/>
      <c r="K927" s="94"/>
      <c r="L927" s="94"/>
    </row>
    <row r="928" spans="3:12" ht="12.75" customHeight="1">
      <c r="C928" s="94"/>
      <c r="D928" s="94"/>
      <c r="E928" s="94"/>
      <c r="F928" s="94"/>
      <c r="G928" s="94"/>
      <c r="H928" s="94"/>
      <c r="I928" s="94"/>
      <c r="J928" s="94"/>
      <c r="K928" s="94"/>
      <c r="L928" s="94"/>
    </row>
    <row r="929" spans="3:12" ht="12.75" customHeight="1">
      <c r="C929" s="94"/>
      <c r="D929" s="94"/>
      <c r="E929" s="94"/>
      <c r="F929" s="94"/>
      <c r="G929" s="94"/>
      <c r="H929" s="94"/>
      <c r="I929" s="94"/>
      <c r="J929" s="94"/>
      <c r="K929" s="94"/>
      <c r="L929" s="94"/>
    </row>
    <row r="930" spans="3:12" ht="12.75" customHeight="1">
      <c r="C930" s="94"/>
      <c r="D930" s="94"/>
      <c r="E930" s="94"/>
      <c r="F930" s="94"/>
      <c r="G930" s="94"/>
      <c r="H930" s="94"/>
      <c r="I930" s="94"/>
      <c r="J930" s="94"/>
      <c r="K930" s="94"/>
      <c r="L930" s="94"/>
    </row>
    <row r="931" spans="3:12" ht="12.75" customHeight="1">
      <c r="C931" s="94"/>
      <c r="D931" s="94"/>
      <c r="E931" s="94"/>
      <c r="F931" s="94"/>
      <c r="G931" s="94"/>
      <c r="H931" s="94"/>
      <c r="I931" s="94"/>
      <c r="J931" s="94"/>
      <c r="K931" s="94"/>
      <c r="L931" s="94"/>
    </row>
    <row r="932" spans="3:12" ht="12.75" customHeight="1">
      <c r="C932" s="94"/>
      <c r="D932" s="94"/>
      <c r="E932" s="94"/>
      <c r="F932" s="94"/>
      <c r="G932" s="94"/>
      <c r="H932" s="94"/>
      <c r="I932" s="94"/>
      <c r="J932" s="94"/>
      <c r="K932" s="94"/>
      <c r="L932" s="94"/>
    </row>
    <row r="933" spans="3:12" ht="12.75" customHeight="1">
      <c r="C933" s="94"/>
      <c r="D933" s="94"/>
      <c r="E933" s="94"/>
      <c r="F933" s="94"/>
      <c r="G933" s="94"/>
      <c r="H933" s="94"/>
      <c r="I933" s="94"/>
      <c r="J933" s="94"/>
      <c r="K933" s="94"/>
      <c r="L933" s="94"/>
    </row>
    <row r="934" spans="3:12" ht="12.75" customHeight="1">
      <c r="C934" s="94"/>
      <c r="D934" s="94"/>
      <c r="E934" s="94"/>
      <c r="F934" s="94"/>
      <c r="G934" s="94"/>
      <c r="H934" s="94"/>
      <c r="I934" s="94"/>
      <c r="J934" s="94"/>
      <c r="K934" s="94"/>
      <c r="L934" s="94"/>
    </row>
    <row r="935" spans="3:12" ht="12.75" customHeight="1">
      <c r="C935" s="94"/>
      <c r="D935" s="94"/>
      <c r="E935" s="94"/>
      <c r="F935" s="94"/>
      <c r="G935" s="94"/>
      <c r="H935" s="94"/>
      <c r="I935" s="94"/>
      <c r="J935" s="94"/>
      <c r="K935" s="94"/>
      <c r="L935" s="94"/>
    </row>
    <row r="936" spans="3:12" ht="12.75" customHeight="1">
      <c r="C936" s="94"/>
      <c r="D936" s="94"/>
      <c r="E936" s="94"/>
      <c r="F936" s="94"/>
      <c r="G936" s="94"/>
      <c r="H936" s="94"/>
      <c r="I936" s="94"/>
      <c r="J936" s="94"/>
      <c r="K936" s="94"/>
      <c r="L936" s="94"/>
    </row>
    <row r="937" spans="3:12" ht="12.75" customHeight="1">
      <c r="C937" s="94"/>
      <c r="D937" s="94"/>
      <c r="E937" s="94"/>
      <c r="F937" s="94"/>
      <c r="G937" s="94"/>
      <c r="H937" s="94"/>
      <c r="I937" s="94"/>
      <c r="J937" s="94"/>
      <c r="K937" s="94"/>
      <c r="L937" s="94"/>
    </row>
    <row r="938" spans="3:12" ht="12.75" customHeight="1">
      <c r="C938" s="94"/>
      <c r="D938" s="94"/>
      <c r="E938" s="94"/>
      <c r="F938" s="94"/>
      <c r="G938" s="94"/>
      <c r="H938" s="94"/>
      <c r="I938" s="94"/>
      <c r="J938" s="94"/>
      <c r="K938" s="94"/>
      <c r="L938" s="94"/>
    </row>
    <row r="939" spans="3:12" ht="12.75" customHeight="1">
      <c r="C939" s="94"/>
      <c r="D939" s="94"/>
      <c r="E939" s="94"/>
      <c r="F939" s="94"/>
      <c r="G939" s="94"/>
      <c r="H939" s="94"/>
      <c r="I939" s="94"/>
      <c r="J939" s="94"/>
      <c r="K939" s="94"/>
      <c r="L939" s="94"/>
    </row>
    <row r="940" spans="3:12" ht="12.75" customHeight="1">
      <c r="C940" s="94"/>
      <c r="D940" s="94"/>
      <c r="E940" s="94"/>
      <c r="F940" s="94"/>
      <c r="G940" s="94"/>
      <c r="H940" s="94"/>
      <c r="I940" s="94"/>
      <c r="J940" s="94"/>
      <c r="K940" s="94"/>
      <c r="L940" s="94"/>
    </row>
    <row r="941" spans="3:12" ht="12.75" customHeight="1">
      <c r="C941" s="94"/>
      <c r="D941" s="94"/>
      <c r="E941" s="94"/>
      <c r="F941" s="94"/>
      <c r="G941" s="94"/>
      <c r="H941" s="94"/>
      <c r="I941" s="94"/>
      <c r="J941" s="94"/>
      <c r="K941" s="94"/>
      <c r="L941" s="94"/>
    </row>
    <row r="942" spans="3:12" ht="12.75" customHeight="1">
      <c r="C942" s="94"/>
      <c r="D942" s="94"/>
      <c r="E942" s="94"/>
      <c r="F942" s="94"/>
      <c r="G942" s="94"/>
      <c r="H942" s="94"/>
      <c r="I942" s="94"/>
      <c r="J942" s="94"/>
      <c r="K942" s="94"/>
      <c r="L942" s="94"/>
    </row>
    <row r="943" spans="3:12" ht="12.75" customHeight="1">
      <c r="C943" s="94"/>
      <c r="D943" s="94"/>
      <c r="E943" s="94"/>
      <c r="F943" s="94"/>
      <c r="G943" s="94"/>
      <c r="H943" s="94"/>
      <c r="I943" s="94"/>
      <c r="J943" s="94"/>
      <c r="K943" s="94"/>
      <c r="L943" s="94"/>
    </row>
    <row r="944" spans="3:12" ht="12.75" customHeight="1">
      <c r="C944" s="94"/>
      <c r="D944" s="94"/>
      <c r="E944" s="94"/>
      <c r="F944" s="94"/>
      <c r="G944" s="94"/>
      <c r="H944" s="94"/>
      <c r="I944" s="94"/>
      <c r="J944" s="94"/>
      <c r="K944" s="94"/>
      <c r="L944" s="94"/>
    </row>
    <row r="945" spans="3:12" ht="12.75" customHeight="1">
      <c r="C945" s="94"/>
      <c r="D945" s="94"/>
      <c r="E945" s="94"/>
      <c r="F945" s="94"/>
      <c r="G945" s="94"/>
      <c r="H945" s="94"/>
      <c r="I945" s="94"/>
      <c r="J945" s="94"/>
      <c r="K945" s="94"/>
      <c r="L945" s="94"/>
    </row>
    <row r="946" spans="3:12" ht="12.75" customHeight="1">
      <c r="C946" s="94"/>
      <c r="D946" s="94"/>
      <c r="E946" s="94"/>
      <c r="F946" s="94"/>
      <c r="G946" s="94"/>
      <c r="H946" s="94"/>
      <c r="I946" s="94"/>
      <c r="J946" s="94"/>
      <c r="K946" s="94"/>
      <c r="L946" s="94"/>
    </row>
    <row r="947" spans="3:12" ht="12.75" customHeight="1">
      <c r="C947" s="94"/>
      <c r="D947" s="94"/>
      <c r="E947" s="94"/>
      <c r="F947" s="94"/>
      <c r="G947" s="94"/>
      <c r="H947" s="94"/>
      <c r="I947" s="94"/>
      <c r="J947" s="94"/>
      <c r="K947" s="94"/>
      <c r="L947" s="94"/>
    </row>
    <row r="948" spans="3:12" ht="12.75" customHeight="1">
      <c r="C948" s="94"/>
      <c r="D948" s="94"/>
      <c r="E948" s="94"/>
      <c r="F948" s="94"/>
      <c r="G948" s="94"/>
      <c r="H948" s="94"/>
      <c r="I948" s="94"/>
      <c r="J948" s="94"/>
      <c r="K948" s="94"/>
      <c r="L948" s="94"/>
    </row>
    <row r="949" spans="3:12" ht="12.75" customHeight="1">
      <c r="C949" s="94"/>
      <c r="D949" s="94"/>
      <c r="E949" s="94"/>
      <c r="F949" s="94"/>
      <c r="G949" s="94"/>
      <c r="H949" s="94"/>
      <c r="I949" s="94"/>
      <c r="J949" s="94"/>
      <c r="K949" s="94"/>
      <c r="L949" s="94"/>
    </row>
    <row r="950" spans="3:12" ht="12.75" customHeight="1">
      <c r="C950" s="94"/>
      <c r="D950" s="94"/>
      <c r="E950" s="94"/>
      <c r="F950" s="94"/>
      <c r="G950" s="94"/>
      <c r="H950" s="94"/>
      <c r="I950" s="94"/>
      <c r="J950" s="94"/>
      <c r="K950" s="94"/>
      <c r="L950" s="94"/>
    </row>
    <row r="951" spans="3:12" ht="12.75" customHeight="1">
      <c r="C951" s="94"/>
      <c r="D951" s="94"/>
      <c r="E951" s="94"/>
      <c r="F951" s="94"/>
      <c r="G951" s="94"/>
      <c r="H951" s="94"/>
      <c r="I951" s="94"/>
      <c r="J951" s="94"/>
      <c r="K951" s="94"/>
      <c r="L951" s="94"/>
    </row>
    <row r="952" spans="3:12" ht="12.75" customHeight="1">
      <c r="C952" s="94"/>
      <c r="D952" s="94"/>
      <c r="E952" s="94"/>
      <c r="F952" s="94"/>
      <c r="G952" s="94"/>
      <c r="H952" s="94"/>
      <c r="I952" s="94"/>
      <c r="J952" s="94"/>
      <c r="K952" s="94"/>
      <c r="L952" s="94"/>
    </row>
    <row r="953" spans="3:12" ht="12.75" customHeight="1">
      <c r="C953" s="94"/>
      <c r="D953" s="94"/>
      <c r="E953" s="94"/>
      <c r="F953" s="94"/>
      <c r="G953" s="94"/>
      <c r="H953" s="94"/>
      <c r="I953" s="94"/>
      <c r="J953" s="94"/>
      <c r="K953" s="94"/>
      <c r="L953" s="94"/>
    </row>
    <row r="954" spans="3:12" ht="12.75" customHeight="1">
      <c r="C954" s="94"/>
      <c r="D954" s="94"/>
      <c r="E954" s="94"/>
      <c r="F954" s="94"/>
      <c r="G954" s="94"/>
      <c r="H954" s="94"/>
      <c r="I954" s="94"/>
      <c r="J954" s="94"/>
      <c r="K954" s="94"/>
      <c r="L954" s="94"/>
    </row>
    <row r="955" spans="3:12" ht="12.75" customHeight="1">
      <c r="C955" s="94"/>
      <c r="D955" s="94"/>
      <c r="E955" s="94"/>
      <c r="F955" s="94"/>
      <c r="G955" s="94"/>
      <c r="H955" s="94"/>
      <c r="I955" s="94"/>
      <c r="J955" s="94"/>
      <c r="K955" s="94"/>
      <c r="L955" s="94"/>
    </row>
    <row r="956" spans="3:12" ht="12.75" customHeight="1">
      <c r="C956" s="94"/>
      <c r="D956" s="94"/>
      <c r="E956" s="94"/>
      <c r="F956" s="94"/>
      <c r="G956" s="94"/>
      <c r="H956" s="94"/>
      <c r="I956" s="94"/>
      <c r="J956" s="94"/>
      <c r="K956" s="94"/>
      <c r="L956" s="94"/>
    </row>
    <row r="957" spans="3:12" ht="12.75" customHeight="1">
      <c r="C957" s="94"/>
      <c r="D957" s="94"/>
      <c r="E957" s="94"/>
      <c r="F957" s="94"/>
      <c r="G957" s="94"/>
      <c r="H957" s="94"/>
      <c r="I957" s="94"/>
      <c r="J957" s="94"/>
      <c r="K957" s="94"/>
      <c r="L957" s="94"/>
    </row>
    <row r="958" spans="3:12" ht="12.75" customHeight="1">
      <c r="C958" s="94"/>
      <c r="D958" s="94"/>
      <c r="E958" s="94"/>
      <c r="F958" s="94"/>
      <c r="G958" s="94"/>
      <c r="H958" s="94"/>
      <c r="I958" s="94"/>
      <c r="J958" s="94"/>
      <c r="K958" s="94"/>
      <c r="L958" s="94"/>
    </row>
    <row r="959" spans="3:12" ht="12.75" customHeight="1">
      <c r="C959" s="94"/>
      <c r="D959" s="94"/>
      <c r="E959" s="94"/>
      <c r="F959" s="94"/>
      <c r="G959" s="94"/>
      <c r="H959" s="94"/>
      <c r="I959" s="94"/>
      <c r="J959" s="94"/>
      <c r="K959" s="94"/>
      <c r="L959" s="94"/>
    </row>
    <row r="960" spans="3:12" ht="12.75" customHeight="1">
      <c r="C960" s="94"/>
      <c r="D960" s="94"/>
      <c r="E960" s="94"/>
      <c r="F960" s="94"/>
      <c r="G960" s="94"/>
      <c r="H960" s="94"/>
      <c r="I960" s="94"/>
      <c r="J960" s="94"/>
      <c r="K960" s="94"/>
      <c r="L960" s="94"/>
    </row>
    <row r="961" spans="3:12" ht="12.75" customHeight="1">
      <c r="C961" s="94"/>
      <c r="D961" s="94"/>
      <c r="E961" s="94"/>
      <c r="F961" s="94"/>
      <c r="G961" s="94"/>
      <c r="H961" s="94"/>
      <c r="I961" s="94"/>
      <c r="J961" s="94"/>
      <c r="K961" s="94"/>
      <c r="L961" s="94"/>
    </row>
    <row r="962" spans="3:12" ht="12.75" customHeight="1">
      <c r="C962" s="94"/>
      <c r="D962" s="94"/>
      <c r="E962" s="94"/>
      <c r="F962" s="94"/>
      <c r="G962" s="94"/>
      <c r="H962" s="94"/>
      <c r="I962" s="94"/>
      <c r="J962" s="94"/>
      <c r="K962" s="94"/>
      <c r="L962" s="94"/>
    </row>
    <row r="963" spans="3:12" ht="12.75" customHeight="1">
      <c r="C963" s="94"/>
      <c r="D963" s="94"/>
      <c r="E963" s="94"/>
      <c r="F963" s="94"/>
      <c r="G963" s="94"/>
      <c r="H963" s="94"/>
      <c r="I963" s="94"/>
      <c r="J963" s="94"/>
      <c r="K963" s="94"/>
      <c r="L963" s="94"/>
    </row>
    <row r="964" spans="3:12" ht="12.75" customHeight="1">
      <c r="C964" s="94"/>
      <c r="D964" s="94"/>
      <c r="E964" s="94"/>
      <c r="F964" s="94"/>
      <c r="G964" s="94"/>
      <c r="H964" s="94"/>
      <c r="I964" s="94"/>
      <c r="J964" s="94"/>
      <c r="K964" s="94"/>
      <c r="L964" s="94"/>
    </row>
    <row r="965" spans="3:12" ht="12.75" customHeight="1">
      <c r="C965" s="94"/>
      <c r="D965" s="94"/>
      <c r="E965" s="94"/>
      <c r="F965" s="94"/>
      <c r="G965" s="94"/>
      <c r="H965" s="94"/>
      <c r="I965" s="94"/>
      <c r="J965" s="94"/>
      <c r="K965" s="94"/>
      <c r="L965" s="94"/>
    </row>
    <row r="966" spans="3:12" ht="12.75" customHeight="1">
      <c r="C966" s="94"/>
      <c r="D966" s="94"/>
      <c r="E966" s="94"/>
      <c r="F966" s="94"/>
      <c r="G966" s="94"/>
      <c r="H966" s="94"/>
      <c r="I966" s="94"/>
      <c r="J966" s="94"/>
      <c r="K966" s="94"/>
      <c r="L966" s="94"/>
    </row>
    <row r="967" spans="3:12" ht="12.75" customHeight="1">
      <c r="C967" s="94"/>
      <c r="D967" s="94"/>
      <c r="E967" s="94"/>
      <c r="F967" s="94"/>
      <c r="G967" s="94"/>
      <c r="H967" s="94"/>
      <c r="I967" s="94"/>
      <c r="J967" s="94"/>
      <c r="K967" s="94"/>
      <c r="L967" s="94"/>
    </row>
    <row r="968" spans="3:12" ht="12.75" customHeight="1">
      <c r="C968" s="94"/>
      <c r="D968" s="94"/>
      <c r="E968" s="94"/>
      <c r="F968" s="94"/>
      <c r="G968" s="94"/>
      <c r="H968" s="94"/>
      <c r="I968" s="94"/>
      <c r="J968" s="94"/>
      <c r="K968" s="94"/>
      <c r="L968" s="94"/>
    </row>
    <row r="969" spans="3:12" ht="12.75" customHeight="1">
      <c r="C969" s="94"/>
      <c r="D969" s="94"/>
      <c r="E969" s="94"/>
      <c r="F969" s="94"/>
      <c r="G969" s="94"/>
      <c r="H969" s="94"/>
      <c r="I969" s="94"/>
      <c r="J969" s="94"/>
      <c r="K969" s="94"/>
      <c r="L969" s="94"/>
    </row>
    <row r="970" spans="3:12" ht="12.75" customHeight="1">
      <c r="C970" s="94"/>
      <c r="D970" s="94"/>
      <c r="E970" s="94"/>
      <c r="F970" s="94"/>
      <c r="G970" s="94"/>
      <c r="H970" s="94"/>
      <c r="I970" s="94"/>
      <c r="J970" s="94"/>
      <c r="K970" s="94"/>
      <c r="L970" s="94"/>
    </row>
    <row r="971" spans="3:12" ht="12.75" customHeight="1">
      <c r="C971" s="94"/>
      <c r="D971" s="94"/>
      <c r="E971" s="94"/>
      <c r="F971" s="94"/>
      <c r="G971" s="94"/>
      <c r="H971" s="94"/>
      <c r="I971" s="94"/>
      <c r="J971" s="94"/>
      <c r="K971" s="94"/>
      <c r="L971" s="94"/>
    </row>
    <row r="972" spans="3:12" ht="12.75" customHeight="1">
      <c r="C972" s="94"/>
      <c r="D972" s="94"/>
      <c r="E972" s="94"/>
      <c r="F972" s="94"/>
      <c r="G972" s="94"/>
      <c r="H972" s="94"/>
      <c r="I972" s="94"/>
      <c r="J972" s="94"/>
      <c r="K972" s="94"/>
      <c r="L972" s="94"/>
    </row>
    <row r="973" spans="3:12" ht="12.75" customHeight="1">
      <c r="C973" s="94"/>
      <c r="D973" s="94"/>
      <c r="E973" s="94"/>
      <c r="F973" s="94"/>
      <c r="G973" s="94"/>
      <c r="H973" s="94"/>
      <c r="I973" s="94"/>
      <c r="J973" s="94"/>
      <c r="K973" s="94"/>
      <c r="L973" s="94"/>
    </row>
    <row r="974" spans="3:12" ht="12.75" customHeight="1">
      <c r="C974" s="94"/>
      <c r="D974" s="94"/>
      <c r="E974" s="94"/>
      <c r="F974" s="94"/>
      <c r="G974" s="94"/>
      <c r="H974" s="94"/>
      <c r="I974" s="94"/>
      <c r="J974" s="94"/>
      <c r="K974" s="94"/>
      <c r="L974" s="94"/>
    </row>
    <row r="975" spans="3:12" ht="12.75" customHeight="1">
      <c r="C975" s="94"/>
      <c r="D975" s="94"/>
      <c r="E975" s="94"/>
      <c r="F975" s="94"/>
      <c r="G975" s="94"/>
      <c r="H975" s="94"/>
      <c r="I975" s="94"/>
      <c r="J975" s="94"/>
      <c r="K975" s="94"/>
      <c r="L975" s="94"/>
    </row>
    <row r="976" spans="3:12" ht="12.75" customHeight="1">
      <c r="C976" s="94"/>
      <c r="D976" s="94"/>
      <c r="E976" s="94"/>
      <c r="F976" s="94"/>
      <c r="G976" s="94"/>
      <c r="H976" s="94"/>
      <c r="I976" s="94"/>
      <c r="J976" s="94"/>
      <c r="K976" s="94"/>
      <c r="L976" s="94"/>
    </row>
    <row r="977" spans="3:12" ht="12.75" customHeight="1">
      <c r="C977" s="94"/>
      <c r="D977" s="94"/>
      <c r="E977" s="94"/>
      <c r="F977" s="94"/>
      <c r="G977" s="94"/>
      <c r="H977" s="94"/>
      <c r="I977" s="94"/>
      <c r="J977" s="94"/>
      <c r="K977" s="94"/>
      <c r="L977" s="94"/>
    </row>
    <row r="978" spans="3:12" ht="12.75" customHeight="1">
      <c r="C978" s="94"/>
      <c r="D978" s="94"/>
      <c r="E978" s="94"/>
      <c r="F978" s="94"/>
      <c r="G978" s="94"/>
      <c r="H978" s="94"/>
      <c r="I978" s="94"/>
      <c r="J978" s="94"/>
      <c r="K978" s="94"/>
      <c r="L978" s="94"/>
    </row>
    <row r="979" spans="3:12" ht="12.75" customHeight="1">
      <c r="C979" s="94"/>
      <c r="D979" s="94"/>
      <c r="E979" s="94"/>
      <c r="F979" s="94"/>
      <c r="G979" s="94"/>
      <c r="H979" s="94"/>
      <c r="I979" s="94"/>
      <c r="J979" s="94"/>
      <c r="K979" s="94"/>
      <c r="L979" s="94"/>
    </row>
    <row r="980" spans="3:12" ht="12.75" customHeight="1">
      <c r="C980" s="94"/>
      <c r="D980" s="94"/>
      <c r="E980" s="94"/>
      <c r="F980" s="94"/>
      <c r="G980" s="94"/>
      <c r="H980" s="94"/>
      <c r="I980" s="94"/>
      <c r="J980" s="94"/>
      <c r="K980" s="94"/>
      <c r="L980" s="94"/>
    </row>
    <row r="981" spans="3:12" ht="12.75" customHeight="1">
      <c r="C981" s="94"/>
      <c r="D981" s="94"/>
      <c r="E981" s="94"/>
      <c r="F981" s="94"/>
      <c r="G981" s="94"/>
      <c r="H981" s="94"/>
      <c r="I981" s="94"/>
      <c r="J981" s="94"/>
      <c r="K981" s="94"/>
      <c r="L981" s="94"/>
    </row>
    <row r="982" spans="3:12" ht="12.75" customHeight="1">
      <c r="C982" s="94"/>
      <c r="D982" s="94"/>
      <c r="E982" s="94"/>
      <c r="F982" s="94"/>
      <c r="G982" s="94"/>
      <c r="H982" s="94"/>
      <c r="I982" s="94"/>
      <c r="J982" s="94"/>
      <c r="K982" s="94"/>
      <c r="L982" s="94"/>
    </row>
    <row r="983" spans="3:12" ht="12.75" customHeight="1">
      <c r="C983" s="94"/>
      <c r="D983" s="94"/>
      <c r="E983" s="94"/>
      <c r="F983" s="94"/>
      <c r="G983" s="94"/>
      <c r="H983" s="94"/>
      <c r="I983" s="94"/>
      <c r="J983" s="94"/>
      <c r="K983" s="94"/>
      <c r="L983" s="94"/>
    </row>
    <row r="984" spans="3:12" ht="12.75" customHeight="1">
      <c r="C984" s="94"/>
      <c r="D984" s="94"/>
      <c r="E984" s="94"/>
      <c r="F984" s="94"/>
      <c r="G984" s="94"/>
      <c r="H984" s="94"/>
      <c r="I984" s="94"/>
      <c r="J984" s="94"/>
      <c r="K984" s="94"/>
      <c r="L984" s="94"/>
    </row>
    <row r="985" spans="3:12" ht="12.75" customHeight="1">
      <c r="C985" s="94"/>
      <c r="D985" s="94"/>
      <c r="E985" s="94"/>
      <c r="F985" s="94"/>
      <c r="G985" s="94"/>
      <c r="H985" s="94"/>
      <c r="I985" s="94"/>
      <c r="J985" s="94"/>
      <c r="K985" s="94"/>
      <c r="L985" s="94"/>
    </row>
    <row r="986" spans="3:12" ht="12.75" customHeight="1">
      <c r="C986" s="94"/>
      <c r="D986" s="94"/>
      <c r="E986" s="94"/>
      <c r="F986" s="94"/>
      <c r="G986" s="94"/>
      <c r="H986" s="94"/>
      <c r="I986" s="94"/>
      <c r="J986" s="94"/>
      <c r="K986" s="94"/>
      <c r="L986" s="94"/>
    </row>
    <row r="987" spans="3:12" ht="12.75" customHeight="1">
      <c r="C987" s="94"/>
      <c r="D987" s="94"/>
      <c r="E987" s="94"/>
      <c r="F987" s="94"/>
      <c r="G987" s="94"/>
      <c r="H987" s="94"/>
      <c r="I987" s="94"/>
      <c r="J987" s="94"/>
      <c r="K987" s="94"/>
      <c r="L987" s="94"/>
    </row>
    <row r="988" spans="3:12" ht="12.75" customHeight="1">
      <c r="C988" s="94"/>
      <c r="D988" s="94"/>
      <c r="E988" s="94"/>
      <c r="F988" s="94"/>
      <c r="G988" s="94"/>
      <c r="H988" s="94"/>
      <c r="I988" s="94"/>
      <c r="J988" s="94"/>
      <c r="K988" s="94"/>
      <c r="L988" s="94"/>
    </row>
    <row r="989" spans="3:12" ht="12.75" customHeight="1">
      <c r="C989" s="94"/>
      <c r="D989" s="94"/>
      <c r="E989" s="94"/>
      <c r="F989" s="94"/>
      <c r="G989" s="94"/>
      <c r="H989" s="94"/>
      <c r="I989" s="94"/>
      <c r="J989" s="94"/>
      <c r="K989" s="94"/>
      <c r="L989" s="94"/>
    </row>
    <row r="990" spans="3:12" ht="12.75" customHeight="1">
      <c r="C990" s="94"/>
      <c r="D990" s="94"/>
      <c r="E990" s="94"/>
      <c r="F990" s="94"/>
      <c r="G990" s="94"/>
      <c r="H990" s="94"/>
      <c r="I990" s="94"/>
      <c r="J990" s="94"/>
      <c r="K990" s="94"/>
      <c r="L990" s="94"/>
    </row>
    <row r="991" spans="3:12" ht="12.75" customHeight="1">
      <c r="C991" s="94"/>
      <c r="D991" s="94"/>
      <c r="E991" s="94"/>
      <c r="F991" s="94"/>
      <c r="G991" s="94"/>
      <c r="H991" s="94"/>
      <c r="I991" s="94"/>
      <c r="J991" s="94"/>
      <c r="K991" s="94"/>
      <c r="L991" s="94"/>
    </row>
    <row r="992" spans="3:12" ht="12.75" customHeight="1">
      <c r="C992" s="94"/>
      <c r="D992" s="94"/>
      <c r="E992" s="94"/>
      <c r="F992" s="94"/>
      <c r="G992" s="94"/>
      <c r="H992" s="94"/>
      <c r="I992" s="94"/>
      <c r="J992" s="94"/>
      <c r="K992" s="94"/>
      <c r="L992" s="94"/>
    </row>
    <row r="993" spans="3:12" ht="12.75" customHeight="1">
      <c r="C993" s="94"/>
      <c r="D993" s="94"/>
      <c r="E993" s="94"/>
      <c r="F993" s="94"/>
      <c r="G993" s="94"/>
      <c r="H993" s="94"/>
      <c r="I993" s="94"/>
      <c r="J993" s="94"/>
      <c r="K993" s="94"/>
      <c r="L993" s="94"/>
    </row>
    <row r="994" spans="3:12" ht="12.75" customHeight="1">
      <c r="C994" s="94"/>
      <c r="D994" s="94"/>
      <c r="E994" s="94"/>
      <c r="F994" s="94"/>
      <c r="G994" s="94"/>
      <c r="H994" s="94"/>
      <c r="I994" s="94"/>
      <c r="J994" s="94"/>
      <c r="K994" s="94"/>
      <c r="L994" s="94"/>
    </row>
    <row r="995" spans="3:12" ht="12.75" customHeight="1">
      <c r="C995" s="94"/>
      <c r="D995" s="94"/>
      <c r="E995" s="94"/>
      <c r="F995" s="94"/>
      <c r="G995" s="94"/>
      <c r="H995" s="94"/>
      <c r="I995" s="94"/>
      <c r="J995" s="94"/>
      <c r="K995" s="94"/>
      <c r="L995" s="94"/>
    </row>
    <row r="996" spans="3:12" ht="12.75" customHeight="1">
      <c r="C996" s="94"/>
      <c r="D996" s="94"/>
      <c r="E996" s="94"/>
      <c r="F996" s="94"/>
      <c r="G996" s="94"/>
      <c r="H996" s="94"/>
      <c r="I996" s="94"/>
      <c r="J996" s="94"/>
      <c r="K996" s="94"/>
      <c r="L996" s="94"/>
    </row>
    <row r="997" spans="3:12" ht="12.75" customHeight="1">
      <c r="C997" s="94"/>
      <c r="D997" s="94"/>
      <c r="E997" s="94"/>
      <c r="F997" s="94"/>
      <c r="G997" s="94"/>
      <c r="H997" s="94"/>
      <c r="I997" s="94"/>
      <c r="J997" s="94"/>
      <c r="K997" s="94"/>
      <c r="L997" s="94"/>
    </row>
    <row r="998" spans="3:12" ht="12.75" customHeight="1">
      <c r="C998" s="94"/>
      <c r="D998" s="94"/>
      <c r="E998" s="94"/>
      <c r="F998" s="94"/>
      <c r="G998" s="94"/>
      <c r="H998" s="94"/>
      <c r="I998" s="94"/>
      <c r="J998" s="94"/>
      <c r="K998" s="94"/>
      <c r="L998" s="94"/>
    </row>
    <row r="999" spans="3:12" ht="12.75" customHeight="1">
      <c r="C999" s="94"/>
      <c r="D999" s="94"/>
      <c r="E999" s="94"/>
      <c r="F999" s="94"/>
      <c r="G999" s="94"/>
      <c r="H999" s="94"/>
      <c r="I999" s="94"/>
      <c r="J999" s="94"/>
      <c r="K999" s="94"/>
      <c r="L999" s="94"/>
    </row>
    <row r="1000" spans="3:12" ht="12.75" customHeight="1">
      <c r="C1000" s="94"/>
      <c r="D1000" s="94"/>
      <c r="E1000" s="94"/>
      <c r="F1000" s="94"/>
      <c r="G1000" s="94"/>
      <c r="H1000" s="94"/>
      <c r="I1000" s="94"/>
      <c r="J1000" s="94"/>
      <c r="K1000" s="94"/>
      <c r="L1000" s="94"/>
    </row>
    <row r="1001" spans="3:12" ht="12.75" customHeight="1">
      <c r="C1001" s="94"/>
      <c r="D1001" s="94"/>
      <c r="E1001" s="94"/>
      <c r="F1001" s="94"/>
      <c r="G1001" s="94"/>
      <c r="H1001" s="94"/>
      <c r="I1001" s="94"/>
      <c r="J1001" s="94"/>
      <c r="K1001" s="94"/>
      <c r="L1001" s="94"/>
    </row>
    <row r="1002" spans="3:12" ht="12.75" customHeight="1">
      <c r="C1002" s="94"/>
      <c r="D1002" s="94"/>
      <c r="E1002" s="94"/>
      <c r="F1002" s="94"/>
      <c r="G1002" s="94"/>
      <c r="H1002" s="94"/>
      <c r="I1002" s="94"/>
      <c r="J1002" s="94"/>
      <c r="K1002" s="94"/>
      <c r="L1002" s="94"/>
    </row>
    <row r="1003" spans="3:12" ht="12.75" customHeight="1">
      <c r="C1003" s="94"/>
      <c r="D1003" s="94"/>
      <c r="E1003" s="94"/>
      <c r="F1003" s="94"/>
      <c r="G1003" s="94"/>
      <c r="H1003" s="94"/>
      <c r="I1003" s="94"/>
      <c r="J1003" s="94"/>
      <c r="K1003" s="94"/>
      <c r="L1003" s="94"/>
    </row>
    <row r="1004" spans="3:12" ht="12.75" customHeight="1">
      <c r="C1004" s="94"/>
      <c r="D1004" s="94"/>
      <c r="E1004" s="94"/>
      <c r="F1004" s="94"/>
      <c r="G1004" s="94"/>
      <c r="H1004" s="94"/>
      <c r="I1004" s="94"/>
      <c r="J1004" s="94"/>
      <c r="K1004" s="94"/>
      <c r="L1004" s="94"/>
    </row>
    <row r="1005" spans="3:12" ht="12.75" customHeight="1">
      <c r="C1005" s="94"/>
      <c r="D1005" s="94"/>
      <c r="E1005" s="94"/>
      <c r="F1005" s="94"/>
      <c r="G1005" s="94"/>
      <c r="H1005" s="94"/>
      <c r="I1005" s="94"/>
      <c r="J1005" s="94"/>
      <c r="K1005" s="94"/>
      <c r="L1005" s="94"/>
    </row>
    <row r="1006" spans="3:12" ht="12.75" customHeight="1">
      <c r="C1006" s="94"/>
      <c r="D1006" s="94"/>
      <c r="E1006" s="94"/>
      <c r="F1006" s="94"/>
      <c r="G1006" s="94"/>
      <c r="H1006" s="94"/>
      <c r="I1006" s="94"/>
      <c r="J1006" s="94"/>
      <c r="K1006" s="94"/>
      <c r="L1006" s="94"/>
    </row>
    <row r="1007" spans="3:12" ht="12.75" customHeight="1">
      <c r="C1007" s="94"/>
      <c r="D1007" s="94"/>
      <c r="E1007" s="94"/>
      <c r="F1007" s="94"/>
      <c r="G1007" s="94"/>
      <c r="H1007" s="94"/>
      <c r="I1007" s="94"/>
      <c r="J1007" s="94"/>
      <c r="K1007" s="94"/>
      <c r="L1007" s="94"/>
    </row>
    <row r="1008" spans="3:12" ht="12.75" customHeight="1">
      <c r="C1008" s="94"/>
      <c r="D1008" s="94"/>
      <c r="E1008" s="94"/>
      <c r="F1008" s="94"/>
      <c r="G1008" s="94"/>
      <c r="H1008" s="94"/>
      <c r="I1008" s="94"/>
      <c r="J1008" s="94"/>
      <c r="K1008" s="94"/>
      <c r="L1008" s="94"/>
    </row>
    <row r="1009" spans="3:12" ht="12.75" customHeight="1">
      <c r="C1009" s="94"/>
      <c r="D1009" s="94"/>
      <c r="E1009" s="94"/>
      <c r="F1009" s="94"/>
      <c r="G1009" s="94"/>
      <c r="H1009" s="94"/>
      <c r="I1009" s="94"/>
      <c r="J1009" s="94"/>
      <c r="K1009" s="94"/>
      <c r="L1009" s="94"/>
    </row>
    <row r="1010" spans="3:12" ht="12.75" customHeight="1">
      <c r="C1010" s="94"/>
      <c r="D1010" s="94"/>
      <c r="E1010" s="94"/>
      <c r="F1010" s="94"/>
      <c r="G1010" s="94"/>
      <c r="H1010" s="94"/>
      <c r="I1010" s="94"/>
      <c r="J1010" s="94"/>
      <c r="K1010" s="94"/>
      <c r="L1010" s="94"/>
    </row>
    <row r="1011" spans="3:12" ht="12.75" customHeight="1">
      <c r="C1011" s="94"/>
      <c r="D1011" s="94"/>
      <c r="E1011" s="94"/>
      <c r="F1011" s="94"/>
      <c r="G1011" s="94"/>
      <c r="H1011" s="94"/>
      <c r="I1011" s="94"/>
      <c r="J1011" s="94"/>
      <c r="K1011" s="94"/>
      <c r="L1011" s="94"/>
    </row>
    <row r="1012" spans="3:12" ht="12.75" customHeight="1">
      <c r="C1012" s="94"/>
      <c r="D1012" s="94"/>
      <c r="E1012" s="94"/>
      <c r="F1012" s="94"/>
      <c r="G1012" s="94"/>
      <c r="H1012" s="94"/>
      <c r="I1012" s="94"/>
      <c r="J1012" s="94"/>
      <c r="K1012" s="94"/>
      <c r="L1012" s="94"/>
    </row>
    <row r="1013" spans="3:12" ht="12.75" customHeight="1">
      <c r="C1013" s="94"/>
      <c r="D1013" s="94"/>
      <c r="E1013" s="94"/>
      <c r="F1013" s="94"/>
      <c r="G1013" s="94"/>
      <c r="H1013" s="94"/>
      <c r="I1013" s="94"/>
      <c r="J1013" s="94"/>
      <c r="K1013" s="94"/>
      <c r="L1013" s="94"/>
    </row>
    <row r="1014" spans="3:12" ht="12.75" customHeight="1">
      <c r="C1014" s="94"/>
      <c r="D1014" s="94"/>
      <c r="E1014" s="94"/>
      <c r="F1014" s="94"/>
      <c r="G1014" s="94"/>
      <c r="H1014" s="94"/>
      <c r="I1014" s="94"/>
      <c r="J1014" s="94"/>
      <c r="K1014" s="94"/>
      <c r="L1014" s="94"/>
    </row>
    <row r="1015" spans="3:12" ht="12.75" customHeight="1">
      <c r="C1015" s="94"/>
      <c r="D1015" s="94"/>
      <c r="E1015" s="94"/>
      <c r="F1015" s="94"/>
      <c r="G1015" s="94"/>
      <c r="H1015" s="94"/>
      <c r="I1015" s="94"/>
      <c r="J1015" s="94"/>
      <c r="K1015" s="94"/>
      <c r="L1015" s="94"/>
    </row>
    <row r="1016" spans="3:12" ht="12.75" customHeight="1">
      <c r="C1016" s="94"/>
      <c r="D1016" s="94"/>
      <c r="E1016" s="94"/>
      <c r="F1016" s="94"/>
      <c r="G1016" s="94"/>
      <c r="H1016" s="94"/>
      <c r="I1016" s="94"/>
      <c r="J1016" s="94"/>
      <c r="K1016" s="94"/>
      <c r="L1016" s="94"/>
    </row>
    <row r="1017" spans="3:12" ht="12.75" customHeight="1">
      <c r="C1017" s="94"/>
      <c r="D1017" s="94"/>
      <c r="E1017" s="94"/>
      <c r="F1017" s="94"/>
      <c r="G1017" s="94"/>
      <c r="H1017" s="94"/>
      <c r="I1017" s="94"/>
      <c r="J1017" s="94"/>
      <c r="K1017" s="94"/>
      <c r="L1017" s="94"/>
    </row>
    <row r="1018" spans="3:12" ht="12.75" customHeight="1">
      <c r="C1018" s="94"/>
      <c r="D1018" s="94"/>
      <c r="E1018" s="94"/>
      <c r="F1018" s="94"/>
      <c r="G1018" s="94"/>
      <c r="H1018" s="94"/>
      <c r="I1018" s="94"/>
      <c r="J1018" s="94"/>
      <c r="K1018" s="94"/>
      <c r="L1018" s="94"/>
    </row>
    <row r="1019" spans="3:12" ht="12.75" customHeight="1">
      <c r="C1019" s="94"/>
      <c r="D1019" s="94"/>
      <c r="E1019" s="94"/>
      <c r="F1019" s="94"/>
      <c r="G1019" s="94"/>
      <c r="H1019" s="94"/>
      <c r="I1019" s="94"/>
      <c r="J1019" s="94"/>
      <c r="K1019" s="94"/>
      <c r="L1019" s="94"/>
    </row>
    <row r="1020" spans="3:12" ht="12.75" customHeight="1">
      <c r="C1020" s="94"/>
      <c r="D1020" s="94"/>
      <c r="E1020" s="94"/>
      <c r="F1020" s="94"/>
      <c r="G1020" s="94"/>
      <c r="H1020" s="94"/>
      <c r="I1020" s="94"/>
      <c r="J1020" s="94"/>
      <c r="K1020" s="94"/>
      <c r="L1020" s="94"/>
    </row>
    <row r="1021" spans="3:12" ht="12.75" customHeight="1">
      <c r="C1021" s="94"/>
      <c r="D1021" s="94"/>
      <c r="E1021" s="94"/>
      <c r="F1021" s="94"/>
      <c r="G1021" s="94"/>
      <c r="H1021" s="94"/>
      <c r="I1021" s="94"/>
      <c r="J1021" s="94"/>
      <c r="K1021" s="94"/>
      <c r="L1021" s="94"/>
    </row>
    <row r="1022" spans="3:12" ht="12.75" customHeight="1">
      <c r="C1022" s="94"/>
      <c r="D1022" s="94"/>
      <c r="E1022" s="94"/>
      <c r="F1022" s="94"/>
      <c r="G1022" s="94"/>
      <c r="H1022" s="94"/>
      <c r="I1022" s="94"/>
      <c r="J1022" s="94"/>
      <c r="K1022" s="94"/>
      <c r="L1022" s="94"/>
    </row>
    <row r="1023" spans="3:12" ht="12.75" customHeight="1">
      <c r="C1023" s="94"/>
      <c r="D1023" s="94"/>
      <c r="E1023" s="94"/>
      <c r="F1023" s="94"/>
      <c r="G1023" s="94"/>
      <c r="H1023" s="94"/>
      <c r="I1023" s="94"/>
      <c r="J1023" s="94"/>
      <c r="K1023" s="94"/>
      <c r="L1023" s="94"/>
    </row>
    <row r="1024" spans="3:12" ht="12.75" customHeight="1">
      <c r="C1024" s="94"/>
      <c r="D1024" s="94"/>
      <c r="E1024" s="94"/>
      <c r="F1024" s="94"/>
      <c r="G1024" s="94"/>
      <c r="H1024" s="94"/>
      <c r="I1024" s="94"/>
      <c r="J1024" s="94"/>
      <c r="K1024" s="94"/>
      <c r="L1024" s="94"/>
    </row>
    <row r="1025" spans="3:12" ht="12.75" customHeight="1">
      <c r="C1025" s="94"/>
      <c r="D1025" s="94"/>
      <c r="E1025" s="94"/>
      <c r="F1025" s="94"/>
      <c r="G1025" s="94"/>
      <c r="H1025" s="94"/>
      <c r="I1025" s="94"/>
      <c r="J1025" s="94"/>
      <c r="K1025" s="94"/>
      <c r="L1025" s="94"/>
    </row>
    <row r="1026" spans="3:12" ht="12.75" customHeight="1">
      <c r="C1026" s="94"/>
      <c r="D1026" s="94"/>
      <c r="E1026" s="94"/>
      <c r="F1026" s="94"/>
      <c r="G1026" s="94"/>
      <c r="H1026" s="94"/>
      <c r="I1026" s="94"/>
      <c r="J1026" s="94"/>
      <c r="K1026" s="94"/>
      <c r="L1026" s="94"/>
    </row>
    <row r="1027" spans="3:12" ht="12.75" customHeight="1">
      <c r="C1027" s="94"/>
      <c r="D1027" s="94"/>
      <c r="E1027" s="94"/>
      <c r="F1027" s="94"/>
      <c r="G1027" s="94"/>
      <c r="H1027" s="94"/>
      <c r="I1027" s="94"/>
      <c r="J1027" s="94"/>
      <c r="K1027" s="94"/>
      <c r="L1027" s="94"/>
    </row>
    <row r="1028" spans="3:12" ht="12.75" customHeight="1">
      <c r="C1028" s="94"/>
      <c r="D1028" s="94"/>
      <c r="E1028" s="94"/>
      <c r="F1028" s="94"/>
      <c r="G1028" s="94"/>
      <c r="H1028" s="94"/>
      <c r="I1028" s="94"/>
      <c r="J1028" s="94"/>
      <c r="K1028" s="94"/>
      <c r="L1028" s="94"/>
    </row>
    <row r="1029" spans="3:12" ht="12.75" customHeight="1">
      <c r="C1029" s="94"/>
      <c r="D1029" s="94"/>
      <c r="E1029" s="94"/>
      <c r="F1029" s="94"/>
      <c r="G1029" s="94"/>
      <c r="H1029" s="94"/>
      <c r="I1029" s="94"/>
      <c r="J1029" s="94"/>
      <c r="K1029" s="94"/>
      <c r="L1029" s="94"/>
    </row>
    <row r="1030" spans="3:12" ht="12.75" customHeight="1">
      <c r="C1030" s="94"/>
      <c r="D1030" s="94"/>
      <c r="E1030" s="94"/>
      <c r="F1030" s="94"/>
      <c r="G1030" s="94"/>
      <c r="H1030" s="94"/>
      <c r="I1030" s="94"/>
      <c r="J1030" s="94"/>
      <c r="K1030" s="94"/>
      <c r="L1030" s="94"/>
    </row>
    <row r="1031" spans="3:12" ht="12.75" customHeight="1">
      <c r="C1031" s="94"/>
      <c r="D1031" s="94"/>
      <c r="E1031" s="94"/>
      <c r="F1031" s="94"/>
      <c r="G1031" s="94"/>
      <c r="H1031" s="94"/>
      <c r="I1031" s="94"/>
      <c r="J1031" s="94"/>
      <c r="K1031" s="94"/>
      <c r="L1031" s="94"/>
    </row>
    <row r="1032" spans="3:12" ht="12.75" customHeight="1">
      <c r="C1032" s="94"/>
      <c r="D1032" s="94"/>
      <c r="E1032" s="94"/>
      <c r="F1032" s="94"/>
      <c r="G1032" s="94"/>
      <c r="H1032" s="94"/>
      <c r="I1032" s="94"/>
      <c r="J1032" s="94"/>
      <c r="K1032" s="94"/>
      <c r="L1032" s="94"/>
    </row>
    <row r="1033" spans="3:12" ht="12.75" customHeight="1">
      <c r="C1033" s="94"/>
      <c r="D1033" s="94"/>
      <c r="E1033" s="94"/>
      <c r="F1033" s="94"/>
      <c r="G1033" s="94"/>
      <c r="H1033" s="94"/>
      <c r="I1033" s="94"/>
      <c r="J1033" s="94"/>
      <c r="K1033" s="94"/>
      <c r="L1033" s="94"/>
    </row>
    <row r="1034" spans="3:12" ht="12.75" customHeight="1">
      <c r="C1034" s="94"/>
      <c r="D1034" s="94"/>
      <c r="E1034" s="94"/>
      <c r="F1034" s="94"/>
      <c r="G1034" s="94"/>
      <c r="H1034" s="94"/>
      <c r="I1034" s="94"/>
      <c r="J1034" s="94"/>
      <c r="K1034" s="94"/>
      <c r="L1034" s="94"/>
    </row>
    <row r="1035" spans="3:12" ht="12.75" customHeight="1">
      <c r="C1035" s="94"/>
      <c r="D1035" s="94"/>
      <c r="E1035" s="94"/>
      <c r="F1035" s="94"/>
      <c r="G1035" s="94"/>
      <c r="H1035" s="94"/>
      <c r="I1035" s="94"/>
      <c r="J1035" s="94"/>
      <c r="K1035" s="94"/>
      <c r="L1035" s="94"/>
    </row>
    <row r="1036" spans="3:12" ht="12.75" customHeight="1">
      <c r="C1036" s="94"/>
      <c r="D1036" s="94"/>
      <c r="E1036" s="94"/>
      <c r="F1036" s="94"/>
      <c r="G1036" s="94"/>
      <c r="H1036" s="94"/>
      <c r="I1036" s="94"/>
      <c r="J1036" s="94"/>
      <c r="K1036" s="94"/>
      <c r="L1036" s="94"/>
    </row>
    <row r="1037" spans="3:12" ht="12.75" customHeight="1">
      <c r="C1037" s="94"/>
      <c r="D1037" s="94"/>
      <c r="E1037" s="94"/>
      <c r="F1037" s="94"/>
      <c r="G1037" s="94"/>
      <c r="H1037" s="94"/>
      <c r="I1037" s="94"/>
      <c r="J1037" s="94"/>
      <c r="K1037" s="94"/>
      <c r="L1037" s="94"/>
    </row>
    <row r="1038" spans="3:12" ht="12.75" customHeight="1">
      <c r="C1038" s="94"/>
      <c r="D1038" s="94"/>
      <c r="E1038" s="94"/>
      <c r="F1038" s="94"/>
      <c r="G1038" s="94"/>
      <c r="H1038" s="94"/>
      <c r="I1038" s="94"/>
      <c r="J1038" s="94"/>
      <c r="K1038" s="94"/>
      <c r="L1038" s="94"/>
    </row>
    <row r="1039" spans="3:12" ht="12.75" customHeight="1">
      <c r="C1039" s="94"/>
      <c r="D1039" s="94"/>
      <c r="E1039" s="94"/>
      <c r="F1039" s="94"/>
      <c r="G1039" s="94"/>
      <c r="H1039" s="94"/>
      <c r="I1039" s="94"/>
      <c r="J1039" s="94"/>
      <c r="K1039" s="94"/>
      <c r="L1039" s="94"/>
    </row>
    <row r="1040" spans="3:12" ht="12.75" customHeight="1">
      <c r="C1040" s="94"/>
      <c r="D1040" s="94"/>
      <c r="E1040" s="94"/>
      <c r="F1040" s="94"/>
      <c r="G1040" s="94"/>
      <c r="H1040" s="94"/>
      <c r="I1040" s="94"/>
      <c r="J1040" s="94"/>
      <c r="K1040" s="94"/>
      <c r="L1040" s="94"/>
    </row>
    <row r="1041" spans="3:12" ht="12.75" customHeight="1">
      <c r="C1041" s="94"/>
      <c r="D1041" s="94"/>
      <c r="E1041" s="94"/>
      <c r="F1041" s="94"/>
      <c r="G1041" s="94"/>
      <c r="H1041" s="94"/>
      <c r="I1041" s="94"/>
      <c r="J1041" s="94"/>
      <c r="K1041" s="94"/>
      <c r="L1041" s="94"/>
    </row>
    <row r="1042" spans="3:12" ht="12.75" customHeight="1">
      <c r="C1042" s="94"/>
      <c r="D1042" s="94"/>
      <c r="E1042" s="94"/>
      <c r="F1042" s="94"/>
      <c r="G1042" s="94"/>
      <c r="H1042" s="94"/>
      <c r="I1042" s="94"/>
      <c r="J1042" s="94"/>
      <c r="K1042" s="94"/>
      <c r="L1042" s="94"/>
    </row>
    <row r="1043" spans="3:12" ht="12.75" customHeight="1">
      <c r="C1043" s="94"/>
      <c r="D1043" s="94"/>
      <c r="E1043" s="94"/>
      <c r="F1043" s="94"/>
      <c r="G1043" s="94"/>
      <c r="H1043" s="94"/>
      <c r="I1043" s="94"/>
      <c r="J1043" s="94"/>
      <c r="K1043" s="94"/>
      <c r="L1043" s="94"/>
    </row>
    <row r="1044" spans="3:12" ht="12.75" customHeight="1">
      <c r="C1044" s="94"/>
      <c r="D1044" s="94"/>
      <c r="E1044" s="94"/>
      <c r="F1044" s="94"/>
      <c r="G1044" s="94"/>
      <c r="H1044" s="94"/>
      <c r="I1044" s="94"/>
      <c r="J1044" s="94"/>
      <c r="K1044" s="94"/>
      <c r="L1044" s="94"/>
    </row>
    <row r="1045" spans="3:12" ht="12.75" customHeight="1">
      <c r="C1045" s="94"/>
      <c r="D1045" s="94"/>
      <c r="E1045" s="94"/>
      <c r="F1045" s="94"/>
      <c r="G1045" s="94"/>
      <c r="H1045" s="94"/>
      <c r="I1045" s="94"/>
      <c r="J1045" s="94"/>
      <c r="K1045" s="94"/>
      <c r="L1045" s="94"/>
    </row>
    <row r="1046" spans="3:12" ht="12.75" customHeight="1">
      <c r="C1046" s="94"/>
      <c r="D1046" s="94"/>
      <c r="E1046" s="94"/>
      <c r="F1046" s="94"/>
      <c r="G1046" s="94"/>
      <c r="H1046" s="94"/>
      <c r="I1046" s="94"/>
      <c r="J1046" s="94"/>
      <c r="K1046" s="94"/>
      <c r="L1046" s="94"/>
    </row>
    <row r="1047" spans="3:12" ht="12.75" customHeight="1">
      <c r="C1047" s="94"/>
      <c r="D1047" s="94"/>
      <c r="E1047" s="94"/>
      <c r="F1047" s="94"/>
      <c r="G1047" s="94"/>
      <c r="H1047" s="94"/>
      <c r="I1047" s="94"/>
      <c r="J1047" s="94"/>
      <c r="K1047" s="94"/>
      <c r="L1047" s="94"/>
    </row>
    <row r="1048" spans="3:12" ht="12.75" customHeight="1">
      <c r="C1048" s="94"/>
      <c r="D1048" s="94"/>
      <c r="E1048" s="94"/>
      <c r="F1048" s="94"/>
      <c r="G1048" s="94"/>
      <c r="H1048" s="94"/>
      <c r="I1048" s="94"/>
      <c r="J1048" s="94"/>
      <c r="K1048" s="94"/>
      <c r="L1048" s="94"/>
    </row>
    <row r="1049" spans="3:12" ht="12.75" customHeight="1">
      <c r="C1049" s="94"/>
      <c r="D1049" s="94"/>
      <c r="E1049" s="94"/>
      <c r="F1049" s="94"/>
      <c r="G1049" s="94"/>
      <c r="H1049" s="94"/>
      <c r="I1049" s="94"/>
      <c r="J1049" s="94"/>
      <c r="K1049" s="94"/>
      <c r="L1049" s="94"/>
    </row>
    <row r="1050" spans="3:12" ht="12.75" customHeight="1">
      <c r="C1050" s="94"/>
      <c r="D1050" s="94"/>
      <c r="E1050" s="94"/>
      <c r="F1050" s="94"/>
      <c r="G1050" s="94"/>
      <c r="H1050" s="94"/>
      <c r="I1050" s="94"/>
      <c r="J1050" s="94"/>
      <c r="K1050" s="94"/>
      <c r="L1050" s="94"/>
    </row>
    <row r="1051" spans="3:12" ht="12.75" customHeight="1">
      <c r="C1051" s="94"/>
      <c r="D1051" s="94"/>
      <c r="E1051" s="94"/>
      <c r="F1051" s="94"/>
      <c r="G1051" s="94"/>
      <c r="H1051" s="94"/>
      <c r="I1051" s="94"/>
      <c r="J1051" s="94"/>
      <c r="K1051" s="94"/>
      <c r="L1051" s="94"/>
    </row>
    <row r="1052" spans="3:12" ht="12.75" customHeight="1">
      <c r="C1052" s="94"/>
      <c r="D1052" s="94"/>
      <c r="E1052" s="94"/>
      <c r="F1052" s="94"/>
      <c r="G1052" s="94"/>
      <c r="H1052" s="94"/>
      <c r="I1052" s="94"/>
      <c r="J1052" s="94"/>
      <c r="K1052" s="94"/>
      <c r="L1052" s="94"/>
    </row>
    <row r="1053" spans="3:12" ht="12.75" customHeight="1">
      <c r="C1053" s="94"/>
      <c r="D1053" s="94"/>
      <c r="E1053" s="94"/>
      <c r="F1053" s="94"/>
      <c r="G1053" s="94"/>
      <c r="H1053" s="94"/>
      <c r="I1053" s="94"/>
      <c r="J1053" s="94"/>
      <c r="K1053" s="94"/>
      <c r="L1053" s="94"/>
    </row>
    <row r="1054" spans="3:12" ht="12.75" customHeight="1">
      <c r="C1054" s="94"/>
      <c r="D1054" s="94"/>
      <c r="E1054" s="94"/>
      <c r="F1054" s="94"/>
      <c r="G1054" s="94"/>
      <c r="H1054" s="94"/>
      <c r="I1054" s="94"/>
      <c r="J1054" s="94"/>
      <c r="K1054" s="94"/>
      <c r="L1054" s="94"/>
    </row>
    <row r="1055" spans="3:12" ht="12.75" customHeight="1">
      <c r="C1055" s="94"/>
      <c r="D1055" s="94"/>
      <c r="E1055" s="94"/>
      <c r="F1055" s="94"/>
      <c r="G1055" s="94"/>
      <c r="H1055" s="94"/>
      <c r="I1055" s="94"/>
      <c r="J1055" s="94"/>
      <c r="K1055" s="94"/>
      <c r="L1055" s="94"/>
    </row>
    <row r="1056" spans="3:12" ht="12.75" customHeight="1">
      <c r="C1056" s="94"/>
      <c r="D1056" s="94"/>
      <c r="E1056" s="94"/>
      <c r="F1056" s="94"/>
      <c r="G1056" s="94"/>
      <c r="H1056" s="94"/>
      <c r="I1056" s="94"/>
      <c r="J1056" s="94"/>
      <c r="K1056" s="94"/>
      <c r="L1056" s="94"/>
    </row>
    <row r="1057" spans="3:12" ht="12.75" customHeight="1">
      <c r="C1057" s="94"/>
      <c r="D1057" s="94"/>
      <c r="E1057" s="94"/>
      <c r="F1057" s="94"/>
      <c r="G1057" s="94"/>
      <c r="H1057" s="94"/>
      <c r="I1057" s="94"/>
      <c r="J1057" s="94"/>
      <c r="K1057" s="94"/>
      <c r="L1057" s="94"/>
    </row>
    <row r="1058" spans="3:12" ht="12.75" customHeight="1">
      <c r="C1058" s="94"/>
      <c r="D1058" s="94"/>
      <c r="E1058" s="94"/>
      <c r="F1058" s="94"/>
      <c r="G1058" s="94"/>
      <c r="H1058" s="94"/>
      <c r="I1058" s="94"/>
      <c r="J1058" s="94"/>
      <c r="K1058" s="94"/>
      <c r="L1058" s="94"/>
    </row>
    <row r="1059" spans="3:12" ht="12.75" customHeight="1">
      <c r="C1059" s="94"/>
      <c r="D1059" s="94"/>
      <c r="E1059" s="94"/>
      <c r="F1059" s="94"/>
      <c r="G1059" s="94"/>
      <c r="H1059" s="94"/>
      <c r="I1059" s="94"/>
      <c r="J1059" s="94"/>
      <c r="K1059" s="94"/>
      <c r="L1059" s="94"/>
    </row>
    <row r="1060" spans="3:12" ht="12.75" customHeight="1">
      <c r="C1060" s="94"/>
      <c r="D1060" s="94"/>
      <c r="E1060" s="94"/>
      <c r="F1060" s="94"/>
      <c r="G1060" s="94"/>
      <c r="H1060" s="94"/>
      <c r="I1060" s="94"/>
      <c r="J1060" s="94"/>
      <c r="K1060" s="94"/>
      <c r="L1060" s="94"/>
    </row>
    <row r="1061" spans="3:12" ht="12.75" customHeight="1">
      <c r="C1061" s="94"/>
      <c r="D1061" s="94"/>
      <c r="E1061" s="94"/>
      <c r="F1061" s="94"/>
      <c r="G1061" s="94"/>
      <c r="H1061" s="94"/>
      <c r="I1061" s="94"/>
      <c r="J1061" s="94"/>
      <c r="K1061" s="94"/>
      <c r="L1061" s="94"/>
    </row>
    <row r="1062" spans="3:12" ht="12.75" customHeight="1">
      <c r="C1062" s="94"/>
      <c r="D1062" s="94"/>
      <c r="E1062" s="94"/>
      <c r="F1062" s="94"/>
      <c r="G1062" s="94"/>
      <c r="H1062" s="94"/>
      <c r="I1062" s="94"/>
      <c r="J1062" s="94"/>
      <c r="K1062" s="94"/>
      <c r="L1062" s="94"/>
    </row>
    <row r="1063" spans="3:12" ht="12.75" customHeight="1">
      <c r="C1063" s="94"/>
      <c r="D1063" s="94"/>
      <c r="E1063" s="94"/>
      <c r="F1063" s="94"/>
      <c r="G1063" s="94"/>
      <c r="H1063" s="94"/>
      <c r="I1063" s="94"/>
      <c r="J1063" s="94"/>
      <c r="K1063" s="94"/>
      <c r="L1063" s="94"/>
    </row>
    <row r="1064" spans="3:12" ht="12.75" customHeight="1">
      <c r="C1064" s="94"/>
      <c r="D1064" s="94"/>
      <c r="E1064" s="94"/>
      <c r="F1064" s="94"/>
      <c r="G1064" s="94"/>
      <c r="H1064" s="94"/>
      <c r="I1064" s="94"/>
      <c r="J1064" s="94"/>
      <c r="K1064" s="94"/>
      <c r="L1064" s="94"/>
    </row>
    <row r="1065" spans="3:12" ht="12.75" customHeight="1">
      <c r="C1065" s="94"/>
      <c r="D1065" s="94"/>
      <c r="E1065" s="94"/>
      <c r="F1065" s="94"/>
      <c r="G1065" s="94"/>
      <c r="H1065" s="94"/>
      <c r="I1065" s="94"/>
      <c r="J1065" s="94"/>
      <c r="K1065" s="94"/>
      <c r="L1065" s="94"/>
    </row>
    <row r="1066" spans="3:12" ht="12.75" customHeight="1">
      <c r="C1066" s="94"/>
      <c r="D1066" s="94"/>
      <c r="E1066" s="94"/>
      <c r="F1066" s="94"/>
      <c r="G1066" s="94"/>
      <c r="H1066" s="94"/>
      <c r="I1066" s="94"/>
      <c r="J1066" s="94"/>
      <c r="K1066" s="94"/>
      <c r="L1066" s="94"/>
    </row>
  </sheetData>
  <mergeCells count="1">
    <mergeCell ref="D4:E4"/>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1002"/>
  <sheetViews>
    <sheetView workbookViewId="0">
      <pane xSplit="2" ySplit="2" topLeftCell="O3" activePane="bottomRight" state="frozen"/>
      <selection pane="topRight" activeCell="C1" sqref="C1"/>
      <selection pane="bottomLeft" activeCell="A3" sqref="A3"/>
      <selection pane="bottomRight" activeCell="BF6" sqref="BF6"/>
    </sheetView>
  </sheetViews>
  <sheetFormatPr defaultColWidth="12.5546875" defaultRowHeight="15" customHeight="1"/>
  <cols>
    <col min="1" max="1" width="6.44140625" customWidth="1"/>
    <col min="2" max="2" width="14.33203125" customWidth="1"/>
    <col min="3" max="31" width="6" customWidth="1"/>
    <col min="32" max="57" width="8.5546875" customWidth="1"/>
    <col min="58" max="58" width="10.44140625" customWidth="1"/>
    <col min="59" max="60" width="9" customWidth="1"/>
    <col min="61" max="61" width="79.44140625" customWidth="1"/>
    <col min="62" max="62" width="6.33203125" customWidth="1"/>
    <col min="63" max="63" width="12.44140625" customWidth="1"/>
    <col min="64" max="64" width="10.109375" customWidth="1"/>
    <col min="65" max="66" width="79.44140625" customWidth="1"/>
  </cols>
  <sheetData>
    <row r="1" spans="1:66" ht="12.75" customHeight="1">
      <c r="BG1" s="216"/>
      <c r="BH1" s="36"/>
    </row>
    <row r="2" spans="1:66" ht="12.75" customHeight="1">
      <c r="A2" s="94" t="s">
        <v>146</v>
      </c>
      <c r="B2" s="94" t="s">
        <v>885</v>
      </c>
      <c r="C2" s="94" t="s">
        <v>886</v>
      </c>
      <c r="D2" s="94" t="s">
        <v>887</v>
      </c>
      <c r="E2" s="94" t="s">
        <v>888</v>
      </c>
      <c r="F2" s="94" t="s">
        <v>846</v>
      </c>
      <c r="G2" s="94" t="s">
        <v>772</v>
      </c>
      <c r="H2" s="94" t="s">
        <v>774</v>
      </c>
      <c r="I2" s="94" t="s">
        <v>770</v>
      </c>
      <c r="J2" s="94" t="s">
        <v>776</v>
      </c>
      <c r="K2" s="94" t="s">
        <v>777</v>
      </c>
      <c r="L2" s="94" t="s">
        <v>773</v>
      </c>
      <c r="M2" s="94" t="s">
        <v>889</v>
      </c>
      <c r="N2" s="94" t="s">
        <v>785</v>
      </c>
      <c r="O2" s="94" t="s">
        <v>771</v>
      </c>
      <c r="P2" s="94" t="s">
        <v>787</v>
      </c>
      <c r="Q2" s="94" t="s">
        <v>788</v>
      </c>
      <c r="R2" s="94" t="s">
        <v>890</v>
      </c>
      <c r="S2" s="94" t="s">
        <v>891</v>
      </c>
      <c r="T2" s="94" t="s">
        <v>841</v>
      </c>
      <c r="U2" s="94" t="s">
        <v>892</v>
      </c>
      <c r="V2" s="94" t="s">
        <v>893</v>
      </c>
      <c r="W2" s="94" t="s">
        <v>894</v>
      </c>
      <c r="X2" s="94" t="s">
        <v>783</v>
      </c>
      <c r="Y2" s="94" t="s">
        <v>782</v>
      </c>
      <c r="Z2" s="94" t="s">
        <v>784</v>
      </c>
      <c r="AA2" s="94" t="s">
        <v>779</v>
      </c>
      <c r="AB2" s="94" t="s">
        <v>895</v>
      </c>
      <c r="AC2" s="94" t="s">
        <v>775</v>
      </c>
      <c r="AD2" s="94" t="s">
        <v>896</v>
      </c>
      <c r="AE2" s="94" t="s">
        <v>864</v>
      </c>
      <c r="AH2" s="35" t="s">
        <v>463</v>
      </c>
      <c r="AI2" s="35" t="s">
        <v>873</v>
      </c>
      <c r="AJ2" s="35" t="s">
        <v>874</v>
      </c>
      <c r="AK2" s="35" t="s">
        <v>868</v>
      </c>
      <c r="AL2" s="35" t="s">
        <v>869</v>
      </c>
      <c r="AM2" s="35" t="s">
        <v>870</v>
      </c>
      <c r="AN2" s="35" t="s">
        <v>866</v>
      </c>
      <c r="AO2" s="35" t="s">
        <v>897</v>
      </c>
      <c r="AP2" s="35" t="s">
        <v>898</v>
      </c>
      <c r="AQ2" s="35" t="s">
        <v>899</v>
      </c>
      <c r="AR2" s="35" t="s">
        <v>900</v>
      </c>
      <c r="AS2" s="35" t="s">
        <v>901</v>
      </c>
      <c r="AT2" s="35" t="s">
        <v>902</v>
      </c>
      <c r="AU2" s="35" t="s">
        <v>903</v>
      </c>
      <c r="AV2" s="35" t="s">
        <v>904</v>
      </c>
      <c r="AW2" s="35" t="s">
        <v>905</v>
      </c>
      <c r="AX2" s="35" t="s">
        <v>906</v>
      </c>
      <c r="AY2" s="35" t="s">
        <v>907</v>
      </c>
      <c r="AZ2" s="35" t="s">
        <v>908</v>
      </c>
      <c r="BA2" s="35" t="s">
        <v>909</v>
      </c>
      <c r="BB2" s="35" t="s">
        <v>910</v>
      </c>
      <c r="BC2" s="35" t="s">
        <v>911</v>
      </c>
      <c r="BD2" s="35" t="s">
        <v>912</v>
      </c>
      <c r="BE2" s="35" t="s">
        <v>913</v>
      </c>
      <c r="BF2" s="203" t="s">
        <v>816</v>
      </c>
      <c r="BG2" s="202" t="s">
        <v>914</v>
      </c>
      <c r="BH2" s="205" t="s">
        <v>915</v>
      </c>
      <c r="BI2" s="203" t="s">
        <v>817</v>
      </c>
      <c r="BJ2" s="210"/>
      <c r="BK2" s="210"/>
      <c r="BL2" s="210"/>
      <c r="BM2" s="210"/>
      <c r="BN2" s="210"/>
    </row>
    <row r="3" spans="1:66" ht="12.75" customHeight="1">
      <c r="BF3" s="203" t="s">
        <v>888</v>
      </c>
      <c r="BG3" s="217">
        <v>1700</v>
      </c>
      <c r="BH3" s="218">
        <v>2200</v>
      </c>
      <c r="BI3" s="205" t="s">
        <v>916</v>
      </c>
      <c r="BJ3" s="204"/>
      <c r="BK3" s="204"/>
      <c r="BL3" s="204"/>
      <c r="BM3" s="204"/>
      <c r="BN3" s="204"/>
    </row>
    <row r="4" spans="1:66" ht="12.75" customHeight="1">
      <c r="B4" s="35" t="s">
        <v>917</v>
      </c>
      <c r="BF4" s="203" t="s">
        <v>846</v>
      </c>
      <c r="BG4" s="217">
        <v>1700</v>
      </c>
      <c r="BH4" s="218">
        <v>2200</v>
      </c>
      <c r="BI4" s="205" t="s">
        <v>916</v>
      </c>
      <c r="BJ4" s="204"/>
      <c r="BK4" s="204"/>
      <c r="BL4" s="204"/>
      <c r="BM4" s="204"/>
      <c r="BN4" s="204"/>
    </row>
    <row r="5" spans="1:66" ht="12.75" customHeight="1">
      <c r="B5" s="93" t="s">
        <v>918</v>
      </c>
      <c r="G5" s="35">
        <v>1</v>
      </c>
      <c r="I5" s="35">
        <v>2</v>
      </c>
      <c r="O5" s="35">
        <v>2</v>
      </c>
      <c r="P5" s="35"/>
      <c r="Q5" s="35"/>
      <c r="R5" s="35"/>
      <c r="S5" s="35"/>
      <c r="T5" s="35"/>
      <c r="U5" s="35"/>
      <c r="V5" s="35"/>
      <c r="W5" s="35">
        <v>1</v>
      </c>
      <c r="BF5" s="203" t="s">
        <v>772</v>
      </c>
      <c r="BG5" s="217">
        <v>1500</v>
      </c>
      <c r="BH5" s="218">
        <v>2400</v>
      </c>
      <c r="BI5" s="205" t="s">
        <v>916</v>
      </c>
      <c r="BJ5" s="204"/>
      <c r="BK5" s="204"/>
      <c r="BL5" s="204"/>
      <c r="BM5" s="204"/>
      <c r="BN5" s="204"/>
    </row>
    <row r="6" spans="1:66" ht="12.75" customHeight="1">
      <c r="B6" s="93" t="s">
        <v>759</v>
      </c>
      <c r="E6" s="35">
        <v>1</v>
      </c>
      <c r="F6" s="35">
        <v>13</v>
      </c>
      <c r="H6" s="35">
        <v>1</v>
      </c>
      <c r="I6" s="35">
        <v>1</v>
      </c>
      <c r="J6" s="35">
        <v>2</v>
      </c>
      <c r="K6" s="35">
        <v>1</v>
      </c>
      <c r="L6" s="35">
        <v>1</v>
      </c>
      <c r="M6" s="35">
        <v>1</v>
      </c>
      <c r="O6" s="35">
        <v>3</v>
      </c>
      <c r="R6" s="35">
        <v>1</v>
      </c>
      <c r="S6" s="35">
        <v>1</v>
      </c>
      <c r="T6" s="35">
        <v>1</v>
      </c>
      <c r="U6" s="35">
        <v>1</v>
      </c>
      <c r="V6" s="35">
        <v>1</v>
      </c>
      <c r="AC6" s="35">
        <v>1</v>
      </c>
      <c r="AD6" s="35">
        <v>1</v>
      </c>
      <c r="BD6" s="35">
        <v>29</v>
      </c>
      <c r="BF6" s="203" t="s">
        <v>774</v>
      </c>
      <c r="BG6" s="217">
        <v>1000</v>
      </c>
      <c r="BH6" s="218">
        <v>2200</v>
      </c>
      <c r="BI6" s="205" t="s">
        <v>919</v>
      </c>
      <c r="BJ6" s="204"/>
      <c r="BK6" s="204"/>
      <c r="BL6" s="204"/>
      <c r="BM6" s="204"/>
      <c r="BN6" s="204"/>
    </row>
    <row r="7" spans="1:66" ht="12.75" customHeight="1">
      <c r="B7" s="93" t="s">
        <v>482</v>
      </c>
      <c r="I7" s="35">
        <v>12</v>
      </c>
      <c r="J7" s="35">
        <v>10</v>
      </c>
      <c r="K7" s="35">
        <v>9</v>
      </c>
      <c r="M7" s="35">
        <v>9</v>
      </c>
      <c r="O7" s="35">
        <v>2</v>
      </c>
      <c r="P7" s="35">
        <v>14</v>
      </c>
      <c r="Q7" s="35">
        <v>11</v>
      </c>
      <c r="X7" s="35">
        <v>1</v>
      </c>
      <c r="Y7" s="35">
        <v>4</v>
      </c>
      <c r="Z7" s="35">
        <v>1</v>
      </c>
      <c r="AA7" s="35">
        <v>2</v>
      </c>
      <c r="AB7" s="35">
        <v>1</v>
      </c>
      <c r="AE7" s="35">
        <v>1</v>
      </c>
      <c r="AH7" s="35">
        <v>1</v>
      </c>
      <c r="AI7" s="35">
        <v>1</v>
      </c>
      <c r="AJ7" s="35">
        <v>1</v>
      </c>
      <c r="AK7" s="35">
        <v>1</v>
      </c>
      <c r="AL7" s="35">
        <v>1</v>
      </c>
      <c r="AM7" s="35">
        <v>1</v>
      </c>
      <c r="AN7" s="35">
        <v>1</v>
      </c>
      <c r="AO7" s="35">
        <v>1</v>
      </c>
      <c r="AP7" s="35">
        <v>1</v>
      </c>
      <c r="BE7" s="35">
        <v>14</v>
      </c>
      <c r="BF7" s="203" t="s">
        <v>770</v>
      </c>
      <c r="BG7" s="217">
        <v>1000</v>
      </c>
      <c r="BH7" s="218">
        <v>2200</v>
      </c>
      <c r="BI7" s="205" t="s">
        <v>920</v>
      </c>
      <c r="BJ7" s="204"/>
      <c r="BK7" s="204"/>
      <c r="BL7" s="204"/>
      <c r="BM7" s="204"/>
      <c r="BN7" s="204"/>
    </row>
    <row r="8" spans="1:66" ht="12.75" customHeight="1">
      <c r="B8" s="93" t="s">
        <v>760</v>
      </c>
      <c r="I8" s="35">
        <v>12</v>
      </c>
      <c r="J8" s="35">
        <v>10</v>
      </c>
      <c r="L8" s="35">
        <v>9</v>
      </c>
      <c r="N8" s="35">
        <v>9</v>
      </c>
      <c r="O8" s="35">
        <v>2</v>
      </c>
      <c r="P8" s="35">
        <v>14</v>
      </c>
      <c r="Q8" s="35">
        <v>11</v>
      </c>
      <c r="X8" s="35">
        <v>1</v>
      </c>
      <c r="Y8" s="35">
        <v>4</v>
      </c>
      <c r="Z8" s="35">
        <v>1</v>
      </c>
      <c r="AA8" s="35">
        <v>2</v>
      </c>
      <c r="AB8" s="35">
        <v>1</v>
      </c>
      <c r="AE8" s="35">
        <v>1</v>
      </c>
      <c r="AQ8" s="35">
        <v>1</v>
      </c>
      <c r="AR8" s="35">
        <v>1</v>
      </c>
      <c r="AS8" s="35">
        <v>1</v>
      </c>
      <c r="AT8" s="35">
        <v>1</v>
      </c>
      <c r="AU8" s="35">
        <v>1</v>
      </c>
      <c r="AV8" s="35">
        <v>1</v>
      </c>
      <c r="AW8" s="35">
        <v>1</v>
      </c>
      <c r="AX8" s="35">
        <v>1</v>
      </c>
      <c r="AY8" s="35">
        <v>1</v>
      </c>
      <c r="AZ8" s="35">
        <v>1</v>
      </c>
      <c r="BA8" s="35">
        <v>1</v>
      </c>
      <c r="BB8" s="35">
        <v>1</v>
      </c>
      <c r="BC8" s="35">
        <v>1</v>
      </c>
      <c r="BD8" s="35"/>
      <c r="BE8" s="35">
        <v>14</v>
      </c>
      <c r="BF8" s="203" t="s">
        <v>776</v>
      </c>
      <c r="BG8" s="217">
        <v>800</v>
      </c>
      <c r="BH8" s="218">
        <v>2200</v>
      </c>
      <c r="BI8" s="205" t="s">
        <v>921</v>
      </c>
      <c r="BJ8" s="204"/>
      <c r="BK8" s="204"/>
      <c r="BL8" s="204"/>
      <c r="BM8" s="204"/>
      <c r="BN8" s="204"/>
    </row>
    <row r="9" spans="1:66" ht="12.75" customHeight="1">
      <c r="B9" s="93" t="s">
        <v>761</v>
      </c>
      <c r="I9" s="35">
        <v>12</v>
      </c>
      <c r="J9" s="35">
        <v>10</v>
      </c>
      <c r="L9" s="35">
        <v>9</v>
      </c>
      <c r="N9" s="35">
        <v>9</v>
      </c>
      <c r="O9" s="35">
        <v>2</v>
      </c>
      <c r="P9" s="35">
        <v>14</v>
      </c>
      <c r="Q9" s="35">
        <v>11</v>
      </c>
      <c r="X9" s="35">
        <v>1</v>
      </c>
      <c r="Y9" s="35">
        <v>4</v>
      </c>
      <c r="Z9" s="35">
        <v>1</v>
      </c>
      <c r="AA9" s="35">
        <v>2</v>
      </c>
      <c r="AB9" s="35">
        <v>1</v>
      </c>
      <c r="AE9" s="35">
        <v>1</v>
      </c>
      <c r="AH9" s="35">
        <v>1</v>
      </c>
      <c r="AI9" s="35">
        <v>1</v>
      </c>
      <c r="AJ9" s="35">
        <v>1</v>
      </c>
      <c r="AK9" s="35">
        <v>1</v>
      </c>
      <c r="AL9" s="35">
        <v>1</v>
      </c>
      <c r="AM9" s="35">
        <v>1</v>
      </c>
      <c r="AN9" s="35">
        <v>1</v>
      </c>
      <c r="AO9" s="35">
        <v>1</v>
      </c>
      <c r="BE9" s="35">
        <v>14</v>
      </c>
      <c r="BF9" s="203" t="s">
        <v>777</v>
      </c>
      <c r="BG9" s="217">
        <v>1000</v>
      </c>
      <c r="BH9" s="218">
        <v>2200</v>
      </c>
      <c r="BI9" s="205" t="s">
        <v>921</v>
      </c>
      <c r="BJ9" s="204"/>
      <c r="BK9" s="204"/>
      <c r="BL9" s="204"/>
      <c r="BM9" s="204"/>
      <c r="BN9" s="204"/>
    </row>
    <row r="10" spans="1:66" ht="12.75" customHeight="1">
      <c r="B10" s="93" t="s">
        <v>762</v>
      </c>
      <c r="I10" s="35">
        <v>12</v>
      </c>
      <c r="J10" s="35">
        <v>10</v>
      </c>
      <c r="L10" s="35">
        <v>9</v>
      </c>
      <c r="N10" s="35">
        <v>9</v>
      </c>
      <c r="O10" s="35">
        <v>2</v>
      </c>
      <c r="P10" s="35">
        <v>14</v>
      </c>
      <c r="Q10" s="35">
        <v>11</v>
      </c>
      <c r="X10" s="35">
        <v>1</v>
      </c>
      <c r="Y10" s="35">
        <v>4</v>
      </c>
      <c r="Z10" s="35">
        <v>1</v>
      </c>
      <c r="AA10" s="35">
        <v>2</v>
      </c>
      <c r="AB10" s="35">
        <v>1</v>
      </c>
      <c r="AE10" s="35">
        <v>1</v>
      </c>
      <c r="AH10" s="35">
        <v>1</v>
      </c>
      <c r="AI10" s="35">
        <v>1</v>
      </c>
      <c r="AJ10" s="35">
        <v>1</v>
      </c>
      <c r="AK10" s="35">
        <v>1</v>
      </c>
      <c r="AL10" s="35">
        <v>1</v>
      </c>
      <c r="AM10" s="35">
        <v>1</v>
      </c>
      <c r="AN10" s="35">
        <v>1</v>
      </c>
      <c r="AO10" s="35">
        <v>1</v>
      </c>
      <c r="BE10" s="35">
        <v>14</v>
      </c>
      <c r="BF10" s="203" t="s">
        <v>773</v>
      </c>
      <c r="BG10" s="217">
        <v>800</v>
      </c>
      <c r="BH10" s="218">
        <v>2200</v>
      </c>
      <c r="BI10" s="205" t="s">
        <v>922</v>
      </c>
      <c r="BJ10" s="204"/>
      <c r="BK10" s="204"/>
      <c r="BL10" s="204"/>
      <c r="BM10" s="204"/>
      <c r="BN10" s="204"/>
    </row>
    <row r="11" spans="1:66" ht="12.75" customHeight="1">
      <c r="B11" s="93" t="s">
        <v>923</v>
      </c>
      <c r="I11" s="35">
        <v>12</v>
      </c>
      <c r="J11" s="35">
        <v>10</v>
      </c>
      <c r="L11" s="35">
        <v>9</v>
      </c>
      <c r="N11" s="35">
        <v>9</v>
      </c>
      <c r="O11" s="35">
        <v>2</v>
      </c>
      <c r="P11" s="35">
        <v>14</v>
      </c>
      <c r="Q11" s="35">
        <v>11</v>
      </c>
      <c r="X11" s="35">
        <v>1</v>
      </c>
      <c r="Y11" s="35">
        <v>4</v>
      </c>
      <c r="Z11" s="35">
        <v>1</v>
      </c>
      <c r="AA11" s="35">
        <v>2</v>
      </c>
      <c r="AB11" s="35">
        <v>1</v>
      </c>
      <c r="AE11" s="35">
        <v>1</v>
      </c>
      <c r="AH11" s="35">
        <v>1</v>
      </c>
      <c r="AI11" s="35">
        <v>1</v>
      </c>
      <c r="AJ11" s="35">
        <v>1</v>
      </c>
      <c r="AK11" s="35">
        <v>1</v>
      </c>
      <c r="AL11" s="35">
        <v>1</v>
      </c>
      <c r="AM11" s="35">
        <v>1</v>
      </c>
      <c r="AN11" s="35">
        <v>1</v>
      </c>
      <c r="AO11" s="35">
        <v>1</v>
      </c>
      <c r="BE11" s="35">
        <v>14</v>
      </c>
      <c r="BF11" s="203" t="s">
        <v>889</v>
      </c>
      <c r="BG11" s="217">
        <v>1000</v>
      </c>
      <c r="BH11" s="218">
        <v>2200</v>
      </c>
      <c r="BI11" s="205" t="s">
        <v>924</v>
      </c>
      <c r="BJ11" s="204"/>
      <c r="BK11" s="204" t="s">
        <v>925</v>
      </c>
      <c r="BL11" s="204"/>
      <c r="BM11" s="204"/>
      <c r="BN11" s="204"/>
    </row>
    <row r="12" spans="1:66" ht="12.75" customHeight="1">
      <c r="B12" s="93" t="s">
        <v>487</v>
      </c>
      <c r="I12" s="35">
        <v>12</v>
      </c>
      <c r="J12" s="35">
        <v>10</v>
      </c>
      <c r="L12" s="35">
        <v>9</v>
      </c>
      <c r="N12" s="35">
        <v>9</v>
      </c>
      <c r="O12" s="35">
        <v>2</v>
      </c>
      <c r="P12" s="35">
        <v>14</v>
      </c>
      <c r="Q12" s="35">
        <v>11</v>
      </c>
      <c r="X12" s="35">
        <v>1</v>
      </c>
      <c r="Y12" s="35">
        <v>4</v>
      </c>
      <c r="Z12" s="35">
        <v>1</v>
      </c>
      <c r="AA12" s="35">
        <v>2</v>
      </c>
      <c r="AB12" s="35">
        <v>1</v>
      </c>
      <c r="AE12" s="35">
        <v>1</v>
      </c>
      <c r="AH12" s="35">
        <v>1</v>
      </c>
      <c r="AI12" s="35">
        <v>1</v>
      </c>
      <c r="AJ12" s="35">
        <v>1</v>
      </c>
      <c r="AK12" s="35">
        <v>1</v>
      </c>
      <c r="AL12" s="35">
        <v>1</v>
      </c>
      <c r="AM12" s="35">
        <v>1</v>
      </c>
      <c r="AN12" s="35">
        <v>1</v>
      </c>
      <c r="AO12" s="35">
        <v>1</v>
      </c>
      <c r="BE12" s="35">
        <v>14</v>
      </c>
      <c r="BF12" s="203" t="s">
        <v>785</v>
      </c>
      <c r="BG12" s="217">
        <v>1100</v>
      </c>
      <c r="BH12" s="218">
        <v>2200</v>
      </c>
      <c r="BI12" s="205" t="s">
        <v>919</v>
      </c>
      <c r="BJ12" s="204"/>
      <c r="BK12" s="204"/>
      <c r="BL12" s="204"/>
      <c r="BM12" s="204"/>
      <c r="BN12" s="204"/>
    </row>
    <row r="13" spans="1:66" ht="12.75" customHeight="1">
      <c r="B13" s="93" t="s">
        <v>469</v>
      </c>
      <c r="O13" s="35">
        <v>2</v>
      </c>
      <c r="AB13" s="35">
        <v>2</v>
      </c>
      <c r="BF13" s="203" t="s">
        <v>771</v>
      </c>
      <c r="BG13" s="217">
        <v>1000</v>
      </c>
      <c r="BH13" s="218">
        <v>2200</v>
      </c>
      <c r="BI13" s="205" t="s">
        <v>926</v>
      </c>
      <c r="BJ13" s="204"/>
      <c r="BK13" s="204"/>
      <c r="BL13" s="204"/>
      <c r="BM13" s="204"/>
      <c r="BN13" s="204"/>
    </row>
    <row r="14" spans="1:66" ht="12.75" customHeight="1">
      <c r="BF14" s="203" t="s">
        <v>787</v>
      </c>
      <c r="BG14" s="217">
        <v>1000</v>
      </c>
      <c r="BH14" s="218">
        <v>2200</v>
      </c>
      <c r="BI14" s="205" t="s">
        <v>922</v>
      </c>
      <c r="BJ14" s="204"/>
      <c r="BK14" s="204"/>
      <c r="BL14" s="204"/>
      <c r="BM14" s="204"/>
      <c r="BN14" s="204"/>
    </row>
    <row r="15" spans="1:66" ht="12.75" customHeight="1">
      <c r="A15" s="107"/>
      <c r="B15" s="107" t="s">
        <v>194</v>
      </c>
      <c r="C15" s="197">
        <f t="shared" ref="C15:AE15" si="0">SUM(C4:C14)</f>
        <v>0</v>
      </c>
      <c r="D15" s="197">
        <f t="shared" si="0"/>
        <v>0</v>
      </c>
      <c r="E15" s="197">
        <f t="shared" si="0"/>
        <v>1</v>
      </c>
      <c r="F15" s="197">
        <f t="shared" si="0"/>
        <v>13</v>
      </c>
      <c r="G15" s="197">
        <f t="shared" si="0"/>
        <v>1</v>
      </c>
      <c r="H15" s="197">
        <f t="shared" si="0"/>
        <v>1</v>
      </c>
      <c r="I15" s="197">
        <f t="shared" si="0"/>
        <v>75</v>
      </c>
      <c r="J15" s="197">
        <f t="shared" si="0"/>
        <v>62</v>
      </c>
      <c r="K15" s="197">
        <f t="shared" si="0"/>
        <v>10</v>
      </c>
      <c r="L15" s="197">
        <f t="shared" si="0"/>
        <v>46</v>
      </c>
      <c r="M15" s="197">
        <f t="shared" si="0"/>
        <v>10</v>
      </c>
      <c r="N15" s="197">
        <f t="shared" si="0"/>
        <v>45</v>
      </c>
      <c r="O15" s="197">
        <f t="shared" si="0"/>
        <v>19</v>
      </c>
      <c r="P15" s="197">
        <f t="shared" si="0"/>
        <v>84</v>
      </c>
      <c r="Q15" s="197">
        <f t="shared" si="0"/>
        <v>66</v>
      </c>
      <c r="R15" s="197">
        <f t="shared" si="0"/>
        <v>1</v>
      </c>
      <c r="S15" s="197">
        <f t="shared" si="0"/>
        <v>1</v>
      </c>
      <c r="T15" s="197">
        <f t="shared" si="0"/>
        <v>1</v>
      </c>
      <c r="U15" s="197">
        <f t="shared" si="0"/>
        <v>1</v>
      </c>
      <c r="V15" s="197">
        <f t="shared" si="0"/>
        <v>1</v>
      </c>
      <c r="W15" s="197">
        <f t="shared" si="0"/>
        <v>1</v>
      </c>
      <c r="X15" s="197">
        <f t="shared" si="0"/>
        <v>6</v>
      </c>
      <c r="Y15" s="197">
        <f t="shared" si="0"/>
        <v>24</v>
      </c>
      <c r="Z15" s="197">
        <f t="shared" si="0"/>
        <v>6</v>
      </c>
      <c r="AA15" s="197">
        <f t="shared" si="0"/>
        <v>12</v>
      </c>
      <c r="AB15" s="197">
        <f t="shared" si="0"/>
        <v>8</v>
      </c>
      <c r="AC15" s="197">
        <f t="shared" si="0"/>
        <v>1</v>
      </c>
      <c r="AD15" s="197">
        <f t="shared" si="0"/>
        <v>1</v>
      </c>
      <c r="AE15" s="197">
        <f t="shared" si="0"/>
        <v>6</v>
      </c>
      <c r="AF15" s="197"/>
      <c r="AG15" s="197"/>
      <c r="AH15" s="197">
        <f t="shared" ref="AH15:BE15" si="1">SUM(AH4:AH14)</f>
        <v>5</v>
      </c>
      <c r="AI15" s="197">
        <f t="shared" si="1"/>
        <v>5</v>
      </c>
      <c r="AJ15" s="197">
        <f t="shared" si="1"/>
        <v>5</v>
      </c>
      <c r="AK15" s="197">
        <f t="shared" si="1"/>
        <v>5</v>
      </c>
      <c r="AL15" s="197">
        <f t="shared" si="1"/>
        <v>5</v>
      </c>
      <c r="AM15" s="197">
        <f t="shared" si="1"/>
        <v>5</v>
      </c>
      <c r="AN15" s="197">
        <f t="shared" si="1"/>
        <v>5</v>
      </c>
      <c r="AO15" s="197">
        <f t="shared" si="1"/>
        <v>5</v>
      </c>
      <c r="AP15" s="197">
        <f t="shared" si="1"/>
        <v>1</v>
      </c>
      <c r="AQ15" s="197">
        <f t="shared" si="1"/>
        <v>1</v>
      </c>
      <c r="AR15" s="197">
        <f t="shared" si="1"/>
        <v>1</v>
      </c>
      <c r="AS15" s="197">
        <f t="shared" si="1"/>
        <v>1</v>
      </c>
      <c r="AT15" s="197">
        <f t="shared" si="1"/>
        <v>1</v>
      </c>
      <c r="AU15" s="197">
        <f t="shared" si="1"/>
        <v>1</v>
      </c>
      <c r="AV15" s="197">
        <f t="shared" si="1"/>
        <v>1</v>
      </c>
      <c r="AW15" s="197">
        <f t="shared" si="1"/>
        <v>1</v>
      </c>
      <c r="AX15" s="197">
        <f t="shared" si="1"/>
        <v>1</v>
      </c>
      <c r="AY15" s="197">
        <f t="shared" si="1"/>
        <v>1</v>
      </c>
      <c r="AZ15" s="197">
        <f t="shared" si="1"/>
        <v>1</v>
      </c>
      <c r="BA15" s="197">
        <f t="shared" si="1"/>
        <v>1</v>
      </c>
      <c r="BB15" s="197">
        <f t="shared" si="1"/>
        <v>1</v>
      </c>
      <c r="BC15" s="197">
        <f t="shared" si="1"/>
        <v>1</v>
      </c>
      <c r="BD15" s="197">
        <f t="shared" si="1"/>
        <v>29</v>
      </c>
      <c r="BE15" s="197">
        <f t="shared" si="1"/>
        <v>84</v>
      </c>
      <c r="BF15" s="203" t="s">
        <v>788</v>
      </c>
      <c r="BG15" s="217">
        <v>900</v>
      </c>
      <c r="BH15" s="218">
        <v>2200</v>
      </c>
      <c r="BI15" s="205" t="s">
        <v>921</v>
      </c>
      <c r="BJ15" s="204"/>
      <c r="BK15" s="204"/>
      <c r="BL15" s="204"/>
      <c r="BM15" s="204"/>
      <c r="BN15" s="204"/>
    </row>
    <row r="16" spans="1:66" ht="12.75" customHeight="1">
      <c r="BF16" s="203" t="s">
        <v>890</v>
      </c>
      <c r="BG16" s="217">
        <v>1450</v>
      </c>
      <c r="BH16" s="218">
        <v>2200</v>
      </c>
      <c r="BI16" s="205" t="s">
        <v>927</v>
      </c>
      <c r="BJ16" s="204"/>
      <c r="BK16" s="204"/>
      <c r="BL16" s="204"/>
      <c r="BM16" s="204"/>
      <c r="BN16" s="204"/>
    </row>
    <row r="17" spans="2:66" ht="12.75" customHeight="1">
      <c r="BF17" s="203" t="s">
        <v>891</v>
      </c>
      <c r="BG17" s="217">
        <v>1550</v>
      </c>
      <c r="BH17" s="218">
        <v>2200</v>
      </c>
      <c r="BI17" s="205" t="s">
        <v>916</v>
      </c>
      <c r="BJ17" s="204"/>
      <c r="BK17" s="204"/>
      <c r="BL17" s="204"/>
      <c r="BM17" s="204"/>
      <c r="BN17" s="204"/>
    </row>
    <row r="18" spans="2:66" ht="12.75" customHeight="1">
      <c r="BF18" s="203" t="s">
        <v>841</v>
      </c>
      <c r="BG18" s="217">
        <v>1350</v>
      </c>
      <c r="BH18" s="218">
        <v>2200</v>
      </c>
      <c r="BI18" s="205" t="s">
        <v>916</v>
      </c>
      <c r="BJ18" s="204"/>
      <c r="BK18" s="204"/>
      <c r="BL18" s="204"/>
      <c r="BM18" s="204"/>
      <c r="BN18" s="204"/>
    </row>
    <row r="19" spans="2:66" ht="12.75" customHeight="1">
      <c r="BF19" s="203" t="s">
        <v>892</v>
      </c>
      <c r="BG19" s="217">
        <v>1400</v>
      </c>
      <c r="BH19" s="218">
        <v>2200</v>
      </c>
      <c r="BI19" s="205" t="s">
        <v>916</v>
      </c>
      <c r="BJ19" s="204"/>
      <c r="BK19" s="204"/>
      <c r="BL19" s="204"/>
      <c r="BM19" s="204"/>
      <c r="BN19" s="204"/>
    </row>
    <row r="20" spans="2:66" ht="12.75" customHeight="1">
      <c r="B20" s="93" t="s">
        <v>928</v>
      </c>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4"/>
      <c r="AD20" s="94"/>
      <c r="AE20" s="94"/>
      <c r="BF20" s="203" t="s">
        <v>893</v>
      </c>
      <c r="BG20" s="217">
        <v>1900</v>
      </c>
      <c r="BH20" s="218">
        <v>2200</v>
      </c>
      <c r="BI20" s="205" t="s">
        <v>916</v>
      </c>
      <c r="BJ20" s="204"/>
      <c r="BK20" s="204"/>
      <c r="BL20" s="204"/>
      <c r="BM20" s="204"/>
      <c r="BN20" s="204"/>
    </row>
    <row r="21" spans="2:66" ht="12.75" customHeight="1">
      <c r="B21" s="93" t="s">
        <v>757</v>
      </c>
      <c r="C21" s="94"/>
      <c r="D21" s="94"/>
      <c r="E21" s="94">
        <f t="array" ref="E21:W21">TRANSPOSE((BG3:BG21 + 300) / 1000)</f>
        <v>2</v>
      </c>
      <c r="F21" s="94">
        <v>2</v>
      </c>
      <c r="G21" s="94">
        <v>1.8</v>
      </c>
      <c r="H21" s="94">
        <v>1.3</v>
      </c>
      <c r="I21" s="94">
        <v>1.3</v>
      </c>
      <c r="J21" s="94">
        <v>1.1000000000000001</v>
      </c>
      <c r="K21" s="94">
        <v>1.3</v>
      </c>
      <c r="L21" s="94">
        <v>1.1000000000000001</v>
      </c>
      <c r="M21" s="94">
        <v>1.3</v>
      </c>
      <c r="N21" s="94">
        <v>1.4</v>
      </c>
      <c r="O21" s="94">
        <v>1.3</v>
      </c>
      <c r="P21" s="94">
        <v>1.3</v>
      </c>
      <c r="Q21" s="94">
        <v>1.2</v>
      </c>
      <c r="R21" s="94">
        <v>1.75</v>
      </c>
      <c r="S21" s="94">
        <v>1.85</v>
      </c>
      <c r="T21" s="94">
        <v>1.65</v>
      </c>
      <c r="U21" s="94">
        <v>1.7</v>
      </c>
      <c r="V21" s="94">
        <v>2.2000000000000002</v>
      </c>
      <c r="W21" s="94">
        <v>2.2000000000000002</v>
      </c>
      <c r="X21" s="94">
        <f t="array" ref="X21:AB21">TRANSPOSE((BJ51:BJ55 + 300) / 1000)</f>
        <v>2.2999999999999998</v>
      </c>
      <c r="Y21" s="94">
        <v>1.3</v>
      </c>
      <c r="Z21" s="94">
        <v>1.1000000000000001</v>
      </c>
      <c r="AA21" s="94">
        <v>0.9</v>
      </c>
      <c r="AB21" s="94">
        <v>1.3</v>
      </c>
      <c r="AC21" s="94">
        <v>2</v>
      </c>
      <c r="AD21" s="94">
        <v>1.3</v>
      </c>
      <c r="AE21" s="94">
        <v>0.9</v>
      </c>
      <c r="BF21" s="203" t="s">
        <v>894</v>
      </c>
      <c r="BG21" s="217">
        <v>1900</v>
      </c>
      <c r="BH21" s="218">
        <v>2200</v>
      </c>
      <c r="BI21" s="205" t="s">
        <v>929</v>
      </c>
      <c r="BJ21" s="204"/>
      <c r="BK21" s="204"/>
      <c r="BL21" s="204"/>
      <c r="BM21" s="204"/>
      <c r="BN21" s="204"/>
    </row>
    <row r="22" spans="2:66" ht="12.75" customHeight="1">
      <c r="B22" s="93" t="s">
        <v>930</v>
      </c>
      <c r="E22" s="35">
        <v>0.2</v>
      </c>
      <c r="F22" s="35">
        <v>0.2</v>
      </c>
      <c r="G22" s="35">
        <v>0.2</v>
      </c>
      <c r="H22" s="35">
        <v>0.2</v>
      </c>
      <c r="I22" s="35">
        <v>0.2</v>
      </c>
      <c r="J22" s="35">
        <v>0.2</v>
      </c>
      <c r="K22" s="35">
        <v>0.2</v>
      </c>
      <c r="L22" s="35">
        <v>0.2</v>
      </c>
      <c r="M22" s="35">
        <v>0.2</v>
      </c>
      <c r="N22" s="35">
        <v>0.2</v>
      </c>
      <c r="O22" s="35">
        <v>0.2</v>
      </c>
      <c r="P22" s="35">
        <v>0.2</v>
      </c>
      <c r="Q22" s="35">
        <v>0.2</v>
      </c>
      <c r="R22" s="35">
        <v>0.2</v>
      </c>
      <c r="S22" s="35">
        <v>0.2</v>
      </c>
      <c r="T22" s="35">
        <v>0.2</v>
      </c>
      <c r="U22" s="35">
        <v>0.2</v>
      </c>
      <c r="V22" s="35">
        <v>0.2</v>
      </c>
      <c r="W22" s="35">
        <v>0.2</v>
      </c>
      <c r="X22" s="35">
        <v>0.2</v>
      </c>
      <c r="Y22" s="35">
        <v>0.2</v>
      </c>
      <c r="Z22" s="35">
        <v>0.2</v>
      </c>
      <c r="AA22" s="35">
        <v>0.2</v>
      </c>
      <c r="AB22" s="35">
        <v>0.2</v>
      </c>
      <c r="AC22" s="35">
        <v>0.2</v>
      </c>
      <c r="AD22" s="35">
        <v>0.2</v>
      </c>
      <c r="AE22" s="35">
        <v>0.2</v>
      </c>
      <c r="BG22" s="216"/>
      <c r="BH22" s="36"/>
    </row>
    <row r="23" spans="2:66" ht="12.75" customHeight="1">
      <c r="B23" s="93" t="s">
        <v>931</v>
      </c>
      <c r="E23" s="35">
        <v>0.3</v>
      </c>
      <c r="F23" s="35">
        <v>0.3</v>
      </c>
      <c r="G23" s="35">
        <v>0.3</v>
      </c>
      <c r="H23" s="35">
        <v>0.3</v>
      </c>
      <c r="I23" s="35">
        <v>0.3</v>
      </c>
      <c r="J23" s="35">
        <v>0.3</v>
      </c>
      <c r="K23" s="35">
        <v>0.3</v>
      </c>
      <c r="L23" s="35">
        <v>0.3</v>
      </c>
      <c r="M23" s="35">
        <v>0.3</v>
      </c>
      <c r="N23" s="35">
        <v>0.3</v>
      </c>
      <c r="O23" s="35">
        <v>0.3</v>
      </c>
      <c r="P23" s="35">
        <v>0.3</v>
      </c>
      <c r="Q23" s="35">
        <v>0.3</v>
      </c>
      <c r="R23" s="35">
        <v>0.3</v>
      </c>
      <c r="S23" s="35">
        <v>0.3</v>
      </c>
      <c r="T23" s="35">
        <v>0.3</v>
      </c>
      <c r="U23" s="35">
        <v>0.3</v>
      </c>
      <c r="V23" s="35">
        <v>0.3</v>
      </c>
      <c r="W23" s="35">
        <v>0.3</v>
      </c>
      <c r="X23" s="35">
        <v>0.3</v>
      </c>
      <c r="Y23" s="35">
        <v>0.3</v>
      </c>
      <c r="Z23" s="35">
        <v>0.3</v>
      </c>
      <c r="AA23" s="35">
        <v>0.3</v>
      </c>
      <c r="AB23" s="35">
        <v>0.3</v>
      </c>
      <c r="AC23" s="35">
        <v>0.3</v>
      </c>
      <c r="AD23" s="35">
        <v>0.3</v>
      </c>
      <c r="AE23" s="35">
        <v>0.3</v>
      </c>
      <c r="BF23" s="838" t="s">
        <v>932</v>
      </c>
      <c r="BG23" s="794"/>
      <c r="BH23" s="794"/>
      <c r="BI23" s="794"/>
      <c r="BJ23" s="792"/>
      <c r="BK23" s="210"/>
      <c r="BL23" s="210"/>
      <c r="BM23" s="210"/>
      <c r="BN23" s="210"/>
    </row>
    <row r="24" spans="2:66" ht="12.75" customHeight="1">
      <c r="BF24" s="203" t="s">
        <v>816</v>
      </c>
      <c r="BG24" s="202" t="s">
        <v>933</v>
      </c>
      <c r="BH24" s="205" t="s">
        <v>934</v>
      </c>
      <c r="BI24" s="203" t="s">
        <v>935</v>
      </c>
      <c r="BJ24" s="205" t="s">
        <v>936</v>
      </c>
      <c r="BL24" s="210"/>
      <c r="BM24" s="210"/>
      <c r="BN24" s="210"/>
    </row>
    <row r="25" spans="2:66" ht="12.75" customHeight="1">
      <c r="B25" s="93" t="s">
        <v>937</v>
      </c>
      <c r="E25" s="35">
        <f t="shared" ref="E25:AE25" si="2">PRODUCT(E21:E23)*E15</f>
        <v>0.12</v>
      </c>
      <c r="F25" s="35">
        <f t="shared" si="2"/>
        <v>1.56</v>
      </c>
      <c r="G25" s="35">
        <f t="shared" si="2"/>
        <v>0.10800000000000001</v>
      </c>
      <c r="H25" s="35">
        <f t="shared" si="2"/>
        <v>7.8E-2</v>
      </c>
      <c r="I25" s="35">
        <f t="shared" si="2"/>
        <v>5.85</v>
      </c>
      <c r="J25" s="35">
        <f t="shared" si="2"/>
        <v>4.0920000000000005</v>
      </c>
      <c r="K25" s="35">
        <f t="shared" si="2"/>
        <v>0.78</v>
      </c>
      <c r="L25" s="35">
        <f t="shared" si="2"/>
        <v>3.036</v>
      </c>
      <c r="M25" s="35">
        <f t="shared" si="2"/>
        <v>0.78</v>
      </c>
      <c r="N25" s="35">
        <f t="shared" si="2"/>
        <v>3.78</v>
      </c>
      <c r="O25" s="35">
        <f t="shared" si="2"/>
        <v>1.482</v>
      </c>
      <c r="P25" s="35">
        <f t="shared" si="2"/>
        <v>6.5519999999999996</v>
      </c>
      <c r="Q25" s="35">
        <f t="shared" si="2"/>
        <v>4.7519999999999998</v>
      </c>
      <c r="R25" s="35">
        <f t="shared" si="2"/>
        <v>0.10500000000000001</v>
      </c>
      <c r="S25" s="35">
        <f t="shared" si="2"/>
        <v>0.11100000000000002</v>
      </c>
      <c r="T25" s="35">
        <f t="shared" si="2"/>
        <v>9.9000000000000005E-2</v>
      </c>
      <c r="U25" s="35">
        <f t="shared" si="2"/>
        <v>0.10200000000000001</v>
      </c>
      <c r="V25" s="35">
        <f t="shared" si="2"/>
        <v>0.13200000000000001</v>
      </c>
      <c r="W25" s="35">
        <f t="shared" si="2"/>
        <v>0.13200000000000001</v>
      </c>
      <c r="X25" s="35">
        <f t="shared" si="2"/>
        <v>0.82799999999999985</v>
      </c>
      <c r="Y25" s="35">
        <f t="shared" si="2"/>
        <v>1.8719999999999999</v>
      </c>
      <c r="Z25" s="35">
        <f t="shared" si="2"/>
        <v>0.39600000000000002</v>
      </c>
      <c r="AA25" s="35">
        <f t="shared" si="2"/>
        <v>0.64800000000000013</v>
      </c>
      <c r="AB25" s="35">
        <f t="shared" si="2"/>
        <v>0.624</v>
      </c>
      <c r="AC25" s="35">
        <f t="shared" si="2"/>
        <v>0.12</v>
      </c>
      <c r="AD25" s="35">
        <f t="shared" si="2"/>
        <v>7.8E-2</v>
      </c>
      <c r="AE25" s="35">
        <f t="shared" si="2"/>
        <v>0.32400000000000007</v>
      </c>
      <c r="BF25" s="203" t="s">
        <v>463</v>
      </c>
      <c r="BG25" s="217">
        <v>3050</v>
      </c>
      <c r="BH25" s="218">
        <v>3240</v>
      </c>
      <c r="BI25" s="205" t="s">
        <v>938</v>
      </c>
      <c r="BJ25" s="219">
        <v>0</v>
      </c>
      <c r="BL25" s="210"/>
      <c r="BM25" s="210"/>
      <c r="BN25" s="210"/>
    </row>
    <row r="26" spans="2:66" ht="12.75" customHeight="1">
      <c r="B26" s="93" t="s">
        <v>939</v>
      </c>
      <c r="X26" s="35">
        <f t="shared" ref="X26:AE26" si="3">X25</f>
        <v>0.82799999999999985</v>
      </c>
      <c r="Y26" s="35">
        <f t="shared" si="3"/>
        <v>1.8719999999999999</v>
      </c>
      <c r="Z26" s="35">
        <f t="shared" si="3"/>
        <v>0.39600000000000002</v>
      </c>
      <c r="AA26" s="35">
        <f t="shared" si="3"/>
        <v>0.64800000000000013</v>
      </c>
      <c r="AB26" s="35">
        <f t="shared" si="3"/>
        <v>0.624</v>
      </c>
      <c r="AC26" s="35">
        <f t="shared" si="3"/>
        <v>0.12</v>
      </c>
      <c r="AD26" s="35">
        <f t="shared" si="3"/>
        <v>7.8E-2</v>
      </c>
      <c r="AE26" s="35">
        <f t="shared" si="3"/>
        <v>0.32400000000000007</v>
      </c>
      <c r="BF26" s="203" t="s">
        <v>873</v>
      </c>
      <c r="BG26" s="217">
        <v>2100</v>
      </c>
      <c r="BH26" s="218">
        <v>3240</v>
      </c>
      <c r="BI26" s="205" t="s">
        <v>938</v>
      </c>
      <c r="BJ26" s="219">
        <v>0</v>
      </c>
      <c r="BL26" s="210"/>
      <c r="BM26" s="210"/>
      <c r="BN26" s="210"/>
    </row>
    <row r="27" spans="2:66" ht="12.75" customHeight="1">
      <c r="B27" s="35" t="s">
        <v>940</v>
      </c>
      <c r="E27" s="35">
        <f t="shared" ref="E27:AE27" si="4">E22*E21</f>
        <v>0.4</v>
      </c>
      <c r="F27" s="35">
        <f t="shared" si="4"/>
        <v>0.4</v>
      </c>
      <c r="G27" s="35">
        <f t="shared" si="4"/>
        <v>0.36000000000000004</v>
      </c>
      <c r="H27" s="35">
        <f t="shared" si="4"/>
        <v>0.26</v>
      </c>
      <c r="I27" s="35">
        <f t="shared" si="4"/>
        <v>0.26</v>
      </c>
      <c r="J27" s="35">
        <f t="shared" si="4"/>
        <v>0.22000000000000003</v>
      </c>
      <c r="K27" s="35">
        <f t="shared" si="4"/>
        <v>0.26</v>
      </c>
      <c r="L27" s="35">
        <f t="shared" si="4"/>
        <v>0.22000000000000003</v>
      </c>
      <c r="M27" s="35">
        <f t="shared" si="4"/>
        <v>0.26</v>
      </c>
      <c r="N27" s="35">
        <f t="shared" si="4"/>
        <v>0.27999999999999997</v>
      </c>
      <c r="O27" s="35">
        <f t="shared" si="4"/>
        <v>0.26</v>
      </c>
      <c r="P27" s="35">
        <f t="shared" si="4"/>
        <v>0.26</v>
      </c>
      <c r="Q27" s="35">
        <f t="shared" si="4"/>
        <v>0.24</v>
      </c>
      <c r="R27" s="35">
        <f t="shared" si="4"/>
        <v>0.35000000000000003</v>
      </c>
      <c r="S27" s="35">
        <f t="shared" si="4"/>
        <v>0.37000000000000005</v>
      </c>
      <c r="T27" s="35">
        <f t="shared" si="4"/>
        <v>0.33</v>
      </c>
      <c r="U27" s="35">
        <f t="shared" si="4"/>
        <v>0.34</v>
      </c>
      <c r="V27" s="35">
        <f t="shared" si="4"/>
        <v>0.44000000000000006</v>
      </c>
      <c r="W27" s="35">
        <f t="shared" si="4"/>
        <v>0.44000000000000006</v>
      </c>
      <c r="X27" s="35">
        <f t="shared" si="4"/>
        <v>0.45999999999999996</v>
      </c>
      <c r="Y27" s="35">
        <f t="shared" si="4"/>
        <v>0.26</v>
      </c>
      <c r="Z27" s="35">
        <f t="shared" si="4"/>
        <v>0.22000000000000003</v>
      </c>
      <c r="AA27" s="35">
        <f t="shared" si="4"/>
        <v>0.18000000000000002</v>
      </c>
      <c r="AB27" s="35">
        <f t="shared" si="4"/>
        <v>0.26</v>
      </c>
      <c r="AC27" s="35">
        <f t="shared" si="4"/>
        <v>0.4</v>
      </c>
      <c r="AD27" s="35">
        <f t="shared" si="4"/>
        <v>0.26</v>
      </c>
      <c r="AE27" s="35">
        <f t="shared" si="4"/>
        <v>0.18000000000000002</v>
      </c>
      <c r="BF27" s="203" t="s">
        <v>874</v>
      </c>
      <c r="BG27" s="217">
        <v>1400</v>
      </c>
      <c r="BH27" s="218">
        <v>3240</v>
      </c>
      <c r="BI27" s="205" t="s">
        <v>938</v>
      </c>
      <c r="BJ27" s="219">
        <v>0</v>
      </c>
      <c r="BL27" s="210"/>
      <c r="BM27" s="210"/>
      <c r="BN27" s="210"/>
    </row>
    <row r="28" spans="2:66" ht="12.75" customHeight="1">
      <c r="B28" s="93" t="s">
        <v>941</v>
      </c>
      <c r="E28" s="35">
        <f t="shared" ref="E28:AE28" si="5">SUM(E25:E27)-E27</f>
        <v>0.12</v>
      </c>
      <c r="F28" s="35">
        <f t="shared" si="5"/>
        <v>1.56</v>
      </c>
      <c r="G28" s="35">
        <f t="shared" si="5"/>
        <v>0.10800000000000004</v>
      </c>
      <c r="H28" s="35">
        <f t="shared" si="5"/>
        <v>7.8000000000000014E-2</v>
      </c>
      <c r="I28" s="35">
        <f t="shared" si="5"/>
        <v>5.85</v>
      </c>
      <c r="J28" s="35">
        <f t="shared" si="5"/>
        <v>4.0920000000000005</v>
      </c>
      <c r="K28" s="35">
        <f t="shared" si="5"/>
        <v>0.78</v>
      </c>
      <c r="L28" s="35">
        <f t="shared" si="5"/>
        <v>3.036</v>
      </c>
      <c r="M28" s="35">
        <f t="shared" si="5"/>
        <v>0.78</v>
      </c>
      <c r="N28" s="35">
        <f t="shared" si="5"/>
        <v>3.78</v>
      </c>
      <c r="O28" s="35">
        <f t="shared" si="5"/>
        <v>1.482</v>
      </c>
      <c r="P28" s="35">
        <f t="shared" si="5"/>
        <v>6.5519999999999996</v>
      </c>
      <c r="Q28" s="35">
        <f t="shared" si="5"/>
        <v>4.7519999999999998</v>
      </c>
      <c r="R28" s="35">
        <f t="shared" si="5"/>
        <v>0.10500000000000004</v>
      </c>
      <c r="S28" s="35">
        <f t="shared" si="5"/>
        <v>0.11100000000000004</v>
      </c>
      <c r="T28" s="35">
        <f t="shared" si="5"/>
        <v>9.9000000000000032E-2</v>
      </c>
      <c r="U28" s="35">
        <f t="shared" si="5"/>
        <v>0.10200000000000004</v>
      </c>
      <c r="V28" s="35">
        <f t="shared" si="5"/>
        <v>0.13200000000000001</v>
      </c>
      <c r="W28" s="35">
        <f t="shared" si="5"/>
        <v>0.13200000000000001</v>
      </c>
      <c r="X28" s="35">
        <f t="shared" si="5"/>
        <v>1.6559999999999997</v>
      </c>
      <c r="Y28" s="35">
        <f t="shared" si="5"/>
        <v>3.7439999999999998</v>
      </c>
      <c r="Z28" s="35">
        <f t="shared" si="5"/>
        <v>0.79200000000000004</v>
      </c>
      <c r="AA28" s="35">
        <f t="shared" si="5"/>
        <v>1.2960000000000003</v>
      </c>
      <c r="AB28" s="35">
        <f t="shared" si="5"/>
        <v>1.248</v>
      </c>
      <c r="AC28" s="35">
        <f t="shared" si="5"/>
        <v>0.24</v>
      </c>
      <c r="AD28" s="35">
        <f t="shared" si="5"/>
        <v>0.15600000000000003</v>
      </c>
      <c r="AE28" s="35">
        <f t="shared" si="5"/>
        <v>0.64800000000000013</v>
      </c>
      <c r="AF28" s="181">
        <f>SUM(C28:AE28)</f>
        <v>43.430999999999983</v>
      </c>
      <c r="AG28" s="220" t="s">
        <v>942</v>
      </c>
      <c r="AH28" s="94"/>
      <c r="AI28" s="94"/>
      <c r="AJ28" s="94"/>
      <c r="AK28" s="94"/>
      <c r="AL28" s="94"/>
      <c r="AM28" s="94"/>
      <c r="AN28" s="94"/>
      <c r="AO28" s="94"/>
      <c r="AP28" s="94"/>
      <c r="AQ28" s="94"/>
      <c r="AR28" s="94"/>
      <c r="AS28" s="94"/>
      <c r="AT28" s="94"/>
      <c r="AU28" s="94"/>
      <c r="AV28" s="94"/>
      <c r="AW28" s="94"/>
      <c r="AX28" s="94"/>
      <c r="AY28" s="94"/>
      <c r="AZ28" s="94"/>
      <c r="BA28" s="94"/>
      <c r="BB28" s="94"/>
      <c r="BC28" s="94"/>
      <c r="BD28" s="94"/>
      <c r="BE28" s="94"/>
      <c r="BF28" s="203" t="s">
        <v>868</v>
      </c>
      <c r="BG28" s="217">
        <v>3400</v>
      </c>
      <c r="BH28" s="218">
        <v>3240</v>
      </c>
      <c r="BI28" s="205" t="s">
        <v>938</v>
      </c>
      <c r="BJ28" s="219">
        <v>0</v>
      </c>
      <c r="BL28" s="210"/>
      <c r="BM28" s="210"/>
      <c r="BN28" s="210"/>
    </row>
    <row r="29" spans="2:66" ht="12.75" customHeight="1">
      <c r="BF29" s="203" t="s">
        <v>869</v>
      </c>
      <c r="BG29" s="217">
        <v>2600</v>
      </c>
      <c r="BH29" s="218">
        <v>3240</v>
      </c>
      <c r="BI29" s="205" t="s">
        <v>938</v>
      </c>
      <c r="BJ29" s="219">
        <v>0</v>
      </c>
      <c r="BL29" s="210"/>
      <c r="BM29" s="210"/>
      <c r="BN29" s="210"/>
    </row>
    <row r="30" spans="2:66" ht="12.75" customHeight="1">
      <c r="BF30" s="203" t="s">
        <v>870</v>
      </c>
      <c r="BG30" s="217">
        <v>3050</v>
      </c>
      <c r="BH30" s="218">
        <v>3240</v>
      </c>
      <c r="BI30" s="205" t="s">
        <v>938</v>
      </c>
      <c r="BJ30" s="219">
        <v>0</v>
      </c>
      <c r="BL30" s="210"/>
      <c r="BM30" s="210"/>
      <c r="BN30" s="210"/>
    </row>
    <row r="31" spans="2:66" ht="12.75" customHeight="1">
      <c r="B31" s="35" t="s">
        <v>943</v>
      </c>
      <c r="AH31" s="35" t="str">
        <f t="shared" ref="AH31:BC31" si="6">AH2</f>
        <v>CW1</v>
      </c>
      <c r="AI31" s="35" t="str">
        <f t="shared" si="6"/>
        <v>CW2</v>
      </c>
      <c r="AJ31" s="35" t="str">
        <f t="shared" si="6"/>
        <v>CW3</v>
      </c>
      <c r="AK31" s="35" t="str">
        <f t="shared" si="6"/>
        <v>CW4</v>
      </c>
      <c r="AL31" s="35" t="str">
        <f t="shared" si="6"/>
        <v>CW5</v>
      </c>
      <c r="AM31" s="35" t="str">
        <f t="shared" si="6"/>
        <v>CW6</v>
      </c>
      <c r="AN31" s="35" t="str">
        <f t="shared" si="6"/>
        <v>CW7</v>
      </c>
      <c r="AO31" s="35" t="str">
        <f t="shared" si="6"/>
        <v>CW8</v>
      </c>
      <c r="AP31" s="35" t="str">
        <f t="shared" si="6"/>
        <v>CW9</v>
      </c>
      <c r="AQ31" s="35" t="str">
        <f t="shared" si="6"/>
        <v>CW10</v>
      </c>
      <c r="AR31" s="35" t="str">
        <f t="shared" si="6"/>
        <v>CW11</v>
      </c>
      <c r="AS31" s="35" t="str">
        <f t="shared" si="6"/>
        <v>CW12</v>
      </c>
      <c r="AT31" s="35" t="str">
        <f t="shared" si="6"/>
        <v>CW13</v>
      </c>
      <c r="AU31" s="35" t="str">
        <f t="shared" si="6"/>
        <v>CW14</v>
      </c>
      <c r="AV31" s="35" t="str">
        <f t="shared" si="6"/>
        <v>CW15</v>
      </c>
      <c r="AW31" s="35" t="str">
        <f t="shared" si="6"/>
        <v>CW16</v>
      </c>
      <c r="AX31" s="35" t="str">
        <f t="shared" si="6"/>
        <v>CW17</v>
      </c>
      <c r="AY31" s="35" t="str">
        <f t="shared" si="6"/>
        <v>CW18</v>
      </c>
      <c r="AZ31" s="35" t="str">
        <f t="shared" si="6"/>
        <v>CW19</v>
      </c>
      <c r="BA31" s="35" t="str">
        <f t="shared" si="6"/>
        <v>CW20</v>
      </c>
      <c r="BB31" s="35" t="str">
        <f t="shared" si="6"/>
        <v>CW21</v>
      </c>
      <c r="BC31" s="35" t="str">
        <f t="shared" si="6"/>
        <v>CW22</v>
      </c>
      <c r="BF31" s="203" t="s">
        <v>866</v>
      </c>
      <c r="BG31" s="217">
        <v>1500</v>
      </c>
      <c r="BH31" s="218">
        <v>3240</v>
      </c>
      <c r="BI31" s="205" t="s">
        <v>938</v>
      </c>
      <c r="BJ31" s="219">
        <v>0</v>
      </c>
      <c r="BL31" s="210"/>
      <c r="BM31" s="210"/>
      <c r="BN31" s="210"/>
    </row>
    <row r="32" spans="2:66" ht="12.75" customHeight="1">
      <c r="B32" s="35" t="s">
        <v>944</v>
      </c>
      <c r="AH32" s="35">
        <f t="array" ref="AH32:BD32">TRANSPOSE((BG25:BG47) / 1000)</f>
        <v>3.05</v>
      </c>
      <c r="AI32" s="35">
        <v>2.1</v>
      </c>
      <c r="AJ32" s="35">
        <v>1.4</v>
      </c>
      <c r="AK32" s="35">
        <v>3.4</v>
      </c>
      <c r="AL32" s="35">
        <v>2.6</v>
      </c>
      <c r="AM32" s="35">
        <v>3.05</v>
      </c>
      <c r="AN32" s="35">
        <v>1.5</v>
      </c>
      <c r="AO32" s="35">
        <v>1.9</v>
      </c>
      <c r="AP32" s="35">
        <v>2.2999999999999998</v>
      </c>
      <c r="AQ32" s="35">
        <v>1.95</v>
      </c>
      <c r="AR32" s="35">
        <v>1.6</v>
      </c>
      <c r="AS32" s="35">
        <v>1.7</v>
      </c>
      <c r="AT32" s="35">
        <v>1.4</v>
      </c>
      <c r="AU32" s="35">
        <v>2.1</v>
      </c>
      <c r="AV32" s="35">
        <v>0.8</v>
      </c>
      <c r="AW32" s="35">
        <v>0.9</v>
      </c>
      <c r="AX32" s="35">
        <v>0.8</v>
      </c>
      <c r="AY32" s="35">
        <v>2.35</v>
      </c>
      <c r="AZ32" s="35">
        <v>1.3</v>
      </c>
      <c r="BA32" s="35">
        <v>0</v>
      </c>
      <c r="BB32" s="35">
        <v>1.7</v>
      </c>
      <c r="BC32" s="35">
        <v>0.6</v>
      </c>
      <c r="BD32" s="35">
        <v>1.3</v>
      </c>
      <c r="BF32" s="203" t="s">
        <v>897</v>
      </c>
      <c r="BG32" s="217">
        <v>1900</v>
      </c>
      <c r="BH32" s="218">
        <v>3200</v>
      </c>
      <c r="BI32" s="205" t="s">
        <v>938</v>
      </c>
      <c r="BJ32" s="219">
        <v>0</v>
      </c>
      <c r="BL32" s="210"/>
      <c r="BM32" s="210"/>
      <c r="BN32" s="210"/>
    </row>
    <row r="33" spans="2:66" ht="12.75" customHeight="1">
      <c r="B33" s="35" t="s">
        <v>945</v>
      </c>
      <c r="AH33" s="35">
        <f t="array" ref="AH33:BD33">TRANSPOSE((BH25:BH47) / 1000)</f>
        <v>3.24</v>
      </c>
      <c r="AI33" s="35">
        <v>3.24</v>
      </c>
      <c r="AJ33" s="35">
        <v>3.24</v>
      </c>
      <c r="AK33" s="35">
        <v>3.24</v>
      </c>
      <c r="AL33" s="35">
        <v>3.24</v>
      </c>
      <c r="AM33" s="35">
        <v>3.24</v>
      </c>
      <c r="AN33" s="35">
        <v>3.24</v>
      </c>
      <c r="AO33" s="35">
        <v>3.2</v>
      </c>
      <c r="AP33" s="35">
        <v>3.2</v>
      </c>
      <c r="AQ33" s="35">
        <v>3.24</v>
      </c>
      <c r="AR33" s="35">
        <v>3.24</v>
      </c>
      <c r="AS33" s="35">
        <v>3.24</v>
      </c>
      <c r="AT33" s="35">
        <v>3.24</v>
      </c>
      <c r="AU33" s="35">
        <v>3.24</v>
      </c>
      <c r="AV33" s="35">
        <v>3.24</v>
      </c>
      <c r="AW33" s="35">
        <v>3.24</v>
      </c>
      <c r="AX33" s="35">
        <v>3.24</v>
      </c>
      <c r="AY33" s="35">
        <v>3.24</v>
      </c>
      <c r="AZ33" s="35">
        <v>3.24</v>
      </c>
      <c r="BA33" s="35">
        <v>0</v>
      </c>
      <c r="BB33" s="35">
        <v>3.2</v>
      </c>
      <c r="BC33" s="35">
        <v>3.2</v>
      </c>
      <c r="BD33" s="35">
        <v>3.2</v>
      </c>
      <c r="BF33" s="203" t="s">
        <v>898</v>
      </c>
      <c r="BG33" s="217">
        <v>2300</v>
      </c>
      <c r="BH33" s="218">
        <v>3200</v>
      </c>
      <c r="BI33" s="205" t="s">
        <v>938</v>
      </c>
      <c r="BJ33" s="219">
        <v>0</v>
      </c>
      <c r="BL33" s="210"/>
      <c r="BM33" s="210"/>
      <c r="BN33" s="210"/>
    </row>
    <row r="34" spans="2:66" ht="12.75" customHeight="1">
      <c r="BF34" s="203" t="s">
        <v>899</v>
      </c>
      <c r="BG34" s="217">
        <v>1950</v>
      </c>
      <c r="BH34" s="218">
        <v>3240</v>
      </c>
      <c r="BI34" s="205" t="s">
        <v>938</v>
      </c>
      <c r="BJ34" s="219">
        <v>0</v>
      </c>
      <c r="BL34" s="210"/>
      <c r="BM34" s="210"/>
      <c r="BN34" s="210"/>
    </row>
    <row r="35" spans="2:66" ht="12.75" customHeight="1">
      <c r="B35" s="35" t="s">
        <v>121</v>
      </c>
      <c r="AH35" s="35">
        <f t="shared" ref="AH35:BC35" si="7">AH15</f>
        <v>5</v>
      </c>
      <c r="AI35" s="35">
        <f t="shared" si="7"/>
        <v>5</v>
      </c>
      <c r="AJ35" s="35">
        <f t="shared" si="7"/>
        <v>5</v>
      </c>
      <c r="AK35" s="35">
        <f t="shared" si="7"/>
        <v>5</v>
      </c>
      <c r="AL35" s="35">
        <f t="shared" si="7"/>
        <v>5</v>
      </c>
      <c r="AM35" s="35">
        <f t="shared" si="7"/>
        <v>5</v>
      </c>
      <c r="AN35" s="35">
        <f t="shared" si="7"/>
        <v>5</v>
      </c>
      <c r="AO35" s="35">
        <f t="shared" si="7"/>
        <v>5</v>
      </c>
      <c r="AP35" s="35">
        <f t="shared" si="7"/>
        <v>1</v>
      </c>
      <c r="AQ35" s="35">
        <f t="shared" si="7"/>
        <v>1</v>
      </c>
      <c r="AR35" s="35">
        <f t="shared" si="7"/>
        <v>1</v>
      </c>
      <c r="AS35" s="35">
        <f t="shared" si="7"/>
        <v>1</v>
      </c>
      <c r="AT35" s="35">
        <f t="shared" si="7"/>
        <v>1</v>
      </c>
      <c r="AU35" s="35">
        <f t="shared" si="7"/>
        <v>1</v>
      </c>
      <c r="AV35" s="35">
        <f t="shared" si="7"/>
        <v>1</v>
      </c>
      <c r="AW35" s="35">
        <f t="shared" si="7"/>
        <v>1</v>
      </c>
      <c r="AX35" s="35">
        <f t="shared" si="7"/>
        <v>1</v>
      </c>
      <c r="AY35" s="35">
        <f t="shared" si="7"/>
        <v>1</v>
      </c>
      <c r="AZ35" s="35">
        <f t="shared" si="7"/>
        <v>1</v>
      </c>
      <c r="BA35" s="35">
        <f t="shared" si="7"/>
        <v>1</v>
      </c>
      <c r="BB35" s="35">
        <f t="shared" si="7"/>
        <v>1</v>
      </c>
      <c r="BC35" s="35">
        <f t="shared" si="7"/>
        <v>1</v>
      </c>
      <c r="BF35" s="203" t="s">
        <v>900</v>
      </c>
      <c r="BG35" s="217">
        <v>1600</v>
      </c>
      <c r="BH35" s="218">
        <v>3240</v>
      </c>
      <c r="BI35" s="205" t="s">
        <v>938</v>
      </c>
      <c r="BJ35" s="219">
        <v>0</v>
      </c>
      <c r="BL35" s="210"/>
      <c r="BM35" s="210"/>
      <c r="BN35" s="210"/>
    </row>
    <row r="36" spans="2:66" ht="12.75" customHeight="1">
      <c r="BF36" s="203" t="s">
        <v>901</v>
      </c>
      <c r="BG36" s="217">
        <v>1700</v>
      </c>
      <c r="BH36" s="218">
        <v>3240</v>
      </c>
      <c r="BI36" s="205" t="s">
        <v>938</v>
      </c>
      <c r="BJ36" s="219">
        <v>0</v>
      </c>
      <c r="BL36" s="210"/>
      <c r="BM36" s="210"/>
      <c r="BN36" s="210"/>
    </row>
    <row r="37" spans="2:66" ht="12.75" customHeight="1">
      <c r="B37" s="35" t="s">
        <v>946</v>
      </c>
      <c r="AH37" s="35">
        <f t="shared" ref="AH37:BC37" si="8">PRODUCT(AH32:AH36)</f>
        <v>49.41</v>
      </c>
      <c r="AI37" s="35">
        <f t="shared" si="8"/>
        <v>34.020000000000003</v>
      </c>
      <c r="AJ37" s="35">
        <f t="shared" si="8"/>
        <v>22.68</v>
      </c>
      <c r="AK37" s="35">
        <f t="shared" si="8"/>
        <v>55.08</v>
      </c>
      <c r="AL37" s="35">
        <f t="shared" si="8"/>
        <v>42.120000000000005</v>
      </c>
      <c r="AM37" s="35">
        <f t="shared" si="8"/>
        <v>49.41</v>
      </c>
      <c r="AN37" s="35">
        <f t="shared" si="8"/>
        <v>24.3</v>
      </c>
      <c r="AO37" s="35">
        <f t="shared" si="8"/>
        <v>30.4</v>
      </c>
      <c r="AP37" s="35">
        <f t="shared" si="8"/>
        <v>7.3599999999999994</v>
      </c>
      <c r="AQ37" s="35">
        <f t="shared" si="8"/>
        <v>6.3180000000000005</v>
      </c>
      <c r="AR37" s="35">
        <f t="shared" si="8"/>
        <v>5.1840000000000011</v>
      </c>
      <c r="AS37" s="35">
        <f t="shared" si="8"/>
        <v>5.508</v>
      </c>
      <c r="AT37" s="35">
        <f t="shared" si="8"/>
        <v>4.5359999999999996</v>
      </c>
      <c r="AU37" s="35">
        <f t="shared" si="8"/>
        <v>6.8040000000000012</v>
      </c>
      <c r="AV37" s="35">
        <f t="shared" si="8"/>
        <v>2.5920000000000005</v>
      </c>
      <c r="AW37" s="35">
        <f t="shared" si="8"/>
        <v>2.9160000000000004</v>
      </c>
      <c r="AX37" s="35">
        <f t="shared" si="8"/>
        <v>2.5920000000000005</v>
      </c>
      <c r="AY37" s="35">
        <f t="shared" si="8"/>
        <v>7.6140000000000008</v>
      </c>
      <c r="AZ37" s="35">
        <f t="shared" si="8"/>
        <v>4.2120000000000006</v>
      </c>
      <c r="BA37" s="35">
        <f t="shared" si="8"/>
        <v>0</v>
      </c>
      <c r="BB37" s="35">
        <f t="shared" si="8"/>
        <v>5.44</v>
      </c>
      <c r="BC37" s="35">
        <f t="shared" si="8"/>
        <v>1.92</v>
      </c>
      <c r="BD37" s="209">
        <f>SUM(AH37:BC37)</f>
        <v>370.41599999999988</v>
      </c>
      <c r="BE37" s="35" t="s">
        <v>560</v>
      </c>
      <c r="BF37" s="203" t="s">
        <v>902</v>
      </c>
      <c r="BG37" s="217">
        <v>1400</v>
      </c>
      <c r="BH37" s="218">
        <v>3240</v>
      </c>
      <c r="BI37" s="205" t="s">
        <v>938</v>
      </c>
      <c r="BJ37" s="219">
        <v>0</v>
      </c>
      <c r="BL37" s="210"/>
      <c r="BM37" s="210"/>
      <c r="BN37" s="210"/>
    </row>
    <row r="38" spans="2:66" ht="12.75" customHeight="1">
      <c r="BF38" s="203" t="s">
        <v>903</v>
      </c>
      <c r="BG38" s="217">
        <v>2100</v>
      </c>
      <c r="BH38" s="218">
        <v>3240</v>
      </c>
      <c r="BI38" s="205" t="s">
        <v>938</v>
      </c>
      <c r="BJ38" s="219">
        <v>0</v>
      </c>
      <c r="BL38" s="210"/>
      <c r="BM38" s="210"/>
      <c r="BN38" s="210"/>
    </row>
    <row r="39" spans="2:66" ht="12.75" customHeight="1">
      <c r="BF39" s="203" t="s">
        <v>904</v>
      </c>
      <c r="BG39" s="217">
        <v>800</v>
      </c>
      <c r="BH39" s="218">
        <v>3240</v>
      </c>
      <c r="BI39" s="205" t="s">
        <v>938</v>
      </c>
      <c r="BJ39" s="219">
        <v>0</v>
      </c>
      <c r="BL39" s="210"/>
      <c r="BM39" s="210"/>
      <c r="BN39" s="210"/>
    </row>
    <row r="40" spans="2:66" ht="12.75" customHeight="1">
      <c r="B40" s="35" t="s">
        <v>912</v>
      </c>
      <c r="C40" s="35" t="s">
        <v>912</v>
      </c>
      <c r="D40" s="35" t="s">
        <v>912</v>
      </c>
      <c r="E40" s="35" t="s">
        <v>912</v>
      </c>
      <c r="F40" s="35" t="s">
        <v>912</v>
      </c>
      <c r="G40" s="35" t="s">
        <v>912</v>
      </c>
      <c r="H40" s="35" t="s">
        <v>912</v>
      </c>
      <c r="I40" s="35" t="s">
        <v>912</v>
      </c>
      <c r="J40" s="35" t="s">
        <v>912</v>
      </c>
      <c r="K40" s="35" t="s">
        <v>912</v>
      </c>
      <c r="L40" s="35" t="s">
        <v>912</v>
      </c>
      <c r="M40" s="35" t="s">
        <v>912</v>
      </c>
      <c r="N40" s="35" t="s">
        <v>912</v>
      </c>
      <c r="O40" s="35" t="s">
        <v>912</v>
      </c>
      <c r="P40" s="35" t="s">
        <v>912</v>
      </c>
      <c r="Q40" s="35" t="s">
        <v>912</v>
      </c>
      <c r="R40" s="35" t="s">
        <v>912</v>
      </c>
      <c r="S40" s="35" t="s">
        <v>912</v>
      </c>
      <c r="T40" s="35" t="s">
        <v>912</v>
      </c>
      <c r="U40" s="35" t="s">
        <v>912</v>
      </c>
      <c r="V40" s="35" t="s">
        <v>912</v>
      </c>
      <c r="W40" s="35" t="s">
        <v>912</v>
      </c>
      <c r="X40" s="35" t="s">
        <v>912</v>
      </c>
      <c r="Y40" s="35" t="s">
        <v>912</v>
      </c>
      <c r="Z40" s="35" t="s">
        <v>912</v>
      </c>
      <c r="AA40" s="35" t="s">
        <v>912</v>
      </c>
      <c r="AB40" s="35" t="s">
        <v>912</v>
      </c>
      <c r="AC40" s="35" t="s">
        <v>912</v>
      </c>
      <c r="AD40" s="35" t="s">
        <v>912</v>
      </c>
      <c r="AE40" s="35" t="s">
        <v>912</v>
      </c>
      <c r="BF40" s="203" t="s">
        <v>905</v>
      </c>
      <c r="BG40" s="217">
        <v>900</v>
      </c>
      <c r="BH40" s="218">
        <v>3240</v>
      </c>
      <c r="BI40" s="205" t="s">
        <v>938</v>
      </c>
      <c r="BJ40" s="219">
        <v>0</v>
      </c>
      <c r="BL40" s="210"/>
      <c r="BM40" s="210"/>
      <c r="BN40" s="210"/>
    </row>
    <row r="41" spans="2:66" ht="12.75" customHeight="1">
      <c r="B41" s="35" t="s">
        <v>947</v>
      </c>
      <c r="C41" s="35" t="s">
        <v>948</v>
      </c>
      <c r="D41" s="35" t="s">
        <v>948</v>
      </c>
      <c r="E41" s="35" t="s">
        <v>948</v>
      </c>
      <c r="F41" s="35" t="s">
        <v>948</v>
      </c>
      <c r="G41" s="35" t="s">
        <v>948</v>
      </c>
      <c r="H41" s="35" t="s">
        <v>948</v>
      </c>
      <c r="I41" s="35" t="s">
        <v>948</v>
      </c>
      <c r="J41" s="35" t="s">
        <v>948</v>
      </c>
      <c r="K41" s="35" t="s">
        <v>948</v>
      </c>
      <c r="L41" s="35" t="s">
        <v>948</v>
      </c>
      <c r="M41" s="35" t="s">
        <v>948</v>
      </c>
      <c r="N41" s="35" t="s">
        <v>948</v>
      </c>
      <c r="O41" s="35" t="s">
        <v>948</v>
      </c>
      <c r="P41" s="35" t="s">
        <v>948</v>
      </c>
      <c r="Q41" s="35" t="s">
        <v>948</v>
      </c>
      <c r="R41" s="35" t="s">
        <v>948</v>
      </c>
      <c r="S41" s="35" t="s">
        <v>948</v>
      </c>
      <c r="T41" s="35" t="s">
        <v>948</v>
      </c>
      <c r="U41" s="35" t="s">
        <v>948</v>
      </c>
      <c r="V41" s="35" t="s">
        <v>948</v>
      </c>
      <c r="W41" s="35" t="s">
        <v>948</v>
      </c>
      <c r="X41" s="35" t="s">
        <v>948</v>
      </c>
      <c r="Y41" s="35" t="s">
        <v>948</v>
      </c>
      <c r="Z41" s="35" t="s">
        <v>948</v>
      </c>
      <c r="AA41" s="35" t="s">
        <v>948</v>
      </c>
      <c r="AB41" s="35" t="s">
        <v>948</v>
      </c>
      <c r="AC41" s="35" t="s">
        <v>948</v>
      </c>
      <c r="AD41" s="35" t="s">
        <v>948</v>
      </c>
      <c r="AE41" s="35" t="s">
        <v>948</v>
      </c>
      <c r="BF41" s="203" t="s">
        <v>906</v>
      </c>
      <c r="BG41" s="217">
        <v>800</v>
      </c>
      <c r="BH41" s="218">
        <v>3240</v>
      </c>
      <c r="BI41" s="205" t="s">
        <v>938</v>
      </c>
      <c r="BJ41" s="219">
        <v>0</v>
      </c>
      <c r="BL41" s="210"/>
      <c r="BM41" s="210"/>
      <c r="BN41" s="210"/>
    </row>
    <row r="42" spans="2:66" ht="12.75" customHeight="1">
      <c r="B42" s="35" t="s">
        <v>944</v>
      </c>
      <c r="C42" s="35">
        <v>1.01</v>
      </c>
      <c r="D42" s="35">
        <v>0.98</v>
      </c>
      <c r="E42" s="35">
        <v>0.97</v>
      </c>
      <c r="F42" s="35">
        <v>0.49</v>
      </c>
      <c r="G42" s="35">
        <v>1.36</v>
      </c>
      <c r="H42" s="35">
        <v>0.51</v>
      </c>
      <c r="I42" s="35">
        <v>0.49</v>
      </c>
      <c r="J42" s="35">
        <v>0.9</v>
      </c>
      <c r="K42" s="35">
        <v>1.26</v>
      </c>
      <c r="L42" s="35">
        <v>1.29</v>
      </c>
      <c r="M42" s="35">
        <v>0.6</v>
      </c>
      <c r="N42" s="35">
        <v>0.72</v>
      </c>
      <c r="O42" s="35">
        <v>0.85</v>
      </c>
      <c r="P42" s="35">
        <v>0.44</v>
      </c>
      <c r="Q42" s="35">
        <v>0.56000000000000005</v>
      </c>
      <c r="R42" s="35">
        <v>0.36</v>
      </c>
      <c r="S42" s="35">
        <v>0.49</v>
      </c>
      <c r="T42" s="35">
        <v>0.52</v>
      </c>
      <c r="U42" s="35">
        <v>0.64</v>
      </c>
      <c r="V42" s="35">
        <v>0.67</v>
      </c>
      <c r="W42" s="35">
        <f>0.7+1.35</f>
        <v>2.0499999999999998</v>
      </c>
      <c r="X42" s="35">
        <v>2.2599999999999998</v>
      </c>
      <c r="Y42" s="35">
        <v>0.82</v>
      </c>
      <c r="Z42" s="35">
        <v>0.92</v>
      </c>
      <c r="AA42" s="35">
        <v>0.59</v>
      </c>
      <c r="AB42" s="35">
        <v>0.41</v>
      </c>
      <c r="AC42" s="35">
        <v>0.34</v>
      </c>
      <c r="AD42" s="35">
        <v>0.36</v>
      </c>
      <c r="AE42" s="35">
        <v>0.64</v>
      </c>
      <c r="BF42" s="203" t="s">
        <v>907</v>
      </c>
      <c r="BG42" s="217">
        <v>2350</v>
      </c>
      <c r="BH42" s="218">
        <v>3240</v>
      </c>
      <c r="BI42" s="205" t="s">
        <v>938</v>
      </c>
      <c r="BJ42" s="219">
        <v>0</v>
      </c>
      <c r="BL42" s="210"/>
      <c r="BM42" s="210"/>
      <c r="BN42" s="210"/>
    </row>
    <row r="43" spans="2:66" ht="12.75" customHeight="1">
      <c r="B43" s="35" t="s">
        <v>945</v>
      </c>
      <c r="C43" s="35">
        <v>2.2000000000000002</v>
      </c>
      <c r="D43" s="35">
        <v>2.2000000000000002</v>
      </c>
      <c r="E43" s="35">
        <v>2.2000000000000002</v>
      </c>
      <c r="F43" s="35">
        <v>2.2000000000000002</v>
      </c>
      <c r="G43" s="35">
        <v>2.2000000000000002</v>
      </c>
      <c r="H43" s="35">
        <v>2.2000000000000002</v>
      </c>
      <c r="I43" s="35">
        <v>2.2000000000000002</v>
      </c>
      <c r="J43" s="35">
        <v>2.2000000000000002</v>
      </c>
      <c r="K43" s="35">
        <v>2.2000000000000002</v>
      </c>
      <c r="L43" s="35">
        <v>2.2000000000000002</v>
      </c>
      <c r="M43" s="35">
        <v>2.2000000000000002</v>
      </c>
      <c r="N43" s="35">
        <v>2.2000000000000002</v>
      </c>
      <c r="O43" s="35">
        <v>2.2000000000000002</v>
      </c>
      <c r="P43" s="35">
        <v>2.2000000000000002</v>
      </c>
      <c r="Q43" s="35">
        <v>2.2000000000000002</v>
      </c>
      <c r="R43" s="35">
        <v>2.2000000000000002</v>
      </c>
      <c r="S43" s="35">
        <v>2.2000000000000002</v>
      </c>
      <c r="T43" s="35">
        <v>2.2000000000000002</v>
      </c>
      <c r="U43" s="35">
        <v>2.2000000000000002</v>
      </c>
      <c r="V43" s="35">
        <v>2.2000000000000002</v>
      </c>
      <c r="W43" s="35">
        <v>2.2000000000000002</v>
      </c>
      <c r="X43" s="35">
        <v>2.2000000000000002</v>
      </c>
      <c r="Y43" s="35">
        <v>2.2000000000000002</v>
      </c>
      <c r="Z43" s="35">
        <v>2.2000000000000002</v>
      </c>
      <c r="AA43" s="35">
        <v>2.2000000000000002</v>
      </c>
      <c r="AB43" s="35">
        <v>2.2000000000000002</v>
      </c>
      <c r="AC43" s="35">
        <v>2.2000000000000002</v>
      </c>
      <c r="AD43" s="35">
        <v>2.2000000000000002</v>
      </c>
      <c r="AE43" s="35">
        <v>2.2000000000000002</v>
      </c>
      <c r="BF43" s="203" t="s">
        <v>908</v>
      </c>
      <c r="BG43" s="217">
        <v>1300</v>
      </c>
      <c r="BH43" s="218">
        <v>3240</v>
      </c>
      <c r="BI43" s="205" t="s">
        <v>938</v>
      </c>
      <c r="BJ43" s="219">
        <v>0</v>
      </c>
      <c r="BL43" s="210"/>
      <c r="BM43" s="210"/>
      <c r="BN43" s="210"/>
    </row>
    <row r="44" spans="2:66" ht="12.75" customHeight="1">
      <c r="B44" s="35" t="s">
        <v>121</v>
      </c>
      <c r="C44" s="35">
        <v>1</v>
      </c>
      <c r="D44" s="35">
        <v>1</v>
      </c>
      <c r="E44" s="35">
        <v>1</v>
      </c>
      <c r="F44" s="35">
        <v>1</v>
      </c>
      <c r="G44" s="35">
        <v>1</v>
      </c>
      <c r="H44" s="35">
        <v>1</v>
      </c>
      <c r="I44" s="35">
        <v>1</v>
      </c>
      <c r="J44" s="35">
        <v>1</v>
      </c>
      <c r="K44" s="35">
        <v>1</v>
      </c>
      <c r="L44" s="35">
        <v>1</v>
      </c>
      <c r="M44" s="35">
        <v>1</v>
      </c>
      <c r="N44" s="35">
        <v>1</v>
      </c>
      <c r="O44" s="35">
        <v>1</v>
      </c>
      <c r="P44" s="35">
        <v>1</v>
      </c>
      <c r="Q44" s="35">
        <v>1</v>
      </c>
      <c r="R44" s="35">
        <v>1</v>
      </c>
      <c r="S44" s="35">
        <v>1</v>
      </c>
      <c r="T44" s="35">
        <v>1</v>
      </c>
      <c r="U44" s="35">
        <v>1</v>
      </c>
      <c r="V44" s="35">
        <v>1</v>
      </c>
      <c r="W44" s="35">
        <v>1</v>
      </c>
      <c r="X44" s="35">
        <v>1</v>
      </c>
      <c r="Y44" s="35">
        <v>1</v>
      </c>
      <c r="Z44" s="35">
        <v>1</v>
      </c>
      <c r="AA44" s="35">
        <v>1</v>
      </c>
      <c r="AB44" s="35">
        <v>1</v>
      </c>
      <c r="AC44" s="35">
        <v>1</v>
      </c>
      <c r="AD44" s="35">
        <v>1</v>
      </c>
      <c r="AE44" s="35">
        <v>1</v>
      </c>
      <c r="AF44" s="35">
        <f t="shared" ref="AF44:AF45" si="9">SUM(C44:AE44)</f>
        <v>29</v>
      </c>
      <c r="AG44" s="35" t="s">
        <v>121</v>
      </c>
      <c r="BF44" s="203"/>
      <c r="BG44" s="217"/>
      <c r="BH44" s="218"/>
      <c r="BI44" s="205"/>
      <c r="BJ44" s="219"/>
      <c r="BL44" s="210"/>
      <c r="BM44" s="210"/>
      <c r="BN44" s="210"/>
    </row>
    <row r="45" spans="2:66" ht="12.75" customHeight="1">
      <c r="B45" s="35" t="s">
        <v>949</v>
      </c>
      <c r="C45" s="35">
        <f t="shared" ref="C45:AE45" si="10">C42*C43*C44</f>
        <v>2.2220000000000004</v>
      </c>
      <c r="D45" s="35">
        <f t="shared" si="10"/>
        <v>2.1560000000000001</v>
      </c>
      <c r="E45" s="35">
        <f t="shared" si="10"/>
        <v>2.1339999999999999</v>
      </c>
      <c r="F45" s="35">
        <f t="shared" si="10"/>
        <v>1.0780000000000001</v>
      </c>
      <c r="G45" s="35">
        <f t="shared" si="10"/>
        <v>2.9920000000000004</v>
      </c>
      <c r="H45" s="35">
        <f t="shared" si="10"/>
        <v>1.1220000000000001</v>
      </c>
      <c r="I45" s="35">
        <f t="shared" si="10"/>
        <v>1.0780000000000001</v>
      </c>
      <c r="J45" s="35">
        <f t="shared" si="10"/>
        <v>1.9800000000000002</v>
      </c>
      <c r="K45" s="35">
        <f t="shared" si="10"/>
        <v>2.7720000000000002</v>
      </c>
      <c r="L45" s="35">
        <f t="shared" si="10"/>
        <v>2.8380000000000005</v>
      </c>
      <c r="M45" s="35">
        <f t="shared" si="10"/>
        <v>1.32</v>
      </c>
      <c r="N45" s="35">
        <f t="shared" si="10"/>
        <v>1.5840000000000001</v>
      </c>
      <c r="O45" s="35">
        <f t="shared" si="10"/>
        <v>1.87</v>
      </c>
      <c r="P45" s="35">
        <f t="shared" si="10"/>
        <v>0.96800000000000008</v>
      </c>
      <c r="Q45" s="35">
        <f t="shared" si="10"/>
        <v>1.2320000000000002</v>
      </c>
      <c r="R45" s="35">
        <f t="shared" si="10"/>
        <v>0.79200000000000004</v>
      </c>
      <c r="S45" s="35">
        <f t="shared" si="10"/>
        <v>1.0780000000000001</v>
      </c>
      <c r="T45" s="35">
        <f t="shared" si="10"/>
        <v>1.1440000000000001</v>
      </c>
      <c r="U45" s="35">
        <f t="shared" si="10"/>
        <v>1.4080000000000001</v>
      </c>
      <c r="V45" s="35">
        <f t="shared" si="10"/>
        <v>1.4740000000000002</v>
      </c>
      <c r="W45" s="35">
        <f t="shared" si="10"/>
        <v>4.51</v>
      </c>
      <c r="X45" s="35">
        <f t="shared" si="10"/>
        <v>4.9719999999999995</v>
      </c>
      <c r="Y45" s="35">
        <f t="shared" si="10"/>
        <v>1.804</v>
      </c>
      <c r="Z45" s="35">
        <f t="shared" si="10"/>
        <v>2.0240000000000005</v>
      </c>
      <c r="AA45" s="35">
        <f t="shared" si="10"/>
        <v>1.298</v>
      </c>
      <c r="AB45" s="35">
        <f t="shared" si="10"/>
        <v>0.90200000000000002</v>
      </c>
      <c r="AC45" s="35">
        <f t="shared" si="10"/>
        <v>0.74800000000000011</v>
      </c>
      <c r="AD45" s="35">
        <f t="shared" si="10"/>
        <v>0.79200000000000004</v>
      </c>
      <c r="AE45" s="35">
        <f t="shared" si="10"/>
        <v>1.4080000000000001</v>
      </c>
      <c r="AF45" s="35">
        <f t="shared" si="9"/>
        <v>51.70000000000001</v>
      </c>
      <c r="AG45" s="35" t="s">
        <v>560</v>
      </c>
      <c r="BF45" s="203" t="s">
        <v>909</v>
      </c>
      <c r="BG45" s="217">
        <v>1700</v>
      </c>
      <c r="BH45" s="218">
        <v>3200</v>
      </c>
      <c r="BI45" s="205" t="s">
        <v>938</v>
      </c>
      <c r="BJ45" s="219">
        <v>0</v>
      </c>
      <c r="BL45" s="210"/>
      <c r="BM45" s="210"/>
      <c r="BN45" s="210"/>
    </row>
    <row r="46" spans="2:66" ht="12.75" customHeight="1">
      <c r="BF46" s="203" t="s">
        <v>910</v>
      </c>
      <c r="BG46" s="217">
        <v>600</v>
      </c>
      <c r="BH46" s="218">
        <v>3200</v>
      </c>
      <c r="BI46" s="205" t="s">
        <v>938</v>
      </c>
      <c r="BJ46" s="219">
        <v>0</v>
      </c>
      <c r="BL46" s="210"/>
      <c r="BM46" s="210"/>
      <c r="BN46" s="210"/>
    </row>
    <row r="47" spans="2:66" ht="12.75" customHeight="1">
      <c r="B47" s="35" t="s">
        <v>912</v>
      </c>
      <c r="C47" s="35" t="s">
        <v>913</v>
      </c>
      <c r="D47" s="35" t="s">
        <v>913</v>
      </c>
      <c r="E47" s="35" t="s">
        <v>913</v>
      </c>
      <c r="F47" s="35" t="s">
        <v>913</v>
      </c>
      <c r="G47" s="35" t="s">
        <v>913</v>
      </c>
      <c r="H47" s="35" t="s">
        <v>913</v>
      </c>
      <c r="I47" s="35" t="s">
        <v>913</v>
      </c>
      <c r="J47" s="35" t="s">
        <v>913</v>
      </c>
      <c r="K47" s="35" t="s">
        <v>913</v>
      </c>
      <c r="L47" s="35" t="s">
        <v>913</v>
      </c>
      <c r="M47" s="35" t="s">
        <v>913</v>
      </c>
      <c r="N47" s="35" t="s">
        <v>913</v>
      </c>
      <c r="O47" s="35" t="s">
        <v>913</v>
      </c>
      <c r="P47" s="35" t="s">
        <v>913</v>
      </c>
      <c r="BF47" s="203" t="s">
        <v>911</v>
      </c>
      <c r="BG47" s="217">
        <v>1300</v>
      </c>
      <c r="BH47" s="218">
        <v>3200</v>
      </c>
      <c r="BI47" s="205" t="s">
        <v>938</v>
      </c>
      <c r="BJ47" s="219">
        <v>0</v>
      </c>
      <c r="BL47" s="210"/>
      <c r="BM47" s="210"/>
      <c r="BN47" s="210"/>
    </row>
    <row r="48" spans="2:66" ht="12.75" customHeight="1">
      <c r="B48" s="35" t="s">
        <v>947</v>
      </c>
      <c r="C48" s="35" t="s">
        <v>950</v>
      </c>
      <c r="D48" s="35" t="s">
        <v>950</v>
      </c>
      <c r="E48" s="35" t="s">
        <v>950</v>
      </c>
      <c r="F48" s="35" t="s">
        <v>950</v>
      </c>
      <c r="G48" s="35" t="s">
        <v>950</v>
      </c>
      <c r="H48" s="35" t="s">
        <v>950</v>
      </c>
      <c r="I48" s="35" t="s">
        <v>950</v>
      </c>
      <c r="J48" s="35" t="s">
        <v>950</v>
      </c>
      <c r="K48" s="35" t="s">
        <v>950</v>
      </c>
      <c r="L48" s="35" t="s">
        <v>950</v>
      </c>
      <c r="M48" s="35" t="s">
        <v>950</v>
      </c>
      <c r="N48" s="35" t="s">
        <v>950</v>
      </c>
      <c r="O48" s="35" t="s">
        <v>950</v>
      </c>
      <c r="P48" s="35" t="s">
        <v>950</v>
      </c>
      <c r="BG48" s="216"/>
      <c r="BH48" s="36"/>
      <c r="BI48" s="204"/>
    </row>
    <row r="49" spans="2:64" ht="12.75" customHeight="1">
      <c r="B49" s="35" t="s">
        <v>944</v>
      </c>
      <c r="C49" s="35">
        <v>0.3</v>
      </c>
      <c r="D49" s="35">
        <v>0.2</v>
      </c>
      <c r="E49" s="35">
        <v>0.2</v>
      </c>
      <c r="F49" s="35">
        <v>0.25</v>
      </c>
      <c r="G49" s="35">
        <v>0.2</v>
      </c>
      <c r="H49" s="35">
        <v>0.4</v>
      </c>
      <c r="I49" s="35">
        <v>0.3</v>
      </c>
      <c r="J49" s="35">
        <v>0.35</v>
      </c>
      <c r="K49" s="35">
        <v>0.63</v>
      </c>
      <c r="L49" s="35">
        <v>0.3</v>
      </c>
      <c r="M49" s="35">
        <v>0.3</v>
      </c>
      <c r="N49" s="35">
        <v>0.2</v>
      </c>
      <c r="O49" s="35">
        <v>0.45</v>
      </c>
      <c r="P49" s="35">
        <v>0.7</v>
      </c>
      <c r="BF49" s="838" t="s">
        <v>951</v>
      </c>
      <c r="BG49" s="794"/>
      <c r="BH49" s="794"/>
      <c r="BI49" s="794"/>
      <c r="BJ49" s="792"/>
    </row>
    <row r="50" spans="2:64" ht="12.75" customHeight="1">
      <c r="B50" s="35" t="s">
        <v>945</v>
      </c>
      <c r="C50" s="35">
        <v>2.2000000000000002</v>
      </c>
      <c r="D50" s="35">
        <v>2.2000000000000002</v>
      </c>
      <c r="E50" s="35">
        <v>2.2000000000000002</v>
      </c>
      <c r="F50" s="35">
        <v>2.2000000000000002</v>
      </c>
      <c r="G50" s="35">
        <v>2.2000000000000002</v>
      </c>
      <c r="H50" s="35">
        <v>2.2000000000000002</v>
      </c>
      <c r="I50" s="35">
        <v>2.2000000000000002</v>
      </c>
      <c r="J50" s="35">
        <v>2.2000000000000002</v>
      </c>
      <c r="K50" s="35">
        <v>2.2000000000000002</v>
      </c>
      <c r="L50" s="35">
        <v>2.2000000000000002</v>
      </c>
      <c r="M50" s="35">
        <v>2.2000000000000002</v>
      </c>
      <c r="N50" s="35">
        <v>2.2000000000000002</v>
      </c>
      <c r="O50" s="35">
        <v>2.2000000000000002</v>
      </c>
      <c r="P50" s="35">
        <v>2.2000000000000002</v>
      </c>
      <c r="BF50" s="203" t="s">
        <v>816</v>
      </c>
      <c r="BG50" s="221"/>
      <c r="BH50" s="222"/>
      <c r="BI50" s="203" t="s">
        <v>935</v>
      </c>
      <c r="BJ50" s="205" t="s">
        <v>952</v>
      </c>
      <c r="BK50" s="205" t="s">
        <v>953</v>
      </c>
      <c r="BL50" s="205" t="s">
        <v>936</v>
      </c>
    </row>
    <row r="51" spans="2:64" ht="12.75" customHeight="1">
      <c r="B51" s="35" t="s">
        <v>121</v>
      </c>
      <c r="C51" s="35">
        <v>6</v>
      </c>
      <c r="D51" s="35">
        <v>6</v>
      </c>
      <c r="E51" s="35">
        <v>6</v>
      </c>
      <c r="F51" s="35">
        <v>6</v>
      </c>
      <c r="G51" s="35">
        <v>6</v>
      </c>
      <c r="H51" s="35">
        <v>6</v>
      </c>
      <c r="I51" s="35">
        <v>6</v>
      </c>
      <c r="J51" s="35">
        <v>6</v>
      </c>
      <c r="K51" s="35">
        <v>6</v>
      </c>
      <c r="L51" s="35">
        <v>6</v>
      </c>
      <c r="M51" s="35">
        <v>6</v>
      </c>
      <c r="N51" s="35">
        <v>6</v>
      </c>
      <c r="O51" s="35">
        <v>6</v>
      </c>
      <c r="P51" s="35">
        <v>6</v>
      </c>
      <c r="AF51" s="35">
        <f t="shared" ref="AF51:AF52" si="11">SUM(C51:AE51)</f>
        <v>84</v>
      </c>
      <c r="AG51" s="35" t="s">
        <v>121</v>
      </c>
      <c r="BF51" s="203" t="s">
        <v>783</v>
      </c>
      <c r="BG51" s="221"/>
      <c r="BH51" s="222"/>
      <c r="BI51" s="205" t="s">
        <v>954</v>
      </c>
      <c r="BJ51" s="218">
        <v>2000</v>
      </c>
      <c r="BK51" s="218">
        <v>1400</v>
      </c>
      <c r="BL51" s="218">
        <v>800</v>
      </c>
    </row>
    <row r="52" spans="2:64" ht="12.75" customHeight="1">
      <c r="B52" s="35" t="s">
        <v>949</v>
      </c>
      <c r="C52" s="35">
        <f t="shared" ref="C52:P52" si="12">C49*C50*C51</f>
        <v>3.96</v>
      </c>
      <c r="D52" s="35">
        <f t="shared" si="12"/>
        <v>2.6400000000000006</v>
      </c>
      <c r="E52" s="35">
        <f t="shared" si="12"/>
        <v>2.6400000000000006</v>
      </c>
      <c r="F52" s="35">
        <f t="shared" si="12"/>
        <v>3.3000000000000003</v>
      </c>
      <c r="G52" s="35">
        <f t="shared" si="12"/>
        <v>2.6400000000000006</v>
      </c>
      <c r="H52" s="35">
        <f t="shared" si="12"/>
        <v>5.2800000000000011</v>
      </c>
      <c r="I52" s="35">
        <f t="shared" si="12"/>
        <v>3.96</v>
      </c>
      <c r="J52" s="35">
        <f t="shared" si="12"/>
        <v>4.62</v>
      </c>
      <c r="K52" s="35">
        <f t="shared" si="12"/>
        <v>8.3160000000000007</v>
      </c>
      <c r="L52" s="35">
        <f t="shared" si="12"/>
        <v>3.96</v>
      </c>
      <c r="M52" s="35">
        <f t="shared" si="12"/>
        <v>3.96</v>
      </c>
      <c r="N52" s="35">
        <f t="shared" si="12"/>
        <v>2.6400000000000006</v>
      </c>
      <c r="O52" s="35">
        <f t="shared" si="12"/>
        <v>5.94</v>
      </c>
      <c r="P52" s="35">
        <f t="shared" si="12"/>
        <v>9.24</v>
      </c>
      <c r="AF52" s="35">
        <f t="shared" si="11"/>
        <v>63.096000000000011</v>
      </c>
      <c r="AG52" s="35" t="s">
        <v>560</v>
      </c>
      <c r="BF52" s="203" t="s">
        <v>782</v>
      </c>
      <c r="BG52" s="221"/>
      <c r="BH52" s="222"/>
      <c r="BI52" s="205" t="s">
        <v>954</v>
      </c>
      <c r="BJ52" s="218">
        <v>1000</v>
      </c>
      <c r="BK52" s="218">
        <v>1100</v>
      </c>
      <c r="BL52" s="218">
        <v>1100</v>
      </c>
    </row>
    <row r="53" spans="2:64" ht="12.75" customHeight="1">
      <c r="BF53" s="203" t="s">
        <v>784</v>
      </c>
      <c r="BG53" s="221"/>
      <c r="BH53" s="222"/>
      <c r="BI53" s="205" t="s">
        <v>954</v>
      </c>
      <c r="BJ53" s="218">
        <v>800</v>
      </c>
      <c r="BK53" s="218">
        <v>1100</v>
      </c>
      <c r="BL53" s="218">
        <v>1100</v>
      </c>
    </row>
    <row r="54" spans="2:64" ht="12.75" customHeight="1">
      <c r="BF54" s="203" t="s">
        <v>779</v>
      </c>
      <c r="BG54" s="221"/>
      <c r="BH54" s="222"/>
      <c r="BI54" s="205" t="s">
        <v>955</v>
      </c>
      <c r="BJ54" s="218">
        <v>600</v>
      </c>
      <c r="BK54" s="218">
        <v>800</v>
      </c>
      <c r="BL54" s="218">
        <v>1400</v>
      </c>
    </row>
    <row r="55" spans="2:64" ht="12.75" customHeight="1">
      <c r="BF55" s="203" t="s">
        <v>895</v>
      </c>
      <c r="BG55" s="221"/>
      <c r="BH55" s="222"/>
      <c r="BI55" s="205" t="s">
        <v>954</v>
      </c>
      <c r="BJ55" s="218">
        <v>1000</v>
      </c>
      <c r="BK55" s="839" t="s">
        <v>956</v>
      </c>
      <c r="BL55" s="792"/>
    </row>
    <row r="56" spans="2:64" ht="12.75" customHeight="1">
      <c r="BF56" s="203" t="s">
        <v>775</v>
      </c>
      <c r="BG56" s="221"/>
      <c r="BH56" s="222"/>
      <c r="BI56" s="205" t="s">
        <v>954</v>
      </c>
      <c r="BJ56" s="839" t="s">
        <v>957</v>
      </c>
      <c r="BK56" s="792"/>
      <c r="BL56" s="218">
        <v>1000</v>
      </c>
    </row>
    <row r="57" spans="2:64" ht="12.75" customHeight="1">
      <c r="BF57" s="203" t="s">
        <v>896</v>
      </c>
      <c r="BG57" s="221"/>
      <c r="BH57" s="222"/>
      <c r="BI57" s="205" t="s">
        <v>954</v>
      </c>
      <c r="BJ57" s="218">
        <v>1000</v>
      </c>
      <c r="BK57" s="218">
        <v>1100</v>
      </c>
      <c r="BL57" s="218">
        <v>1100</v>
      </c>
    </row>
    <row r="58" spans="2:64" ht="12.75" customHeight="1">
      <c r="BF58" s="203" t="s">
        <v>864</v>
      </c>
      <c r="BG58" s="221"/>
      <c r="BH58" s="222"/>
      <c r="BI58" s="205" t="s">
        <v>954</v>
      </c>
      <c r="BJ58" s="218">
        <v>600</v>
      </c>
      <c r="BK58" s="218">
        <v>1100</v>
      </c>
      <c r="BL58" s="218">
        <v>1100</v>
      </c>
    </row>
    <row r="59" spans="2:64" ht="12.75" customHeight="1">
      <c r="BF59" s="203" t="s">
        <v>912</v>
      </c>
      <c r="BG59" s="221"/>
      <c r="BH59" s="222"/>
      <c r="BI59" s="205" t="s">
        <v>958</v>
      </c>
      <c r="BJ59" s="839" t="s">
        <v>957</v>
      </c>
      <c r="BK59" s="792"/>
      <c r="BL59" s="218">
        <v>0</v>
      </c>
    </row>
    <row r="60" spans="2:64" ht="12.75" customHeight="1">
      <c r="BG60" s="216"/>
      <c r="BH60" s="36"/>
    </row>
    <row r="61" spans="2:64" ht="12.75" customHeight="1">
      <c r="BF61" s="793" t="s">
        <v>811</v>
      </c>
      <c r="BG61" s="794"/>
      <c r="BH61" s="794"/>
      <c r="BI61" s="792"/>
    </row>
    <row r="62" spans="2:64" ht="12.75" customHeight="1">
      <c r="BF62" s="202" t="s">
        <v>814</v>
      </c>
      <c r="BG62" s="221"/>
      <c r="BH62" s="223"/>
      <c r="BI62" s="203"/>
    </row>
    <row r="63" spans="2:64" ht="12.75" customHeight="1">
      <c r="BF63" s="205" t="s">
        <v>816</v>
      </c>
      <c r="BG63" s="221"/>
      <c r="BH63" s="223"/>
      <c r="BI63" s="205" t="s">
        <v>817</v>
      </c>
    </row>
    <row r="64" spans="2:64" ht="12.75" customHeight="1">
      <c r="BF64" s="208" t="s">
        <v>758</v>
      </c>
      <c r="BG64" s="221"/>
      <c r="BH64" s="223"/>
      <c r="BI64" s="208" t="s">
        <v>819</v>
      </c>
    </row>
    <row r="65" spans="58:61" ht="12.75" customHeight="1">
      <c r="BF65" s="208" t="s">
        <v>806</v>
      </c>
      <c r="BG65" s="221"/>
      <c r="BH65" s="223"/>
      <c r="BI65" s="208" t="s">
        <v>821</v>
      </c>
    </row>
    <row r="66" spans="58:61" ht="12.75" customHeight="1">
      <c r="BF66" s="208" t="s">
        <v>807</v>
      </c>
      <c r="BG66" s="221"/>
      <c r="BH66" s="223"/>
      <c r="BI66" s="208" t="s">
        <v>823</v>
      </c>
    </row>
    <row r="67" spans="58:61" ht="12.75" customHeight="1">
      <c r="BF67" s="208" t="s">
        <v>808</v>
      </c>
      <c r="BG67" s="221"/>
      <c r="BH67" s="223"/>
      <c r="BI67" s="208" t="s">
        <v>825</v>
      </c>
    </row>
    <row r="68" spans="58:61" ht="12.75" customHeight="1">
      <c r="BF68" s="208" t="s">
        <v>809</v>
      </c>
      <c r="BG68" s="221"/>
      <c r="BH68" s="223"/>
      <c r="BI68" s="208" t="s">
        <v>826</v>
      </c>
    </row>
    <row r="69" spans="58:61" ht="12.75" customHeight="1">
      <c r="BF69" s="202" t="s">
        <v>827</v>
      </c>
      <c r="BG69" s="221"/>
      <c r="BH69" s="223"/>
      <c r="BI69" s="203"/>
    </row>
    <row r="70" spans="58:61" ht="12.75" customHeight="1">
      <c r="BF70" s="205" t="s">
        <v>816</v>
      </c>
      <c r="BG70" s="221"/>
      <c r="BH70" s="223"/>
      <c r="BI70" s="205" t="s">
        <v>817</v>
      </c>
    </row>
    <row r="71" spans="58:61" ht="12.75" customHeight="1">
      <c r="BF71" s="208" t="s">
        <v>476</v>
      </c>
      <c r="BG71" s="221"/>
      <c r="BH71" s="223"/>
      <c r="BI71" s="208" t="s">
        <v>829</v>
      </c>
    </row>
    <row r="72" spans="58:61" ht="12.75" customHeight="1">
      <c r="BF72" s="208" t="s">
        <v>478</v>
      </c>
      <c r="BG72" s="221"/>
      <c r="BH72" s="223"/>
      <c r="BI72" s="208" t="s">
        <v>830</v>
      </c>
    </row>
    <row r="73" spans="58:61" ht="12.75" customHeight="1">
      <c r="BF73" s="208" t="s">
        <v>495</v>
      </c>
      <c r="BG73" s="221"/>
      <c r="BH73" s="223"/>
      <c r="BI73" s="208" t="s">
        <v>832</v>
      </c>
    </row>
    <row r="74" spans="58:61" ht="12.75" customHeight="1">
      <c r="BF74" s="208" t="s">
        <v>810</v>
      </c>
      <c r="BG74" s="221"/>
      <c r="BH74" s="223"/>
      <c r="BI74" s="208" t="s">
        <v>833</v>
      </c>
    </row>
    <row r="75" spans="58:61" ht="12.75" customHeight="1">
      <c r="BF75" s="202" t="s">
        <v>835</v>
      </c>
      <c r="BG75" s="221"/>
      <c r="BH75" s="223"/>
      <c r="BI75" s="203"/>
    </row>
    <row r="76" spans="58:61" ht="12.75" customHeight="1">
      <c r="BF76" s="205" t="s">
        <v>816</v>
      </c>
      <c r="BG76" s="221"/>
      <c r="BH76" s="223"/>
      <c r="BI76" s="205" t="s">
        <v>817</v>
      </c>
    </row>
    <row r="77" spans="58:61" ht="12.75" customHeight="1">
      <c r="BF77" s="208" t="s">
        <v>783</v>
      </c>
      <c r="BG77" s="221"/>
      <c r="BH77" s="223"/>
      <c r="BI77" s="208" t="s">
        <v>837</v>
      </c>
    </row>
    <row r="78" spans="58:61" ht="12.75" customHeight="1">
      <c r="BF78" s="208" t="s">
        <v>782</v>
      </c>
      <c r="BG78" s="221"/>
      <c r="BH78" s="223"/>
      <c r="BI78" s="208" t="s">
        <v>838</v>
      </c>
    </row>
    <row r="79" spans="58:61" ht="12.75" customHeight="1">
      <c r="BF79" s="202" t="s">
        <v>840</v>
      </c>
      <c r="BG79" s="221"/>
      <c r="BH79" s="223"/>
      <c r="BI79" s="203"/>
    </row>
    <row r="80" spans="58:61" ht="12.75" customHeight="1">
      <c r="BF80" s="205" t="s">
        <v>816</v>
      </c>
      <c r="BG80" s="221"/>
      <c r="BH80" s="223"/>
      <c r="BI80" s="205" t="s">
        <v>817</v>
      </c>
    </row>
    <row r="81" spans="58:61" ht="12.75" customHeight="1">
      <c r="BF81" s="208" t="s">
        <v>216</v>
      </c>
      <c r="BG81" s="221"/>
      <c r="BH81" s="223"/>
      <c r="BI81" s="208" t="s">
        <v>843</v>
      </c>
    </row>
    <row r="82" spans="58:61" ht="12.75" customHeight="1">
      <c r="BF82" s="208" t="s">
        <v>218</v>
      </c>
      <c r="BG82" s="221"/>
      <c r="BH82" s="223"/>
      <c r="BI82" s="208" t="s">
        <v>844</v>
      </c>
    </row>
    <row r="83" spans="58:61" ht="12.75" customHeight="1">
      <c r="BG83" s="216"/>
      <c r="BH83" s="36"/>
    </row>
    <row r="84" spans="58:61" ht="12.75" customHeight="1">
      <c r="BG84" s="216"/>
      <c r="BH84" s="36"/>
    </row>
    <row r="85" spans="58:61" ht="12.75" customHeight="1">
      <c r="BG85" s="216"/>
      <c r="BH85" s="36"/>
    </row>
    <row r="86" spans="58:61" ht="12.75" customHeight="1">
      <c r="BG86" s="216"/>
      <c r="BH86" s="36"/>
    </row>
    <row r="87" spans="58:61" ht="12.75" customHeight="1">
      <c r="BG87" s="216"/>
      <c r="BH87" s="36"/>
    </row>
    <row r="88" spans="58:61" ht="12.75" customHeight="1">
      <c r="BG88" s="216"/>
      <c r="BH88" s="36"/>
    </row>
    <row r="89" spans="58:61" ht="12.75" customHeight="1">
      <c r="BG89" s="216"/>
      <c r="BH89" s="36"/>
    </row>
    <row r="90" spans="58:61" ht="12.75" customHeight="1">
      <c r="BG90" s="216"/>
      <c r="BH90" s="36"/>
    </row>
    <row r="91" spans="58:61" ht="12.75" customHeight="1">
      <c r="BG91" s="216"/>
      <c r="BH91" s="36"/>
    </row>
    <row r="92" spans="58:61" ht="12.75" customHeight="1">
      <c r="BG92" s="216"/>
      <c r="BH92" s="36"/>
    </row>
    <row r="93" spans="58:61" ht="12.75" customHeight="1">
      <c r="BG93" s="216"/>
      <c r="BH93" s="36"/>
    </row>
    <row r="94" spans="58:61" ht="12.75" customHeight="1">
      <c r="BG94" s="216"/>
      <c r="BH94" s="36"/>
    </row>
    <row r="95" spans="58:61" ht="12.75" customHeight="1">
      <c r="BG95" s="216"/>
      <c r="BH95" s="36"/>
    </row>
    <row r="96" spans="58:61" ht="12.75" customHeight="1">
      <c r="BG96" s="216"/>
      <c r="BH96" s="36"/>
    </row>
    <row r="97" spans="59:60" ht="12.75" customHeight="1">
      <c r="BG97" s="216"/>
      <c r="BH97" s="36"/>
    </row>
    <row r="98" spans="59:60" ht="12.75" customHeight="1">
      <c r="BG98" s="216"/>
      <c r="BH98" s="36"/>
    </row>
    <row r="99" spans="59:60" ht="12.75" customHeight="1">
      <c r="BG99" s="216"/>
      <c r="BH99" s="36"/>
    </row>
    <row r="100" spans="59:60" ht="12.75" customHeight="1">
      <c r="BG100" s="216"/>
      <c r="BH100" s="36"/>
    </row>
    <row r="101" spans="59:60" ht="12.75" customHeight="1">
      <c r="BG101" s="216"/>
      <c r="BH101" s="36"/>
    </row>
    <row r="102" spans="59:60" ht="12.75" customHeight="1">
      <c r="BG102" s="216"/>
      <c r="BH102" s="36"/>
    </row>
    <row r="103" spans="59:60" ht="12.75" customHeight="1">
      <c r="BG103" s="216"/>
      <c r="BH103" s="36"/>
    </row>
    <row r="104" spans="59:60" ht="12.75" customHeight="1">
      <c r="BG104" s="216"/>
      <c r="BH104" s="36"/>
    </row>
    <row r="105" spans="59:60" ht="12.75" customHeight="1">
      <c r="BG105" s="216"/>
      <c r="BH105" s="36"/>
    </row>
    <row r="106" spans="59:60" ht="12.75" customHeight="1">
      <c r="BG106" s="216"/>
      <c r="BH106" s="36"/>
    </row>
    <row r="107" spans="59:60" ht="12.75" customHeight="1">
      <c r="BG107" s="216"/>
      <c r="BH107" s="36"/>
    </row>
    <row r="108" spans="59:60" ht="12.75" customHeight="1">
      <c r="BG108" s="216"/>
      <c r="BH108" s="36"/>
    </row>
    <row r="109" spans="59:60" ht="12.75" customHeight="1">
      <c r="BG109" s="216"/>
      <c r="BH109" s="36"/>
    </row>
    <row r="110" spans="59:60" ht="12.75" customHeight="1">
      <c r="BG110" s="216"/>
      <c r="BH110" s="36"/>
    </row>
    <row r="111" spans="59:60" ht="12.75" customHeight="1">
      <c r="BG111" s="216"/>
      <c r="BH111" s="36"/>
    </row>
    <row r="112" spans="59:60" ht="12.75" customHeight="1">
      <c r="BG112" s="216"/>
      <c r="BH112" s="36"/>
    </row>
    <row r="113" spans="59:60" ht="12.75" customHeight="1">
      <c r="BG113" s="216"/>
      <c r="BH113" s="36"/>
    </row>
    <row r="114" spans="59:60" ht="12.75" customHeight="1">
      <c r="BG114" s="216"/>
      <c r="BH114" s="36"/>
    </row>
    <row r="115" spans="59:60" ht="12.75" customHeight="1">
      <c r="BG115" s="216"/>
      <c r="BH115" s="36"/>
    </row>
    <row r="116" spans="59:60" ht="12.75" customHeight="1">
      <c r="BG116" s="216"/>
      <c r="BH116" s="36"/>
    </row>
    <row r="117" spans="59:60" ht="12.75" customHeight="1">
      <c r="BG117" s="216"/>
      <c r="BH117" s="36"/>
    </row>
    <row r="118" spans="59:60" ht="12.75" customHeight="1">
      <c r="BG118" s="216"/>
      <c r="BH118" s="36"/>
    </row>
    <row r="119" spans="59:60" ht="12.75" customHeight="1">
      <c r="BG119" s="216"/>
      <c r="BH119" s="36"/>
    </row>
    <row r="120" spans="59:60" ht="12.75" customHeight="1">
      <c r="BG120" s="216"/>
      <c r="BH120" s="36"/>
    </row>
    <row r="121" spans="59:60" ht="12.75" customHeight="1">
      <c r="BG121" s="216"/>
      <c r="BH121" s="36"/>
    </row>
    <row r="122" spans="59:60" ht="12.75" customHeight="1">
      <c r="BG122" s="216"/>
      <c r="BH122" s="36"/>
    </row>
    <row r="123" spans="59:60" ht="12.75" customHeight="1">
      <c r="BG123" s="216"/>
      <c r="BH123" s="36"/>
    </row>
    <row r="124" spans="59:60" ht="12.75" customHeight="1">
      <c r="BG124" s="216"/>
      <c r="BH124" s="36"/>
    </row>
    <row r="125" spans="59:60" ht="12.75" customHeight="1">
      <c r="BG125" s="216"/>
      <c r="BH125" s="36"/>
    </row>
    <row r="126" spans="59:60" ht="12.75" customHeight="1">
      <c r="BG126" s="216"/>
      <c r="BH126" s="36"/>
    </row>
    <row r="127" spans="59:60" ht="12.75" customHeight="1">
      <c r="BG127" s="216"/>
      <c r="BH127" s="36"/>
    </row>
    <row r="128" spans="59:60" ht="12.75" customHeight="1">
      <c r="BG128" s="216"/>
      <c r="BH128" s="36"/>
    </row>
    <row r="129" spans="59:60" ht="12.75" customHeight="1">
      <c r="BG129" s="216"/>
      <c r="BH129" s="36"/>
    </row>
    <row r="130" spans="59:60" ht="12.75" customHeight="1">
      <c r="BG130" s="216"/>
      <c r="BH130" s="36"/>
    </row>
    <row r="131" spans="59:60" ht="12.75" customHeight="1">
      <c r="BG131" s="216"/>
      <c r="BH131" s="36"/>
    </row>
    <row r="132" spans="59:60" ht="12.75" customHeight="1">
      <c r="BG132" s="216"/>
      <c r="BH132" s="36"/>
    </row>
    <row r="133" spans="59:60" ht="12.75" customHeight="1">
      <c r="BG133" s="216"/>
      <c r="BH133" s="36"/>
    </row>
    <row r="134" spans="59:60" ht="12.75" customHeight="1">
      <c r="BG134" s="216"/>
      <c r="BH134" s="36"/>
    </row>
    <row r="135" spans="59:60" ht="12.75" customHeight="1">
      <c r="BG135" s="216"/>
      <c r="BH135" s="36"/>
    </row>
    <row r="136" spans="59:60" ht="12.75" customHeight="1">
      <c r="BG136" s="216"/>
      <c r="BH136" s="36"/>
    </row>
    <row r="137" spans="59:60" ht="12.75" customHeight="1">
      <c r="BG137" s="216"/>
      <c r="BH137" s="36"/>
    </row>
    <row r="138" spans="59:60" ht="12.75" customHeight="1">
      <c r="BG138" s="216"/>
      <c r="BH138" s="36"/>
    </row>
    <row r="139" spans="59:60" ht="12.75" customHeight="1">
      <c r="BG139" s="216"/>
      <c r="BH139" s="36"/>
    </row>
    <row r="140" spans="59:60" ht="12.75" customHeight="1">
      <c r="BG140" s="216"/>
      <c r="BH140" s="36"/>
    </row>
    <row r="141" spans="59:60" ht="12.75" customHeight="1">
      <c r="BG141" s="216"/>
      <c r="BH141" s="36"/>
    </row>
    <row r="142" spans="59:60" ht="12.75" customHeight="1">
      <c r="BG142" s="216"/>
      <c r="BH142" s="36"/>
    </row>
    <row r="143" spans="59:60" ht="12.75" customHeight="1">
      <c r="BG143" s="216"/>
      <c r="BH143" s="36"/>
    </row>
    <row r="144" spans="59:60" ht="12.75" customHeight="1">
      <c r="BG144" s="216"/>
      <c r="BH144" s="36"/>
    </row>
    <row r="145" spans="59:60" ht="12.75" customHeight="1">
      <c r="BG145" s="216"/>
      <c r="BH145" s="36"/>
    </row>
    <row r="146" spans="59:60" ht="12.75" customHeight="1">
      <c r="BG146" s="216"/>
      <c r="BH146" s="36"/>
    </row>
    <row r="147" spans="59:60" ht="12.75" customHeight="1">
      <c r="BG147" s="216"/>
      <c r="BH147" s="36"/>
    </row>
    <row r="148" spans="59:60" ht="12.75" customHeight="1">
      <c r="BG148" s="216"/>
      <c r="BH148" s="36"/>
    </row>
    <row r="149" spans="59:60" ht="12.75" customHeight="1">
      <c r="BG149" s="216"/>
      <c r="BH149" s="36"/>
    </row>
    <row r="150" spans="59:60" ht="12.75" customHeight="1">
      <c r="BG150" s="216"/>
      <c r="BH150" s="36"/>
    </row>
    <row r="151" spans="59:60" ht="12.75" customHeight="1">
      <c r="BG151" s="216"/>
      <c r="BH151" s="36"/>
    </row>
    <row r="152" spans="59:60" ht="12.75" customHeight="1">
      <c r="BG152" s="216"/>
      <c r="BH152" s="36"/>
    </row>
    <row r="153" spans="59:60" ht="12.75" customHeight="1">
      <c r="BG153" s="216"/>
      <c r="BH153" s="36"/>
    </row>
    <row r="154" spans="59:60" ht="12.75" customHeight="1">
      <c r="BG154" s="216"/>
      <c r="BH154" s="36"/>
    </row>
    <row r="155" spans="59:60" ht="12.75" customHeight="1">
      <c r="BG155" s="216"/>
      <c r="BH155" s="36"/>
    </row>
    <row r="156" spans="59:60" ht="12.75" customHeight="1">
      <c r="BG156" s="216"/>
      <c r="BH156" s="36"/>
    </row>
    <row r="157" spans="59:60" ht="12.75" customHeight="1">
      <c r="BG157" s="216"/>
      <c r="BH157" s="36"/>
    </row>
    <row r="158" spans="59:60" ht="12.75" customHeight="1">
      <c r="BG158" s="216"/>
      <c r="BH158" s="36"/>
    </row>
    <row r="159" spans="59:60" ht="12.75" customHeight="1">
      <c r="BG159" s="216"/>
      <c r="BH159" s="36"/>
    </row>
    <row r="160" spans="59:60" ht="12.75" customHeight="1">
      <c r="BG160" s="216"/>
      <c r="BH160" s="36"/>
    </row>
    <row r="161" spans="59:60" ht="12.75" customHeight="1">
      <c r="BG161" s="216"/>
      <c r="BH161" s="36"/>
    </row>
    <row r="162" spans="59:60" ht="12.75" customHeight="1">
      <c r="BG162" s="216"/>
      <c r="BH162" s="36"/>
    </row>
    <row r="163" spans="59:60" ht="12.75" customHeight="1">
      <c r="BG163" s="216"/>
      <c r="BH163" s="36"/>
    </row>
    <row r="164" spans="59:60" ht="12.75" customHeight="1">
      <c r="BG164" s="216"/>
      <c r="BH164" s="36"/>
    </row>
    <row r="165" spans="59:60" ht="12.75" customHeight="1">
      <c r="BG165" s="216"/>
      <c r="BH165" s="36"/>
    </row>
    <row r="166" spans="59:60" ht="12.75" customHeight="1">
      <c r="BG166" s="216"/>
      <c r="BH166" s="36"/>
    </row>
    <row r="167" spans="59:60" ht="12.75" customHeight="1">
      <c r="BG167" s="216"/>
      <c r="BH167" s="36"/>
    </row>
    <row r="168" spans="59:60" ht="12.75" customHeight="1">
      <c r="BG168" s="216"/>
      <c r="BH168" s="36"/>
    </row>
    <row r="169" spans="59:60" ht="12.75" customHeight="1">
      <c r="BG169" s="216"/>
      <c r="BH169" s="36"/>
    </row>
    <row r="170" spans="59:60" ht="12.75" customHeight="1">
      <c r="BG170" s="216"/>
      <c r="BH170" s="36"/>
    </row>
    <row r="171" spans="59:60" ht="12.75" customHeight="1">
      <c r="BG171" s="216"/>
      <c r="BH171" s="36"/>
    </row>
    <row r="172" spans="59:60" ht="12.75" customHeight="1">
      <c r="BG172" s="216"/>
      <c r="BH172" s="36"/>
    </row>
    <row r="173" spans="59:60" ht="12.75" customHeight="1">
      <c r="BG173" s="216"/>
      <c r="BH173" s="36"/>
    </row>
    <row r="174" spans="59:60" ht="12.75" customHeight="1">
      <c r="BG174" s="216"/>
      <c r="BH174" s="36"/>
    </row>
    <row r="175" spans="59:60" ht="12.75" customHeight="1">
      <c r="BG175" s="216"/>
      <c r="BH175" s="36"/>
    </row>
    <row r="176" spans="59:60" ht="12.75" customHeight="1">
      <c r="BG176" s="216"/>
      <c r="BH176" s="36"/>
    </row>
    <row r="177" spans="59:60" ht="12.75" customHeight="1">
      <c r="BG177" s="216"/>
      <c r="BH177" s="36"/>
    </row>
    <row r="178" spans="59:60" ht="12.75" customHeight="1">
      <c r="BG178" s="216"/>
      <c r="BH178" s="36"/>
    </row>
    <row r="179" spans="59:60" ht="12.75" customHeight="1">
      <c r="BG179" s="216"/>
      <c r="BH179" s="36"/>
    </row>
    <row r="180" spans="59:60" ht="12.75" customHeight="1">
      <c r="BG180" s="216"/>
      <c r="BH180" s="36"/>
    </row>
    <row r="181" spans="59:60" ht="12.75" customHeight="1">
      <c r="BG181" s="216"/>
      <c r="BH181" s="36"/>
    </row>
    <row r="182" spans="59:60" ht="12.75" customHeight="1">
      <c r="BG182" s="216"/>
      <c r="BH182" s="36"/>
    </row>
    <row r="183" spans="59:60" ht="12.75" customHeight="1">
      <c r="BG183" s="216"/>
      <c r="BH183" s="36"/>
    </row>
    <row r="184" spans="59:60" ht="12.75" customHeight="1">
      <c r="BG184" s="216"/>
      <c r="BH184" s="36"/>
    </row>
    <row r="185" spans="59:60" ht="12.75" customHeight="1">
      <c r="BG185" s="216"/>
      <c r="BH185" s="36"/>
    </row>
    <row r="186" spans="59:60" ht="12.75" customHeight="1">
      <c r="BG186" s="216"/>
      <c r="BH186" s="36"/>
    </row>
    <row r="187" spans="59:60" ht="12.75" customHeight="1">
      <c r="BG187" s="216"/>
      <c r="BH187" s="36"/>
    </row>
    <row r="188" spans="59:60" ht="12.75" customHeight="1">
      <c r="BG188" s="216"/>
      <c r="BH188" s="36"/>
    </row>
    <row r="189" spans="59:60" ht="12.75" customHeight="1">
      <c r="BG189" s="216"/>
      <c r="BH189" s="36"/>
    </row>
    <row r="190" spans="59:60" ht="12.75" customHeight="1">
      <c r="BG190" s="216"/>
      <c r="BH190" s="36"/>
    </row>
    <row r="191" spans="59:60" ht="12.75" customHeight="1">
      <c r="BG191" s="216"/>
      <c r="BH191" s="36"/>
    </row>
    <row r="192" spans="59:60" ht="12.75" customHeight="1">
      <c r="BG192" s="216"/>
      <c r="BH192" s="36"/>
    </row>
    <row r="193" spans="59:60" ht="12.75" customHeight="1">
      <c r="BG193" s="216"/>
      <c r="BH193" s="36"/>
    </row>
    <row r="194" spans="59:60" ht="12.75" customHeight="1">
      <c r="BG194" s="216"/>
      <c r="BH194" s="36"/>
    </row>
    <row r="195" spans="59:60" ht="12.75" customHeight="1">
      <c r="BG195" s="216"/>
      <c r="BH195" s="36"/>
    </row>
    <row r="196" spans="59:60" ht="12.75" customHeight="1">
      <c r="BG196" s="216"/>
      <c r="BH196" s="36"/>
    </row>
    <row r="197" spans="59:60" ht="12.75" customHeight="1">
      <c r="BG197" s="216"/>
      <c r="BH197" s="36"/>
    </row>
    <row r="198" spans="59:60" ht="12.75" customHeight="1">
      <c r="BG198" s="216"/>
      <c r="BH198" s="36"/>
    </row>
    <row r="199" spans="59:60" ht="12.75" customHeight="1">
      <c r="BG199" s="216"/>
      <c r="BH199" s="36"/>
    </row>
    <row r="200" spans="59:60" ht="12.75" customHeight="1">
      <c r="BG200" s="216"/>
      <c r="BH200" s="36"/>
    </row>
    <row r="201" spans="59:60" ht="12.75" customHeight="1">
      <c r="BG201" s="216"/>
      <c r="BH201" s="36"/>
    </row>
    <row r="202" spans="59:60" ht="12.75" customHeight="1">
      <c r="BG202" s="216"/>
      <c r="BH202" s="36"/>
    </row>
    <row r="203" spans="59:60" ht="12.75" customHeight="1">
      <c r="BG203" s="216"/>
      <c r="BH203" s="36"/>
    </row>
    <row r="204" spans="59:60" ht="12.75" customHeight="1">
      <c r="BG204" s="216"/>
      <c r="BH204" s="36"/>
    </row>
    <row r="205" spans="59:60" ht="12.75" customHeight="1">
      <c r="BG205" s="216"/>
      <c r="BH205" s="36"/>
    </row>
    <row r="206" spans="59:60" ht="12.75" customHeight="1">
      <c r="BG206" s="216"/>
      <c r="BH206" s="36"/>
    </row>
    <row r="207" spans="59:60" ht="12.75" customHeight="1">
      <c r="BG207" s="216"/>
      <c r="BH207" s="36"/>
    </row>
    <row r="208" spans="59:60" ht="12.75" customHeight="1">
      <c r="BG208" s="216"/>
      <c r="BH208" s="36"/>
    </row>
    <row r="209" spans="59:60" ht="12.75" customHeight="1">
      <c r="BG209" s="216"/>
      <c r="BH209" s="36"/>
    </row>
    <row r="210" spans="59:60" ht="12.75" customHeight="1">
      <c r="BG210" s="216"/>
      <c r="BH210" s="36"/>
    </row>
    <row r="211" spans="59:60" ht="12.75" customHeight="1">
      <c r="BG211" s="216"/>
      <c r="BH211" s="36"/>
    </row>
    <row r="212" spans="59:60" ht="12.75" customHeight="1">
      <c r="BG212" s="216"/>
      <c r="BH212" s="36"/>
    </row>
    <row r="213" spans="59:60" ht="12.75" customHeight="1">
      <c r="BG213" s="216"/>
      <c r="BH213" s="36"/>
    </row>
    <row r="214" spans="59:60" ht="12.75" customHeight="1">
      <c r="BG214" s="216"/>
      <c r="BH214" s="36"/>
    </row>
    <row r="215" spans="59:60" ht="12.75" customHeight="1">
      <c r="BG215" s="216"/>
      <c r="BH215" s="36"/>
    </row>
    <row r="216" spans="59:60" ht="12.75" customHeight="1">
      <c r="BG216" s="216"/>
      <c r="BH216" s="36"/>
    </row>
    <row r="217" spans="59:60" ht="12.75" customHeight="1">
      <c r="BG217" s="216"/>
      <c r="BH217" s="36"/>
    </row>
    <row r="218" spans="59:60" ht="12.75" customHeight="1">
      <c r="BG218" s="216"/>
      <c r="BH218" s="36"/>
    </row>
    <row r="219" spans="59:60" ht="12.75" customHeight="1">
      <c r="BG219" s="216"/>
      <c r="BH219" s="36"/>
    </row>
    <row r="220" spans="59:60" ht="12.75" customHeight="1">
      <c r="BG220" s="216"/>
      <c r="BH220" s="36"/>
    </row>
    <row r="221" spans="59:60" ht="12.75" customHeight="1">
      <c r="BG221" s="216"/>
      <c r="BH221" s="36"/>
    </row>
    <row r="222" spans="59:60" ht="12.75" customHeight="1">
      <c r="BG222" s="216"/>
      <c r="BH222" s="36"/>
    </row>
    <row r="223" spans="59:60" ht="12.75" customHeight="1">
      <c r="BG223" s="216"/>
      <c r="BH223" s="36"/>
    </row>
    <row r="224" spans="59:60" ht="12.75" customHeight="1">
      <c r="BG224" s="216"/>
      <c r="BH224" s="36"/>
    </row>
    <row r="225" spans="59:60" ht="12.75" customHeight="1">
      <c r="BG225" s="216"/>
      <c r="BH225" s="36"/>
    </row>
    <row r="226" spans="59:60" ht="12.75" customHeight="1">
      <c r="BG226" s="216"/>
      <c r="BH226" s="36"/>
    </row>
    <row r="227" spans="59:60" ht="12.75" customHeight="1">
      <c r="BG227" s="216"/>
      <c r="BH227" s="36"/>
    </row>
    <row r="228" spans="59:60" ht="12.75" customHeight="1">
      <c r="BG228" s="216"/>
      <c r="BH228" s="36"/>
    </row>
    <row r="229" spans="59:60" ht="12.75" customHeight="1">
      <c r="BG229" s="216"/>
      <c r="BH229" s="36"/>
    </row>
    <row r="230" spans="59:60" ht="12.75" customHeight="1">
      <c r="BG230" s="216"/>
      <c r="BH230" s="36"/>
    </row>
    <row r="231" spans="59:60" ht="12.75" customHeight="1">
      <c r="BG231" s="216"/>
      <c r="BH231" s="36"/>
    </row>
    <row r="232" spans="59:60" ht="12.75" customHeight="1">
      <c r="BG232" s="216"/>
      <c r="BH232" s="36"/>
    </row>
    <row r="233" spans="59:60" ht="12.75" customHeight="1">
      <c r="BG233" s="216"/>
      <c r="BH233" s="36"/>
    </row>
    <row r="234" spans="59:60" ht="12.75" customHeight="1">
      <c r="BG234" s="216"/>
      <c r="BH234" s="36"/>
    </row>
    <row r="235" spans="59:60" ht="12.75" customHeight="1">
      <c r="BG235" s="216"/>
      <c r="BH235" s="36"/>
    </row>
    <row r="236" spans="59:60" ht="12.75" customHeight="1">
      <c r="BG236" s="216"/>
      <c r="BH236" s="36"/>
    </row>
    <row r="237" spans="59:60" ht="12.75" customHeight="1">
      <c r="BG237" s="216"/>
      <c r="BH237" s="36"/>
    </row>
    <row r="238" spans="59:60" ht="12.75" customHeight="1">
      <c r="BG238" s="216"/>
      <c r="BH238" s="36"/>
    </row>
    <row r="239" spans="59:60" ht="12.75" customHeight="1">
      <c r="BG239" s="216"/>
      <c r="BH239" s="36"/>
    </row>
    <row r="240" spans="59:60" ht="12.75" customHeight="1">
      <c r="BG240" s="216"/>
      <c r="BH240" s="36"/>
    </row>
    <row r="241" spans="59:60" ht="12.75" customHeight="1">
      <c r="BG241" s="216"/>
      <c r="BH241" s="36"/>
    </row>
    <row r="242" spans="59:60" ht="12.75" customHeight="1">
      <c r="BG242" s="216"/>
      <c r="BH242" s="36"/>
    </row>
    <row r="243" spans="59:60" ht="12.75" customHeight="1">
      <c r="BG243" s="216"/>
      <c r="BH243" s="36"/>
    </row>
    <row r="244" spans="59:60" ht="12.75" customHeight="1">
      <c r="BG244" s="216"/>
      <c r="BH244" s="36"/>
    </row>
    <row r="245" spans="59:60" ht="12.75" customHeight="1">
      <c r="BG245" s="216"/>
      <c r="BH245" s="36"/>
    </row>
    <row r="246" spans="59:60" ht="12.75" customHeight="1">
      <c r="BG246" s="216"/>
      <c r="BH246" s="36"/>
    </row>
    <row r="247" spans="59:60" ht="12.75" customHeight="1">
      <c r="BG247" s="216"/>
      <c r="BH247" s="36"/>
    </row>
    <row r="248" spans="59:60" ht="12.75" customHeight="1">
      <c r="BG248" s="216"/>
      <c r="BH248" s="36"/>
    </row>
    <row r="249" spans="59:60" ht="12.75" customHeight="1">
      <c r="BG249" s="216"/>
      <c r="BH249" s="36"/>
    </row>
    <row r="250" spans="59:60" ht="12.75" customHeight="1">
      <c r="BG250" s="216"/>
      <c r="BH250" s="36"/>
    </row>
    <row r="251" spans="59:60" ht="12.75" customHeight="1">
      <c r="BG251" s="216"/>
      <c r="BH251" s="36"/>
    </row>
    <row r="252" spans="59:60" ht="12.75" customHeight="1">
      <c r="BG252" s="216"/>
      <c r="BH252" s="36"/>
    </row>
    <row r="253" spans="59:60" ht="12.75" customHeight="1">
      <c r="BG253" s="216"/>
      <c r="BH253" s="36"/>
    </row>
    <row r="254" spans="59:60" ht="12.75" customHeight="1">
      <c r="BG254" s="216"/>
      <c r="BH254" s="36"/>
    </row>
    <row r="255" spans="59:60" ht="12.75" customHeight="1">
      <c r="BG255" s="216"/>
      <c r="BH255" s="36"/>
    </row>
    <row r="256" spans="59:60" ht="12.75" customHeight="1">
      <c r="BG256" s="216"/>
      <c r="BH256" s="36"/>
    </row>
    <row r="257" spans="59:60" ht="12.75" customHeight="1">
      <c r="BG257" s="216"/>
      <c r="BH257" s="36"/>
    </row>
    <row r="258" spans="59:60" ht="12.75" customHeight="1">
      <c r="BG258" s="216"/>
      <c r="BH258" s="36"/>
    </row>
    <row r="259" spans="59:60" ht="12.75" customHeight="1">
      <c r="BG259" s="216"/>
      <c r="BH259" s="36"/>
    </row>
    <row r="260" spans="59:60" ht="12.75" customHeight="1">
      <c r="BG260" s="216"/>
      <c r="BH260" s="36"/>
    </row>
    <row r="261" spans="59:60" ht="12.75" customHeight="1">
      <c r="BG261" s="216"/>
      <c r="BH261" s="36"/>
    </row>
    <row r="262" spans="59:60" ht="12.75" customHeight="1">
      <c r="BG262" s="216"/>
      <c r="BH262" s="36"/>
    </row>
    <row r="263" spans="59:60" ht="12.75" customHeight="1">
      <c r="BG263" s="216"/>
      <c r="BH263" s="36"/>
    </row>
    <row r="264" spans="59:60" ht="12.75" customHeight="1">
      <c r="BG264" s="216"/>
      <c r="BH264" s="36"/>
    </row>
    <row r="265" spans="59:60" ht="12.75" customHeight="1">
      <c r="BG265" s="216"/>
      <c r="BH265" s="36"/>
    </row>
    <row r="266" spans="59:60" ht="12.75" customHeight="1">
      <c r="BG266" s="216"/>
      <c r="BH266" s="36"/>
    </row>
    <row r="267" spans="59:60" ht="12.75" customHeight="1">
      <c r="BG267" s="216"/>
      <c r="BH267" s="36"/>
    </row>
    <row r="268" spans="59:60" ht="12.75" customHeight="1">
      <c r="BG268" s="216"/>
      <c r="BH268" s="36"/>
    </row>
    <row r="269" spans="59:60" ht="12.75" customHeight="1">
      <c r="BG269" s="216"/>
      <c r="BH269" s="36"/>
    </row>
    <row r="270" spans="59:60" ht="12.75" customHeight="1">
      <c r="BG270" s="216"/>
      <c r="BH270" s="36"/>
    </row>
    <row r="271" spans="59:60" ht="12.75" customHeight="1">
      <c r="BG271" s="216"/>
      <c r="BH271" s="36"/>
    </row>
    <row r="272" spans="59:60" ht="12.75" customHeight="1">
      <c r="BG272" s="216"/>
      <c r="BH272" s="36"/>
    </row>
    <row r="273" spans="59:60" ht="12.75" customHeight="1">
      <c r="BG273" s="216"/>
      <c r="BH273" s="36"/>
    </row>
    <row r="274" spans="59:60" ht="12.75" customHeight="1">
      <c r="BG274" s="216"/>
      <c r="BH274" s="36"/>
    </row>
    <row r="275" spans="59:60" ht="12.75" customHeight="1">
      <c r="BG275" s="216"/>
      <c r="BH275" s="36"/>
    </row>
    <row r="276" spans="59:60" ht="12.75" customHeight="1">
      <c r="BG276" s="216"/>
      <c r="BH276" s="36"/>
    </row>
    <row r="277" spans="59:60" ht="12.75" customHeight="1">
      <c r="BG277" s="216"/>
      <c r="BH277" s="36"/>
    </row>
    <row r="278" spans="59:60" ht="12.75" customHeight="1">
      <c r="BG278" s="216"/>
      <c r="BH278" s="36"/>
    </row>
    <row r="279" spans="59:60" ht="12.75" customHeight="1">
      <c r="BG279" s="216"/>
      <c r="BH279" s="36"/>
    </row>
    <row r="280" spans="59:60" ht="12.75" customHeight="1">
      <c r="BG280" s="216"/>
      <c r="BH280" s="36"/>
    </row>
    <row r="281" spans="59:60" ht="12.75" customHeight="1">
      <c r="BG281" s="216"/>
      <c r="BH281" s="36"/>
    </row>
    <row r="282" spans="59:60" ht="12.75" customHeight="1">
      <c r="BG282" s="216"/>
      <c r="BH282" s="36"/>
    </row>
    <row r="283" spans="59:60" ht="12.75" customHeight="1">
      <c r="BG283" s="216"/>
      <c r="BH283" s="36"/>
    </row>
    <row r="284" spans="59:60" ht="12.75" customHeight="1">
      <c r="BG284" s="216"/>
      <c r="BH284" s="36"/>
    </row>
    <row r="285" spans="59:60" ht="12.75" customHeight="1">
      <c r="BG285" s="216"/>
      <c r="BH285" s="36"/>
    </row>
    <row r="286" spans="59:60" ht="12.75" customHeight="1">
      <c r="BG286" s="216"/>
      <c r="BH286" s="36"/>
    </row>
    <row r="287" spans="59:60" ht="12.75" customHeight="1">
      <c r="BG287" s="216"/>
      <c r="BH287" s="36"/>
    </row>
    <row r="288" spans="59:60" ht="12.75" customHeight="1">
      <c r="BG288" s="216"/>
      <c r="BH288" s="36"/>
    </row>
    <row r="289" spans="59:60" ht="12.75" customHeight="1">
      <c r="BG289" s="216"/>
      <c r="BH289" s="36"/>
    </row>
    <row r="290" spans="59:60" ht="12.75" customHeight="1">
      <c r="BG290" s="216"/>
      <c r="BH290" s="36"/>
    </row>
    <row r="291" spans="59:60" ht="12.75" customHeight="1">
      <c r="BG291" s="216"/>
      <c r="BH291" s="36"/>
    </row>
    <row r="292" spans="59:60" ht="12.75" customHeight="1">
      <c r="BG292" s="216"/>
      <c r="BH292" s="36"/>
    </row>
    <row r="293" spans="59:60" ht="12.75" customHeight="1">
      <c r="BG293" s="216"/>
      <c r="BH293" s="36"/>
    </row>
    <row r="294" spans="59:60" ht="12.75" customHeight="1">
      <c r="BG294" s="216"/>
      <c r="BH294" s="36"/>
    </row>
    <row r="295" spans="59:60" ht="12.75" customHeight="1">
      <c r="BG295" s="216"/>
      <c r="BH295" s="36"/>
    </row>
    <row r="296" spans="59:60" ht="12.75" customHeight="1">
      <c r="BG296" s="216"/>
      <c r="BH296" s="36"/>
    </row>
    <row r="297" spans="59:60" ht="12.75" customHeight="1">
      <c r="BG297" s="216"/>
      <c r="BH297" s="36"/>
    </row>
    <row r="298" spans="59:60" ht="12.75" customHeight="1">
      <c r="BG298" s="216"/>
      <c r="BH298" s="36"/>
    </row>
    <row r="299" spans="59:60" ht="12.75" customHeight="1">
      <c r="BG299" s="216"/>
      <c r="BH299" s="36"/>
    </row>
    <row r="300" spans="59:60" ht="12.75" customHeight="1">
      <c r="BG300" s="216"/>
      <c r="BH300" s="36"/>
    </row>
    <row r="301" spans="59:60" ht="12.75" customHeight="1">
      <c r="BG301" s="216"/>
      <c r="BH301" s="36"/>
    </row>
    <row r="302" spans="59:60" ht="12.75" customHeight="1">
      <c r="BG302" s="216"/>
      <c r="BH302" s="36"/>
    </row>
    <row r="303" spans="59:60" ht="12.75" customHeight="1">
      <c r="BG303" s="216"/>
      <c r="BH303" s="36"/>
    </row>
    <row r="304" spans="59:60" ht="12.75" customHeight="1">
      <c r="BG304" s="216"/>
      <c r="BH304" s="36"/>
    </row>
    <row r="305" spans="59:60" ht="12.75" customHeight="1">
      <c r="BG305" s="216"/>
      <c r="BH305" s="36"/>
    </row>
    <row r="306" spans="59:60" ht="12.75" customHeight="1">
      <c r="BG306" s="216"/>
      <c r="BH306" s="36"/>
    </row>
    <row r="307" spans="59:60" ht="12.75" customHeight="1">
      <c r="BG307" s="216"/>
      <c r="BH307" s="36"/>
    </row>
    <row r="308" spans="59:60" ht="12.75" customHeight="1">
      <c r="BG308" s="216"/>
      <c r="BH308" s="36"/>
    </row>
    <row r="309" spans="59:60" ht="12.75" customHeight="1">
      <c r="BG309" s="216"/>
      <c r="BH309" s="36"/>
    </row>
    <row r="310" spans="59:60" ht="12.75" customHeight="1">
      <c r="BG310" s="216"/>
      <c r="BH310" s="36"/>
    </row>
    <row r="311" spans="59:60" ht="12.75" customHeight="1">
      <c r="BG311" s="216"/>
      <c r="BH311" s="36"/>
    </row>
    <row r="312" spans="59:60" ht="12.75" customHeight="1">
      <c r="BG312" s="216"/>
      <c r="BH312" s="36"/>
    </row>
    <row r="313" spans="59:60" ht="12.75" customHeight="1">
      <c r="BG313" s="216"/>
      <c r="BH313" s="36"/>
    </row>
    <row r="314" spans="59:60" ht="12.75" customHeight="1">
      <c r="BG314" s="216"/>
      <c r="BH314" s="36"/>
    </row>
    <row r="315" spans="59:60" ht="12.75" customHeight="1">
      <c r="BG315" s="216"/>
      <c r="BH315" s="36"/>
    </row>
    <row r="316" spans="59:60" ht="12.75" customHeight="1">
      <c r="BG316" s="216"/>
      <c r="BH316" s="36"/>
    </row>
    <row r="317" spans="59:60" ht="12.75" customHeight="1">
      <c r="BG317" s="216"/>
      <c r="BH317" s="36"/>
    </row>
    <row r="318" spans="59:60" ht="12.75" customHeight="1">
      <c r="BG318" s="216"/>
      <c r="BH318" s="36"/>
    </row>
    <row r="319" spans="59:60" ht="12.75" customHeight="1">
      <c r="BG319" s="216"/>
      <c r="BH319" s="36"/>
    </row>
    <row r="320" spans="59:60" ht="12.75" customHeight="1">
      <c r="BG320" s="216"/>
      <c r="BH320" s="36"/>
    </row>
    <row r="321" spans="59:60" ht="12.75" customHeight="1">
      <c r="BG321" s="216"/>
      <c r="BH321" s="36"/>
    </row>
    <row r="322" spans="59:60" ht="12.75" customHeight="1">
      <c r="BG322" s="216"/>
      <c r="BH322" s="36"/>
    </row>
    <row r="323" spans="59:60" ht="12.75" customHeight="1">
      <c r="BG323" s="216"/>
      <c r="BH323" s="36"/>
    </row>
    <row r="324" spans="59:60" ht="12.75" customHeight="1">
      <c r="BG324" s="216"/>
      <c r="BH324" s="36"/>
    </row>
    <row r="325" spans="59:60" ht="12.75" customHeight="1">
      <c r="BG325" s="216"/>
      <c r="BH325" s="36"/>
    </row>
    <row r="326" spans="59:60" ht="12.75" customHeight="1">
      <c r="BG326" s="216"/>
      <c r="BH326" s="36"/>
    </row>
    <row r="327" spans="59:60" ht="12.75" customHeight="1">
      <c r="BG327" s="216"/>
      <c r="BH327" s="36"/>
    </row>
    <row r="328" spans="59:60" ht="12.75" customHeight="1">
      <c r="BG328" s="216"/>
      <c r="BH328" s="36"/>
    </row>
    <row r="329" spans="59:60" ht="12.75" customHeight="1">
      <c r="BG329" s="216"/>
      <c r="BH329" s="36"/>
    </row>
    <row r="330" spans="59:60" ht="12.75" customHeight="1">
      <c r="BG330" s="216"/>
      <c r="BH330" s="36"/>
    </row>
    <row r="331" spans="59:60" ht="12.75" customHeight="1">
      <c r="BG331" s="216"/>
      <c r="BH331" s="36"/>
    </row>
    <row r="332" spans="59:60" ht="12.75" customHeight="1">
      <c r="BG332" s="216"/>
      <c r="BH332" s="36"/>
    </row>
    <row r="333" spans="59:60" ht="12.75" customHeight="1">
      <c r="BG333" s="216"/>
      <c r="BH333" s="36"/>
    </row>
    <row r="334" spans="59:60" ht="12.75" customHeight="1">
      <c r="BG334" s="216"/>
      <c r="BH334" s="36"/>
    </row>
    <row r="335" spans="59:60" ht="12.75" customHeight="1">
      <c r="BG335" s="216"/>
      <c r="BH335" s="36"/>
    </row>
    <row r="336" spans="59:60" ht="12.75" customHeight="1">
      <c r="BG336" s="216"/>
      <c r="BH336" s="36"/>
    </row>
    <row r="337" spans="59:60" ht="12.75" customHeight="1">
      <c r="BG337" s="216"/>
      <c r="BH337" s="36"/>
    </row>
    <row r="338" spans="59:60" ht="12.75" customHeight="1">
      <c r="BG338" s="216"/>
      <c r="BH338" s="36"/>
    </row>
    <row r="339" spans="59:60" ht="12.75" customHeight="1">
      <c r="BG339" s="216"/>
      <c r="BH339" s="36"/>
    </row>
    <row r="340" spans="59:60" ht="12.75" customHeight="1">
      <c r="BG340" s="216"/>
      <c r="BH340" s="36"/>
    </row>
    <row r="341" spans="59:60" ht="12.75" customHeight="1">
      <c r="BG341" s="216"/>
      <c r="BH341" s="36"/>
    </row>
    <row r="342" spans="59:60" ht="12.75" customHeight="1">
      <c r="BG342" s="216"/>
      <c r="BH342" s="36"/>
    </row>
    <row r="343" spans="59:60" ht="12.75" customHeight="1">
      <c r="BG343" s="216"/>
      <c r="BH343" s="36"/>
    </row>
    <row r="344" spans="59:60" ht="12.75" customHeight="1">
      <c r="BG344" s="216"/>
      <c r="BH344" s="36"/>
    </row>
    <row r="345" spans="59:60" ht="12.75" customHeight="1">
      <c r="BG345" s="216"/>
      <c r="BH345" s="36"/>
    </row>
    <row r="346" spans="59:60" ht="12.75" customHeight="1">
      <c r="BG346" s="216"/>
      <c r="BH346" s="36"/>
    </row>
    <row r="347" spans="59:60" ht="12.75" customHeight="1">
      <c r="BG347" s="216"/>
      <c r="BH347" s="36"/>
    </row>
    <row r="348" spans="59:60" ht="12.75" customHeight="1">
      <c r="BG348" s="216"/>
      <c r="BH348" s="36"/>
    </row>
    <row r="349" spans="59:60" ht="12.75" customHeight="1">
      <c r="BG349" s="216"/>
      <c r="BH349" s="36"/>
    </row>
    <row r="350" spans="59:60" ht="12.75" customHeight="1">
      <c r="BG350" s="216"/>
      <c r="BH350" s="36"/>
    </row>
    <row r="351" spans="59:60" ht="12.75" customHeight="1">
      <c r="BG351" s="216"/>
      <c r="BH351" s="36"/>
    </row>
    <row r="352" spans="59:60" ht="12.75" customHeight="1">
      <c r="BG352" s="216"/>
      <c r="BH352" s="36"/>
    </row>
    <row r="353" spans="59:60" ht="12.75" customHeight="1">
      <c r="BG353" s="216"/>
      <c r="BH353" s="36"/>
    </row>
    <row r="354" spans="59:60" ht="12.75" customHeight="1">
      <c r="BG354" s="216"/>
      <c r="BH354" s="36"/>
    </row>
    <row r="355" spans="59:60" ht="12.75" customHeight="1">
      <c r="BG355" s="216"/>
      <c r="BH355" s="36"/>
    </row>
    <row r="356" spans="59:60" ht="12.75" customHeight="1">
      <c r="BG356" s="216"/>
      <c r="BH356" s="36"/>
    </row>
    <row r="357" spans="59:60" ht="12.75" customHeight="1">
      <c r="BG357" s="216"/>
      <c r="BH357" s="36"/>
    </row>
    <row r="358" spans="59:60" ht="12.75" customHeight="1">
      <c r="BG358" s="216"/>
      <c r="BH358" s="36"/>
    </row>
    <row r="359" spans="59:60" ht="12.75" customHeight="1">
      <c r="BG359" s="216"/>
      <c r="BH359" s="36"/>
    </row>
    <row r="360" spans="59:60" ht="12.75" customHeight="1">
      <c r="BG360" s="216"/>
      <c r="BH360" s="36"/>
    </row>
    <row r="361" spans="59:60" ht="12.75" customHeight="1">
      <c r="BG361" s="216"/>
      <c r="BH361" s="36"/>
    </row>
    <row r="362" spans="59:60" ht="12.75" customHeight="1">
      <c r="BG362" s="216"/>
      <c r="BH362" s="36"/>
    </row>
    <row r="363" spans="59:60" ht="12.75" customHeight="1">
      <c r="BG363" s="216"/>
      <c r="BH363" s="36"/>
    </row>
    <row r="364" spans="59:60" ht="12.75" customHeight="1">
      <c r="BG364" s="216"/>
      <c r="BH364" s="36"/>
    </row>
    <row r="365" spans="59:60" ht="12.75" customHeight="1">
      <c r="BG365" s="216"/>
      <c r="BH365" s="36"/>
    </row>
    <row r="366" spans="59:60" ht="12.75" customHeight="1">
      <c r="BG366" s="216"/>
      <c r="BH366" s="36"/>
    </row>
    <row r="367" spans="59:60" ht="12.75" customHeight="1">
      <c r="BG367" s="216"/>
      <c r="BH367" s="36"/>
    </row>
    <row r="368" spans="59:60" ht="12.75" customHeight="1">
      <c r="BG368" s="216"/>
      <c r="BH368" s="36"/>
    </row>
    <row r="369" spans="59:60" ht="12.75" customHeight="1">
      <c r="BG369" s="216"/>
      <c r="BH369" s="36"/>
    </row>
    <row r="370" spans="59:60" ht="12.75" customHeight="1">
      <c r="BG370" s="216"/>
      <c r="BH370" s="36"/>
    </row>
    <row r="371" spans="59:60" ht="12.75" customHeight="1">
      <c r="BG371" s="216"/>
      <c r="BH371" s="36"/>
    </row>
    <row r="372" spans="59:60" ht="12.75" customHeight="1">
      <c r="BG372" s="216"/>
      <c r="BH372" s="36"/>
    </row>
    <row r="373" spans="59:60" ht="12.75" customHeight="1">
      <c r="BG373" s="216"/>
      <c r="BH373" s="36"/>
    </row>
    <row r="374" spans="59:60" ht="12.75" customHeight="1">
      <c r="BG374" s="216"/>
      <c r="BH374" s="36"/>
    </row>
    <row r="375" spans="59:60" ht="12.75" customHeight="1">
      <c r="BG375" s="216"/>
      <c r="BH375" s="36"/>
    </row>
    <row r="376" spans="59:60" ht="12.75" customHeight="1">
      <c r="BG376" s="216"/>
      <c r="BH376" s="36"/>
    </row>
    <row r="377" spans="59:60" ht="12.75" customHeight="1">
      <c r="BG377" s="216"/>
      <c r="BH377" s="36"/>
    </row>
    <row r="378" spans="59:60" ht="12.75" customHeight="1">
      <c r="BG378" s="216"/>
      <c r="BH378" s="36"/>
    </row>
    <row r="379" spans="59:60" ht="12.75" customHeight="1">
      <c r="BG379" s="216"/>
      <c r="BH379" s="36"/>
    </row>
    <row r="380" spans="59:60" ht="12.75" customHeight="1">
      <c r="BG380" s="216"/>
      <c r="BH380" s="36"/>
    </row>
    <row r="381" spans="59:60" ht="12.75" customHeight="1">
      <c r="BG381" s="216"/>
      <c r="BH381" s="36"/>
    </row>
    <row r="382" spans="59:60" ht="12.75" customHeight="1">
      <c r="BG382" s="216"/>
      <c r="BH382" s="36"/>
    </row>
    <row r="383" spans="59:60" ht="12.75" customHeight="1">
      <c r="BG383" s="216"/>
      <c r="BH383" s="36"/>
    </row>
    <row r="384" spans="59:60" ht="12.75" customHeight="1">
      <c r="BG384" s="216"/>
      <c r="BH384" s="36"/>
    </row>
    <row r="385" spans="59:60" ht="12.75" customHeight="1">
      <c r="BG385" s="216"/>
      <c r="BH385" s="36"/>
    </row>
    <row r="386" spans="59:60" ht="12.75" customHeight="1">
      <c r="BG386" s="216"/>
      <c r="BH386" s="36"/>
    </row>
    <row r="387" spans="59:60" ht="12.75" customHeight="1">
      <c r="BG387" s="216"/>
      <c r="BH387" s="36"/>
    </row>
    <row r="388" spans="59:60" ht="12.75" customHeight="1">
      <c r="BG388" s="216"/>
      <c r="BH388" s="36"/>
    </row>
    <row r="389" spans="59:60" ht="12.75" customHeight="1">
      <c r="BG389" s="216"/>
      <c r="BH389" s="36"/>
    </row>
    <row r="390" spans="59:60" ht="12.75" customHeight="1">
      <c r="BG390" s="216"/>
      <c r="BH390" s="36"/>
    </row>
    <row r="391" spans="59:60" ht="12.75" customHeight="1">
      <c r="BG391" s="216"/>
      <c r="BH391" s="36"/>
    </row>
    <row r="392" spans="59:60" ht="12.75" customHeight="1">
      <c r="BG392" s="216"/>
      <c r="BH392" s="36"/>
    </row>
    <row r="393" spans="59:60" ht="12.75" customHeight="1">
      <c r="BG393" s="216"/>
      <c r="BH393" s="36"/>
    </row>
    <row r="394" spans="59:60" ht="12.75" customHeight="1">
      <c r="BG394" s="216"/>
      <c r="BH394" s="36"/>
    </row>
    <row r="395" spans="59:60" ht="12.75" customHeight="1">
      <c r="BG395" s="216"/>
      <c r="BH395" s="36"/>
    </row>
    <row r="396" spans="59:60" ht="12.75" customHeight="1">
      <c r="BG396" s="216"/>
      <c r="BH396" s="36"/>
    </row>
    <row r="397" spans="59:60" ht="12.75" customHeight="1">
      <c r="BG397" s="216"/>
      <c r="BH397" s="36"/>
    </row>
    <row r="398" spans="59:60" ht="12.75" customHeight="1">
      <c r="BG398" s="216"/>
      <c r="BH398" s="36"/>
    </row>
    <row r="399" spans="59:60" ht="12.75" customHeight="1">
      <c r="BG399" s="216"/>
      <c r="BH399" s="36"/>
    </row>
    <row r="400" spans="59:60" ht="12.75" customHeight="1">
      <c r="BG400" s="216"/>
      <c r="BH400" s="36"/>
    </row>
    <row r="401" spans="59:60" ht="12.75" customHeight="1">
      <c r="BG401" s="216"/>
      <c r="BH401" s="36"/>
    </row>
    <row r="402" spans="59:60" ht="12.75" customHeight="1">
      <c r="BG402" s="216"/>
      <c r="BH402" s="36"/>
    </row>
    <row r="403" spans="59:60" ht="12.75" customHeight="1">
      <c r="BG403" s="216"/>
      <c r="BH403" s="36"/>
    </row>
    <row r="404" spans="59:60" ht="12.75" customHeight="1">
      <c r="BG404" s="216"/>
      <c r="BH404" s="36"/>
    </row>
    <row r="405" spans="59:60" ht="12.75" customHeight="1">
      <c r="BG405" s="216"/>
      <c r="BH405" s="36"/>
    </row>
    <row r="406" spans="59:60" ht="12.75" customHeight="1">
      <c r="BG406" s="216"/>
      <c r="BH406" s="36"/>
    </row>
    <row r="407" spans="59:60" ht="12.75" customHeight="1">
      <c r="BG407" s="216"/>
      <c r="BH407" s="36"/>
    </row>
    <row r="408" spans="59:60" ht="12.75" customHeight="1">
      <c r="BG408" s="216"/>
      <c r="BH408" s="36"/>
    </row>
    <row r="409" spans="59:60" ht="12.75" customHeight="1">
      <c r="BG409" s="216"/>
      <c r="BH409" s="36"/>
    </row>
    <row r="410" spans="59:60" ht="12.75" customHeight="1">
      <c r="BG410" s="216"/>
      <c r="BH410" s="36"/>
    </row>
    <row r="411" spans="59:60" ht="12.75" customHeight="1">
      <c r="BG411" s="216"/>
      <c r="BH411" s="36"/>
    </row>
    <row r="412" spans="59:60" ht="12.75" customHeight="1">
      <c r="BG412" s="216"/>
      <c r="BH412" s="36"/>
    </row>
    <row r="413" spans="59:60" ht="12.75" customHeight="1">
      <c r="BG413" s="216"/>
      <c r="BH413" s="36"/>
    </row>
    <row r="414" spans="59:60" ht="12.75" customHeight="1">
      <c r="BG414" s="216"/>
      <c r="BH414" s="36"/>
    </row>
    <row r="415" spans="59:60" ht="12.75" customHeight="1">
      <c r="BG415" s="216"/>
      <c r="BH415" s="36"/>
    </row>
    <row r="416" spans="59:60" ht="12.75" customHeight="1">
      <c r="BG416" s="216"/>
      <c r="BH416" s="36"/>
    </row>
    <row r="417" spans="59:60" ht="12.75" customHeight="1">
      <c r="BG417" s="216"/>
      <c r="BH417" s="36"/>
    </row>
    <row r="418" spans="59:60" ht="12.75" customHeight="1">
      <c r="BG418" s="216"/>
      <c r="BH418" s="36"/>
    </row>
    <row r="419" spans="59:60" ht="12.75" customHeight="1">
      <c r="BG419" s="216"/>
      <c r="BH419" s="36"/>
    </row>
    <row r="420" spans="59:60" ht="12.75" customHeight="1">
      <c r="BG420" s="216"/>
      <c r="BH420" s="36"/>
    </row>
    <row r="421" spans="59:60" ht="12.75" customHeight="1">
      <c r="BG421" s="216"/>
      <c r="BH421" s="36"/>
    </row>
    <row r="422" spans="59:60" ht="12.75" customHeight="1">
      <c r="BG422" s="216"/>
      <c r="BH422" s="36"/>
    </row>
    <row r="423" spans="59:60" ht="12.75" customHeight="1">
      <c r="BG423" s="216"/>
      <c r="BH423" s="36"/>
    </row>
    <row r="424" spans="59:60" ht="12.75" customHeight="1">
      <c r="BG424" s="216"/>
      <c r="BH424" s="36"/>
    </row>
    <row r="425" spans="59:60" ht="12.75" customHeight="1">
      <c r="BG425" s="216"/>
      <c r="BH425" s="36"/>
    </row>
    <row r="426" spans="59:60" ht="12.75" customHeight="1">
      <c r="BG426" s="216"/>
      <c r="BH426" s="36"/>
    </row>
    <row r="427" spans="59:60" ht="12.75" customHeight="1">
      <c r="BG427" s="216"/>
      <c r="BH427" s="36"/>
    </row>
    <row r="428" spans="59:60" ht="12.75" customHeight="1">
      <c r="BG428" s="216"/>
      <c r="BH428" s="36"/>
    </row>
    <row r="429" spans="59:60" ht="12.75" customHeight="1">
      <c r="BG429" s="216"/>
      <c r="BH429" s="36"/>
    </row>
    <row r="430" spans="59:60" ht="12.75" customHeight="1">
      <c r="BG430" s="216"/>
      <c r="BH430" s="36"/>
    </row>
    <row r="431" spans="59:60" ht="12.75" customHeight="1">
      <c r="BG431" s="216"/>
      <c r="BH431" s="36"/>
    </row>
    <row r="432" spans="59:60" ht="12.75" customHeight="1">
      <c r="BG432" s="216"/>
      <c r="BH432" s="36"/>
    </row>
    <row r="433" spans="59:60" ht="12.75" customHeight="1">
      <c r="BG433" s="216"/>
      <c r="BH433" s="36"/>
    </row>
    <row r="434" spans="59:60" ht="12.75" customHeight="1">
      <c r="BG434" s="216"/>
      <c r="BH434" s="36"/>
    </row>
    <row r="435" spans="59:60" ht="12.75" customHeight="1">
      <c r="BG435" s="216"/>
      <c r="BH435" s="36"/>
    </row>
    <row r="436" spans="59:60" ht="12.75" customHeight="1">
      <c r="BG436" s="216"/>
      <c r="BH436" s="36"/>
    </row>
    <row r="437" spans="59:60" ht="12.75" customHeight="1">
      <c r="BG437" s="216"/>
      <c r="BH437" s="36"/>
    </row>
    <row r="438" spans="59:60" ht="12.75" customHeight="1">
      <c r="BG438" s="216"/>
      <c r="BH438" s="36"/>
    </row>
    <row r="439" spans="59:60" ht="12.75" customHeight="1">
      <c r="BG439" s="216"/>
      <c r="BH439" s="36"/>
    </row>
    <row r="440" spans="59:60" ht="12.75" customHeight="1">
      <c r="BG440" s="216"/>
      <c r="BH440" s="36"/>
    </row>
    <row r="441" spans="59:60" ht="12.75" customHeight="1">
      <c r="BG441" s="216"/>
      <c r="BH441" s="36"/>
    </row>
    <row r="442" spans="59:60" ht="12.75" customHeight="1">
      <c r="BG442" s="216"/>
      <c r="BH442" s="36"/>
    </row>
    <row r="443" spans="59:60" ht="12.75" customHeight="1">
      <c r="BG443" s="216"/>
      <c r="BH443" s="36"/>
    </row>
    <row r="444" spans="59:60" ht="12.75" customHeight="1">
      <c r="BG444" s="216"/>
      <c r="BH444" s="36"/>
    </row>
    <row r="445" spans="59:60" ht="12.75" customHeight="1">
      <c r="BG445" s="216"/>
      <c r="BH445" s="36"/>
    </row>
    <row r="446" spans="59:60" ht="12.75" customHeight="1">
      <c r="BG446" s="216"/>
      <c r="BH446" s="36"/>
    </row>
    <row r="447" spans="59:60" ht="12.75" customHeight="1">
      <c r="BG447" s="216"/>
      <c r="BH447" s="36"/>
    </row>
    <row r="448" spans="59:60" ht="12.75" customHeight="1">
      <c r="BG448" s="216"/>
      <c r="BH448" s="36"/>
    </row>
    <row r="449" spans="59:60" ht="12.75" customHeight="1">
      <c r="BG449" s="216"/>
      <c r="BH449" s="36"/>
    </row>
    <row r="450" spans="59:60" ht="12.75" customHeight="1">
      <c r="BG450" s="216"/>
      <c r="BH450" s="36"/>
    </row>
    <row r="451" spans="59:60" ht="12.75" customHeight="1">
      <c r="BG451" s="216"/>
      <c r="BH451" s="36"/>
    </row>
    <row r="452" spans="59:60" ht="12.75" customHeight="1">
      <c r="BG452" s="216"/>
      <c r="BH452" s="36"/>
    </row>
    <row r="453" spans="59:60" ht="12.75" customHeight="1">
      <c r="BG453" s="216"/>
      <c r="BH453" s="36"/>
    </row>
    <row r="454" spans="59:60" ht="12.75" customHeight="1">
      <c r="BG454" s="216"/>
      <c r="BH454" s="36"/>
    </row>
    <row r="455" spans="59:60" ht="12.75" customHeight="1">
      <c r="BG455" s="216"/>
      <c r="BH455" s="36"/>
    </row>
    <row r="456" spans="59:60" ht="12.75" customHeight="1">
      <c r="BG456" s="216"/>
      <c r="BH456" s="36"/>
    </row>
    <row r="457" spans="59:60" ht="12.75" customHeight="1">
      <c r="BG457" s="216"/>
      <c r="BH457" s="36"/>
    </row>
    <row r="458" spans="59:60" ht="12.75" customHeight="1">
      <c r="BG458" s="216"/>
      <c r="BH458" s="36"/>
    </row>
    <row r="459" spans="59:60" ht="12.75" customHeight="1">
      <c r="BG459" s="216"/>
      <c r="BH459" s="36"/>
    </row>
    <row r="460" spans="59:60" ht="12.75" customHeight="1">
      <c r="BG460" s="216"/>
      <c r="BH460" s="36"/>
    </row>
    <row r="461" spans="59:60" ht="12.75" customHeight="1">
      <c r="BG461" s="216"/>
      <c r="BH461" s="36"/>
    </row>
    <row r="462" spans="59:60" ht="12.75" customHeight="1">
      <c r="BG462" s="216"/>
      <c r="BH462" s="36"/>
    </row>
    <row r="463" spans="59:60" ht="12.75" customHeight="1">
      <c r="BG463" s="216"/>
      <c r="BH463" s="36"/>
    </row>
    <row r="464" spans="59:60" ht="12.75" customHeight="1">
      <c r="BG464" s="216"/>
      <c r="BH464" s="36"/>
    </row>
    <row r="465" spans="59:60" ht="12.75" customHeight="1">
      <c r="BG465" s="216"/>
      <c r="BH465" s="36"/>
    </row>
    <row r="466" spans="59:60" ht="12.75" customHeight="1">
      <c r="BG466" s="216"/>
      <c r="BH466" s="36"/>
    </row>
    <row r="467" spans="59:60" ht="12.75" customHeight="1">
      <c r="BG467" s="216"/>
      <c r="BH467" s="36"/>
    </row>
    <row r="468" spans="59:60" ht="12.75" customHeight="1">
      <c r="BG468" s="216"/>
      <c r="BH468" s="36"/>
    </row>
    <row r="469" spans="59:60" ht="12.75" customHeight="1">
      <c r="BG469" s="216"/>
      <c r="BH469" s="36"/>
    </row>
    <row r="470" spans="59:60" ht="12.75" customHeight="1">
      <c r="BG470" s="216"/>
      <c r="BH470" s="36"/>
    </row>
    <row r="471" spans="59:60" ht="12.75" customHeight="1">
      <c r="BG471" s="216"/>
      <c r="BH471" s="36"/>
    </row>
    <row r="472" spans="59:60" ht="12.75" customHeight="1">
      <c r="BG472" s="216"/>
      <c r="BH472" s="36"/>
    </row>
    <row r="473" spans="59:60" ht="12.75" customHeight="1">
      <c r="BG473" s="216"/>
      <c r="BH473" s="36"/>
    </row>
    <row r="474" spans="59:60" ht="12.75" customHeight="1">
      <c r="BG474" s="216"/>
      <c r="BH474" s="36"/>
    </row>
    <row r="475" spans="59:60" ht="12.75" customHeight="1">
      <c r="BG475" s="216"/>
      <c r="BH475" s="36"/>
    </row>
    <row r="476" spans="59:60" ht="12.75" customHeight="1">
      <c r="BG476" s="216"/>
      <c r="BH476" s="36"/>
    </row>
    <row r="477" spans="59:60" ht="12.75" customHeight="1">
      <c r="BG477" s="216"/>
      <c r="BH477" s="36"/>
    </row>
    <row r="478" spans="59:60" ht="12.75" customHeight="1">
      <c r="BG478" s="216"/>
      <c r="BH478" s="36"/>
    </row>
    <row r="479" spans="59:60" ht="12.75" customHeight="1">
      <c r="BG479" s="216"/>
      <c r="BH479" s="36"/>
    </row>
    <row r="480" spans="59:60" ht="12.75" customHeight="1">
      <c r="BG480" s="216"/>
      <c r="BH480" s="36"/>
    </row>
    <row r="481" spans="59:60" ht="12.75" customHeight="1">
      <c r="BG481" s="216"/>
      <c r="BH481" s="36"/>
    </row>
    <row r="482" spans="59:60" ht="12.75" customHeight="1">
      <c r="BG482" s="216"/>
      <c r="BH482" s="36"/>
    </row>
    <row r="483" spans="59:60" ht="12.75" customHeight="1">
      <c r="BG483" s="216"/>
      <c r="BH483" s="36"/>
    </row>
    <row r="484" spans="59:60" ht="12.75" customHeight="1">
      <c r="BG484" s="216"/>
      <c r="BH484" s="36"/>
    </row>
    <row r="485" spans="59:60" ht="12.75" customHeight="1">
      <c r="BG485" s="216"/>
      <c r="BH485" s="36"/>
    </row>
    <row r="486" spans="59:60" ht="12.75" customHeight="1">
      <c r="BG486" s="216"/>
      <c r="BH486" s="36"/>
    </row>
    <row r="487" spans="59:60" ht="12.75" customHeight="1">
      <c r="BG487" s="216"/>
      <c r="BH487" s="36"/>
    </row>
    <row r="488" spans="59:60" ht="12.75" customHeight="1">
      <c r="BG488" s="216"/>
      <c r="BH488" s="36"/>
    </row>
    <row r="489" spans="59:60" ht="12.75" customHeight="1">
      <c r="BG489" s="216"/>
      <c r="BH489" s="36"/>
    </row>
    <row r="490" spans="59:60" ht="12.75" customHeight="1">
      <c r="BG490" s="216"/>
      <c r="BH490" s="36"/>
    </row>
    <row r="491" spans="59:60" ht="12.75" customHeight="1">
      <c r="BG491" s="216"/>
      <c r="BH491" s="36"/>
    </row>
    <row r="492" spans="59:60" ht="12.75" customHeight="1">
      <c r="BG492" s="216"/>
      <c r="BH492" s="36"/>
    </row>
    <row r="493" spans="59:60" ht="12.75" customHeight="1">
      <c r="BG493" s="216"/>
      <c r="BH493" s="36"/>
    </row>
    <row r="494" spans="59:60" ht="12.75" customHeight="1">
      <c r="BG494" s="216"/>
      <c r="BH494" s="36"/>
    </row>
    <row r="495" spans="59:60" ht="12.75" customHeight="1">
      <c r="BG495" s="216"/>
      <c r="BH495" s="36"/>
    </row>
    <row r="496" spans="59:60" ht="12.75" customHeight="1">
      <c r="BG496" s="216"/>
      <c r="BH496" s="36"/>
    </row>
    <row r="497" spans="59:60" ht="12.75" customHeight="1">
      <c r="BG497" s="216"/>
      <c r="BH497" s="36"/>
    </row>
    <row r="498" spans="59:60" ht="12.75" customHeight="1">
      <c r="BG498" s="216"/>
      <c r="BH498" s="36"/>
    </row>
    <row r="499" spans="59:60" ht="12.75" customHeight="1">
      <c r="BG499" s="216"/>
      <c r="BH499" s="36"/>
    </row>
    <row r="500" spans="59:60" ht="12.75" customHeight="1">
      <c r="BG500" s="216"/>
      <c r="BH500" s="36"/>
    </row>
    <row r="501" spans="59:60" ht="12.75" customHeight="1">
      <c r="BG501" s="216"/>
      <c r="BH501" s="36"/>
    </row>
    <row r="502" spans="59:60" ht="12.75" customHeight="1">
      <c r="BG502" s="216"/>
      <c r="BH502" s="36"/>
    </row>
    <row r="503" spans="59:60" ht="12.75" customHeight="1">
      <c r="BG503" s="216"/>
      <c r="BH503" s="36"/>
    </row>
    <row r="504" spans="59:60" ht="12.75" customHeight="1">
      <c r="BG504" s="216"/>
      <c r="BH504" s="36"/>
    </row>
    <row r="505" spans="59:60" ht="12.75" customHeight="1">
      <c r="BG505" s="216"/>
      <c r="BH505" s="36"/>
    </row>
    <row r="506" spans="59:60" ht="12.75" customHeight="1">
      <c r="BG506" s="216"/>
      <c r="BH506" s="36"/>
    </row>
    <row r="507" spans="59:60" ht="12.75" customHeight="1">
      <c r="BG507" s="216"/>
      <c r="BH507" s="36"/>
    </row>
    <row r="508" spans="59:60" ht="12.75" customHeight="1">
      <c r="BG508" s="216"/>
      <c r="BH508" s="36"/>
    </row>
    <row r="509" spans="59:60" ht="12.75" customHeight="1">
      <c r="BG509" s="216"/>
      <c r="BH509" s="36"/>
    </row>
    <row r="510" spans="59:60" ht="12.75" customHeight="1">
      <c r="BG510" s="216"/>
      <c r="BH510" s="36"/>
    </row>
    <row r="511" spans="59:60" ht="12.75" customHeight="1">
      <c r="BG511" s="216"/>
      <c r="BH511" s="36"/>
    </row>
    <row r="512" spans="59:60" ht="12.75" customHeight="1">
      <c r="BG512" s="216"/>
      <c r="BH512" s="36"/>
    </row>
    <row r="513" spans="59:60" ht="12.75" customHeight="1">
      <c r="BG513" s="216"/>
      <c r="BH513" s="36"/>
    </row>
    <row r="514" spans="59:60" ht="12.75" customHeight="1">
      <c r="BG514" s="216"/>
      <c r="BH514" s="36"/>
    </row>
    <row r="515" spans="59:60" ht="12.75" customHeight="1">
      <c r="BG515" s="216"/>
      <c r="BH515" s="36"/>
    </row>
    <row r="516" spans="59:60" ht="12.75" customHeight="1">
      <c r="BG516" s="216"/>
      <c r="BH516" s="36"/>
    </row>
    <row r="517" spans="59:60" ht="12.75" customHeight="1">
      <c r="BG517" s="216"/>
      <c r="BH517" s="36"/>
    </row>
    <row r="518" spans="59:60" ht="12.75" customHeight="1">
      <c r="BG518" s="216"/>
      <c r="BH518" s="36"/>
    </row>
    <row r="519" spans="59:60" ht="12.75" customHeight="1">
      <c r="BG519" s="216"/>
      <c r="BH519" s="36"/>
    </row>
    <row r="520" spans="59:60" ht="12.75" customHeight="1">
      <c r="BG520" s="216"/>
      <c r="BH520" s="36"/>
    </row>
    <row r="521" spans="59:60" ht="12.75" customHeight="1">
      <c r="BG521" s="216"/>
      <c r="BH521" s="36"/>
    </row>
    <row r="522" spans="59:60" ht="12.75" customHeight="1">
      <c r="BG522" s="216"/>
      <c r="BH522" s="36"/>
    </row>
    <row r="523" spans="59:60" ht="12.75" customHeight="1">
      <c r="BG523" s="216"/>
      <c r="BH523" s="36"/>
    </row>
    <row r="524" spans="59:60" ht="12.75" customHeight="1">
      <c r="BG524" s="216"/>
      <c r="BH524" s="36"/>
    </row>
    <row r="525" spans="59:60" ht="12.75" customHeight="1">
      <c r="BG525" s="216"/>
      <c r="BH525" s="36"/>
    </row>
    <row r="526" spans="59:60" ht="12.75" customHeight="1">
      <c r="BG526" s="216"/>
      <c r="BH526" s="36"/>
    </row>
    <row r="527" spans="59:60" ht="12.75" customHeight="1">
      <c r="BG527" s="216"/>
      <c r="BH527" s="36"/>
    </row>
    <row r="528" spans="59:60" ht="12.75" customHeight="1">
      <c r="BG528" s="216"/>
      <c r="BH528" s="36"/>
    </row>
    <row r="529" spans="59:60" ht="12.75" customHeight="1">
      <c r="BG529" s="216"/>
      <c r="BH529" s="36"/>
    </row>
    <row r="530" spans="59:60" ht="12.75" customHeight="1">
      <c r="BG530" s="216"/>
      <c r="BH530" s="36"/>
    </row>
    <row r="531" spans="59:60" ht="12.75" customHeight="1">
      <c r="BG531" s="216"/>
      <c r="BH531" s="36"/>
    </row>
    <row r="532" spans="59:60" ht="12.75" customHeight="1">
      <c r="BG532" s="216"/>
      <c r="BH532" s="36"/>
    </row>
    <row r="533" spans="59:60" ht="12.75" customHeight="1">
      <c r="BG533" s="216"/>
      <c r="BH533" s="36"/>
    </row>
    <row r="534" spans="59:60" ht="12.75" customHeight="1">
      <c r="BG534" s="216"/>
      <c r="BH534" s="36"/>
    </row>
    <row r="535" spans="59:60" ht="12.75" customHeight="1">
      <c r="BG535" s="216"/>
      <c r="BH535" s="36"/>
    </row>
    <row r="536" spans="59:60" ht="12.75" customHeight="1">
      <c r="BG536" s="216"/>
      <c r="BH536" s="36"/>
    </row>
    <row r="537" spans="59:60" ht="12.75" customHeight="1">
      <c r="BG537" s="216"/>
      <c r="BH537" s="36"/>
    </row>
    <row r="538" spans="59:60" ht="12.75" customHeight="1">
      <c r="BG538" s="216"/>
      <c r="BH538" s="36"/>
    </row>
    <row r="539" spans="59:60" ht="12.75" customHeight="1">
      <c r="BG539" s="216"/>
      <c r="BH539" s="36"/>
    </row>
    <row r="540" spans="59:60" ht="12.75" customHeight="1">
      <c r="BG540" s="216"/>
      <c r="BH540" s="36"/>
    </row>
    <row r="541" spans="59:60" ht="12.75" customHeight="1">
      <c r="BG541" s="216"/>
      <c r="BH541" s="36"/>
    </row>
    <row r="542" spans="59:60" ht="12.75" customHeight="1">
      <c r="BG542" s="216"/>
      <c r="BH542" s="36"/>
    </row>
    <row r="543" spans="59:60" ht="12.75" customHeight="1">
      <c r="BG543" s="216"/>
      <c r="BH543" s="36"/>
    </row>
    <row r="544" spans="59:60" ht="12.75" customHeight="1">
      <c r="BG544" s="216"/>
      <c r="BH544" s="36"/>
    </row>
    <row r="545" spans="59:60" ht="12.75" customHeight="1">
      <c r="BG545" s="216"/>
      <c r="BH545" s="36"/>
    </row>
    <row r="546" spans="59:60" ht="12.75" customHeight="1">
      <c r="BG546" s="216"/>
      <c r="BH546" s="36"/>
    </row>
    <row r="547" spans="59:60" ht="12.75" customHeight="1">
      <c r="BG547" s="216"/>
      <c r="BH547" s="36"/>
    </row>
    <row r="548" spans="59:60" ht="12.75" customHeight="1">
      <c r="BG548" s="216"/>
      <c r="BH548" s="36"/>
    </row>
    <row r="549" spans="59:60" ht="12.75" customHeight="1">
      <c r="BG549" s="216"/>
      <c r="BH549" s="36"/>
    </row>
    <row r="550" spans="59:60" ht="12.75" customHeight="1">
      <c r="BG550" s="216"/>
      <c r="BH550" s="36"/>
    </row>
    <row r="551" spans="59:60" ht="12.75" customHeight="1">
      <c r="BG551" s="216"/>
      <c r="BH551" s="36"/>
    </row>
    <row r="552" spans="59:60" ht="12.75" customHeight="1">
      <c r="BG552" s="216"/>
      <c r="BH552" s="36"/>
    </row>
    <row r="553" spans="59:60" ht="12.75" customHeight="1">
      <c r="BG553" s="216"/>
      <c r="BH553" s="36"/>
    </row>
    <row r="554" spans="59:60" ht="12.75" customHeight="1">
      <c r="BG554" s="216"/>
      <c r="BH554" s="36"/>
    </row>
    <row r="555" spans="59:60" ht="12.75" customHeight="1">
      <c r="BG555" s="216"/>
      <c r="BH555" s="36"/>
    </row>
    <row r="556" spans="59:60" ht="12.75" customHeight="1">
      <c r="BG556" s="216"/>
      <c r="BH556" s="36"/>
    </row>
    <row r="557" spans="59:60" ht="12.75" customHeight="1">
      <c r="BG557" s="216"/>
      <c r="BH557" s="36"/>
    </row>
    <row r="558" spans="59:60" ht="12.75" customHeight="1">
      <c r="BG558" s="216"/>
      <c r="BH558" s="36"/>
    </row>
    <row r="559" spans="59:60" ht="12.75" customHeight="1">
      <c r="BG559" s="216"/>
      <c r="BH559" s="36"/>
    </row>
    <row r="560" spans="59:60" ht="12.75" customHeight="1">
      <c r="BG560" s="216"/>
      <c r="BH560" s="36"/>
    </row>
    <row r="561" spans="59:60" ht="12.75" customHeight="1">
      <c r="BG561" s="216"/>
      <c r="BH561" s="36"/>
    </row>
    <row r="562" spans="59:60" ht="12.75" customHeight="1">
      <c r="BG562" s="216"/>
      <c r="BH562" s="36"/>
    </row>
    <row r="563" spans="59:60" ht="12.75" customHeight="1">
      <c r="BG563" s="216"/>
      <c r="BH563" s="36"/>
    </row>
    <row r="564" spans="59:60" ht="12.75" customHeight="1">
      <c r="BG564" s="216"/>
      <c r="BH564" s="36"/>
    </row>
    <row r="565" spans="59:60" ht="12.75" customHeight="1">
      <c r="BG565" s="216"/>
      <c r="BH565" s="36"/>
    </row>
    <row r="566" spans="59:60" ht="12.75" customHeight="1">
      <c r="BG566" s="216"/>
      <c r="BH566" s="36"/>
    </row>
    <row r="567" spans="59:60" ht="12.75" customHeight="1">
      <c r="BG567" s="216"/>
      <c r="BH567" s="36"/>
    </row>
    <row r="568" spans="59:60" ht="12.75" customHeight="1">
      <c r="BG568" s="216"/>
      <c r="BH568" s="36"/>
    </row>
    <row r="569" spans="59:60" ht="12.75" customHeight="1">
      <c r="BG569" s="216"/>
      <c r="BH569" s="36"/>
    </row>
    <row r="570" spans="59:60" ht="12.75" customHeight="1">
      <c r="BG570" s="216"/>
      <c r="BH570" s="36"/>
    </row>
    <row r="571" spans="59:60" ht="12.75" customHeight="1">
      <c r="BG571" s="216"/>
      <c r="BH571" s="36"/>
    </row>
    <row r="572" spans="59:60" ht="12.75" customHeight="1">
      <c r="BG572" s="216"/>
      <c r="BH572" s="36"/>
    </row>
    <row r="573" spans="59:60" ht="12.75" customHeight="1">
      <c r="BG573" s="216"/>
      <c r="BH573" s="36"/>
    </row>
    <row r="574" spans="59:60" ht="12.75" customHeight="1">
      <c r="BG574" s="216"/>
      <c r="BH574" s="36"/>
    </row>
    <row r="575" spans="59:60" ht="12.75" customHeight="1">
      <c r="BG575" s="216"/>
      <c r="BH575" s="36"/>
    </row>
    <row r="576" spans="59:60" ht="12.75" customHeight="1">
      <c r="BG576" s="216"/>
      <c r="BH576" s="36"/>
    </row>
    <row r="577" spans="59:60" ht="12.75" customHeight="1">
      <c r="BG577" s="216"/>
      <c r="BH577" s="36"/>
    </row>
    <row r="578" spans="59:60" ht="12.75" customHeight="1">
      <c r="BG578" s="216"/>
      <c r="BH578" s="36"/>
    </row>
    <row r="579" spans="59:60" ht="12.75" customHeight="1">
      <c r="BG579" s="216"/>
      <c r="BH579" s="36"/>
    </row>
    <row r="580" spans="59:60" ht="12.75" customHeight="1">
      <c r="BG580" s="216"/>
      <c r="BH580" s="36"/>
    </row>
    <row r="581" spans="59:60" ht="12.75" customHeight="1">
      <c r="BG581" s="216"/>
      <c r="BH581" s="36"/>
    </row>
    <row r="582" spans="59:60" ht="12.75" customHeight="1">
      <c r="BG582" s="216"/>
      <c r="BH582" s="36"/>
    </row>
    <row r="583" spans="59:60" ht="12.75" customHeight="1">
      <c r="BG583" s="216"/>
      <c r="BH583" s="36"/>
    </row>
    <row r="584" spans="59:60" ht="12.75" customHeight="1">
      <c r="BG584" s="216"/>
      <c r="BH584" s="36"/>
    </row>
    <row r="585" spans="59:60" ht="12.75" customHeight="1">
      <c r="BG585" s="216"/>
      <c r="BH585" s="36"/>
    </row>
    <row r="586" spans="59:60" ht="12.75" customHeight="1">
      <c r="BG586" s="216"/>
      <c r="BH586" s="36"/>
    </row>
    <row r="587" spans="59:60" ht="12.75" customHeight="1">
      <c r="BG587" s="216"/>
      <c r="BH587" s="36"/>
    </row>
    <row r="588" spans="59:60" ht="12.75" customHeight="1">
      <c r="BG588" s="216"/>
      <c r="BH588" s="36"/>
    </row>
    <row r="589" spans="59:60" ht="12.75" customHeight="1">
      <c r="BG589" s="216"/>
      <c r="BH589" s="36"/>
    </row>
    <row r="590" spans="59:60" ht="12.75" customHeight="1">
      <c r="BG590" s="216"/>
      <c r="BH590" s="36"/>
    </row>
    <row r="591" spans="59:60" ht="12.75" customHeight="1">
      <c r="BG591" s="216"/>
      <c r="BH591" s="36"/>
    </row>
    <row r="592" spans="59:60" ht="12.75" customHeight="1">
      <c r="BG592" s="216"/>
      <c r="BH592" s="36"/>
    </row>
    <row r="593" spans="59:60" ht="12.75" customHeight="1">
      <c r="BG593" s="216"/>
      <c r="BH593" s="36"/>
    </row>
    <row r="594" spans="59:60" ht="12.75" customHeight="1">
      <c r="BG594" s="216"/>
      <c r="BH594" s="36"/>
    </row>
    <row r="595" spans="59:60" ht="12.75" customHeight="1">
      <c r="BG595" s="216"/>
      <c r="BH595" s="36"/>
    </row>
    <row r="596" spans="59:60" ht="12.75" customHeight="1">
      <c r="BG596" s="216"/>
      <c r="BH596" s="36"/>
    </row>
    <row r="597" spans="59:60" ht="12.75" customHeight="1">
      <c r="BG597" s="216"/>
      <c r="BH597" s="36"/>
    </row>
    <row r="598" spans="59:60" ht="12.75" customHeight="1">
      <c r="BG598" s="216"/>
      <c r="BH598" s="36"/>
    </row>
    <row r="599" spans="59:60" ht="12.75" customHeight="1">
      <c r="BG599" s="216"/>
      <c r="BH599" s="36"/>
    </row>
    <row r="600" spans="59:60" ht="12.75" customHeight="1">
      <c r="BG600" s="216"/>
      <c r="BH600" s="36"/>
    </row>
    <row r="601" spans="59:60" ht="12.75" customHeight="1">
      <c r="BG601" s="216"/>
      <c r="BH601" s="36"/>
    </row>
    <row r="602" spans="59:60" ht="12.75" customHeight="1">
      <c r="BG602" s="216"/>
      <c r="BH602" s="36"/>
    </row>
    <row r="603" spans="59:60" ht="12.75" customHeight="1">
      <c r="BG603" s="216"/>
      <c r="BH603" s="36"/>
    </row>
    <row r="604" spans="59:60" ht="12.75" customHeight="1">
      <c r="BG604" s="216"/>
      <c r="BH604" s="36"/>
    </row>
    <row r="605" spans="59:60" ht="12.75" customHeight="1">
      <c r="BG605" s="216"/>
      <c r="BH605" s="36"/>
    </row>
    <row r="606" spans="59:60" ht="12.75" customHeight="1">
      <c r="BG606" s="216"/>
      <c r="BH606" s="36"/>
    </row>
    <row r="607" spans="59:60" ht="12.75" customHeight="1">
      <c r="BG607" s="216"/>
      <c r="BH607" s="36"/>
    </row>
    <row r="608" spans="59:60" ht="12.75" customHeight="1">
      <c r="BG608" s="216"/>
      <c r="BH608" s="36"/>
    </row>
    <row r="609" spans="59:60" ht="12.75" customHeight="1">
      <c r="BG609" s="216"/>
      <c r="BH609" s="36"/>
    </row>
    <row r="610" spans="59:60" ht="12.75" customHeight="1">
      <c r="BG610" s="216"/>
      <c r="BH610" s="36"/>
    </row>
    <row r="611" spans="59:60" ht="12.75" customHeight="1">
      <c r="BG611" s="216"/>
      <c r="BH611" s="36"/>
    </row>
    <row r="612" spans="59:60" ht="12.75" customHeight="1">
      <c r="BG612" s="216"/>
      <c r="BH612" s="36"/>
    </row>
    <row r="613" spans="59:60" ht="12.75" customHeight="1">
      <c r="BG613" s="216"/>
      <c r="BH613" s="36"/>
    </row>
    <row r="614" spans="59:60" ht="12.75" customHeight="1">
      <c r="BG614" s="216"/>
      <c r="BH614" s="36"/>
    </row>
    <row r="615" spans="59:60" ht="12.75" customHeight="1">
      <c r="BG615" s="216"/>
      <c r="BH615" s="36"/>
    </row>
    <row r="616" spans="59:60" ht="12.75" customHeight="1">
      <c r="BG616" s="216"/>
      <c r="BH616" s="36"/>
    </row>
    <row r="617" spans="59:60" ht="12.75" customHeight="1">
      <c r="BG617" s="216"/>
      <c r="BH617" s="36"/>
    </row>
    <row r="618" spans="59:60" ht="12.75" customHeight="1">
      <c r="BG618" s="216"/>
      <c r="BH618" s="36"/>
    </row>
    <row r="619" spans="59:60" ht="12.75" customHeight="1">
      <c r="BG619" s="216"/>
      <c r="BH619" s="36"/>
    </row>
    <row r="620" spans="59:60" ht="12.75" customHeight="1">
      <c r="BG620" s="216"/>
      <c r="BH620" s="36"/>
    </row>
    <row r="621" spans="59:60" ht="12.75" customHeight="1">
      <c r="BG621" s="216"/>
      <c r="BH621" s="36"/>
    </row>
    <row r="622" spans="59:60" ht="12.75" customHeight="1">
      <c r="BG622" s="216"/>
      <c r="BH622" s="36"/>
    </row>
    <row r="623" spans="59:60" ht="12.75" customHeight="1">
      <c r="BG623" s="216"/>
      <c r="BH623" s="36"/>
    </row>
    <row r="624" spans="59:60" ht="12.75" customHeight="1">
      <c r="BG624" s="216"/>
      <c r="BH624" s="36"/>
    </row>
    <row r="625" spans="59:60" ht="12.75" customHeight="1">
      <c r="BG625" s="216"/>
      <c r="BH625" s="36"/>
    </row>
    <row r="626" spans="59:60" ht="12.75" customHeight="1">
      <c r="BG626" s="216"/>
      <c r="BH626" s="36"/>
    </row>
    <row r="627" spans="59:60" ht="12.75" customHeight="1">
      <c r="BG627" s="216"/>
      <c r="BH627" s="36"/>
    </row>
    <row r="628" spans="59:60" ht="12.75" customHeight="1">
      <c r="BG628" s="216"/>
      <c r="BH628" s="36"/>
    </row>
    <row r="629" spans="59:60" ht="12.75" customHeight="1">
      <c r="BG629" s="216"/>
      <c r="BH629" s="36"/>
    </row>
    <row r="630" spans="59:60" ht="12.75" customHeight="1">
      <c r="BG630" s="216"/>
      <c r="BH630" s="36"/>
    </row>
    <row r="631" spans="59:60" ht="12.75" customHeight="1">
      <c r="BG631" s="216"/>
      <c r="BH631" s="36"/>
    </row>
    <row r="632" spans="59:60" ht="12.75" customHeight="1">
      <c r="BG632" s="216"/>
      <c r="BH632" s="36"/>
    </row>
    <row r="633" spans="59:60" ht="12.75" customHeight="1">
      <c r="BG633" s="216"/>
      <c r="BH633" s="36"/>
    </row>
    <row r="634" spans="59:60" ht="12.75" customHeight="1">
      <c r="BG634" s="216"/>
      <c r="BH634" s="36"/>
    </row>
    <row r="635" spans="59:60" ht="12.75" customHeight="1">
      <c r="BG635" s="216"/>
      <c r="BH635" s="36"/>
    </row>
    <row r="636" spans="59:60" ht="12.75" customHeight="1">
      <c r="BG636" s="216"/>
      <c r="BH636" s="36"/>
    </row>
    <row r="637" spans="59:60" ht="12.75" customHeight="1">
      <c r="BG637" s="216"/>
      <c r="BH637" s="36"/>
    </row>
    <row r="638" spans="59:60" ht="12.75" customHeight="1">
      <c r="BG638" s="216"/>
      <c r="BH638" s="36"/>
    </row>
    <row r="639" spans="59:60" ht="12.75" customHeight="1">
      <c r="BG639" s="216"/>
      <c r="BH639" s="36"/>
    </row>
    <row r="640" spans="59:60" ht="12.75" customHeight="1">
      <c r="BG640" s="216"/>
      <c r="BH640" s="36"/>
    </row>
    <row r="641" spans="59:60" ht="12.75" customHeight="1">
      <c r="BG641" s="216"/>
      <c r="BH641" s="36"/>
    </row>
    <row r="642" spans="59:60" ht="12.75" customHeight="1">
      <c r="BG642" s="216"/>
      <c r="BH642" s="36"/>
    </row>
    <row r="643" spans="59:60" ht="12.75" customHeight="1">
      <c r="BG643" s="216"/>
      <c r="BH643" s="36"/>
    </row>
    <row r="644" spans="59:60" ht="12.75" customHeight="1">
      <c r="BG644" s="216"/>
      <c r="BH644" s="36"/>
    </row>
    <row r="645" spans="59:60" ht="12.75" customHeight="1">
      <c r="BG645" s="216"/>
      <c r="BH645" s="36"/>
    </row>
    <row r="646" spans="59:60" ht="12.75" customHeight="1">
      <c r="BG646" s="216"/>
      <c r="BH646" s="36"/>
    </row>
    <row r="647" spans="59:60" ht="12.75" customHeight="1">
      <c r="BG647" s="216"/>
      <c r="BH647" s="36"/>
    </row>
    <row r="648" spans="59:60" ht="12.75" customHeight="1">
      <c r="BG648" s="216"/>
      <c r="BH648" s="36"/>
    </row>
    <row r="649" spans="59:60" ht="12.75" customHeight="1">
      <c r="BG649" s="216"/>
      <c r="BH649" s="36"/>
    </row>
    <row r="650" spans="59:60" ht="12.75" customHeight="1">
      <c r="BG650" s="216"/>
      <c r="BH650" s="36"/>
    </row>
    <row r="651" spans="59:60" ht="12.75" customHeight="1">
      <c r="BG651" s="216"/>
      <c r="BH651" s="36"/>
    </row>
    <row r="652" spans="59:60" ht="12.75" customHeight="1">
      <c r="BG652" s="216"/>
      <c r="BH652" s="36"/>
    </row>
    <row r="653" spans="59:60" ht="12.75" customHeight="1">
      <c r="BG653" s="216"/>
      <c r="BH653" s="36"/>
    </row>
    <row r="654" spans="59:60" ht="12.75" customHeight="1">
      <c r="BG654" s="216"/>
      <c r="BH654" s="36"/>
    </row>
    <row r="655" spans="59:60" ht="12.75" customHeight="1">
      <c r="BG655" s="216"/>
      <c r="BH655" s="36"/>
    </row>
    <row r="656" spans="59:60" ht="12.75" customHeight="1">
      <c r="BG656" s="216"/>
      <c r="BH656" s="36"/>
    </row>
    <row r="657" spans="59:60" ht="12.75" customHeight="1">
      <c r="BG657" s="216"/>
      <c r="BH657" s="36"/>
    </row>
    <row r="658" spans="59:60" ht="12.75" customHeight="1">
      <c r="BG658" s="216"/>
      <c r="BH658" s="36"/>
    </row>
    <row r="659" spans="59:60" ht="12.75" customHeight="1">
      <c r="BG659" s="216"/>
      <c r="BH659" s="36"/>
    </row>
    <row r="660" spans="59:60" ht="12.75" customHeight="1">
      <c r="BG660" s="216"/>
      <c r="BH660" s="36"/>
    </row>
    <row r="661" spans="59:60" ht="12.75" customHeight="1">
      <c r="BG661" s="216"/>
      <c r="BH661" s="36"/>
    </row>
    <row r="662" spans="59:60" ht="12.75" customHeight="1">
      <c r="BG662" s="216"/>
      <c r="BH662" s="36"/>
    </row>
    <row r="663" spans="59:60" ht="12.75" customHeight="1">
      <c r="BG663" s="216"/>
      <c r="BH663" s="36"/>
    </row>
    <row r="664" spans="59:60" ht="12.75" customHeight="1">
      <c r="BG664" s="216"/>
      <c r="BH664" s="36"/>
    </row>
    <row r="665" spans="59:60" ht="12.75" customHeight="1">
      <c r="BG665" s="216"/>
      <c r="BH665" s="36"/>
    </row>
    <row r="666" spans="59:60" ht="12.75" customHeight="1">
      <c r="BG666" s="216"/>
      <c r="BH666" s="36"/>
    </row>
    <row r="667" spans="59:60" ht="12.75" customHeight="1">
      <c r="BG667" s="216"/>
      <c r="BH667" s="36"/>
    </row>
    <row r="668" spans="59:60" ht="12.75" customHeight="1">
      <c r="BG668" s="216"/>
      <c r="BH668" s="36"/>
    </row>
    <row r="669" spans="59:60" ht="12.75" customHeight="1">
      <c r="BG669" s="216"/>
      <c r="BH669" s="36"/>
    </row>
    <row r="670" spans="59:60" ht="12.75" customHeight="1">
      <c r="BG670" s="216"/>
      <c r="BH670" s="36"/>
    </row>
    <row r="671" spans="59:60" ht="12.75" customHeight="1">
      <c r="BG671" s="216"/>
      <c r="BH671" s="36"/>
    </row>
    <row r="672" spans="59:60" ht="12.75" customHeight="1">
      <c r="BG672" s="216"/>
      <c r="BH672" s="36"/>
    </row>
    <row r="673" spans="59:60" ht="12.75" customHeight="1">
      <c r="BG673" s="216"/>
      <c r="BH673" s="36"/>
    </row>
    <row r="674" spans="59:60" ht="12.75" customHeight="1">
      <c r="BG674" s="216"/>
      <c r="BH674" s="36"/>
    </row>
    <row r="675" spans="59:60" ht="12.75" customHeight="1">
      <c r="BG675" s="216"/>
      <c r="BH675" s="36"/>
    </row>
    <row r="676" spans="59:60" ht="12.75" customHeight="1">
      <c r="BG676" s="216"/>
      <c r="BH676" s="36"/>
    </row>
    <row r="677" spans="59:60" ht="12.75" customHeight="1">
      <c r="BG677" s="216"/>
      <c r="BH677" s="36"/>
    </row>
    <row r="678" spans="59:60" ht="12.75" customHeight="1">
      <c r="BG678" s="216"/>
      <c r="BH678" s="36"/>
    </row>
    <row r="679" spans="59:60" ht="12.75" customHeight="1">
      <c r="BG679" s="216"/>
      <c r="BH679" s="36"/>
    </row>
    <row r="680" spans="59:60" ht="12.75" customHeight="1">
      <c r="BG680" s="216"/>
      <c r="BH680" s="36"/>
    </row>
    <row r="681" spans="59:60" ht="12.75" customHeight="1">
      <c r="BG681" s="216"/>
      <c r="BH681" s="36"/>
    </row>
    <row r="682" spans="59:60" ht="12.75" customHeight="1">
      <c r="BG682" s="216"/>
      <c r="BH682" s="36"/>
    </row>
    <row r="683" spans="59:60" ht="12.75" customHeight="1">
      <c r="BG683" s="216"/>
      <c r="BH683" s="36"/>
    </row>
    <row r="684" spans="59:60" ht="12.75" customHeight="1">
      <c r="BG684" s="216"/>
      <c r="BH684" s="36"/>
    </row>
    <row r="685" spans="59:60" ht="12.75" customHeight="1">
      <c r="BG685" s="216"/>
      <c r="BH685" s="36"/>
    </row>
    <row r="686" spans="59:60" ht="12.75" customHeight="1">
      <c r="BG686" s="216"/>
      <c r="BH686" s="36"/>
    </row>
    <row r="687" spans="59:60" ht="12.75" customHeight="1">
      <c r="BG687" s="216"/>
      <c r="BH687" s="36"/>
    </row>
    <row r="688" spans="59:60" ht="12.75" customHeight="1">
      <c r="BG688" s="216"/>
      <c r="BH688" s="36"/>
    </row>
    <row r="689" spans="59:60" ht="12.75" customHeight="1">
      <c r="BG689" s="216"/>
      <c r="BH689" s="36"/>
    </row>
    <row r="690" spans="59:60" ht="12.75" customHeight="1">
      <c r="BG690" s="216"/>
      <c r="BH690" s="36"/>
    </row>
    <row r="691" spans="59:60" ht="12.75" customHeight="1">
      <c r="BG691" s="216"/>
      <c r="BH691" s="36"/>
    </row>
    <row r="692" spans="59:60" ht="12.75" customHeight="1">
      <c r="BG692" s="216"/>
      <c r="BH692" s="36"/>
    </row>
    <row r="693" spans="59:60" ht="12.75" customHeight="1">
      <c r="BG693" s="216"/>
      <c r="BH693" s="36"/>
    </row>
    <row r="694" spans="59:60" ht="12.75" customHeight="1">
      <c r="BG694" s="216"/>
      <c r="BH694" s="36"/>
    </row>
    <row r="695" spans="59:60" ht="12.75" customHeight="1">
      <c r="BG695" s="216"/>
      <c r="BH695" s="36"/>
    </row>
    <row r="696" spans="59:60" ht="12.75" customHeight="1">
      <c r="BG696" s="216"/>
      <c r="BH696" s="36"/>
    </row>
    <row r="697" spans="59:60" ht="12.75" customHeight="1">
      <c r="BG697" s="216"/>
      <c r="BH697" s="36"/>
    </row>
    <row r="698" spans="59:60" ht="12.75" customHeight="1">
      <c r="BG698" s="216"/>
      <c r="BH698" s="36"/>
    </row>
    <row r="699" spans="59:60" ht="12.75" customHeight="1">
      <c r="BG699" s="216"/>
      <c r="BH699" s="36"/>
    </row>
    <row r="700" spans="59:60" ht="12.75" customHeight="1">
      <c r="BG700" s="216"/>
      <c r="BH700" s="36"/>
    </row>
    <row r="701" spans="59:60" ht="12.75" customHeight="1">
      <c r="BG701" s="216"/>
      <c r="BH701" s="36"/>
    </row>
    <row r="702" spans="59:60" ht="12.75" customHeight="1">
      <c r="BG702" s="216"/>
      <c r="BH702" s="36"/>
    </row>
    <row r="703" spans="59:60" ht="12.75" customHeight="1">
      <c r="BG703" s="216"/>
      <c r="BH703" s="36"/>
    </row>
    <row r="704" spans="59:60" ht="12.75" customHeight="1">
      <c r="BG704" s="216"/>
      <c r="BH704" s="36"/>
    </row>
    <row r="705" spans="59:60" ht="12.75" customHeight="1">
      <c r="BG705" s="216"/>
      <c r="BH705" s="36"/>
    </row>
    <row r="706" spans="59:60" ht="12.75" customHeight="1">
      <c r="BG706" s="216"/>
      <c r="BH706" s="36"/>
    </row>
    <row r="707" spans="59:60" ht="12.75" customHeight="1">
      <c r="BG707" s="216"/>
      <c r="BH707" s="36"/>
    </row>
    <row r="708" spans="59:60" ht="12.75" customHeight="1">
      <c r="BG708" s="216"/>
      <c r="BH708" s="36"/>
    </row>
    <row r="709" spans="59:60" ht="12.75" customHeight="1">
      <c r="BG709" s="216"/>
      <c r="BH709" s="36"/>
    </row>
    <row r="710" spans="59:60" ht="12.75" customHeight="1">
      <c r="BG710" s="216"/>
      <c r="BH710" s="36"/>
    </row>
    <row r="711" spans="59:60" ht="12.75" customHeight="1">
      <c r="BG711" s="216"/>
      <c r="BH711" s="36"/>
    </row>
    <row r="712" spans="59:60" ht="12.75" customHeight="1">
      <c r="BG712" s="216"/>
      <c r="BH712" s="36"/>
    </row>
    <row r="713" spans="59:60" ht="12.75" customHeight="1">
      <c r="BG713" s="216"/>
      <c r="BH713" s="36"/>
    </row>
    <row r="714" spans="59:60" ht="12.75" customHeight="1">
      <c r="BG714" s="216"/>
      <c r="BH714" s="36"/>
    </row>
    <row r="715" spans="59:60" ht="12.75" customHeight="1">
      <c r="BG715" s="216"/>
      <c r="BH715" s="36"/>
    </row>
    <row r="716" spans="59:60" ht="12.75" customHeight="1">
      <c r="BG716" s="216"/>
      <c r="BH716" s="36"/>
    </row>
    <row r="717" spans="59:60" ht="12.75" customHeight="1">
      <c r="BG717" s="216"/>
      <c r="BH717" s="36"/>
    </row>
    <row r="718" spans="59:60" ht="12.75" customHeight="1">
      <c r="BG718" s="216"/>
      <c r="BH718" s="36"/>
    </row>
    <row r="719" spans="59:60" ht="12.75" customHeight="1">
      <c r="BG719" s="216"/>
      <c r="BH719" s="36"/>
    </row>
    <row r="720" spans="59:60" ht="12.75" customHeight="1">
      <c r="BG720" s="216"/>
      <c r="BH720" s="36"/>
    </row>
    <row r="721" spans="59:60" ht="12.75" customHeight="1">
      <c r="BG721" s="216"/>
      <c r="BH721" s="36"/>
    </row>
    <row r="722" spans="59:60" ht="12.75" customHeight="1">
      <c r="BG722" s="216"/>
      <c r="BH722" s="36"/>
    </row>
    <row r="723" spans="59:60" ht="12.75" customHeight="1">
      <c r="BG723" s="216"/>
      <c r="BH723" s="36"/>
    </row>
    <row r="724" spans="59:60" ht="12.75" customHeight="1">
      <c r="BG724" s="216"/>
      <c r="BH724" s="36"/>
    </row>
    <row r="725" spans="59:60" ht="12.75" customHeight="1">
      <c r="BG725" s="216"/>
      <c r="BH725" s="36"/>
    </row>
    <row r="726" spans="59:60" ht="12.75" customHeight="1">
      <c r="BG726" s="216"/>
      <c r="BH726" s="36"/>
    </row>
    <row r="727" spans="59:60" ht="12.75" customHeight="1">
      <c r="BG727" s="216"/>
      <c r="BH727" s="36"/>
    </row>
    <row r="728" spans="59:60" ht="12.75" customHeight="1">
      <c r="BG728" s="216"/>
      <c r="BH728" s="36"/>
    </row>
    <row r="729" spans="59:60" ht="12.75" customHeight="1">
      <c r="BG729" s="216"/>
      <c r="BH729" s="36"/>
    </row>
    <row r="730" spans="59:60" ht="12.75" customHeight="1">
      <c r="BG730" s="216"/>
      <c r="BH730" s="36"/>
    </row>
    <row r="731" spans="59:60" ht="12.75" customHeight="1">
      <c r="BG731" s="216"/>
      <c r="BH731" s="36"/>
    </row>
    <row r="732" spans="59:60" ht="12.75" customHeight="1">
      <c r="BG732" s="216"/>
      <c r="BH732" s="36"/>
    </row>
    <row r="733" spans="59:60" ht="12.75" customHeight="1">
      <c r="BG733" s="216"/>
      <c r="BH733" s="36"/>
    </row>
    <row r="734" spans="59:60" ht="12.75" customHeight="1">
      <c r="BG734" s="216"/>
      <c r="BH734" s="36"/>
    </row>
    <row r="735" spans="59:60" ht="12.75" customHeight="1">
      <c r="BG735" s="216"/>
      <c r="BH735" s="36"/>
    </row>
    <row r="736" spans="59:60" ht="12.75" customHeight="1">
      <c r="BG736" s="216"/>
      <c r="BH736" s="36"/>
    </row>
    <row r="737" spans="59:60" ht="12.75" customHeight="1">
      <c r="BG737" s="216"/>
      <c r="BH737" s="36"/>
    </row>
    <row r="738" spans="59:60" ht="12.75" customHeight="1">
      <c r="BG738" s="216"/>
      <c r="BH738" s="36"/>
    </row>
    <row r="739" spans="59:60" ht="12.75" customHeight="1">
      <c r="BG739" s="216"/>
      <c r="BH739" s="36"/>
    </row>
    <row r="740" spans="59:60" ht="12.75" customHeight="1">
      <c r="BG740" s="216"/>
      <c r="BH740" s="36"/>
    </row>
    <row r="741" spans="59:60" ht="12.75" customHeight="1">
      <c r="BG741" s="216"/>
      <c r="BH741" s="36"/>
    </row>
    <row r="742" spans="59:60" ht="12.75" customHeight="1">
      <c r="BG742" s="216"/>
      <c r="BH742" s="36"/>
    </row>
    <row r="743" spans="59:60" ht="12.75" customHeight="1">
      <c r="BG743" s="216"/>
      <c r="BH743" s="36"/>
    </row>
    <row r="744" spans="59:60" ht="12.75" customHeight="1">
      <c r="BG744" s="216"/>
      <c r="BH744" s="36"/>
    </row>
    <row r="745" spans="59:60" ht="12.75" customHeight="1">
      <c r="BG745" s="216"/>
      <c r="BH745" s="36"/>
    </row>
    <row r="746" spans="59:60" ht="12.75" customHeight="1">
      <c r="BG746" s="216"/>
      <c r="BH746" s="36"/>
    </row>
    <row r="747" spans="59:60" ht="12.75" customHeight="1">
      <c r="BG747" s="216"/>
      <c r="BH747" s="36"/>
    </row>
    <row r="748" spans="59:60" ht="12.75" customHeight="1">
      <c r="BG748" s="216"/>
      <c r="BH748" s="36"/>
    </row>
    <row r="749" spans="59:60" ht="12.75" customHeight="1">
      <c r="BG749" s="216"/>
      <c r="BH749" s="36"/>
    </row>
    <row r="750" spans="59:60" ht="12.75" customHeight="1">
      <c r="BG750" s="216"/>
      <c r="BH750" s="36"/>
    </row>
    <row r="751" spans="59:60" ht="12.75" customHeight="1">
      <c r="BG751" s="216"/>
      <c r="BH751" s="36"/>
    </row>
    <row r="752" spans="59:60" ht="12.75" customHeight="1">
      <c r="BG752" s="216"/>
      <c r="BH752" s="36"/>
    </row>
    <row r="753" spans="59:60" ht="12.75" customHeight="1">
      <c r="BG753" s="216"/>
      <c r="BH753" s="36"/>
    </row>
    <row r="754" spans="59:60" ht="12.75" customHeight="1">
      <c r="BG754" s="216"/>
      <c r="BH754" s="36"/>
    </row>
    <row r="755" spans="59:60" ht="12.75" customHeight="1">
      <c r="BG755" s="216"/>
      <c r="BH755" s="36"/>
    </row>
    <row r="756" spans="59:60" ht="12.75" customHeight="1">
      <c r="BG756" s="216"/>
      <c r="BH756" s="36"/>
    </row>
    <row r="757" spans="59:60" ht="12.75" customHeight="1">
      <c r="BG757" s="216"/>
      <c r="BH757" s="36"/>
    </row>
    <row r="758" spans="59:60" ht="12.75" customHeight="1">
      <c r="BG758" s="216"/>
      <c r="BH758" s="36"/>
    </row>
    <row r="759" spans="59:60" ht="12.75" customHeight="1">
      <c r="BG759" s="216"/>
      <c r="BH759" s="36"/>
    </row>
    <row r="760" spans="59:60" ht="12.75" customHeight="1">
      <c r="BG760" s="216"/>
      <c r="BH760" s="36"/>
    </row>
    <row r="761" spans="59:60" ht="12.75" customHeight="1">
      <c r="BG761" s="216"/>
      <c r="BH761" s="36"/>
    </row>
    <row r="762" spans="59:60" ht="12.75" customHeight="1">
      <c r="BG762" s="216"/>
      <c r="BH762" s="36"/>
    </row>
    <row r="763" spans="59:60" ht="12.75" customHeight="1">
      <c r="BG763" s="216"/>
      <c r="BH763" s="36"/>
    </row>
    <row r="764" spans="59:60" ht="12.75" customHeight="1">
      <c r="BG764" s="216"/>
      <c r="BH764" s="36"/>
    </row>
    <row r="765" spans="59:60" ht="12.75" customHeight="1">
      <c r="BG765" s="216"/>
      <c r="BH765" s="36"/>
    </row>
    <row r="766" spans="59:60" ht="12.75" customHeight="1">
      <c r="BG766" s="216"/>
      <c r="BH766" s="36"/>
    </row>
    <row r="767" spans="59:60" ht="12.75" customHeight="1">
      <c r="BG767" s="216"/>
      <c r="BH767" s="36"/>
    </row>
    <row r="768" spans="59:60" ht="12.75" customHeight="1">
      <c r="BG768" s="216"/>
      <c r="BH768" s="36"/>
    </row>
    <row r="769" spans="59:60" ht="12.75" customHeight="1">
      <c r="BG769" s="216"/>
      <c r="BH769" s="36"/>
    </row>
    <row r="770" spans="59:60" ht="12.75" customHeight="1">
      <c r="BG770" s="216"/>
      <c r="BH770" s="36"/>
    </row>
    <row r="771" spans="59:60" ht="12.75" customHeight="1">
      <c r="BG771" s="216"/>
      <c r="BH771" s="36"/>
    </row>
    <row r="772" spans="59:60" ht="12.75" customHeight="1">
      <c r="BG772" s="216"/>
      <c r="BH772" s="36"/>
    </row>
    <row r="773" spans="59:60" ht="12.75" customHeight="1">
      <c r="BG773" s="216"/>
      <c r="BH773" s="36"/>
    </row>
    <row r="774" spans="59:60" ht="12.75" customHeight="1">
      <c r="BG774" s="216"/>
      <c r="BH774" s="36"/>
    </row>
    <row r="775" spans="59:60" ht="12.75" customHeight="1">
      <c r="BG775" s="216"/>
      <c r="BH775" s="36"/>
    </row>
    <row r="776" spans="59:60" ht="12.75" customHeight="1">
      <c r="BG776" s="216"/>
      <c r="BH776" s="36"/>
    </row>
    <row r="777" spans="59:60" ht="12.75" customHeight="1">
      <c r="BG777" s="216"/>
      <c r="BH777" s="36"/>
    </row>
    <row r="778" spans="59:60" ht="12.75" customHeight="1">
      <c r="BG778" s="216"/>
      <c r="BH778" s="36"/>
    </row>
    <row r="779" spans="59:60" ht="12.75" customHeight="1">
      <c r="BG779" s="216"/>
      <c r="BH779" s="36"/>
    </row>
    <row r="780" spans="59:60" ht="12.75" customHeight="1">
      <c r="BG780" s="216"/>
      <c r="BH780" s="36"/>
    </row>
    <row r="781" spans="59:60" ht="12.75" customHeight="1">
      <c r="BG781" s="216"/>
      <c r="BH781" s="36"/>
    </row>
    <row r="782" spans="59:60" ht="12.75" customHeight="1">
      <c r="BG782" s="216"/>
      <c r="BH782" s="36"/>
    </row>
    <row r="783" spans="59:60" ht="12.75" customHeight="1">
      <c r="BG783" s="216"/>
      <c r="BH783" s="36"/>
    </row>
    <row r="784" spans="59:60" ht="12.75" customHeight="1">
      <c r="BG784" s="216"/>
      <c r="BH784" s="36"/>
    </row>
    <row r="785" spans="59:60" ht="12.75" customHeight="1">
      <c r="BG785" s="216"/>
      <c r="BH785" s="36"/>
    </row>
    <row r="786" spans="59:60" ht="12.75" customHeight="1">
      <c r="BG786" s="216"/>
      <c r="BH786" s="36"/>
    </row>
    <row r="787" spans="59:60" ht="12.75" customHeight="1">
      <c r="BG787" s="216"/>
      <c r="BH787" s="36"/>
    </row>
    <row r="788" spans="59:60" ht="12.75" customHeight="1">
      <c r="BG788" s="216"/>
      <c r="BH788" s="36"/>
    </row>
    <row r="789" spans="59:60" ht="12.75" customHeight="1">
      <c r="BG789" s="216"/>
      <c r="BH789" s="36"/>
    </row>
    <row r="790" spans="59:60" ht="12.75" customHeight="1">
      <c r="BG790" s="216"/>
      <c r="BH790" s="36"/>
    </row>
    <row r="791" spans="59:60" ht="12.75" customHeight="1">
      <c r="BG791" s="216"/>
      <c r="BH791" s="36"/>
    </row>
    <row r="792" spans="59:60" ht="12.75" customHeight="1">
      <c r="BG792" s="216"/>
      <c r="BH792" s="36"/>
    </row>
    <row r="793" spans="59:60" ht="12.75" customHeight="1">
      <c r="BG793" s="216"/>
      <c r="BH793" s="36"/>
    </row>
    <row r="794" spans="59:60" ht="12.75" customHeight="1">
      <c r="BG794" s="216"/>
      <c r="BH794" s="36"/>
    </row>
    <row r="795" spans="59:60" ht="12.75" customHeight="1">
      <c r="BG795" s="216"/>
      <c r="BH795" s="36"/>
    </row>
    <row r="796" spans="59:60" ht="12.75" customHeight="1">
      <c r="BG796" s="216"/>
      <c r="BH796" s="36"/>
    </row>
    <row r="797" spans="59:60" ht="12.75" customHeight="1">
      <c r="BG797" s="216"/>
      <c r="BH797" s="36"/>
    </row>
    <row r="798" spans="59:60" ht="12.75" customHeight="1">
      <c r="BG798" s="216"/>
      <c r="BH798" s="36"/>
    </row>
    <row r="799" spans="59:60" ht="12.75" customHeight="1">
      <c r="BG799" s="216"/>
      <c r="BH799" s="36"/>
    </row>
    <row r="800" spans="59:60" ht="12.75" customHeight="1">
      <c r="BG800" s="216"/>
      <c r="BH800" s="36"/>
    </row>
    <row r="801" spans="59:60" ht="12.75" customHeight="1">
      <c r="BG801" s="216"/>
      <c r="BH801" s="36"/>
    </row>
    <row r="802" spans="59:60" ht="12.75" customHeight="1">
      <c r="BG802" s="216"/>
      <c r="BH802" s="36"/>
    </row>
    <row r="803" spans="59:60" ht="12.75" customHeight="1">
      <c r="BG803" s="216"/>
      <c r="BH803" s="36"/>
    </row>
    <row r="804" spans="59:60" ht="12.75" customHeight="1">
      <c r="BG804" s="216"/>
      <c r="BH804" s="36"/>
    </row>
    <row r="805" spans="59:60" ht="12.75" customHeight="1">
      <c r="BG805" s="216"/>
      <c r="BH805" s="36"/>
    </row>
    <row r="806" spans="59:60" ht="12.75" customHeight="1">
      <c r="BG806" s="216"/>
      <c r="BH806" s="36"/>
    </row>
    <row r="807" spans="59:60" ht="12.75" customHeight="1">
      <c r="BG807" s="216"/>
      <c r="BH807" s="36"/>
    </row>
    <row r="808" spans="59:60" ht="12.75" customHeight="1">
      <c r="BG808" s="216"/>
      <c r="BH808" s="36"/>
    </row>
    <row r="809" spans="59:60" ht="12.75" customHeight="1">
      <c r="BG809" s="216"/>
      <c r="BH809" s="36"/>
    </row>
    <row r="810" spans="59:60" ht="12.75" customHeight="1">
      <c r="BG810" s="216"/>
      <c r="BH810" s="36"/>
    </row>
    <row r="811" spans="59:60" ht="12.75" customHeight="1">
      <c r="BG811" s="216"/>
      <c r="BH811" s="36"/>
    </row>
    <row r="812" spans="59:60" ht="12.75" customHeight="1">
      <c r="BG812" s="216"/>
      <c r="BH812" s="36"/>
    </row>
    <row r="813" spans="59:60" ht="12.75" customHeight="1">
      <c r="BG813" s="216"/>
      <c r="BH813" s="36"/>
    </row>
    <row r="814" spans="59:60" ht="12.75" customHeight="1">
      <c r="BG814" s="216"/>
      <c r="BH814" s="36"/>
    </row>
    <row r="815" spans="59:60" ht="12.75" customHeight="1">
      <c r="BG815" s="216"/>
      <c r="BH815" s="36"/>
    </row>
    <row r="816" spans="59:60" ht="12.75" customHeight="1">
      <c r="BG816" s="216"/>
      <c r="BH816" s="36"/>
    </row>
    <row r="817" spans="59:60" ht="12.75" customHeight="1">
      <c r="BG817" s="216"/>
      <c r="BH817" s="36"/>
    </row>
    <row r="818" spans="59:60" ht="12.75" customHeight="1">
      <c r="BG818" s="216"/>
      <c r="BH818" s="36"/>
    </row>
    <row r="819" spans="59:60" ht="12.75" customHeight="1">
      <c r="BG819" s="216"/>
      <c r="BH819" s="36"/>
    </row>
    <row r="820" spans="59:60" ht="12.75" customHeight="1">
      <c r="BG820" s="216"/>
      <c r="BH820" s="36"/>
    </row>
    <row r="821" spans="59:60" ht="12.75" customHeight="1">
      <c r="BG821" s="216"/>
      <c r="BH821" s="36"/>
    </row>
    <row r="822" spans="59:60" ht="12.75" customHeight="1">
      <c r="BG822" s="216"/>
      <c r="BH822" s="36"/>
    </row>
    <row r="823" spans="59:60" ht="12.75" customHeight="1">
      <c r="BG823" s="216"/>
      <c r="BH823" s="36"/>
    </row>
    <row r="824" spans="59:60" ht="12.75" customHeight="1">
      <c r="BG824" s="216"/>
      <c r="BH824" s="36"/>
    </row>
    <row r="825" spans="59:60" ht="12.75" customHeight="1">
      <c r="BG825" s="216"/>
      <c r="BH825" s="36"/>
    </row>
    <row r="826" spans="59:60" ht="12.75" customHeight="1">
      <c r="BG826" s="216"/>
      <c r="BH826" s="36"/>
    </row>
    <row r="827" spans="59:60" ht="12.75" customHeight="1">
      <c r="BG827" s="216"/>
      <c r="BH827" s="36"/>
    </row>
    <row r="828" spans="59:60" ht="12.75" customHeight="1">
      <c r="BG828" s="216"/>
      <c r="BH828" s="36"/>
    </row>
    <row r="829" spans="59:60" ht="12.75" customHeight="1">
      <c r="BG829" s="216"/>
      <c r="BH829" s="36"/>
    </row>
    <row r="830" spans="59:60" ht="12.75" customHeight="1">
      <c r="BG830" s="216"/>
      <c r="BH830" s="36"/>
    </row>
    <row r="831" spans="59:60" ht="12.75" customHeight="1">
      <c r="BG831" s="216"/>
      <c r="BH831" s="36"/>
    </row>
    <row r="832" spans="59:60" ht="12.75" customHeight="1">
      <c r="BG832" s="216"/>
      <c r="BH832" s="36"/>
    </row>
    <row r="833" spans="59:60" ht="12.75" customHeight="1">
      <c r="BG833" s="216"/>
      <c r="BH833" s="36"/>
    </row>
    <row r="834" spans="59:60" ht="12.75" customHeight="1">
      <c r="BG834" s="216"/>
      <c r="BH834" s="36"/>
    </row>
    <row r="835" spans="59:60" ht="12.75" customHeight="1">
      <c r="BG835" s="216"/>
      <c r="BH835" s="36"/>
    </row>
    <row r="836" spans="59:60" ht="12.75" customHeight="1">
      <c r="BG836" s="216"/>
      <c r="BH836" s="36"/>
    </row>
    <row r="837" spans="59:60" ht="12.75" customHeight="1">
      <c r="BG837" s="216"/>
      <c r="BH837" s="36"/>
    </row>
    <row r="838" spans="59:60" ht="12.75" customHeight="1">
      <c r="BG838" s="216"/>
      <c r="BH838" s="36"/>
    </row>
    <row r="839" spans="59:60" ht="12.75" customHeight="1">
      <c r="BG839" s="216"/>
      <c r="BH839" s="36"/>
    </row>
    <row r="840" spans="59:60" ht="12.75" customHeight="1">
      <c r="BG840" s="216"/>
      <c r="BH840" s="36"/>
    </row>
    <row r="841" spans="59:60" ht="12.75" customHeight="1">
      <c r="BG841" s="216"/>
      <c r="BH841" s="36"/>
    </row>
    <row r="842" spans="59:60" ht="12.75" customHeight="1">
      <c r="BG842" s="216"/>
      <c r="BH842" s="36"/>
    </row>
    <row r="843" spans="59:60" ht="12.75" customHeight="1">
      <c r="BG843" s="216"/>
      <c r="BH843" s="36"/>
    </row>
    <row r="844" spans="59:60" ht="12.75" customHeight="1">
      <c r="BG844" s="216"/>
      <c r="BH844" s="36"/>
    </row>
    <row r="845" spans="59:60" ht="12.75" customHeight="1">
      <c r="BG845" s="216"/>
      <c r="BH845" s="36"/>
    </row>
    <row r="846" spans="59:60" ht="12.75" customHeight="1">
      <c r="BG846" s="216"/>
      <c r="BH846" s="36"/>
    </row>
    <row r="847" spans="59:60" ht="12.75" customHeight="1">
      <c r="BG847" s="216"/>
      <c r="BH847" s="36"/>
    </row>
    <row r="848" spans="59:60" ht="12.75" customHeight="1">
      <c r="BG848" s="216"/>
      <c r="BH848" s="36"/>
    </row>
    <row r="849" spans="59:60" ht="12.75" customHeight="1">
      <c r="BG849" s="216"/>
      <c r="BH849" s="36"/>
    </row>
    <row r="850" spans="59:60" ht="12.75" customHeight="1">
      <c r="BG850" s="216"/>
      <c r="BH850" s="36"/>
    </row>
    <row r="851" spans="59:60" ht="12.75" customHeight="1">
      <c r="BG851" s="216"/>
      <c r="BH851" s="36"/>
    </row>
    <row r="852" spans="59:60" ht="12.75" customHeight="1">
      <c r="BG852" s="216"/>
      <c r="BH852" s="36"/>
    </row>
    <row r="853" spans="59:60" ht="12.75" customHeight="1">
      <c r="BG853" s="216"/>
      <c r="BH853" s="36"/>
    </row>
    <row r="854" spans="59:60" ht="12.75" customHeight="1">
      <c r="BG854" s="216"/>
      <c r="BH854" s="36"/>
    </row>
    <row r="855" spans="59:60" ht="12.75" customHeight="1">
      <c r="BG855" s="216"/>
      <c r="BH855" s="36"/>
    </row>
    <row r="856" spans="59:60" ht="12.75" customHeight="1">
      <c r="BG856" s="216"/>
      <c r="BH856" s="36"/>
    </row>
    <row r="857" spans="59:60" ht="12.75" customHeight="1">
      <c r="BG857" s="216"/>
      <c r="BH857" s="36"/>
    </row>
    <row r="858" spans="59:60" ht="12.75" customHeight="1">
      <c r="BG858" s="216"/>
      <c r="BH858" s="36"/>
    </row>
    <row r="859" spans="59:60" ht="12.75" customHeight="1">
      <c r="BG859" s="216"/>
      <c r="BH859" s="36"/>
    </row>
    <row r="860" spans="59:60" ht="12.75" customHeight="1">
      <c r="BG860" s="216"/>
      <c r="BH860" s="36"/>
    </row>
    <row r="861" spans="59:60" ht="12.75" customHeight="1">
      <c r="BG861" s="216"/>
      <c r="BH861" s="36"/>
    </row>
    <row r="862" spans="59:60" ht="12.75" customHeight="1">
      <c r="BG862" s="216"/>
      <c r="BH862" s="36"/>
    </row>
    <row r="863" spans="59:60" ht="12.75" customHeight="1">
      <c r="BG863" s="216"/>
      <c r="BH863" s="36"/>
    </row>
    <row r="864" spans="59:60" ht="12.75" customHeight="1">
      <c r="BG864" s="216"/>
      <c r="BH864" s="36"/>
    </row>
    <row r="865" spans="59:60" ht="12.75" customHeight="1">
      <c r="BG865" s="216"/>
      <c r="BH865" s="36"/>
    </row>
    <row r="866" spans="59:60" ht="12.75" customHeight="1">
      <c r="BG866" s="216"/>
      <c r="BH866" s="36"/>
    </row>
    <row r="867" spans="59:60" ht="12.75" customHeight="1">
      <c r="BG867" s="216"/>
      <c r="BH867" s="36"/>
    </row>
    <row r="868" spans="59:60" ht="12.75" customHeight="1">
      <c r="BG868" s="216"/>
      <c r="BH868" s="36"/>
    </row>
    <row r="869" spans="59:60" ht="12.75" customHeight="1">
      <c r="BG869" s="216"/>
      <c r="BH869" s="36"/>
    </row>
    <row r="870" spans="59:60" ht="12.75" customHeight="1">
      <c r="BG870" s="216"/>
      <c r="BH870" s="36"/>
    </row>
    <row r="871" spans="59:60" ht="12.75" customHeight="1">
      <c r="BG871" s="216"/>
      <c r="BH871" s="36"/>
    </row>
    <row r="872" spans="59:60" ht="12.75" customHeight="1">
      <c r="BG872" s="216"/>
      <c r="BH872" s="36"/>
    </row>
    <row r="873" spans="59:60" ht="12.75" customHeight="1">
      <c r="BG873" s="216"/>
      <c r="BH873" s="36"/>
    </row>
    <row r="874" spans="59:60" ht="12.75" customHeight="1">
      <c r="BG874" s="216"/>
      <c r="BH874" s="36"/>
    </row>
    <row r="875" spans="59:60" ht="12.75" customHeight="1">
      <c r="BG875" s="216"/>
      <c r="BH875" s="36"/>
    </row>
    <row r="876" spans="59:60" ht="12.75" customHeight="1">
      <c r="BG876" s="216"/>
      <c r="BH876" s="36"/>
    </row>
    <row r="877" spans="59:60" ht="12.75" customHeight="1">
      <c r="BG877" s="216"/>
      <c r="BH877" s="36"/>
    </row>
    <row r="878" spans="59:60" ht="12.75" customHeight="1">
      <c r="BG878" s="216"/>
      <c r="BH878" s="36"/>
    </row>
    <row r="879" spans="59:60" ht="12.75" customHeight="1">
      <c r="BG879" s="216"/>
      <c r="BH879" s="36"/>
    </row>
    <row r="880" spans="59:60" ht="12.75" customHeight="1">
      <c r="BG880" s="216"/>
      <c r="BH880" s="36"/>
    </row>
    <row r="881" spans="59:60" ht="12.75" customHeight="1">
      <c r="BG881" s="216"/>
      <c r="BH881" s="36"/>
    </row>
    <row r="882" spans="59:60" ht="12.75" customHeight="1">
      <c r="BG882" s="216"/>
      <c r="BH882" s="36"/>
    </row>
    <row r="883" spans="59:60" ht="12.75" customHeight="1">
      <c r="BG883" s="216"/>
      <c r="BH883" s="36"/>
    </row>
    <row r="884" spans="59:60" ht="12.75" customHeight="1">
      <c r="BG884" s="216"/>
      <c r="BH884" s="36"/>
    </row>
    <row r="885" spans="59:60" ht="12.75" customHeight="1">
      <c r="BG885" s="216"/>
      <c r="BH885" s="36"/>
    </row>
    <row r="886" spans="59:60" ht="12.75" customHeight="1">
      <c r="BG886" s="216"/>
      <c r="BH886" s="36"/>
    </row>
    <row r="887" spans="59:60" ht="12.75" customHeight="1">
      <c r="BG887" s="216"/>
      <c r="BH887" s="36"/>
    </row>
    <row r="888" spans="59:60" ht="12.75" customHeight="1">
      <c r="BG888" s="216"/>
      <c r="BH888" s="36"/>
    </row>
    <row r="889" spans="59:60" ht="12.75" customHeight="1">
      <c r="BG889" s="216"/>
      <c r="BH889" s="36"/>
    </row>
    <row r="890" spans="59:60" ht="12.75" customHeight="1">
      <c r="BG890" s="216"/>
      <c r="BH890" s="36"/>
    </row>
    <row r="891" spans="59:60" ht="12.75" customHeight="1">
      <c r="BG891" s="216"/>
      <c r="BH891" s="36"/>
    </row>
    <row r="892" spans="59:60" ht="12.75" customHeight="1">
      <c r="BG892" s="216"/>
      <c r="BH892" s="36"/>
    </row>
    <row r="893" spans="59:60" ht="12.75" customHeight="1">
      <c r="BG893" s="216"/>
      <c r="BH893" s="36"/>
    </row>
    <row r="894" spans="59:60" ht="12.75" customHeight="1">
      <c r="BG894" s="216"/>
      <c r="BH894" s="36"/>
    </row>
    <row r="895" spans="59:60" ht="12.75" customHeight="1">
      <c r="BG895" s="216"/>
      <c r="BH895" s="36"/>
    </row>
    <row r="896" spans="59:60" ht="12.75" customHeight="1">
      <c r="BG896" s="216"/>
      <c r="BH896" s="36"/>
    </row>
    <row r="897" spans="59:60" ht="12.75" customHeight="1">
      <c r="BG897" s="216"/>
      <c r="BH897" s="36"/>
    </row>
    <row r="898" spans="59:60" ht="12.75" customHeight="1">
      <c r="BG898" s="216"/>
      <c r="BH898" s="36"/>
    </row>
    <row r="899" spans="59:60" ht="12.75" customHeight="1">
      <c r="BG899" s="216"/>
      <c r="BH899" s="36"/>
    </row>
    <row r="900" spans="59:60" ht="12.75" customHeight="1">
      <c r="BG900" s="216"/>
      <c r="BH900" s="36"/>
    </row>
    <row r="901" spans="59:60" ht="12.75" customHeight="1">
      <c r="BG901" s="216"/>
      <c r="BH901" s="36"/>
    </row>
    <row r="902" spans="59:60" ht="12.75" customHeight="1">
      <c r="BG902" s="216"/>
      <c r="BH902" s="36"/>
    </row>
    <row r="903" spans="59:60" ht="12.75" customHeight="1">
      <c r="BG903" s="216"/>
      <c r="BH903" s="36"/>
    </row>
    <row r="904" spans="59:60" ht="12.75" customHeight="1">
      <c r="BG904" s="216"/>
      <c r="BH904" s="36"/>
    </row>
    <row r="905" spans="59:60" ht="12.75" customHeight="1">
      <c r="BG905" s="216"/>
      <c r="BH905" s="36"/>
    </row>
    <row r="906" spans="59:60" ht="12.75" customHeight="1">
      <c r="BG906" s="216"/>
      <c r="BH906" s="36"/>
    </row>
    <row r="907" spans="59:60" ht="12.75" customHeight="1">
      <c r="BG907" s="216"/>
      <c r="BH907" s="36"/>
    </row>
    <row r="908" spans="59:60" ht="12.75" customHeight="1">
      <c r="BG908" s="216"/>
      <c r="BH908" s="36"/>
    </row>
    <row r="909" spans="59:60" ht="12.75" customHeight="1">
      <c r="BG909" s="216"/>
      <c r="BH909" s="36"/>
    </row>
    <row r="910" spans="59:60" ht="12.75" customHeight="1">
      <c r="BG910" s="216"/>
      <c r="BH910" s="36"/>
    </row>
    <row r="911" spans="59:60" ht="12.75" customHeight="1">
      <c r="BG911" s="216"/>
      <c r="BH911" s="36"/>
    </row>
    <row r="912" spans="59:60" ht="12.75" customHeight="1">
      <c r="BG912" s="216"/>
      <c r="BH912" s="36"/>
    </row>
    <row r="913" spans="59:60" ht="12.75" customHeight="1">
      <c r="BG913" s="216"/>
      <c r="BH913" s="36"/>
    </row>
    <row r="914" spans="59:60" ht="12.75" customHeight="1">
      <c r="BG914" s="216"/>
      <c r="BH914" s="36"/>
    </row>
    <row r="915" spans="59:60" ht="12.75" customHeight="1">
      <c r="BG915" s="216"/>
      <c r="BH915" s="36"/>
    </row>
    <row r="916" spans="59:60" ht="12.75" customHeight="1">
      <c r="BG916" s="216"/>
      <c r="BH916" s="36"/>
    </row>
    <row r="917" spans="59:60" ht="12.75" customHeight="1">
      <c r="BG917" s="216"/>
      <c r="BH917" s="36"/>
    </row>
    <row r="918" spans="59:60" ht="12.75" customHeight="1">
      <c r="BG918" s="216"/>
      <c r="BH918" s="36"/>
    </row>
    <row r="919" spans="59:60" ht="12.75" customHeight="1">
      <c r="BG919" s="216"/>
      <c r="BH919" s="36"/>
    </row>
    <row r="920" spans="59:60" ht="12.75" customHeight="1">
      <c r="BG920" s="216"/>
      <c r="BH920" s="36"/>
    </row>
    <row r="921" spans="59:60" ht="12.75" customHeight="1">
      <c r="BG921" s="216"/>
      <c r="BH921" s="36"/>
    </row>
    <row r="922" spans="59:60" ht="12.75" customHeight="1">
      <c r="BG922" s="216"/>
      <c r="BH922" s="36"/>
    </row>
    <row r="923" spans="59:60" ht="12.75" customHeight="1">
      <c r="BG923" s="216"/>
      <c r="BH923" s="36"/>
    </row>
    <row r="924" spans="59:60" ht="12.75" customHeight="1">
      <c r="BG924" s="216"/>
      <c r="BH924" s="36"/>
    </row>
    <row r="925" spans="59:60" ht="12.75" customHeight="1">
      <c r="BG925" s="216"/>
      <c r="BH925" s="36"/>
    </row>
    <row r="926" spans="59:60" ht="12.75" customHeight="1">
      <c r="BG926" s="216"/>
      <c r="BH926" s="36"/>
    </row>
    <row r="927" spans="59:60" ht="12.75" customHeight="1">
      <c r="BG927" s="216"/>
      <c r="BH927" s="36"/>
    </row>
    <row r="928" spans="59:60" ht="12.75" customHeight="1">
      <c r="BG928" s="216"/>
      <c r="BH928" s="36"/>
    </row>
    <row r="929" spans="59:60" ht="12.75" customHeight="1">
      <c r="BG929" s="216"/>
      <c r="BH929" s="36"/>
    </row>
    <row r="930" spans="59:60" ht="12.75" customHeight="1">
      <c r="BG930" s="216"/>
      <c r="BH930" s="36"/>
    </row>
    <row r="931" spans="59:60" ht="12.75" customHeight="1">
      <c r="BG931" s="216"/>
      <c r="BH931" s="36"/>
    </row>
    <row r="932" spans="59:60" ht="12.75" customHeight="1">
      <c r="BG932" s="216"/>
      <c r="BH932" s="36"/>
    </row>
    <row r="933" spans="59:60" ht="12.75" customHeight="1">
      <c r="BG933" s="216"/>
      <c r="BH933" s="36"/>
    </row>
    <row r="934" spans="59:60" ht="12.75" customHeight="1">
      <c r="BG934" s="216"/>
      <c r="BH934" s="36"/>
    </row>
    <row r="935" spans="59:60" ht="12.75" customHeight="1">
      <c r="BG935" s="216"/>
      <c r="BH935" s="36"/>
    </row>
    <row r="936" spans="59:60" ht="12.75" customHeight="1">
      <c r="BG936" s="216"/>
      <c r="BH936" s="36"/>
    </row>
    <row r="937" spans="59:60" ht="12.75" customHeight="1">
      <c r="BG937" s="216"/>
      <c r="BH937" s="36"/>
    </row>
    <row r="938" spans="59:60" ht="12.75" customHeight="1">
      <c r="BG938" s="216"/>
      <c r="BH938" s="36"/>
    </row>
    <row r="939" spans="59:60" ht="12.75" customHeight="1">
      <c r="BG939" s="216"/>
      <c r="BH939" s="36"/>
    </row>
    <row r="940" spans="59:60" ht="12.75" customHeight="1">
      <c r="BG940" s="216"/>
      <c r="BH940" s="36"/>
    </row>
    <row r="941" spans="59:60" ht="12.75" customHeight="1">
      <c r="BG941" s="216"/>
      <c r="BH941" s="36"/>
    </row>
    <row r="942" spans="59:60" ht="12.75" customHeight="1">
      <c r="BG942" s="216"/>
      <c r="BH942" s="36"/>
    </row>
    <row r="943" spans="59:60" ht="12.75" customHeight="1">
      <c r="BG943" s="216"/>
      <c r="BH943" s="36"/>
    </row>
    <row r="944" spans="59:60" ht="12.75" customHeight="1">
      <c r="BG944" s="216"/>
      <c r="BH944" s="36"/>
    </row>
    <row r="945" spans="59:60" ht="12.75" customHeight="1">
      <c r="BG945" s="216"/>
      <c r="BH945" s="36"/>
    </row>
    <row r="946" spans="59:60" ht="12.75" customHeight="1">
      <c r="BG946" s="216"/>
      <c r="BH946" s="36"/>
    </row>
    <row r="947" spans="59:60" ht="12.75" customHeight="1">
      <c r="BG947" s="216"/>
      <c r="BH947" s="36"/>
    </row>
    <row r="948" spans="59:60" ht="12.75" customHeight="1">
      <c r="BG948" s="216"/>
      <c r="BH948" s="36"/>
    </row>
    <row r="949" spans="59:60" ht="12.75" customHeight="1">
      <c r="BG949" s="216"/>
      <c r="BH949" s="36"/>
    </row>
    <row r="950" spans="59:60" ht="12.75" customHeight="1">
      <c r="BG950" s="216"/>
      <c r="BH950" s="36"/>
    </row>
    <row r="951" spans="59:60" ht="12.75" customHeight="1">
      <c r="BG951" s="216"/>
      <c r="BH951" s="36"/>
    </row>
    <row r="952" spans="59:60" ht="12.75" customHeight="1">
      <c r="BG952" s="216"/>
      <c r="BH952" s="36"/>
    </row>
    <row r="953" spans="59:60" ht="12.75" customHeight="1">
      <c r="BG953" s="216"/>
      <c r="BH953" s="36"/>
    </row>
    <row r="954" spans="59:60" ht="12.75" customHeight="1">
      <c r="BG954" s="216"/>
      <c r="BH954" s="36"/>
    </row>
    <row r="955" spans="59:60" ht="12.75" customHeight="1">
      <c r="BG955" s="216"/>
      <c r="BH955" s="36"/>
    </row>
    <row r="956" spans="59:60" ht="12.75" customHeight="1">
      <c r="BG956" s="216"/>
      <c r="BH956" s="36"/>
    </row>
    <row r="957" spans="59:60" ht="12.75" customHeight="1">
      <c r="BG957" s="216"/>
      <c r="BH957" s="36"/>
    </row>
    <row r="958" spans="59:60" ht="12.75" customHeight="1">
      <c r="BG958" s="216"/>
      <c r="BH958" s="36"/>
    </row>
    <row r="959" spans="59:60" ht="12.75" customHeight="1">
      <c r="BG959" s="216"/>
      <c r="BH959" s="36"/>
    </row>
    <row r="960" spans="59:60" ht="12.75" customHeight="1">
      <c r="BG960" s="216"/>
      <c r="BH960" s="36"/>
    </row>
    <row r="961" spans="59:60" ht="12.75" customHeight="1">
      <c r="BG961" s="216"/>
      <c r="BH961" s="36"/>
    </row>
    <row r="962" spans="59:60" ht="12.75" customHeight="1">
      <c r="BG962" s="216"/>
      <c r="BH962" s="36"/>
    </row>
    <row r="963" spans="59:60" ht="12.75" customHeight="1">
      <c r="BG963" s="216"/>
      <c r="BH963" s="36"/>
    </row>
    <row r="964" spans="59:60" ht="12.75" customHeight="1">
      <c r="BG964" s="216"/>
      <c r="BH964" s="36"/>
    </row>
    <row r="965" spans="59:60" ht="12.75" customHeight="1">
      <c r="BG965" s="216"/>
      <c r="BH965" s="36"/>
    </row>
    <row r="966" spans="59:60" ht="12.75" customHeight="1">
      <c r="BG966" s="216"/>
      <c r="BH966" s="36"/>
    </row>
    <row r="967" spans="59:60" ht="12.75" customHeight="1">
      <c r="BG967" s="216"/>
      <c r="BH967" s="36"/>
    </row>
    <row r="968" spans="59:60" ht="12.75" customHeight="1">
      <c r="BG968" s="216"/>
      <c r="BH968" s="36"/>
    </row>
    <row r="969" spans="59:60" ht="12.75" customHeight="1">
      <c r="BG969" s="216"/>
      <c r="BH969" s="36"/>
    </row>
    <row r="970" spans="59:60" ht="12.75" customHeight="1">
      <c r="BG970" s="216"/>
      <c r="BH970" s="36"/>
    </row>
    <row r="971" spans="59:60" ht="12.75" customHeight="1">
      <c r="BG971" s="216"/>
      <c r="BH971" s="36"/>
    </row>
    <row r="972" spans="59:60" ht="12.75" customHeight="1">
      <c r="BG972" s="216"/>
      <c r="BH972" s="36"/>
    </row>
    <row r="973" spans="59:60" ht="12.75" customHeight="1">
      <c r="BG973" s="216"/>
      <c r="BH973" s="36"/>
    </row>
    <row r="974" spans="59:60" ht="12.75" customHeight="1">
      <c r="BG974" s="216"/>
      <c r="BH974" s="36"/>
    </row>
    <row r="975" spans="59:60" ht="12.75" customHeight="1">
      <c r="BG975" s="216"/>
      <c r="BH975" s="36"/>
    </row>
    <row r="976" spans="59:60" ht="12.75" customHeight="1">
      <c r="BG976" s="216"/>
      <c r="BH976" s="36"/>
    </row>
    <row r="977" spans="59:60" ht="12.75" customHeight="1">
      <c r="BG977" s="216"/>
      <c r="BH977" s="36"/>
    </row>
    <row r="978" spans="59:60" ht="12.75" customHeight="1">
      <c r="BG978" s="216"/>
      <c r="BH978" s="36"/>
    </row>
    <row r="979" spans="59:60" ht="12.75" customHeight="1">
      <c r="BG979" s="216"/>
      <c r="BH979" s="36"/>
    </row>
    <row r="980" spans="59:60" ht="12.75" customHeight="1">
      <c r="BG980" s="216"/>
      <c r="BH980" s="36"/>
    </row>
    <row r="981" spans="59:60" ht="12.75" customHeight="1">
      <c r="BG981" s="216"/>
      <c r="BH981" s="36"/>
    </row>
    <row r="982" spans="59:60" ht="12.75" customHeight="1">
      <c r="BG982" s="216"/>
      <c r="BH982" s="36"/>
    </row>
    <row r="983" spans="59:60" ht="12.75" customHeight="1">
      <c r="BG983" s="216"/>
      <c r="BH983" s="36"/>
    </row>
    <row r="984" spans="59:60" ht="12.75" customHeight="1">
      <c r="BG984" s="216"/>
      <c r="BH984" s="36"/>
    </row>
    <row r="985" spans="59:60" ht="12.75" customHeight="1">
      <c r="BG985" s="216"/>
      <c r="BH985" s="36"/>
    </row>
    <row r="986" spans="59:60" ht="12.75" customHeight="1">
      <c r="BG986" s="216"/>
      <c r="BH986" s="36"/>
    </row>
    <row r="987" spans="59:60" ht="12.75" customHeight="1">
      <c r="BG987" s="216"/>
      <c r="BH987" s="36"/>
    </row>
    <row r="988" spans="59:60" ht="12.75" customHeight="1">
      <c r="BG988" s="216"/>
      <c r="BH988" s="36"/>
    </row>
    <row r="989" spans="59:60" ht="12.75" customHeight="1">
      <c r="BG989" s="216"/>
      <c r="BH989" s="36"/>
    </row>
    <row r="990" spans="59:60" ht="12.75" customHeight="1">
      <c r="BG990" s="216"/>
      <c r="BH990" s="36"/>
    </row>
    <row r="991" spans="59:60" ht="12.75" customHeight="1">
      <c r="BG991" s="216"/>
      <c r="BH991" s="36"/>
    </row>
    <row r="992" spans="59:60" ht="12.75" customHeight="1">
      <c r="BG992" s="216"/>
      <c r="BH992" s="36"/>
    </row>
    <row r="993" spans="59:60" ht="12.75" customHeight="1">
      <c r="BG993" s="216"/>
      <c r="BH993" s="36"/>
    </row>
    <row r="994" spans="59:60" ht="12.75" customHeight="1">
      <c r="BG994" s="216"/>
      <c r="BH994" s="36"/>
    </row>
    <row r="995" spans="59:60" ht="12.75" customHeight="1">
      <c r="BG995" s="216"/>
      <c r="BH995" s="36"/>
    </row>
    <row r="996" spans="59:60" ht="12.75" customHeight="1">
      <c r="BG996" s="216"/>
      <c r="BH996" s="36"/>
    </row>
    <row r="997" spans="59:60" ht="12.75" customHeight="1">
      <c r="BG997" s="216"/>
      <c r="BH997" s="36"/>
    </row>
    <row r="998" spans="59:60" ht="12.75" customHeight="1">
      <c r="BG998" s="216"/>
      <c r="BH998" s="36"/>
    </row>
    <row r="999" spans="59:60" ht="12.75" customHeight="1">
      <c r="BG999" s="216"/>
      <c r="BH999" s="36"/>
    </row>
    <row r="1000" spans="59:60" ht="12.75" customHeight="1">
      <c r="BG1000" s="216"/>
      <c r="BH1000" s="36"/>
    </row>
    <row r="1001" spans="59:60" ht="12.75" customHeight="1">
      <c r="BG1001" s="216"/>
      <c r="BH1001" s="36"/>
    </row>
    <row r="1002" spans="59:60" ht="12.75" customHeight="1">
      <c r="BG1002" s="216"/>
      <c r="BH1002" s="36"/>
    </row>
  </sheetData>
  <mergeCells count="6">
    <mergeCell ref="BF61:BI61"/>
    <mergeCell ref="BF23:BJ23"/>
    <mergeCell ref="BF49:BJ49"/>
    <mergeCell ref="BK55:BL55"/>
    <mergeCell ref="BJ56:BK56"/>
    <mergeCell ref="BJ59:BK59"/>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election activeCell="N43" sqref="N43"/>
    </sheetView>
  </sheetViews>
  <sheetFormatPr defaultColWidth="12.5546875" defaultRowHeight="15" customHeight="1"/>
  <cols>
    <col min="1" max="26" width="8.554687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8</vt:i4>
      </vt:variant>
    </vt:vector>
  </HeadingPairs>
  <TitlesOfParts>
    <vt:vector size="20" baseType="lpstr">
      <vt:lpstr>Misk Format</vt:lpstr>
      <vt:lpstr>GS</vt:lpstr>
      <vt:lpstr>C_Bill No. 3 Main bld (2)</vt:lpstr>
      <vt:lpstr>Finishesh</vt:lpstr>
      <vt:lpstr>M.S</vt:lpstr>
      <vt:lpstr>Bill No. 4 Ancillary</vt:lpstr>
      <vt:lpstr>Bill No.5 Electrical &amp; ELV</vt:lpstr>
      <vt:lpstr>Bill No.6 Plumbing</vt:lpstr>
      <vt:lpstr>BILL NO.9 PROVISIONAL</vt:lpstr>
      <vt:lpstr>BW</vt:lpstr>
      <vt:lpstr>D&amp;W</vt:lpstr>
      <vt:lpstr>Sheet1</vt:lpstr>
      <vt:lpstr>'Bill No. 4 Ancillary'!Print_Area</vt:lpstr>
      <vt:lpstr>'Bill No.5 Electrical &amp; ELV'!Print_Area</vt:lpstr>
      <vt:lpstr>'Bill No.6 Plumbing'!Print_Area</vt:lpstr>
      <vt:lpstr>'BILL NO.9 PROVISIONAL'!Print_Area</vt:lpstr>
      <vt:lpstr>'C_Bill No. 3 Main bld (2)'!Print_Area</vt:lpstr>
      <vt:lpstr>GS!Print_Area</vt:lpstr>
      <vt:lpstr>'Misk Format'!Print_Area</vt:lpstr>
      <vt:lpstr>'Misk Format'!Print_Titles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Sajib</dc:creator>
  <cp:lastModifiedBy>Amiles Macmillen</cp:lastModifiedBy>
  <cp:lastPrinted>2026-07-31T12:25:41Z</cp:lastPrinted>
  <dcterms:created xsi:type="dcterms:W3CDTF">2026-05-31T11:14:26Z</dcterms:created>
  <dcterms:modified xsi:type="dcterms:W3CDTF">2026-08-01T15:03:42Z</dcterms:modified>
</cp:coreProperties>
</file>